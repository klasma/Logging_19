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45701</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45701</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45701</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45701</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45701</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45701</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45701</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45701</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45701</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45701</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45701</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45701</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45701</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45701</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45701</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45701</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45701</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45701</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45701</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45701</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45701</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45701</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45701</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45701</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45701</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45701</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45701</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45701</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45701</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45701</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45701</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45701</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45701</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45701</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45701</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45701</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45701</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45701</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45701</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13994-2023</t>
        </is>
      </c>
      <c r="B52" s="1" t="n">
        <v>45007</v>
      </c>
      <c r="C52" s="1" t="n">
        <v>45701</v>
      </c>
      <c r="D52" t="inlineStr">
        <is>
          <t>VÄSTMANLANDS LÄN</t>
        </is>
      </c>
      <c r="E52" t="inlineStr">
        <is>
          <t>SURAHAMMAR</t>
        </is>
      </c>
      <c r="F52" t="inlineStr">
        <is>
          <t>Bergvik skog väst AB</t>
        </is>
      </c>
      <c r="G52" t="n">
        <v>14.2</v>
      </c>
      <c r="H52" t="n">
        <v>3</v>
      </c>
      <c r="I52" t="n">
        <v>2</v>
      </c>
      <c r="J52" t="n">
        <v>2</v>
      </c>
      <c r="K52" t="n">
        <v>1</v>
      </c>
      <c r="L52" t="n">
        <v>0</v>
      </c>
      <c r="M52" t="n">
        <v>0</v>
      </c>
      <c r="N52" t="n">
        <v>0</v>
      </c>
      <c r="O52" t="n">
        <v>3</v>
      </c>
      <c r="P52" t="n">
        <v>1</v>
      </c>
      <c r="Q52" t="n">
        <v>6</v>
      </c>
      <c r="R52" s="2" t="inlineStr">
        <is>
          <t>Knärot
Spillkråka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c r="Z52">
        <f>HYPERLINK("https://klasma.github.io/Logging_1907/fåglar/A 13994-2023 prioriterade fågelarter.docx", "A 13994-2023")</f>
        <v/>
      </c>
    </row>
    <row r="53" ht="15" customHeight="1">
      <c r="A53" t="inlineStr">
        <is>
          <t>A 23229-2023</t>
        </is>
      </c>
      <c r="B53" s="1" t="n">
        <v>45075</v>
      </c>
      <c r="C53" s="1" t="n">
        <v>45701</v>
      </c>
      <c r="D53" t="inlineStr">
        <is>
          <t>VÄSTMANLANDS LÄN</t>
        </is>
      </c>
      <c r="E53" t="inlineStr">
        <is>
          <t>SALA</t>
        </is>
      </c>
      <c r="G53" t="n">
        <v>20.8</v>
      </c>
      <c r="H53" t="n">
        <v>1</v>
      </c>
      <c r="I53" t="n">
        <v>2</v>
      </c>
      <c r="J53" t="n">
        <v>2</v>
      </c>
      <c r="K53" t="n">
        <v>2</v>
      </c>
      <c r="L53" t="n">
        <v>0</v>
      </c>
      <c r="M53" t="n">
        <v>0</v>
      </c>
      <c r="N53" t="n">
        <v>0</v>
      </c>
      <c r="O53" t="n">
        <v>4</v>
      </c>
      <c r="P53" t="n">
        <v>2</v>
      </c>
      <c r="Q53" t="n">
        <v>6</v>
      </c>
      <c r="R53" s="2" t="inlineStr">
        <is>
          <t>Knärot
Rynkskinn
Ullticka
Vedtrappmossa
Blodticka
Vedticka</t>
        </is>
      </c>
      <c r="S53">
        <f>HYPERLINK("https://klasma.github.io/Logging_1981/artfynd/A 23229-2023 artfynd.xlsx", "A 23229-2023")</f>
        <v/>
      </c>
      <c r="T53">
        <f>HYPERLINK("https://klasma.github.io/Logging_1981/kartor/A 23229-2023 karta.png", "A 23229-2023")</f>
        <v/>
      </c>
      <c r="U53">
        <f>HYPERLINK("https://klasma.github.io/Logging_1981/knärot/A 23229-2023 karta knärot.png", "A 23229-2023")</f>
        <v/>
      </c>
      <c r="V53">
        <f>HYPERLINK("https://klasma.github.io/Logging_1981/klagomål/A 23229-2023 FSC-klagomål.docx", "A 23229-2023")</f>
        <v/>
      </c>
      <c r="W53">
        <f>HYPERLINK("https://klasma.github.io/Logging_1981/klagomålsmail/A 23229-2023 FSC-klagomål mail.docx", "A 23229-2023")</f>
        <v/>
      </c>
      <c r="X53">
        <f>HYPERLINK("https://klasma.github.io/Logging_1981/tillsyn/A 23229-2023 tillsynsbegäran.docx", "A 23229-2023")</f>
        <v/>
      </c>
      <c r="Y53">
        <f>HYPERLINK("https://klasma.github.io/Logging_1981/tillsynsmail/A 23229-2023 tillsynsbegäran mail.docx", "A 23229-2023")</f>
        <v/>
      </c>
    </row>
    <row r="54" ht="15" customHeight="1">
      <c r="A54" t="inlineStr">
        <is>
          <t>A 55259-2023</t>
        </is>
      </c>
      <c r="B54" s="1" t="n">
        <v>45237</v>
      </c>
      <c r="C54" s="1" t="n">
        <v>45701</v>
      </c>
      <c r="D54" t="inlineStr">
        <is>
          <t>VÄSTMANLANDS LÄN</t>
        </is>
      </c>
      <c r="E54" t="inlineStr">
        <is>
          <t>SALA</t>
        </is>
      </c>
      <c r="G54" t="n">
        <v>1.6</v>
      </c>
      <c r="H54" t="n">
        <v>2</v>
      </c>
      <c r="I54" t="n">
        <v>2</v>
      </c>
      <c r="J54" t="n">
        <v>2</v>
      </c>
      <c r="K54" t="n">
        <v>1</v>
      </c>
      <c r="L54" t="n">
        <v>0</v>
      </c>
      <c r="M54" t="n">
        <v>0</v>
      </c>
      <c r="N54" t="n">
        <v>0</v>
      </c>
      <c r="O54" t="n">
        <v>3</v>
      </c>
      <c r="P54" t="n">
        <v>1</v>
      </c>
      <c r="Q54" t="n">
        <v>6</v>
      </c>
      <c r="R54" s="2" t="inlineStr">
        <is>
          <t>Knärot
Dofttaggsvamp
Gul taggsvamp
Fjällig taggsvamp s.str.
Skarp dropptaggsvamp
Blåsippa</t>
        </is>
      </c>
      <c r="S54">
        <f>HYPERLINK("https://klasma.github.io/Logging_1981/artfynd/A 55259-2023 artfynd.xlsx", "A 55259-2023")</f>
        <v/>
      </c>
      <c r="T54">
        <f>HYPERLINK("https://klasma.github.io/Logging_1981/kartor/A 55259-2023 karta.png", "A 55259-2023")</f>
        <v/>
      </c>
      <c r="U54">
        <f>HYPERLINK("https://klasma.github.io/Logging_1981/knärot/A 55259-2023 karta knärot.png", "A 55259-2023")</f>
        <v/>
      </c>
      <c r="V54">
        <f>HYPERLINK("https://klasma.github.io/Logging_1981/klagomål/A 55259-2023 FSC-klagomål.docx", "A 55259-2023")</f>
        <v/>
      </c>
      <c r="W54">
        <f>HYPERLINK("https://klasma.github.io/Logging_1981/klagomålsmail/A 55259-2023 FSC-klagomål mail.docx", "A 55259-2023")</f>
        <v/>
      </c>
      <c r="X54">
        <f>HYPERLINK("https://klasma.github.io/Logging_1981/tillsyn/A 55259-2023 tillsynsbegäran.docx", "A 55259-2023")</f>
        <v/>
      </c>
      <c r="Y54">
        <f>HYPERLINK("https://klasma.github.io/Logging_1981/tillsynsmail/A 55259-2023 tillsynsbegäran mail.docx", "A 55259-2023")</f>
        <v/>
      </c>
    </row>
    <row r="55" ht="15" customHeight="1">
      <c r="A55" t="inlineStr">
        <is>
          <t>A 7791-2024</t>
        </is>
      </c>
      <c r="B55" s="1" t="n">
        <v>45348</v>
      </c>
      <c r="C55" s="1" t="n">
        <v>45701</v>
      </c>
      <c r="D55" t="inlineStr">
        <is>
          <t>VÄSTMANLANDS LÄN</t>
        </is>
      </c>
      <c r="E55" t="inlineStr">
        <is>
          <t>SURAHAMMAR</t>
        </is>
      </c>
      <c r="G55" t="n">
        <v>9.6</v>
      </c>
      <c r="H55" t="n">
        <v>2</v>
      </c>
      <c r="I55" t="n">
        <v>4</v>
      </c>
      <c r="J55" t="n">
        <v>1</v>
      </c>
      <c r="K55" t="n">
        <v>0</v>
      </c>
      <c r="L55" t="n">
        <v>0</v>
      </c>
      <c r="M55" t="n">
        <v>0</v>
      </c>
      <c r="N55" t="n">
        <v>0</v>
      </c>
      <c r="O55" t="n">
        <v>1</v>
      </c>
      <c r="P55" t="n">
        <v>0</v>
      </c>
      <c r="Q55" t="n">
        <v>6</v>
      </c>
      <c r="R55" s="2" t="inlineStr">
        <is>
          <t>Talltita
Blomkålssvamp
Bronshjon
Mörk vedstrit
Vedticka
Tjäder</t>
        </is>
      </c>
      <c r="S55">
        <f>HYPERLINK("https://klasma.github.io/Logging_1907/artfynd/A 7791-2024 artfynd.xlsx", "A 7791-2024")</f>
        <v/>
      </c>
      <c r="T55">
        <f>HYPERLINK("https://klasma.github.io/Logging_1907/kartor/A 7791-2024 karta.png", "A 7791-2024")</f>
        <v/>
      </c>
      <c r="V55">
        <f>HYPERLINK("https://klasma.github.io/Logging_1907/klagomål/A 7791-2024 FSC-klagomål.docx", "A 7791-2024")</f>
        <v/>
      </c>
      <c r="W55">
        <f>HYPERLINK("https://klasma.github.io/Logging_1907/klagomålsmail/A 7791-2024 FSC-klagomål mail.docx", "A 7791-2024")</f>
        <v/>
      </c>
      <c r="X55">
        <f>HYPERLINK("https://klasma.github.io/Logging_1907/tillsyn/A 7791-2024 tillsynsbegäran.docx", "A 7791-2024")</f>
        <v/>
      </c>
      <c r="Y55">
        <f>HYPERLINK("https://klasma.github.io/Logging_1907/tillsynsmail/A 7791-2024 tillsynsbegäran mail.docx", "A 7791-2024")</f>
        <v/>
      </c>
      <c r="Z55">
        <f>HYPERLINK("https://klasma.github.io/Logging_1907/fåglar/A 7791-2024 prioriterade fågelarter.docx", "A 7791-2024")</f>
        <v/>
      </c>
    </row>
    <row r="56" ht="15" customHeight="1">
      <c r="A56" t="inlineStr">
        <is>
          <t>A 24778-2024</t>
        </is>
      </c>
      <c r="B56" s="1" t="n">
        <v>45460</v>
      </c>
      <c r="C56" s="1" t="n">
        <v>45701</v>
      </c>
      <c r="D56" t="inlineStr">
        <is>
          <t>VÄSTMANLANDS LÄN</t>
        </is>
      </c>
      <c r="E56" t="inlineStr">
        <is>
          <t>VÄSTERÅS</t>
        </is>
      </c>
      <c r="F56" t="inlineStr">
        <is>
          <t>Kommuner</t>
        </is>
      </c>
      <c r="G56" t="n">
        <v>6.2</v>
      </c>
      <c r="H56" t="n">
        <v>2</v>
      </c>
      <c r="I56" t="n">
        <v>2</v>
      </c>
      <c r="J56" t="n">
        <v>0</v>
      </c>
      <c r="K56" t="n">
        <v>0</v>
      </c>
      <c r="L56" t="n">
        <v>1</v>
      </c>
      <c r="M56" t="n">
        <v>1</v>
      </c>
      <c r="N56" t="n">
        <v>0</v>
      </c>
      <c r="O56" t="n">
        <v>2</v>
      </c>
      <c r="P56" t="n">
        <v>2</v>
      </c>
      <c r="Q56" t="n">
        <v>6</v>
      </c>
      <c r="R56" s="2" t="inlineStr">
        <is>
          <t>Skogsalm
Ask
Myskbock
Svart trolldruva
Mistel
Blåsippa</t>
        </is>
      </c>
      <c r="S56">
        <f>HYPERLINK("https://klasma.github.io/Logging_1980/artfynd/A 24778-2024 artfynd.xlsx", "A 24778-2024")</f>
        <v/>
      </c>
      <c r="T56">
        <f>HYPERLINK("https://klasma.github.io/Logging_1980/kartor/A 24778-2024 karta.png", "A 24778-2024")</f>
        <v/>
      </c>
      <c r="V56">
        <f>HYPERLINK("https://klasma.github.io/Logging_1980/klagomål/A 24778-2024 FSC-klagomål.docx", "A 24778-2024")</f>
        <v/>
      </c>
      <c r="W56">
        <f>HYPERLINK("https://klasma.github.io/Logging_1980/klagomålsmail/A 24778-2024 FSC-klagomål mail.docx", "A 24778-2024")</f>
        <v/>
      </c>
      <c r="X56">
        <f>HYPERLINK("https://klasma.github.io/Logging_1980/tillsyn/A 24778-2024 tillsynsbegäran.docx", "A 24778-2024")</f>
        <v/>
      </c>
      <c r="Y56">
        <f>HYPERLINK("https://klasma.github.io/Logging_1980/tillsynsmail/A 24778-2024 tillsynsbegäran mail.docx", "A 24778-2024")</f>
        <v/>
      </c>
    </row>
    <row r="57" ht="15" customHeight="1">
      <c r="A57" t="inlineStr">
        <is>
          <t>A 25265-2024</t>
        </is>
      </c>
      <c r="B57" s="1" t="n">
        <v>45462</v>
      </c>
      <c r="C57" s="1" t="n">
        <v>45701</v>
      </c>
      <c r="D57" t="inlineStr">
        <is>
          <t>VÄSTMANLANDS LÄN</t>
        </is>
      </c>
      <c r="E57" t="inlineStr">
        <is>
          <t>SALA</t>
        </is>
      </c>
      <c r="G57" t="n">
        <v>9.6</v>
      </c>
      <c r="H57" t="n">
        <v>3</v>
      </c>
      <c r="I57" t="n">
        <v>1</v>
      </c>
      <c r="J57" t="n">
        <v>2</v>
      </c>
      <c r="K57" t="n">
        <v>1</v>
      </c>
      <c r="L57" t="n">
        <v>0</v>
      </c>
      <c r="M57" t="n">
        <v>0</v>
      </c>
      <c r="N57" t="n">
        <v>0</v>
      </c>
      <c r="O57" t="n">
        <v>3</v>
      </c>
      <c r="P57" t="n">
        <v>1</v>
      </c>
      <c r="Q57" t="n">
        <v>6</v>
      </c>
      <c r="R57" s="2" t="inlineStr">
        <is>
          <t>Knärot
Grönhjon
Ullticka
Vedticka
Tjäder
Revlummer</t>
        </is>
      </c>
      <c r="S57">
        <f>HYPERLINK("https://klasma.github.io/Logging_1981/artfynd/A 25265-2024 artfynd.xlsx", "A 25265-2024")</f>
        <v/>
      </c>
      <c r="T57">
        <f>HYPERLINK("https://klasma.github.io/Logging_1981/kartor/A 25265-2024 karta.png", "A 25265-2024")</f>
        <v/>
      </c>
      <c r="U57">
        <f>HYPERLINK("https://klasma.github.io/Logging_1981/knärot/A 25265-2024 karta knärot.png", "A 25265-2024")</f>
        <v/>
      </c>
      <c r="V57">
        <f>HYPERLINK("https://klasma.github.io/Logging_1981/klagomål/A 25265-2024 FSC-klagomål.docx", "A 25265-2024")</f>
        <v/>
      </c>
      <c r="W57">
        <f>HYPERLINK("https://klasma.github.io/Logging_1981/klagomålsmail/A 25265-2024 FSC-klagomål mail.docx", "A 25265-2024")</f>
        <v/>
      </c>
      <c r="X57">
        <f>HYPERLINK("https://klasma.github.io/Logging_1981/tillsyn/A 25265-2024 tillsynsbegäran.docx", "A 25265-2024")</f>
        <v/>
      </c>
      <c r="Y57">
        <f>HYPERLINK("https://klasma.github.io/Logging_1981/tillsynsmail/A 25265-2024 tillsynsbegäran mail.docx", "A 25265-2024")</f>
        <v/>
      </c>
      <c r="Z57">
        <f>HYPERLINK("https://klasma.github.io/Logging_1981/fåglar/A 25265-2024 prioriterade fågelarter.docx", "A 25265-2024")</f>
        <v/>
      </c>
    </row>
    <row r="58" ht="15" customHeight="1">
      <c r="A58" t="inlineStr">
        <is>
          <t>A 42686-2024</t>
        </is>
      </c>
      <c r="B58" s="1" t="n">
        <v>45566</v>
      </c>
      <c r="C58" s="1" t="n">
        <v>45701</v>
      </c>
      <c r="D58" t="inlineStr">
        <is>
          <t>VÄSTMANLANDS LÄN</t>
        </is>
      </c>
      <c r="E58" t="inlineStr">
        <is>
          <t>NORBERG</t>
        </is>
      </c>
      <c r="G58" t="n">
        <v>7</v>
      </c>
      <c r="H58" t="n">
        <v>1</v>
      </c>
      <c r="I58" t="n">
        <v>3</v>
      </c>
      <c r="J58" t="n">
        <v>2</v>
      </c>
      <c r="K58" t="n">
        <v>1</v>
      </c>
      <c r="L58" t="n">
        <v>0</v>
      </c>
      <c r="M58" t="n">
        <v>0</v>
      </c>
      <c r="N58" t="n">
        <v>0</v>
      </c>
      <c r="O58" t="n">
        <v>3</v>
      </c>
      <c r="P58" t="n">
        <v>1</v>
      </c>
      <c r="Q58" t="n">
        <v>6</v>
      </c>
      <c r="R58" s="2" t="inlineStr">
        <is>
          <t>Knärot
Tallticka
Ullticka
Bollvitmossa
Skinnlav
Vedticka</t>
        </is>
      </c>
      <c r="S58">
        <f>HYPERLINK("https://klasma.github.io/Logging_1962/artfynd/A 42686-2024 artfynd.xlsx", "A 42686-2024")</f>
        <v/>
      </c>
      <c r="T58">
        <f>HYPERLINK("https://klasma.github.io/Logging_1962/kartor/A 42686-2024 karta.png", "A 42686-2024")</f>
        <v/>
      </c>
      <c r="U58">
        <f>HYPERLINK("https://klasma.github.io/Logging_1962/knärot/A 42686-2024 karta knärot.png", "A 42686-2024")</f>
        <v/>
      </c>
      <c r="V58">
        <f>HYPERLINK("https://klasma.github.io/Logging_1962/klagomål/A 42686-2024 FSC-klagomål.docx", "A 42686-2024")</f>
        <v/>
      </c>
      <c r="W58">
        <f>HYPERLINK("https://klasma.github.io/Logging_1962/klagomålsmail/A 42686-2024 FSC-klagomål mail.docx", "A 42686-2024")</f>
        <v/>
      </c>
      <c r="X58">
        <f>HYPERLINK("https://klasma.github.io/Logging_1962/tillsyn/A 42686-2024 tillsynsbegäran.docx", "A 42686-2024")</f>
        <v/>
      </c>
      <c r="Y58">
        <f>HYPERLINK("https://klasma.github.io/Logging_1962/tillsynsmail/A 42686-2024 tillsynsbegäran mail.docx", "A 42686-2024")</f>
        <v/>
      </c>
    </row>
    <row r="59" ht="15" customHeight="1">
      <c r="A59" t="inlineStr">
        <is>
          <t>A 44798-2024</t>
        </is>
      </c>
      <c r="B59" s="1" t="n">
        <v>45574</v>
      </c>
      <c r="C59" s="1" t="n">
        <v>45701</v>
      </c>
      <c r="D59" t="inlineStr">
        <is>
          <t>VÄSTMANLANDS LÄN</t>
        </is>
      </c>
      <c r="E59" t="inlineStr">
        <is>
          <t>SURAHAMMAR</t>
        </is>
      </c>
      <c r="F59" t="inlineStr">
        <is>
          <t>Bergvik skog väst AB</t>
        </is>
      </c>
      <c r="G59" t="n">
        <v>4.4</v>
      </c>
      <c r="H59" t="n">
        <v>0</v>
      </c>
      <c r="I59" t="n">
        <v>1</v>
      </c>
      <c r="J59" t="n">
        <v>4</v>
      </c>
      <c r="K59" t="n">
        <v>1</v>
      </c>
      <c r="L59" t="n">
        <v>0</v>
      </c>
      <c r="M59" t="n">
        <v>0</v>
      </c>
      <c r="N59" t="n">
        <v>0</v>
      </c>
      <c r="O59" t="n">
        <v>5</v>
      </c>
      <c r="P59" t="n">
        <v>1</v>
      </c>
      <c r="Q59" t="n">
        <v>6</v>
      </c>
      <c r="R59" s="2" t="inlineStr">
        <is>
          <t>Rosetticka
Brunklöver
Persiljespindling
Svinrot
Ullticka
Brandticka</t>
        </is>
      </c>
      <c r="S59">
        <f>HYPERLINK("https://klasma.github.io/Logging_1907/artfynd/A 44798-2024 artfynd.xlsx", "A 44798-2024")</f>
        <v/>
      </c>
      <c r="T59">
        <f>HYPERLINK("https://klasma.github.io/Logging_1907/kartor/A 44798-2024 karta.png", "A 44798-2024")</f>
        <v/>
      </c>
      <c r="V59">
        <f>HYPERLINK("https://klasma.github.io/Logging_1907/klagomål/A 44798-2024 FSC-klagomål.docx", "A 44798-2024")</f>
        <v/>
      </c>
      <c r="W59">
        <f>HYPERLINK("https://klasma.github.io/Logging_1907/klagomålsmail/A 44798-2024 FSC-klagomål mail.docx", "A 44798-2024")</f>
        <v/>
      </c>
      <c r="X59">
        <f>HYPERLINK("https://klasma.github.io/Logging_1907/tillsyn/A 44798-2024 tillsynsbegäran.docx", "A 44798-2024")</f>
        <v/>
      </c>
      <c r="Y59">
        <f>HYPERLINK("https://klasma.github.io/Logging_1907/tillsynsmail/A 44798-2024 tillsynsbegäran mail.docx", "A 44798-2024")</f>
        <v/>
      </c>
    </row>
    <row r="60" ht="15" customHeight="1">
      <c r="A60" t="inlineStr">
        <is>
          <t>A 45441-2024</t>
        </is>
      </c>
      <c r="B60" s="1" t="n">
        <v>45576</v>
      </c>
      <c r="C60" s="1" t="n">
        <v>45701</v>
      </c>
      <c r="D60" t="inlineStr">
        <is>
          <t>VÄSTMANLANDS LÄN</t>
        </is>
      </c>
      <c r="E60" t="inlineStr">
        <is>
          <t>SALA</t>
        </is>
      </c>
      <c r="G60" t="n">
        <v>3.4</v>
      </c>
      <c r="H60" t="n">
        <v>0</v>
      </c>
      <c r="I60" t="n">
        <v>2</v>
      </c>
      <c r="J60" t="n">
        <v>4</v>
      </c>
      <c r="K60" t="n">
        <v>0</v>
      </c>
      <c r="L60" t="n">
        <v>0</v>
      </c>
      <c r="M60" t="n">
        <v>0</v>
      </c>
      <c r="N60" t="n">
        <v>0</v>
      </c>
      <c r="O60" t="n">
        <v>4</v>
      </c>
      <c r="P60" t="n">
        <v>0</v>
      </c>
      <c r="Q60" t="n">
        <v>6</v>
      </c>
      <c r="R60" s="2" t="inlineStr">
        <is>
          <t>Garnlav
Leptoporus mollis
Tallticka
Ullticka
Bronshjon
Vedticka</t>
        </is>
      </c>
      <c r="S60">
        <f>HYPERLINK("https://klasma.github.io/Logging_1981/artfynd/A 45441-2024 artfynd.xlsx", "A 45441-2024")</f>
        <v/>
      </c>
      <c r="T60">
        <f>HYPERLINK("https://klasma.github.io/Logging_1981/kartor/A 45441-2024 karta.png", "A 45441-2024")</f>
        <v/>
      </c>
      <c r="V60">
        <f>HYPERLINK("https://klasma.github.io/Logging_1981/klagomål/A 45441-2024 FSC-klagomål.docx", "A 45441-2024")</f>
        <v/>
      </c>
      <c r="W60">
        <f>HYPERLINK("https://klasma.github.io/Logging_1981/klagomålsmail/A 45441-2024 FSC-klagomål mail.docx", "A 45441-2024")</f>
        <v/>
      </c>
      <c r="X60">
        <f>HYPERLINK("https://klasma.github.io/Logging_1981/tillsyn/A 45441-2024 tillsynsbegäran.docx", "A 45441-2024")</f>
        <v/>
      </c>
      <c r="Y60">
        <f>HYPERLINK("https://klasma.github.io/Logging_1981/tillsynsmail/A 45441-2024 tillsynsbegäran mail.docx", "A 45441-2024")</f>
        <v/>
      </c>
    </row>
    <row r="61" ht="15" customHeight="1">
      <c r="A61" t="inlineStr">
        <is>
          <t>A 27670-2019</t>
        </is>
      </c>
      <c r="B61" s="1" t="n">
        <v>43619</v>
      </c>
      <c r="C61" s="1" t="n">
        <v>45701</v>
      </c>
      <c r="D61" t="inlineStr">
        <is>
          <t>VÄSTMANLANDS LÄN</t>
        </is>
      </c>
      <c r="E61" t="inlineStr">
        <is>
          <t>SKINNSKATTEBERG</t>
        </is>
      </c>
      <c r="F61" t="inlineStr">
        <is>
          <t>Sveaskog</t>
        </is>
      </c>
      <c r="G61" t="n">
        <v>0.9</v>
      </c>
      <c r="H61" t="n">
        <v>5</v>
      </c>
      <c r="I61" t="n">
        <v>0</v>
      </c>
      <c r="J61" t="n">
        <v>2</v>
      </c>
      <c r="K61" t="n">
        <v>0</v>
      </c>
      <c r="L61" t="n">
        <v>0</v>
      </c>
      <c r="M61" t="n">
        <v>0</v>
      </c>
      <c r="N61" t="n">
        <v>0</v>
      </c>
      <c r="O61" t="n">
        <v>2</v>
      </c>
      <c r="P61" t="n">
        <v>0</v>
      </c>
      <c r="Q61" t="n">
        <v>5</v>
      </c>
      <c r="R61" s="2" t="inlineStr">
        <is>
          <t>Björktrast
Talltita
Gröngöling
Kungsfågel
Nattviol</t>
        </is>
      </c>
      <c r="S61">
        <f>HYPERLINK("https://klasma.github.io/Logging_1904/artfynd/A 27670-2019 artfynd.xlsx", "A 27670-2019")</f>
        <v/>
      </c>
      <c r="T61">
        <f>HYPERLINK("https://klasma.github.io/Logging_1904/kartor/A 27670-2019 karta.png", "A 27670-2019")</f>
        <v/>
      </c>
      <c r="V61">
        <f>HYPERLINK("https://klasma.github.io/Logging_1904/klagomål/A 27670-2019 FSC-klagomål.docx", "A 27670-2019")</f>
        <v/>
      </c>
      <c r="W61">
        <f>HYPERLINK("https://klasma.github.io/Logging_1904/klagomålsmail/A 27670-2019 FSC-klagomål mail.docx", "A 27670-2019")</f>
        <v/>
      </c>
      <c r="X61">
        <f>HYPERLINK("https://klasma.github.io/Logging_1904/tillsyn/A 27670-2019 tillsynsbegäran.docx", "A 27670-2019")</f>
        <v/>
      </c>
      <c r="Y61">
        <f>HYPERLINK("https://klasma.github.io/Logging_1904/tillsynsmail/A 27670-2019 tillsynsbegäran mail.docx", "A 27670-2019")</f>
        <v/>
      </c>
      <c r="Z61">
        <f>HYPERLINK("https://klasma.github.io/Logging_1904/fåglar/A 27670-2019 prioriterade fågelarter.docx", "A 27670-2019")</f>
        <v/>
      </c>
    </row>
    <row r="62" ht="15" customHeight="1">
      <c r="A62" t="inlineStr">
        <is>
          <t>A 7193-2020</t>
        </is>
      </c>
      <c r="B62" s="1" t="n">
        <v>43868</v>
      </c>
      <c r="C62" s="1" t="n">
        <v>45701</v>
      </c>
      <c r="D62" t="inlineStr">
        <is>
          <t>VÄSTMANLANDS LÄN</t>
        </is>
      </c>
      <c r="E62" t="inlineStr">
        <is>
          <t>NORBERG</t>
        </is>
      </c>
      <c r="G62" t="n">
        <v>14.6</v>
      </c>
      <c r="H62" t="n">
        <v>1</v>
      </c>
      <c r="I62" t="n">
        <v>3</v>
      </c>
      <c r="J62" t="n">
        <v>1</v>
      </c>
      <c r="K62" t="n">
        <v>1</v>
      </c>
      <c r="L62" t="n">
        <v>0</v>
      </c>
      <c r="M62" t="n">
        <v>0</v>
      </c>
      <c r="N62" t="n">
        <v>0</v>
      </c>
      <c r="O62" t="n">
        <v>2</v>
      </c>
      <c r="P62" t="n">
        <v>1</v>
      </c>
      <c r="Q62" t="n">
        <v>5</v>
      </c>
      <c r="R62" s="2" t="inlineStr">
        <is>
          <t>Knärot
Ullticka
Grönpyrola
Rävticka
Vedticka</t>
        </is>
      </c>
      <c r="S62">
        <f>HYPERLINK("https://klasma.github.io/Logging_1962/artfynd/A 7193-2020 artfynd.xlsx", "A 7193-2020")</f>
        <v/>
      </c>
      <c r="T62">
        <f>HYPERLINK("https://klasma.github.io/Logging_1962/kartor/A 7193-2020 karta.png", "A 7193-2020")</f>
        <v/>
      </c>
      <c r="U62">
        <f>HYPERLINK("https://klasma.github.io/Logging_1962/knärot/A 7193-2020 karta knärot.png", "A 7193-2020")</f>
        <v/>
      </c>
      <c r="V62">
        <f>HYPERLINK("https://klasma.github.io/Logging_1962/klagomål/A 7193-2020 FSC-klagomål.docx", "A 7193-2020")</f>
        <v/>
      </c>
      <c r="W62">
        <f>HYPERLINK("https://klasma.github.io/Logging_1962/klagomålsmail/A 7193-2020 FSC-klagomål mail.docx", "A 7193-2020")</f>
        <v/>
      </c>
      <c r="X62">
        <f>HYPERLINK("https://klasma.github.io/Logging_1962/tillsyn/A 7193-2020 tillsynsbegäran.docx", "A 7193-2020")</f>
        <v/>
      </c>
      <c r="Y62">
        <f>HYPERLINK("https://klasma.github.io/Logging_1962/tillsynsmail/A 7193-2020 tillsynsbegäran mail.docx", "A 7193-2020")</f>
        <v/>
      </c>
    </row>
    <row r="63" ht="15" customHeight="1">
      <c r="A63" t="inlineStr">
        <is>
          <t>A 54934-2020</t>
        </is>
      </c>
      <c r="B63" s="1" t="n">
        <v>44127</v>
      </c>
      <c r="C63" s="1" t="n">
        <v>45701</v>
      </c>
      <c r="D63" t="inlineStr">
        <is>
          <t>VÄSTMANLANDS LÄN</t>
        </is>
      </c>
      <c r="E63" t="inlineStr">
        <is>
          <t>SALA</t>
        </is>
      </c>
      <c r="G63" t="n">
        <v>13</v>
      </c>
      <c r="H63" t="n">
        <v>1</v>
      </c>
      <c r="I63" t="n">
        <v>1</v>
      </c>
      <c r="J63" t="n">
        <v>2</v>
      </c>
      <c r="K63" t="n">
        <v>2</v>
      </c>
      <c r="L63" t="n">
        <v>0</v>
      </c>
      <c r="M63" t="n">
        <v>0</v>
      </c>
      <c r="N63" t="n">
        <v>0</v>
      </c>
      <c r="O63" t="n">
        <v>4</v>
      </c>
      <c r="P63" t="n">
        <v>2</v>
      </c>
      <c r="Q63" t="n">
        <v>5</v>
      </c>
      <c r="R63" s="2" t="inlineStr">
        <is>
          <t>Knärot
Rynkskinn
Ullticka
Vedtrappmossa
Vedticka</t>
        </is>
      </c>
      <c r="S63">
        <f>HYPERLINK("https://klasma.github.io/Logging_1981/artfynd/A 54934-2020 artfynd.xlsx", "A 54934-2020")</f>
        <v/>
      </c>
      <c r="T63">
        <f>HYPERLINK("https://klasma.github.io/Logging_1981/kartor/A 54934-2020 karta.png", "A 54934-2020")</f>
        <v/>
      </c>
      <c r="U63">
        <f>HYPERLINK("https://klasma.github.io/Logging_1981/knärot/A 54934-2020 karta knärot.png", "A 54934-2020")</f>
        <v/>
      </c>
      <c r="V63">
        <f>HYPERLINK("https://klasma.github.io/Logging_1981/klagomål/A 54934-2020 FSC-klagomål.docx", "A 54934-2020")</f>
        <v/>
      </c>
      <c r="W63">
        <f>HYPERLINK("https://klasma.github.io/Logging_1981/klagomålsmail/A 54934-2020 FSC-klagomål mail.docx", "A 54934-2020")</f>
        <v/>
      </c>
      <c r="X63">
        <f>HYPERLINK("https://klasma.github.io/Logging_1981/tillsyn/A 54934-2020 tillsynsbegäran.docx", "A 54934-2020")</f>
        <v/>
      </c>
      <c r="Y63">
        <f>HYPERLINK("https://klasma.github.io/Logging_1981/tillsynsmail/A 54934-2020 tillsynsbegäran mail.docx", "A 54934-2020")</f>
        <v/>
      </c>
    </row>
    <row r="64" ht="15" customHeight="1">
      <c r="A64" t="inlineStr">
        <is>
          <t>A 13993-2021</t>
        </is>
      </c>
      <c r="B64" s="1" t="n">
        <v>44277</v>
      </c>
      <c r="C64" s="1" t="n">
        <v>45701</v>
      </c>
      <c r="D64" t="inlineStr">
        <is>
          <t>VÄSTMANLANDS LÄN</t>
        </is>
      </c>
      <c r="E64" t="inlineStr">
        <is>
          <t>SALA</t>
        </is>
      </c>
      <c r="G64" t="n">
        <v>27.6</v>
      </c>
      <c r="H64" t="n">
        <v>3</v>
      </c>
      <c r="I64" t="n">
        <v>1</v>
      </c>
      <c r="J64" t="n">
        <v>2</v>
      </c>
      <c r="K64" t="n">
        <v>0</v>
      </c>
      <c r="L64" t="n">
        <v>0</v>
      </c>
      <c r="M64" t="n">
        <v>0</v>
      </c>
      <c r="N64" t="n">
        <v>0</v>
      </c>
      <c r="O64" t="n">
        <v>2</v>
      </c>
      <c r="P64" t="n">
        <v>0</v>
      </c>
      <c r="Q64" t="n">
        <v>5</v>
      </c>
      <c r="R64" s="2" t="inlineStr">
        <is>
          <t>Motaggsvamp
Talltita
Dropptaggsvamp
Nattskärra
Tjäder</t>
        </is>
      </c>
      <c r="S64">
        <f>HYPERLINK("https://klasma.github.io/Logging_1981/artfynd/A 13993-2021 artfynd.xlsx", "A 13993-2021")</f>
        <v/>
      </c>
      <c r="T64">
        <f>HYPERLINK("https://klasma.github.io/Logging_1981/kartor/A 13993-2021 karta.png", "A 13993-2021")</f>
        <v/>
      </c>
      <c r="V64">
        <f>HYPERLINK("https://klasma.github.io/Logging_1981/klagomål/A 13993-2021 FSC-klagomål.docx", "A 13993-2021")</f>
        <v/>
      </c>
      <c r="W64">
        <f>HYPERLINK("https://klasma.github.io/Logging_1981/klagomålsmail/A 13993-2021 FSC-klagomål mail.docx", "A 13993-2021")</f>
        <v/>
      </c>
      <c r="X64">
        <f>HYPERLINK("https://klasma.github.io/Logging_1981/tillsyn/A 13993-2021 tillsynsbegäran.docx", "A 13993-2021")</f>
        <v/>
      </c>
      <c r="Y64">
        <f>HYPERLINK("https://klasma.github.io/Logging_1981/tillsynsmail/A 13993-2021 tillsynsbegäran mail.docx", "A 13993-2021")</f>
        <v/>
      </c>
      <c r="Z64">
        <f>HYPERLINK("https://klasma.github.io/Logging_1981/fåglar/A 13993-2021 prioriterade fågelarter.docx", "A 13993-2021")</f>
        <v/>
      </c>
    </row>
    <row r="65" ht="15" customHeight="1">
      <c r="A65" t="inlineStr">
        <is>
          <t>A 56299-2021</t>
        </is>
      </c>
      <c r="B65" s="1" t="n">
        <v>44477</v>
      </c>
      <c r="C65" s="1" t="n">
        <v>45701</v>
      </c>
      <c r="D65" t="inlineStr">
        <is>
          <t>VÄSTMANLANDS LÄN</t>
        </is>
      </c>
      <c r="E65" t="inlineStr">
        <is>
          <t>SURAHAMMAR</t>
        </is>
      </c>
      <c r="F65" t="inlineStr">
        <is>
          <t>Bergvik skog väst AB</t>
        </is>
      </c>
      <c r="G65" t="n">
        <v>8</v>
      </c>
      <c r="H65" t="n">
        <v>1</v>
      </c>
      <c r="I65" t="n">
        <v>3</v>
      </c>
      <c r="J65" t="n">
        <v>2</v>
      </c>
      <c r="K65" t="n">
        <v>0</v>
      </c>
      <c r="L65" t="n">
        <v>0</v>
      </c>
      <c r="M65" t="n">
        <v>0</v>
      </c>
      <c r="N65" t="n">
        <v>0</v>
      </c>
      <c r="O65" t="n">
        <v>2</v>
      </c>
      <c r="P65" t="n">
        <v>0</v>
      </c>
      <c r="Q65" t="n">
        <v>5</v>
      </c>
      <c r="R65" s="2" t="inlineStr">
        <is>
          <t>Större flatbagge
Tretåig hackspett
Björksplintborre
Korallblylav
Skinnlav</t>
        </is>
      </c>
      <c r="S65">
        <f>HYPERLINK("https://klasma.github.io/Logging_1907/artfynd/A 56299-2021 artfynd.xlsx", "A 56299-2021")</f>
        <v/>
      </c>
      <c r="T65">
        <f>HYPERLINK("https://klasma.github.io/Logging_1907/kartor/A 56299-2021 karta.png", "A 56299-2021")</f>
        <v/>
      </c>
      <c r="V65">
        <f>HYPERLINK("https://klasma.github.io/Logging_1907/klagomål/A 56299-2021 FSC-klagomål.docx", "A 56299-2021")</f>
        <v/>
      </c>
      <c r="W65">
        <f>HYPERLINK("https://klasma.github.io/Logging_1907/klagomålsmail/A 56299-2021 FSC-klagomål mail.docx", "A 56299-2021")</f>
        <v/>
      </c>
      <c r="X65">
        <f>HYPERLINK("https://klasma.github.io/Logging_1907/tillsyn/A 56299-2021 tillsynsbegäran.docx", "A 56299-2021")</f>
        <v/>
      </c>
      <c r="Y65">
        <f>HYPERLINK("https://klasma.github.io/Logging_1907/tillsynsmail/A 56299-2021 tillsynsbegäran mail.docx", "A 56299-2021")</f>
        <v/>
      </c>
      <c r="Z65">
        <f>HYPERLINK("https://klasma.github.io/Logging_1907/fåglar/A 56299-2021 prioriterade fågelarter.docx", "A 56299-2021")</f>
        <v/>
      </c>
    </row>
    <row r="66" ht="15" customHeight="1">
      <c r="A66" t="inlineStr">
        <is>
          <t>A 1182-2022</t>
        </is>
      </c>
      <c r="B66" s="1" t="n">
        <v>44572</v>
      </c>
      <c r="C66" s="1" t="n">
        <v>45701</v>
      </c>
      <c r="D66" t="inlineStr">
        <is>
          <t>VÄSTMANLANDS LÄN</t>
        </is>
      </c>
      <c r="E66" t="inlineStr">
        <is>
          <t>SALA</t>
        </is>
      </c>
      <c r="G66" t="n">
        <v>3.8</v>
      </c>
      <c r="H66" t="n">
        <v>2</v>
      </c>
      <c r="I66" t="n">
        <v>2</v>
      </c>
      <c r="J66" t="n">
        <v>2</v>
      </c>
      <c r="K66" t="n">
        <v>1</v>
      </c>
      <c r="L66" t="n">
        <v>0</v>
      </c>
      <c r="M66" t="n">
        <v>0</v>
      </c>
      <c r="N66" t="n">
        <v>0</v>
      </c>
      <c r="O66" t="n">
        <v>3</v>
      </c>
      <c r="P66" t="n">
        <v>1</v>
      </c>
      <c r="Q66" t="n">
        <v>5</v>
      </c>
      <c r="R66" s="2" t="inlineStr">
        <is>
          <t>Knärot
Ullticka
Vedtrappmossa
Dvärghäxört
Grön sköldmossa</t>
        </is>
      </c>
      <c r="S66">
        <f>HYPERLINK("https://klasma.github.io/Logging_1981/artfynd/A 1182-2022 artfynd.xlsx", "A 1182-2022")</f>
        <v/>
      </c>
      <c r="T66">
        <f>HYPERLINK("https://klasma.github.io/Logging_1981/kartor/A 1182-2022 karta.png", "A 1182-2022")</f>
        <v/>
      </c>
      <c r="U66">
        <f>HYPERLINK("https://klasma.github.io/Logging_1981/knärot/A 1182-2022 karta knärot.png", "A 1182-2022")</f>
        <v/>
      </c>
      <c r="V66">
        <f>HYPERLINK("https://klasma.github.io/Logging_1981/klagomål/A 1182-2022 FSC-klagomål.docx", "A 1182-2022")</f>
        <v/>
      </c>
      <c r="W66">
        <f>HYPERLINK("https://klasma.github.io/Logging_1981/klagomålsmail/A 1182-2022 FSC-klagomål mail.docx", "A 1182-2022")</f>
        <v/>
      </c>
      <c r="X66">
        <f>HYPERLINK("https://klasma.github.io/Logging_1981/tillsyn/A 1182-2022 tillsynsbegäran.docx", "A 1182-2022")</f>
        <v/>
      </c>
      <c r="Y66">
        <f>HYPERLINK("https://klasma.github.io/Logging_1981/tillsynsmail/A 1182-2022 tillsynsbegäran mail.docx", "A 1182-2022")</f>
        <v/>
      </c>
    </row>
    <row r="67" ht="15" customHeight="1">
      <c r="A67" t="inlineStr">
        <is>
          <t>A 14622-2023</t>
        </is>
      </c>
      <c r="B67" s="1" t="n">
        <v>45013</v>
      </c>
      <c r="C67" s="1" t="n">
        <v>45701</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45701</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45701</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45701</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45701</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45701</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45701</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45701</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45701</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45701</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45701</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45701</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45701</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45701</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45701</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45701</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45701</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45701</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45701</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45701</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45701</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45701</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45701</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45701</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45701</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45701</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45701</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45701</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45701</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45701</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45701</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45701</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45701</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45701</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45701</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45701</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45701</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45701</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45701</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45701</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45701</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45701</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45701</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45701</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45701</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45701</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45701</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45701</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45701</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45701</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45701</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45701</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45701</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45701</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45701</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45701</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45701</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45701</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45701</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45701</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45701</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45701</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45701</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45701</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45701</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45701</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45701</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45701</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45701</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45701</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45701</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45701</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45701</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45701</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45701</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45701</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45701</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45701</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45701</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45701</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45701</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45701</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45701</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45701</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45701</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45701</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45701</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45701</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45701</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45701</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45701</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45701</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45701</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45701</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45701</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45701</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45701</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45701</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45701</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45701</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45701</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45701</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45701</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45701</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45701</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45701</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45701</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45701</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45701</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45701</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45701</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45701</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45701</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45701</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45701</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45701</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45701</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45701</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45701</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45701</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45701</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45701</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45701</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45701</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45701</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45701</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45701</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45701</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45701</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45701</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45701</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45701</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45701</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45701</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45701</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45701</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45701</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45701</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45701</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45701</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45701</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45701</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45701</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45701</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45701</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45701</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45701</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45701</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45701</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45701</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45701</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45701</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45701</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45701</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45701</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45701</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45701</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45701</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45701</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45701</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45701</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45701</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45701</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45701</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45701</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45701</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45701</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45701</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45701</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45701</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45701</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45701</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45701</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45701</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45701</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45701</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45701</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45701</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45701</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45701</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45701</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45701</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45701</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45701</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45701</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45701</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45701</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45701</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45701</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45701</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45701</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45701</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45701</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45701</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45701</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45701</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45701</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45701</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45701</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45701</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45701</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45701</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45701</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45701</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45701</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45701</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45701</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45701</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45701</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45701</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45701</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45701</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45701</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45701</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45701</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45701</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45701</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45701</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45701</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45701</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45701</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45701</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45701</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45701</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45701</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45701</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45701</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45701</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45701</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45701</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45701</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45701</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45701</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45701</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45701</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45701</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45701</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45701</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45701</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45701</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45701</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45701</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45701</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45701</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45701</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45701</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45701</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45701</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45701</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45701</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45701</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45701</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45701</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45701</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45701</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45701</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45701</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45701</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45701</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45701</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45701</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45701</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45701</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45701</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45701</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45701</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45701</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45701</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45701</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45701</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45701</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45701</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45701</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45701</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45701</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45701</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45701</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45701</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45701</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45701</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45701</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45701</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45701</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45701</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45701</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45701</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45701</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45701</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45701</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45701</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45701</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45701</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45701</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45701</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45701</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45701</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45701</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45701</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45701</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45701</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45701</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45701</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45701</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45701</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45701</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45701</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45701</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45701</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45701</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45701</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45701</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45701</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45701</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45701</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45701</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45701</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45701</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45701</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45701</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45701</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45701</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45701</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45701</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45701</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45701</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45701</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45701</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45701</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45701</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45701</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45701</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45701</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45701</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45701</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45701</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45701</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45701</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45701</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45701</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45701</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45701</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45701</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45701</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45701</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45701</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45701</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45701</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45701</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45701</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45701</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45701</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45701</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45701</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45701</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45701</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45701</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45701</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45701</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45701</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45701</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45701</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45701</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45701</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45701</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45701</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45701</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45701</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45701</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45701</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45701</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45701</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45701</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45701</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45701</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45701</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45701</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45701</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45701</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45701</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45701</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45701</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45701</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45701</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45701</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45701</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45701</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45701</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45701</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45701</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45701</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45701</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45701</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45701</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45701</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45701</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45701</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45701</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45701</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45701</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45701</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45701</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45701</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45701</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45701</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45701</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45701</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45701</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45701</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45701</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45701</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45701</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45701</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45701</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45701</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45701</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45701</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45701</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45701</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45701</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45701</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45701</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45701</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45701</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45701</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45701</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45701</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45701</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45701</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45701</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45701</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45701</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45701</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45701</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45701</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45701</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45701</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45701</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45701</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45701</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45701</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45701</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45701</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45701</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45701</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45701</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45701</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45701</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45701</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45701</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45701</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45701</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45701</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45701</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45701</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45701</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45701</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45701</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45701</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45701</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45701</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45701</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45701</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45701</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45701</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45701</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45701</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45701</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45701</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45701</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45701</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45701</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45701</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45701</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45701</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45701</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45701</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45701</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45701</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45701</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45701</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45701</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45701</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45701</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45701</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45701</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45701</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45701</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45701</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45701</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45701</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45701</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45701</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45701</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45701</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45701</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45701</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45701</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45701</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45701</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45701</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45701</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45701</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45701</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45701</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45701</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45701</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45701</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45701</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45701</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45701</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45701</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45701</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45701</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45701</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45701</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45701</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45701</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45701</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45701</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45701</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45701</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45701</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45701</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45701</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45701</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45701</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45701</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45701</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45701</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45701</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45701</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45701</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45701</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45701</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45701</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45701</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45701</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45701</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45701</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45701</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45701</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45701</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45701</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45701</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45701</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45701</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45701</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45701</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45701</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45701</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45701</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45701</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45701</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45701</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45701</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45701</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45701</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45701</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45701</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45701</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45701</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45701</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45701</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45701</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45701</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45701</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45701</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45701</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45701</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45701</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45701</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45701</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45701</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45701</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45701</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45701</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45701</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45701</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45701</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45701</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45701</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45701</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45701</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45701</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45701</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45701</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45701</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45701</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45701</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45701</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45701</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45701</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45701</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45701</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45701</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45701</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45701</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45701</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45701</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45701</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45701</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45701</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45701</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45701</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45701</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45701</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45701</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45701</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45701</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45701</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45701</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45701</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45701</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45701</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45701</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45701</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45701</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45701</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45701</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45701</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45701</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45701</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45701</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45701</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45701</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45701</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45701</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45701</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45701</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45701</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45701</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45701</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45701</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45701</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45701</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45701</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45701</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45701</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45701</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45701</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45701</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45701</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45701</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45701</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45701</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45701</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45701</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45701</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45701</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45701</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45701</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45701</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45701</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45701</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45701</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45701</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45701</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45701</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45701</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45701</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45701</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45701</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45701</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45701</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45701</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45701</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45701</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45701</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45701</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45701</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45701</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45701</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45701</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45701</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45701</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45701</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45701</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45701</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45701</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45701</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45701</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45701</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45701</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45701</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45701</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45701</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45701</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45701</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45701</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45701</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45701</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45701</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45701</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45701</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45701</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45701</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45701</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45701</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45701</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45701</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45701</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45701</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45701</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45701</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45701</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45701</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45701</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45701</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45701</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45701</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45701</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45701</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45701</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45701</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45701</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45701</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45701</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45701</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45701</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45701</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45701</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45701</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45701</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45701</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45701</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45701</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45701</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45701</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45701</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45701</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45701</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45701</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45701</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45701</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45701</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45701</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45701</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45701</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45701</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45701</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45701</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45701</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45701</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45701</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45701</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45701</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45701</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45701</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45701</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45701</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45701</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45701</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45701</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45701</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45701</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45701</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45701</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45701</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45701</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45701</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45701</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45701</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45701</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45701</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45701</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45701</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45701</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45701</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45701</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45701</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45701</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45701</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45701</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45701</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45701</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45701</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45701</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45701</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45701</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45701</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45701</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45701</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45701</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45701</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45701</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45701</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45701</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45701</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45701</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45701</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45701</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45701</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45701</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45701</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45701</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45701</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45701</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45701</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45701</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45701</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45701</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45701</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45701</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45701</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45701</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45701</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45701</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45701</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45701</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45701</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45701</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45701</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45701</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45701</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45701</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45701</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45701</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45701</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45701</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45701</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45701</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45701</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45701</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45701</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45701</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45701</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45701</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45701</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45701</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45701</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45701</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45701</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45701</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45701</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45701</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45701</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45701</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45701</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45701</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45701</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45701</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45701</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45701</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45701</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45701</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45701</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45701</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45701</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45701</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45701</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45701</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45701</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45701</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45701</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45701</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45701</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45701</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45701</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45701</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45701</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45701</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45701</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45701</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45701</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45701</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45701</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45701</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45701</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45701</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45701</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45701</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45701</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45701</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45701</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45701</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45701</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45701</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45701</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45701</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45701</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45701</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45701</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45701</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45701</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45701</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45701</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45701</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45701</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45701</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45701</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45701</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45701</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45701</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45701</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45701</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45701</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45701</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45701</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45701</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45701</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45701</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45701</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45701</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45701</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45701</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45701</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45701</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45701</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45701</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45701</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45701</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45701</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45701</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45701</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45701</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45701</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45701</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45701</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45701</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45701</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45701</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45701</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45701</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45701</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45701</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45701</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45701</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45701</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45701</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45701</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45701</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45701</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45701</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45701</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45701</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45701</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45701</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45701</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45701</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45701</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45701</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45701</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45701</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45701</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45701</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45701</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45701</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45701</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45701</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45701</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45701</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45701</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45701</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45701</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45701</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45701</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45701</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45701</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45701</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45701</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45701</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45701</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45701</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45701</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45701</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45701</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45701</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45701</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45701</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45701</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45701</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45701</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45701</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45701</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45701</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45701</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45701</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45701</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45701</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45701</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45701</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45701</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45701</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45701</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45701</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45701</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45701</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45701</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45701</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45701</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45701</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45701</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45701</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45701</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45701</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45701</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45701</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45701</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45701</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45701</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45701</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45701</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45701</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45701</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45701</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45701</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45701</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45701</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45701</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45701</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45701</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45701</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45701</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45701</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45701</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45701</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45701</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45701</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45701</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45701</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45701</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45701</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45701</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45701</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45701</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45701</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45701</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45701</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45701</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45701</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45701</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45701</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45701</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45701</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45701</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45701</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45701</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45701</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45701</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45701</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45701</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45701</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45701</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45701</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45701</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45701</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45701</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45701</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45701</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45701</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45701</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45701</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45701</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45701</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45701</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45701</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45701</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45701</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45701</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45701</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45701</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45701</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45701</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45701</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45701</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45701</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45701</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45701</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45701</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45701</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45701</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45701</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45701</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45701</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45701</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45701</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45701</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45701</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45701</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45701</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45701</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45701</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45701</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45701</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45701</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45701</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45701</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45701</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45701</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45701</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45701</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45701</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45701</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45701</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45701</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45701</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45701</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45701</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45701</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45701</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45701</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45701</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45701</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45701</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45701</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45701</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45701</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45701</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45701</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45701</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45701</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45701</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45701</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45701</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45701</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45701</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45701</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45701</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45701</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45701</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45701</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45701</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45701</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45701</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45701</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45701</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45701</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45701</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45701</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45701</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45701</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45701</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45701</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45701</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45701</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45701</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45701</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45701</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45701</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45701</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45701</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45701</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45701</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45701</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45701</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45701</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45701</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45701</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45701</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45701</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45701</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45701</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45701</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45701</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45701</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45701</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45701</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45701</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45701</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45701</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45701</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45701</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45701</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45701</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45701</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45701</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45701</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45701</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45701</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45701</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45701</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45701</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45701</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45701</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45701</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45701</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45701</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45701</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45701</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45701</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45701</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45701</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45701</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45701</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45701</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45701</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45701</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45701</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45701</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45701</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45701</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45701</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45701</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45701</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45701</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45701</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45701</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45701</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45701</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45701</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45701</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45701</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45701</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45701</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45701</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45701</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45701</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45701</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45701</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45701</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45701</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45701</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45701</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45701</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45701</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45701</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45701</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45701</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45701</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45701</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45701</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45701</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45701</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45701</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45701</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45701</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45701</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45701</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45701</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45701</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45701</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45701</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45701</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45701</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45701</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45701</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45701</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45701</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45701</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45701</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45701</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45701</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45701</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45701</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45701</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45701</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45701</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45701</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45701</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45701</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45701</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45701</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45701</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45701</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45701</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45701</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45701</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45701</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45701</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45701</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45701</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45701</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45701</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45701</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45701</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45701</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45701</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45701</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45701</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45701</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45701</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45701</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45701</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45701</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45701</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45701</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45701</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45701</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45701</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45701</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45701</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45701</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45701</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45701</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45701</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45701</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45701</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45701</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45701</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45701</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45701</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45701</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45701</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45701</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45701</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45701</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45701</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45701</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45701</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45701</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45701</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45701</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45701</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45701</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45701</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45701</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45701</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45701</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45701</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45701</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45701</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45701</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45701</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45701</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45701</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45701</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45701</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45701</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45701</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45701</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45701</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45701</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45701</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45701</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45701</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45701</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45701</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45701</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45701</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45701</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45701</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45701</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45701</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45701</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45701</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45701</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45701</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45701</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45701</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45701</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45701</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45701</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45701</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45701</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45701</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45701</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45701</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45701</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45701</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45701</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45701</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45701</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45701</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45701</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45701</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45701</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45701</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45701</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45701</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45701</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45701</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45701</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45701</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45701</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45701</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45701</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45701</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45701</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45701</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45701</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45701</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45701</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45701</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45701</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45701</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45701</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45701</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45701</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45701</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45701</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45701</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45701</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45701</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45701</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45701</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45701</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45701</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45701</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45701</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45701</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45701</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45701</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45701</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45701</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45701</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45701</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45701</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45701</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45701</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45701</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45701</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45701</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45701</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45701</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45701</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45701</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45701</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45701</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45701</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45701</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45701</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45701</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45701</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45701</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45701</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45701</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45701</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45701</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45701</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45701</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45701</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45701</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45701</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45701</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45701</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45701</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45701</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45701</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45701</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45701</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45701</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45701</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45701</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45701</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45701</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45701</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45701</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45701</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45701</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45701</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45701</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45701</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45701</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45701</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45701</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45701</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45701</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45701</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45701</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45701</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45701</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45701</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45701</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45701</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45701</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45701</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45701</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45701</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45701</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45701</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45701</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45701</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45701</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45701</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45701</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45701</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45701</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45701</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45701</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45701</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45701</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45701</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45701</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45701</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45701</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45701</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45701</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45701</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45701</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45701</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45701</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45701</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45701</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45701</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45701</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45701</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45701</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45701</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45701</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45701</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45701</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45701</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45701</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45701</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45701</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45701</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45701</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45701</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45701</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45701</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45701</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45701</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45701</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45701</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45701</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45701</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45701</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45701</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45701</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45701</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45701</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45701</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45701</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45701</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45701</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45701</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45701</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45701</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45701</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45701</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45701</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45701</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45701</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45701</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45701</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45701</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45701</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45701</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45701</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45701</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45701</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45701</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45701</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45701</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45701</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45701</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45701</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45701</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45701</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45701</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45701</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45701</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45701</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45701</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45701</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45701</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45701</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45701</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45701</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45701</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45701</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45701</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45701</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45701</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45701</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45701</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45701</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45701</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45701</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45701</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45701</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45701</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45701</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45701</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45701</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45701</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45701</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45701</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45701</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45701</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45701</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45701</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45701</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45701</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45701</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45701</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45701</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45701</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45701</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45701</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45701</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45701</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45701</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45701</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45701</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45701</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45701</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45701</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45701</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45701</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45701</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45701</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45701</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45701</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45701</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45701</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45701</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45701</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45701</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45701</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45701</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45701</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45701</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45701</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45701</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45701</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45701</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45701</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45701</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45701</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45701</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45701</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45701</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45701</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45701</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45701</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45701</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45701</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45701</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45701</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45701</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45701</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45701</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45701</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45701</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45701</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45701</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45701</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45701</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45701</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45701</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45701</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45701</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45701</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45701</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45701</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45701</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45701</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45701</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45701</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45701</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45701</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45701</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45701</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45701</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45701</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45701</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45701</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45701</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45701</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45701</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45701</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45701</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45701</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45701</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45701</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45701</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45701</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45701</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45701</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45701</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45701</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45701</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45701</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45701</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45701</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45701</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45701</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45701</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45701</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45701</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45701</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45701</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45701</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45701</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45701</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45701</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45701</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45701</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45701</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45701</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45701</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45701</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45701</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45701</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45701</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45701</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45701</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45701</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45701</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45701</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45701</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45701</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45701</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45701</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45701</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45701</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45701</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45701</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45701</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45701</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45701</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45701</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45701</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45701</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45701</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45701</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45701</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45701</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45701</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45701</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45701</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45701</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45701</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45701</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45701</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45701</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45701</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45701</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45701</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45701</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45701</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45701</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45701</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45701</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45701</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45701</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45701</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45701</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45701</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45701</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45701</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45701</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45701</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45701</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45701</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45701</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45701</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45701</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45701</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45701</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45701</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45701</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45701</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45701</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45701</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45701</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45701</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45701</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45701</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45701</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45701</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45701</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45701</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45701</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45701</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45701</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45701</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45701</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45701</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45701</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45701</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45701</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45701</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45701</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45701</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45701</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45701</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45701</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45701</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45701</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45701</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45701</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45701</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45701</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45701</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45701</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45701</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45701</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45701</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45701</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45701</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45701</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45701</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45701</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45701</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45701</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45701</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45701</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45701</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45701</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45701</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45701</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45701</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45701</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45701</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45701</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45701</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45701</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45701</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45701</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45701</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45701</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45701</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45701</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45701</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45701</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45701</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45701</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45701</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45701</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45701</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45701</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45701</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45701</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45701</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45701</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45701</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45701</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45701</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45701</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45701</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45701</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45701</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45701</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45701</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45701</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45701</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45701</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45701</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45701</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45701</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45701</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45701</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45701</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45701</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45701</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45701</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45701</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45701</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45701</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45701</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45701</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45701</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45701</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45701</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45701</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45701</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45701</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45701</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45701</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45701</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45701</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45701</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45701</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45701</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45701</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45701</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45701</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45701</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45701</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45701</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45701</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45701</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45701</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45701</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45701</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45701</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45701</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45701</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45701</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45701</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45701</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45701</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45701</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45701</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45701</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45701</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45701</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45701</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45701</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45701</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45701</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45701</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45701</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45701</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45701</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45701</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45701</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45701</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45701</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45701</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45701</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45701</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45701</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45701</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45701</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45701</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45701</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45701</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45701</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45701</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45701</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45701</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45701</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45701</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45701</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45701</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45701</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45701</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45701</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45701</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45701</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45701</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45701</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45701</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45701</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45701</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45701</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45701</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45701</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45701</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45701</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45701</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45701</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45701</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45701</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45701</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45701</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45701</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45701</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45701</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45701</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45701</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45701</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45701</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45701</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45701</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45701</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45701</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45701</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45701</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45701</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45701</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45701</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45701</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45701</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45701</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45701</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45701</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45701</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45701</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45701</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45701</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45701</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45701</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45701</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45701</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45701</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45701</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45701</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45701</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45701</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45701</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45701</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45701</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45701</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45701</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45701</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45701</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45701</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45701</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45701</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45701</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45701</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45701</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45701</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45701</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45701</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45701</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45701</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45701</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45701</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45701</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45701</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45701</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45701</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45701</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45701</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45701</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45701</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45701</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45701</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45701</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45701</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45701</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45701</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45701</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45701</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45701</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45701</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45701</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45701</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45701</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45701</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45701</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45701</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45701</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45701</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45701</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45701</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45701</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45701</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45701</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45701</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45701</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45701</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45701</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45701</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45701</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45701</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45701</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45701</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45701</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45701</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45701</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45701</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45701</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45701</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45701</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45701</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45701</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45701</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45701</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45701</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45701</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45701</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45701</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45701</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45701</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45701</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45701</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45701</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45701</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45701</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45701</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45701</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45701</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45701</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45701</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45701</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45701</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45701</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45701</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45701</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45701</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45701</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45701</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45701</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45701</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45701</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45701</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45701</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45701</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45701</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45701</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45701</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45701</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45701</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45701</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45701</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45701</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45701</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45701</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45701</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45701</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45701</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45701</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45701</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45701</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45701</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45701</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45701</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45701</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45701</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45701</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45701</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45701</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45701</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45701</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45701</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45701</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45701</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45701</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45701</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45701</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45701</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45701</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45701</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45701</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45701</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45701</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45701</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45701</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45701</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45701</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45701</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45701</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45701</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45701</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45701</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45701</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45701</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45701</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45701</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45701</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45701</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45701</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45701</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45701</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45701</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45701</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45701</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45701</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45701</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45701</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45701</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45701</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45701</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45701</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45701</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45701</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45701</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45701</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45701</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45701</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45701</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45701</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45701</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45701</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45701</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45701</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45701</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45701</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45701</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45701</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45701</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45701</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45701</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45701</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45701</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45701</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45701</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45701</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45701</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45701</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45701</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45701</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45701</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45701</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45701</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45701</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45701</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45701</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45701</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45701</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45701</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45701</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45701</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45701</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45701</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45701</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45701</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45701</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45701</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45701</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45701</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45701</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45701</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45701</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45701</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45701</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45701</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45701</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45701</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45701</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45701</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45701</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45701</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45701</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45701</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45701</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45701</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45701</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45701</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45701</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45701</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45701</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45701</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45701</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45701</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45701</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45701</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45701</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45701</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45701</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45701</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45701</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45701</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45701</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45701</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45701</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45701</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45701</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45701</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45701</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45701</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45701</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45701</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45701</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45701</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45701</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45701</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45701</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45701</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45701</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45701</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45701</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45701</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45701</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45701</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45701</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45701</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45701</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45701</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45701</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45701</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45701</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45701</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45701</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45701</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45701</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45701</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45701</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45701</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45701</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45701</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45701</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45701</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45701</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45701</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45701</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45701</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45701</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45701</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45701</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45701</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45701</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45701</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45701</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45701</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45701</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45701</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45701</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45701</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45701</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45701</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45701</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45701</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45701</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45701</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45701</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45701</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45701</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45701</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45701</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45701</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45701</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45701</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45701</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45701</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45701</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45701</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45701</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45701</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45701</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45701</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45701</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45701</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45701</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45701</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45701</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45701</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45701</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45701</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45701</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45701</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45701</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45701</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45701</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45701</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45701</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45701</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45701</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45701</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45701</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45701</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45701</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45701</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45701</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45701</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45701</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45701</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45701</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45701</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45701</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45701</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45701</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45701</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45701</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45701</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45701</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45701</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45701</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45701</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45701</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45701</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45701</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45701</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45701</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45701</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45701</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45701</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45701</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45701</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45701</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45701</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45701</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45701</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45701</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45701</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45701</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45701</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45701</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45701</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45701</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45701</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45701</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45701</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45701</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45701</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45701</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45701</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45701</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45701</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45701</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45701</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45701</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45701</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45701</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45701</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45701</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45701</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45701</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45701</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45701</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45701</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45701</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45701</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45701</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45701</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45701</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45701</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45701</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45701</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45701</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45701</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45701</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45701</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45701</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45701</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45701</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45701</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45701</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45701</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45701</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45701</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45701</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45701</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45701</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45701</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45701</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45701</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45701</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45701</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45701</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45701</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45701</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45701</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45701</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45701</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45701</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45701</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45701</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45701</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45701</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45701</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45701</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45701</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45701</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45701</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45701</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45701</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45701</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45701</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45701</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45701</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45701</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45701</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45701</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45701</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45701</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45701</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45701</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45701</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45701</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45701</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45701</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45701</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45701</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45701</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45701</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45701</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45701</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45701</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45701</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45701</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45701</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45701</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45701</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45701</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45701</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45701</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45701</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45701</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45701</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45701</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45701</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45701</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45701</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45701</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45701</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45701</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45701</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45701</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45701</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45701</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45701</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45701</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45701</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45701</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45701</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45701</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45701</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45701</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45701</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45701</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45701</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45701</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45701</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45701</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45701</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45701</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45701</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45701</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45701</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45701</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45701</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45701</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45701</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45701</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45701</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45701</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45701</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45701</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45701</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45701</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45701</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45701</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45701</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45701</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45701</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45701</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45701</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45701</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45701</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45701</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45701</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45701</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45701</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45701</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45701</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45701</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45701</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45701</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45701</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45701</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45701</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45701</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45701</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45701</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45701</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45701</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45701</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45701</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45701</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45701</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45701</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45701</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45701</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45701</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45701</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45701</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45701</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45701</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45701</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45701</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45701</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45701</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45701</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45701</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45701</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45701</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45701</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45701</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45701</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45701</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45701</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45701</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45701</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45701</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45701</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45701</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45701</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45701</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45701</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45701</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45701</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45701</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45701</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45701</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45701</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45701</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45701</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45701</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45701</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45701</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45701</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45701</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45701</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45701</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45701</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45701</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45701</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45701</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45701</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45701</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45701</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45701</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45701</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45701</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45701</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45701</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45701</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45701</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45701</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45701</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45701</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45701</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45701</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45701</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45701</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45701</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45701</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45701</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45701</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45701</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45701</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45701</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45701</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45701</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45701</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45701</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45701</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45701</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45701</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45701</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45701</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45701</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45701</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45701</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45701</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45701</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45701</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45701</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45701</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45701</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45701</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45701</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45701</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45701</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45701</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45701</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45701</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45701</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45701</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45701</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45701</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45701</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45701</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45701</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45701</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45701</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45701</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45701</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45701</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45701</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45701</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45701</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45701</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45701</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45701</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45701</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45701</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45701</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45701</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45701</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45701</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45701</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45701</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45701</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45701</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45701</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45701</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45701</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45701</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45701</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45701</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45701</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45701</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45701</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45701</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45701</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45701</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45701</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45701</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45701</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45701</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45701</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45701</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45701</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45701</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45701</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45701</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45701</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45701</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45701</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45701</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45701</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45701</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45701</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45701</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45701</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45701</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45701</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45701</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45701</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45701</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45701</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45701</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45701</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45701</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45701</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45701</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45701</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45701</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45701</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45701</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45701</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45701</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45701</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45701</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45701</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45701</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45701</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45701</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45701</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45701</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45701</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45701</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45701</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45701</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45701</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45701</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45701</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45701</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45701</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45701</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45701</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45701</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45701</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45701</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45701</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45701</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45701</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45701</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45701</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45701</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45701</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45701</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45701</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45701</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45701</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45701</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45701</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45701</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45701</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45701</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45701</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45701</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45701</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45701</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45701</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45701</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45701</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45701</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45701</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45701</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45701</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45701</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45701</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45701</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45701</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45701</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45701</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45701</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45701</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45701</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45701</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45701</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45701</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45701</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45701</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45701</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45701</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45701</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45701</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45701</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45701</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45701</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45701</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45701</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45701</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45701</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45701</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45701</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45701</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45701</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45701</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45701</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45701</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45701</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45701</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45701</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45701</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45701</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45701</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45701</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45701</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45701</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45701</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45701</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45701</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45701</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45701</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45701</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45701</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45701</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45701</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45701</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45701</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45701</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45701</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45701</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45701</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45701</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45701</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45701</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45701</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45701</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45701</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45701</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45701</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45701</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45701</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45701</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45701</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45701</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45701</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45701</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45701</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45701</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45701</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45701</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45701</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45701</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45701</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45701</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45701</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45701</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45701</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45701</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45701</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45701</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45701</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45701</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45701</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45701</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45701</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45701</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45701</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45701</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45701</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45701</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45701</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45701</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45701</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45701</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45701</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45701</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45701</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45701</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45701</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45701</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45701</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45701</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45701</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45701</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45701</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45701</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45701</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45701</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45701</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45701</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45701</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45701</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45701</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45701</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45701</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45701</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45701</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45701</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45701</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45701</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45701</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45701</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45701</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45701</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45701</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45701</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45701</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45701</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45701</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45701</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45701</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45701</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45701</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45701</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45701</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45701</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45701</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45701</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45701</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45701</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45701</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45701</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45701</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45701</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45701</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45701</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45701</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45701</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45701</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45701</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45701</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45701</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45701</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45701</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45701</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45701</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45701</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45701</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45701</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45701</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45701</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45701</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45701</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45701</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45701</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45701</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45701</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45701</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45701</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45701</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45701</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45701</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45701</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45701</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45701</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45701</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45701</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45701</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45701</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45701</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45701</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45701</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45701</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45701</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45701</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45701</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45701</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45701</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45701</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45701</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45701</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45701</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45701</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45701</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45701</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45701</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45701</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45701</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45701</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45701</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45701</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45701</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45701</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45701</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45701</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45701</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45701</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45701</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45701</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45701</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45701</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45701</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45701</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45701</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45701</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45701</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45701</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45701</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45701</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45701</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45701</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45701</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45701</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45701</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45701</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45701</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45701</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45701</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45701</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45701</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45701</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45701</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45701</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45701</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45701</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45701</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45701</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45701</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45701</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45701</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45701</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45701</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45701</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45701</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45701</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45701</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45701</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45701</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45701</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45701</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45701</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45701</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45701</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45701</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45701</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45701</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45701</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45701</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45701</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45701</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45701</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45701</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45701</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45701</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45701</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45701</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45701</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45701</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45701</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45701</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45701</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45701</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45701</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45701</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45701</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45701</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45701</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45701</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45701</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45701</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45701</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45701</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45701</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45701</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45701</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45701</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45701</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45701</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45701</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45701</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45701</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45701</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45701</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45701</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45701</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45701</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45701</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45701</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45701</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45701</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45701</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45701</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45701</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45701</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45701</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45701</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45701</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45701</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45701</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45701</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45701</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45701</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45701</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45701</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45701</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45701</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45701</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45701</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45701</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45701</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45701</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45701</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45701</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45701</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45701</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45701</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45701</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45701</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45701</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45701</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45701</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45701</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45701</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45701</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45701</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45701</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45701</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45701</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45701</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45701</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45701</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45701</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45701</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45701</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45701</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45701</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45701</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45701</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45701</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45701</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45701</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45701</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45701</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45701</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45701</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45701</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45701</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45701</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45701</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45701</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45701</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45701</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45701</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45701</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45701</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45701</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45701</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45701</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45701</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45701</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45701</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45701</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45701</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45701</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45701</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45701</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45701</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45701</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45701</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45701</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45701</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45701</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45701</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45701</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45701</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45701</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45701</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45701</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45701</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45701</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45701</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45701</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45701</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45701</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45701</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45701</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45701</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45701</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45701</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45701</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45701</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45701</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45701</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45701</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45701</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45701</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45701</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45701</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45701</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45701</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45701</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45701</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45701</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45701</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45701</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45701</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45701</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45701</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45701</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45701</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45701</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45701</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45701</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45701</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45701</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45701</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45701</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45701</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45701</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45701</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45701</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45701</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45701</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45701</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45701</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45701</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45701</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45701</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45701</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45701</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45701</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45701</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45701</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45701</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45701</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45701</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45701</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45701</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45701</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45701</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45701</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45701</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45701</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45701</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45701</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45701</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45701</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45701</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45701</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45701</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45701</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45701</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45701</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45701</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45701</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45701</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45701</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45701</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45701</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45701</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45701</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45701</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45701</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45701</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45701</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45701</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45701</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45701</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45701</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45701</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45701</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45701</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45701</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45701</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45701</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45701</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45701</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45701</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45701</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45701</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45701</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45701</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45701</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45701</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45701</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45701</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45701</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45701</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45701</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45701</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45701</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45701</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45701</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45701</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45701</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45701</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45701</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45701</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45701</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45701</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45701</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45701</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45701</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45701</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45701</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45701</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45701</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45701</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45701</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45701</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45701</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45701</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45701</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45701</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45701</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45701</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45701</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45701</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45701</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45701</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45701</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45701</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45701</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45701</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45701</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45701</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45701</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45701</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45701</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45701</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45701</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45701</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45701</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45701</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45701</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45701</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45701</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45701</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45701</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45701</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45701</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45701</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45701</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45701</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45701</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45701</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45701</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45701</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45701</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45701</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45701</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45701</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45701</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45701</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45701</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45701</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45701</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45701</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45701</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45701</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45701</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45701</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45701</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45701</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45701</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45701</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45701</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45701</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45701</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45701</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45701</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45701</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45701</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45701</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45701</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45701</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45701</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45701</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45701</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45701</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45701</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45701</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45701</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45701</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45701</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45701</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45701</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45701</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45701</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45701</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45701</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45701</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45701</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45701</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45701</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45701</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45701</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45701</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45701</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45701</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45701</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45701</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45701</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45701</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45701</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45701</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45701</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45701</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45701</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45701</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45701</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45701</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45701</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45701</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45701</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45701</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45701</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45701</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45701</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45701</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45701</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45701</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45701</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45701</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45701</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45701</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45701</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45701</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45701</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45701</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45701</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45701</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45701</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45701</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45701</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45701</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45701</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45701</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45701</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45701</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45701</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45701</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45701</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45701</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45701</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45701</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45701</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45701</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45701</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45701</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45701</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45701</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45701</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45701</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45701</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45701</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45701</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45701</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45701</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45701</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45701</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45701</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45701</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45701</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45701</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45701</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45701</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45701</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45701</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45701</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45701</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45701</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45701</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45701</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45701</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45701</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45701</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45701</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45701</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45701</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45701</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45701</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45701</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45701</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45701</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45701</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45701</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45701</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45701</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45701</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45701</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45701</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45701</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45701</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45701</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45701</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45701</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45701</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45701</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45701</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45701</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45701</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45701</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45701</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45701</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45701</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45701</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45701</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45701</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45701</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45701</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45701</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45701</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45701</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45701</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45701</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45701</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45701</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45701</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45701</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45701</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45701</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45701</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45701</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45701</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45701</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45701</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45701</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45701</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45701</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45701</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45701</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45701</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45701</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45701</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45701</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45701</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45701</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45701</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45701</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45701</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45701</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45701</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45701</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45701</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45701</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45701</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45701</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45701</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45701</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45701</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45701</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45701</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45701</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45701</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45701</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45701</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45701</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45701</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45701</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45701</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45701</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45701</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45701</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45701</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45701</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45701</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45701</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45701</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45701</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45701</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45701</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45701</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45701</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45701</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45701</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45701</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45701</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45701</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45701</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45701</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45701</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45701</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45701</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45701</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45701</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45701</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45701</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45701</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45701</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45701</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45701</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45701</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45701</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45701</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45701</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45701</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45701</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45701</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45701</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45701</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45701</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45701</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45701</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45701</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45701</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45701</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45701</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45701</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45701</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45701</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45701</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45701</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45701</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45701</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45701</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45701</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45701</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45701</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45701</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45701</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45701</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45701</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45701</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45701</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45701</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45701</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45701</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45701</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45701</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45701</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45701</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45701</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45701</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45701</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45701</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45701</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45701</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45701</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45701</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45701</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45701</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45701</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45701</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45701</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45701</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45701</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45701</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45701</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45701</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45701</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45701</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45701</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45701</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45701</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45701</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45701</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45701</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45701</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45701</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45701</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45701</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45701</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45701</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45701</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45701</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45701</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45701</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45701</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45701</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45701</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45701</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45701</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45701</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45701</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45701</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45701</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45701</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45701</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45701</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45701</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45701</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45701</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45701</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45701</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45701</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45701</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45701</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45701</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45701</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45701</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45701</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45701</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45701</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45701</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45701</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45701</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45701</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45701</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45701</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45701</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45701</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45701</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45701</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45701</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45701</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45701</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45701</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45701</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45701</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45701</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45701</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45701</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45701</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45701</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45701</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45701</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45701</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45701</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45701</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45701</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45701</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45701</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45701</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45701</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45701</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45701</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45701</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45701</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45701</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45701</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45701</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45701</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45701</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45701</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45701</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45701</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45701</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45701</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45701</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45701</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45701</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45701</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45701</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45701</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45701</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45701</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45701</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45701</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45701</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45701</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45701</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45701</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45701</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45701</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45701</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45701</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45701</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45701</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45701</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45701</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45701</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45701</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45701</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45701</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45701</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45701</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45701</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45701</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45701</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45701</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45701</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45701</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45701</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45701</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45701</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45701</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45701</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45701</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45701</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45701</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45701</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45701</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45701</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45701</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45701</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45701</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45701</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45701</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45701</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45701</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45701</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45701</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45701</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45701</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45701</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45701</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45701</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45701</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45701</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45701</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45701</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45701</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45701</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45701</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45701</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45701</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45701</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45701</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45701</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45701</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45701</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45701</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45701</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45701</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45701</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45701</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45701</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45701</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45701</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45701</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45701</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45701</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45701</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45701</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45701</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45701</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45701</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45701</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45701</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45701</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45701</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45701</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45701</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45701</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45701</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45701</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45701</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45701</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45701</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45701</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45701</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45701</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45701</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45701</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45701</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45701</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45701</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45701</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45701</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45701</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45701</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45701</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45701</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45701</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45701</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45701</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45701</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45701</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45701</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45701</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45701</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45701</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45701</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45701</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45701</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45701</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45701</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45701</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45701</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45701</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45701</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45701</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45701</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45701</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45701</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45701</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45701</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45701</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45701</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45701</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45701</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45701</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45701</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45701</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45701</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45701</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45701</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45701</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45701</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45701</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45701</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45701</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45701</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45701</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45701</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45701</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45701</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45701</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45701</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45701</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45701</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45701</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45701</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45701</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45701</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45701</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45701</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45701</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45701</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45701</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45701</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45701</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45701</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45701</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45701</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45701</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45701</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45701</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45701</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45701</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45701</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45701</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45701</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45701</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45701</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45701</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45701</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45701</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45701</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45701</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45701</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45701</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45701</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45701</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45701</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45701</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45701</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45701</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45701</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45701</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45701</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45701</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45701</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45701</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45701</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45701</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45701</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45701</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45701</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45701</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45701</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45701</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45701</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45701</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45701</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45701</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45701</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45701</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45701</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45701</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45701</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45701</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45701</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45701</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45701</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45701</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45701</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45701</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45701</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45701</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45701</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45701</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45701</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45701</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45701</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45701</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45701</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45701</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45701</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45701</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45701</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45701</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45701</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45701</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45701</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45701</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45701</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45701</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45701</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45701</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45701</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45701</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45701</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45701</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45701</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45701</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45701</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45701</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45701</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45701</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45701</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45701</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45701</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45701</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45701</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45701</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45701</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45701</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45701</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45701</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45701</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45701</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45701</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45701</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45701</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45701</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45701</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45701</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45701</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45701</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45701</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45701</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45701</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45701</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45701</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45701</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45701</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45701</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45701</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45701</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45701</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45701</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45701</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45701</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45701</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45701</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45701</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45701</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45701</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45701</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45701</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45701</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45701</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45701</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45701</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45701</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45701</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45701</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45701</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45701</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45701</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45701</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45701</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45701</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45701</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45701</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45701</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45701</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45701</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45701</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45701</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45701</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45701</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45701</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45701</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45701</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45701</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45701</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45701</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45701</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45701</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45701</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45701</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45701</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45701</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45701</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45701</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45701</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45701</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45701</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45701</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45701</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45701</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45701</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45701</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45701</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45701</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45701</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45701</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45701</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45701</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45701</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45701</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45701</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45701</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45701</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45701</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45701</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45701</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45701</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45701</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45701</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45701</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45701</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45701</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45701</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45701</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45701</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45701</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45701</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45701</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45701</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45701</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45701</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45701</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45701</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45701</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45701</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45701</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45701</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45701</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45701</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45701</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45701</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45701</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45701</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45701</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45701</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45701</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45701</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45701</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45701</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45701</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45701</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45701</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45701</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45701</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45701</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45701</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45701</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45701</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45701</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45701</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45701</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45701</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45701</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45701</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45701</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45701</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45701</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45701</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45701</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45701</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45701</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45701</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45701</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45701</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45701</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45701</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45701</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45701</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45701</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45701</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45701</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45701</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45701</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45701</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45701</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45701</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45701</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45701</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45701</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45701</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45701</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45701</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45701</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45701</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45701</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45701</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45701</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45701</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45701</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45701</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45701</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45701</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45701</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45701</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45701</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45701</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45701</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45701</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45701</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45701</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45701</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45701</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45701</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45701</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45701</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45701</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45701</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45701</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45701</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45701</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45701</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45701</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45701</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45701</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45701</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45701</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45701</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45701</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45701</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45701</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45701</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45701</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45701</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45701</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45701</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45701</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45701</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45701</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45701</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45701</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45701</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45701</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45701</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45701</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45701</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45701</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45701</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45701</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45701</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45701</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45701</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45701</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45701</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45701</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45701</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45701</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45701</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45701</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45701</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45701</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45701</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45701</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45701</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45701</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45701</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45701</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45701</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45701</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45701</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45701</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45701</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45701</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45701</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45701</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45701</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45701</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45701</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45701</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45701</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45701</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45701</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45701</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45701</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45701</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45701</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45701</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45701</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45701</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45701</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45701</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45701</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45701</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45701</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45701</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45701</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45701</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45701</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45701</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45701</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45701</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45701</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45701</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45701</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45701</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45701</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45701</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45701</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45701</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45701</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45701</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45701</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45701</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45701</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45701</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45701</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45701</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45701</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45701</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45701</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45701</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45701</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45701</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45701</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45701</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45701</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45701</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45701</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45701</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45701</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45701</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45701</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45701</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45701</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45701</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45701</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45701</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45701</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45701</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45701</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45701</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45701</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45701</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45701</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45701</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45701</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45701</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45701</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45701</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45701</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45701</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45701</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45701</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45701</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45701</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45701</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45701</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45701</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45701</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45701</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45701</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45701</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45701</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45701</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45701</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45701</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45701</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45701</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45701</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45701</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45701</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45701</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45701</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45701</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45701</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45701</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45701</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45701</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45701</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45701</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45701</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45701</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45701</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45701</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45701</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45701</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45701</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45701</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45701</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45701</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45701</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45701</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45701</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45701</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45701</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45701</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45701</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45701</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45701</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45701</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45701</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45701</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45701</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45701</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45701</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45701</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45701</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45701</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45701</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45701</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45701</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45701</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45701</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45701</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45701</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45701</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45701</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45701</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45701</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45701</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45701</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45701</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45701</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45701</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45701</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45701</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45701</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45701</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45701</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45701</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45701</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45701</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45701</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45701</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45701</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45701</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45701</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45701</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45701</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45701</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45701</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45701</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45701</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45701</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45701</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45701</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45701</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45701</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45701</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45701</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45701</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45701</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45701</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45701</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45701</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45701</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45701</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45701</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45701</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45701</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45701</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45701</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45701</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45701</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45701</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45701</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45701</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45701</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45701</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45701</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45701</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45701</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45701</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45701</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45701</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45701</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45701</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45701</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45701</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45701</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45701</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45701</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45701</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45701</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45701</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45701</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45701</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45701</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45701</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45701</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45701</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45701</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45701</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45701</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45701</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45701</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45701</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45701</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45701</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45701</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45701</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45701</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45701</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45701</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45701</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45701</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45701</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45701</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45701</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45701</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45701</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45701</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45701</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45701</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45701</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45701</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45701</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45701</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45701</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45701</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45701</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45701</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45701</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45701</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45701</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45701</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45701</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45701</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45701</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45701</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45701</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45701</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45701</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45701</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45701</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45701</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45701</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45701</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45701</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45701</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45701</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45701</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45701</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45701</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45701</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45701</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45701</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45701</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45701</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45701</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45701</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45701</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45701</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45701</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45701</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45701</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45701</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45701</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45701</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45701</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45701</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45701</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45701</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45701</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45701</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45701</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45701</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45701</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45701</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45701</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45701</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45701</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45701</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45701</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45701</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45701</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45701</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45701</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45701</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45701</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45701</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45701</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45701</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45701</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45701</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45701</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45701</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45701</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45701</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45701</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45701</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45701</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45701</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45701</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45701</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45701</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45701</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45701</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45701</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45701</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45701</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45701</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45701</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45701</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45701</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45701</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45701</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45701</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45701</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45701</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45701</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45701</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45701</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45701</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45701</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45701</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45701</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45701</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45701</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45701</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45701</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45701</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45701</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45701</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45701</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45701</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45701</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45701</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45701</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45701</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45701</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45701</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45701</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45701</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45701</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45701</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45701</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45701</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45701</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45701</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45701</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45701</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45701</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45701</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45701</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45701</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45701</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45701</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45701</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45701</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45701</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45701</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45701</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45701</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45701</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45701</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45701</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45701</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45701</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45701</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45701</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45701</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45701</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45701</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45701</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45701</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45701</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45701</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45701</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45701</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45701</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45701</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45701</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45701</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45701</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45701</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45701</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45701</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45701</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45701</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45701</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45701</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45701</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45701</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45701</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45701</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45701</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45701</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45701</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45701</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45701</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45701</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45701</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45701</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45701</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45701</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45701</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45701</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45701</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45701</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45701</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45701</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45701</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45701</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45701</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45701</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45701</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45701</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45701</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45701</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45701</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45701</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45701</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45701</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45701</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45701</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45701</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45701</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45701</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45701</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45701</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45701</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45701</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45701</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45701</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45701</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45701</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45701</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45701</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45701</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45701</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45701</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45701</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45701</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45701</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45701</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45701</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45701</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45701</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45701</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45701</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45701</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45701</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45701</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45701</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45701</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45701</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45701</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45701</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45701</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45701</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45701</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45701</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45701</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45701</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45701</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45701</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45701</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45701</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45701</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45701</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45701</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45701</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45701</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45701</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45701</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45701</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45701</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45701</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45701</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45701</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45701</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45701</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45701</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45701</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45701</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45701</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45701</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45701</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45701</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45701</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45701</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45701</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45701</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45701</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45701</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45701</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45701</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45701</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45701</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45701</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45701</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45701</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45701</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45701</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45701</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45701</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45701</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45701</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45701</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45701</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45701</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45701</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45701</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45701</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45701</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45701</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45701</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45701</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45701</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45701</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45701</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45701</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45701</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45701</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45701</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45701</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45701</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45701</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45701</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45701</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45701</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45701</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45701</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45701</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45701</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45701</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45701</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45701</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45701</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45701</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45701</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45701</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45701</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45701</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45701</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45701</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45701</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45701</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45701</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45701</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45701</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45701</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45701</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45701</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45701</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45701</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45701</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45701</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45701</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45701</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45701</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45701</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45701</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45701</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45701</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45701</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45701</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45701</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45701</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45701</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45701</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45701</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45701</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45701</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45701</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45701</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45701</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45701</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45701</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45701</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45701</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45701</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45701</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45701</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45701</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45701</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45701</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45701</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45701</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45701</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45701</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45701</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45701</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45701</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45701</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45701</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45701</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45701</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45701</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45701</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45701</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45701</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45701</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45701</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45701</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45701</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45701</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45701</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45701</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45701</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45701</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45701</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45701</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45701</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45701</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45701</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45701</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45701</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45701</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45701</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45701</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45701</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45701</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45701</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45701</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45701</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45701</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45701</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45701</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45701</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45701</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45701</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45701</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45701</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45701</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45701</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45701</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45701</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45701</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45701</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45701</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45701</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45701</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45701</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45701</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45701</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45701</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45701</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45701</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2523-2025</t>
        </is>
      </c>
      <c r="B4946" s="1" t="n">
        <v>45674</v>
      </c>
      <c r="C4946" s="1" t="n">
        <v>45701</v>
      </c>
      <c r="D4946" t="inlineStr">
        <is>
          <t>VÄSTMANLANDS LÄN</t>
        </is>
      </c>
      <c r="E4946" t="inlineStr">
        <is>
          <t>VÄSTERÅS</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2521-2025</t>
        </is>
      </c>
      <c r="B4947" s="1" t="n">
        <v>45674</v>
      </c>
      <c r="C4947" s="1" t="n">
        <v>45701</v>
      </c>
      <c r="D4947" t="inlineStr">
        <is>
          <t>VÄSTMANLANDS LÄN</t>
        </is>
      </c>
      <c r="E4947" t="inlineStr">
        <is>
          <t>SALA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2608-2025</t>
        </is>
      </c>
      <c r="B4948" s="1" t="n">
        <v>45674</v>
      </c>
      <c r="C4948" s="1" t="n">
        <v>45701</v>
      </c>
      <c r="D4948" t="inlineStr">
        <is>
          <t>VÄSTMANLANDS LÄN</t>
        </is>
      </c>
      <c r="E4948" t="inlineStr">
        <is>
          <t>KÖPING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45701</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3229-2025</t>
        </is>
      </c>
      <c r="B4950" s="1" t="n">
        <v>45679</v>
      </c>
      <c r="C4950" s="1" t="n">
        <v>45701</v>
      </c>
      <c r="D4950" t="inlineStr">
        <is>
          <t>VÄSTMANLANDS LÄN</t>
        </is>
      </c>
      <c r="E4950" t="inlineStr">
        <is>
          <t>ARBOGA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45701</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3286-2025</t>
        </is>
      </c>
      <c r="B4952" s="1" t="n">
        <v>45679</v>
      </c>
      <c r="C4952" s="1" t="n">
        <v>45701</v>
      </c>
      <c r="D4952" t="inlineStr">
        <is>
          <t>VÄSTMANLANDS LÄN</t>
        </is>
      </c>
      <c r="E4952" t="inlineStr">
        <is>
          <t>SKINNSKATTEBERG</t>
        </is>
      </c>
      <c r="F4952" t="inlineStr">
        <is>
          <t>Sveaskog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45701</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45701</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45701</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45701</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45701</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4379-2025</t>
        </is>
      </c>
      <c r="B4958" s="1" t="n">
        <v>45686</v>
      </c>
      <c r="C4958" s="1" t="n">
        <v>45701</v>
      </c>
      <c r="D4958" t="inlineStr">
        <is>
          <t>VÄSTMANLANDS LÄN</t>
        </is>
      </c>
      <c r="E4958" t="inlineStr">
        <is>
          <t>SKINNSKATTEBERG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45701</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45701</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45701</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45701</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5283-2025</t>
        </is>
      </c>
      <c r="B4963" s="1" t="n">
        <v>45692</v>
      </c>
      <c r="C4963" s="1" t="n">
        <v>45701</v>
      </c>
      <c r="D4963" t="inlineStr">
        <is>
          <t>VÄSTMANLANDS LÄN</t>
        </is>
      </c>
      <c r="E4963" t="inlineStr">
        <is>
          <t>FAGERSTA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5363-2025</t>
        </is>
      </c>
      <c r="B4964" s="1" t="n">
        <v>45692</v>
      </c>
      <c r="C4964" s="1" t="n">
        <v>45701</v>
      </c>
      <c r="D4964" t="inlineStr">
        <is>
          <t>VÄSTMANLANDS LÄN</t>
        </is>
      </c>
      <c r="E4964" t="inlineStr">
        <is>
          <t>VÄSTERÅS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5449-2025</t>
        </is>
      </c>
      <c r="B4965" s="1" t="n">
        <v>45692</v>
      </c>
      <c r="C4965" s="1" t="n">
        <v>45701</v>
      </c>
      <c r="D4965" t="inlineStr">
        <is>
          <t>VÄSTMANLANDS LÄN</t>
        </is>
      </c>
      <c r="E4965" t="inlineStr">
        <is>
          <t>SALA</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45701</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45701</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45701</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5823-2025</t>
        </is>
      </c>
      <c r="B4969" s="1" t="n">
        <v>45694</v>
      </c>
      <c r="C4969" s="1" t="n">
        <v>45701</v>
      </c>
      <c r="D4969" t="inlineStr">
        <is>
          <t>VÄSTMANLANDS LÄN</t>
        </is>
      </c>
      <c r="E4969" t="inlineStr">
        <is>
          <t>SALA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6032-2025</t>
        </is>
      </c>
      <c r="B4970" s="1" t="n">
        <v>45695</v>
      </c>
      <c r="C4970" s="1" t="n">
        <v>45701</v>
      </c>
      <c r="D4970" t="inlineStr">
        <is>
          <t>VÄSTMANLANDS LÄN</t>
        </is>
      </c>
      <c r="E4970" t="inlineStr">
        <is>
          <t>SALA</t>
        </is>
      </c>
      <c r="F4970" t="inlineStr">
        <is>
          <t>Bergvik skog öst AB</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6152-2025</t>
        </is>
      </c>
      <c r="B4971" s="1" t="n">
        <v>45695</v>
      </c>
      <c r="C4971" s="1" t="n">
        <v>45701</v>
      </c>
      <c r="D4971" t="inlineStr">
        <is>
          <t>VÄSTMANLANDS LÄN</t>
        </is>
      </c>
      <c r="E4971" t="inlineStr">
        <is>
          <t>VÄSTERÅS</t>
        </is>
      </c>
      <c r="F4971" t="inlineStr">
        <is>
          <t>Övriga Aktiebolag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45701</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6154-2025</t>
        </is>
      </c>
      <c r="B4973" s="1" t="n">
        <v>45698</v>
      </c>
      <c r="C4973" s="1" t="n">
        <v>45701</v>
      </c>
      <c r="D4973" t="inlineStr">
        <is>
          <t>VÄSTMANLANDS LÄN</t>
        </is>
      </c>
      <c r="E4973" t="inlineStr">
        <is>
          <t>SALA</t>
        </is>
      </c>
      <c r="F4973" t="inlineStr">
        <is>
          <t>Bergvik skog öst AB</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6190-2025</t>
        </is>
      </c>
      <c r="B4974" s="1" t="n">
        <v>45698</v>
      </c>
      <c r="C4974" s="1" t="n">
        <v>45701</v>
      </c>
      <c r="D4974" t="inlineStr">
        <is>
          <t>VÄSTMANLANDS LÄN</t>
        </is>
      </c>
      <c r="E4974" t="inlineStr">
        <is>
          <t>SALA</t>
        </is>
      </c>
      <c r="F4974" t="inlineStr">
        <is>
          <t>Bergvik skog öst AB</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6183-2025</t>
        </is>
      </c>
      <c r="B4975" s="1" t="n">
        <v>45698</v>
      </c>
      <c r="C4975" s="1" t="n">
        <v>45701</v>
      </c>
      <c r="D4975" t="inlineStr">
        <is>
          <t>VÄSTMANLANDS LÄN</t>
        </is>
      </c>
      <c r="E4975" t="inlineStr">
        <is>
          <t>SALA</t>
        </is>
      </c>
      <c r="F4975" t="inlineStr">
        <is>
          <t>Bergvik skog öst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6312-2025</t>
        </is>
      </c>
      <c r="B4976" s="1" t="n">
        <v>45698</v>
      </c>
      <c r="C4976" s="1" t="n">
        <v>45701</v>
      </c>
      <c r="D4976" t="inlineStr">
        <is>
          <t>VÄSTMANLANDS LÄN</t>
        </is>
      </c>
      <c r="E4976" t="inlineStr">
        <is>
          <t>SALA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6127-2025</t>
        </is>
      </c>
      <c r="B4977" s="1" t="n">
        <v>45698</v>
      </c>
      <c r="C4977" s="1" t="n">
        <v>45701</v>
      </c>
      <c r="D4977" t="inlineStr">
        <is>
          <t>VÄSTMANLANDS LÄN</t>
        </is>
      </c>
      <c r="E4977" t="inlineStr">
        <is>
          <t>SALA</t>
        </is>
      </c>
      <c r="F4977" t="inlineStr">
        <is>
          <t>Bergvik skog öst AB</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6132-2025</t>
        </is>
      </c>
      <c r="B4978" s="1" t="n">
        <v>45698</v>
      </c>
      <c r="C4978" s="1" t="n">
        <v>45701</v>
      </c>
      <c r="D4978" t="inlineStr">
        <is>
          <t>VÄSTMANLANDS LÄN</t>
        </is>
      </c>
      <c r="E4978" t="inlineStr">
        <is>
          <t>SALA</t>
        </is>
      </c>
      <c r="F4978" t="inlineStr">
        <is>
          <t>Bergvik skog öst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6136-2025</t>
        </is>
      </c>
      <c r="B4979" s="1" t="n">
        <v>45698</v>
      </c>
      <c r="C4979" s="1" t="n">
        <v>45701</v>
      </c>
      <c r="D4979" t="inlineStr">
        <is>
          <t>VÄSTMANLANDS LÄN</t>
        </is>
      </c>
      <c r="E4979" t="inlineStr">
        <is>
          <t>SALA</t>
        </is>
      </c>
      <c r="F4979" t="inlineStr">
        <is>
          <t>Bergvik skog öst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45701</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6518-2025</t>
        </is>
      </c>
      <c r="B4981" s="1" t="n">
        <v>45699</v>
      </c>
      <c r="C4981" s="1" t="n">
        <v>45701</v>
      </c>
      <c r="D4981" t="inlineStr">
        <is>
          <t>VÄSTMANLANDS LÄN</t>
        </is>
      </c>
      <c r="E4981" t="inlineStr">
        <is>
          <t>ARBOGA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6528-2025</t>
        </is>
      </c>
      <c r="B4982" s="1" t="n">
        <v>45699</v>
      </c>
      <c r="C4982" s="1" t="n">
        <v>45701</v>
      </c>
      <c r="D4982" t="inlineStr">
        <is>
          <t>VÄSTMANLANDS LÄN</t>
        </is>
      </c>
      <c r="E4982" t="inlineStr">
        <is>
          <t>ARBOGA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6388-2025</t>
        </is>
      </c>
      <c r="B4983" s="1" t="n">
        <v>45699</v>
      </c>
      <c r="C4983" s="1" t="n">
        <v>45701</v>
      </c>
      <c r="D4983" t="inlineStr">
        <is>
          <t>VÄSTMANLANDS LÄN</t>
        </is>
      </c>
      <c r="E4983" t="inlineStr">
        <is>
          <t>NORBERG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6493-2025</t>
        </is>
      </c>
      <c r="B4984" s="1" t="n">
        <v>45699</v>
      </c>
      <c r="C4984" s="1" t="n">
        <v>45701</v>
      </c>
      <c r="D4984" t="inlineStr">
        <is>
          <t>VÄSTMANLANDS LÄN</t>
        </is>
      </c>
      <c r="E4984" t="inlineStr">
        <is>
          <t>ARBOGA</t>
        </is>
      </c>
      <c r="G4984" t="n">
        <v>1.3</v>
      </c>
      <c r="H4984" t="n">
        <v>0</v>
      </c>
      <c r="I4984" t="n">
        <v>0</v>
      </c>
      <c r="J4984" t="n">
        <v>0</v>
      </c>
      <c r="K4984" t="n">
        <v>0</v>
      </c>
      <c r="L4984" t="n">
        <v>0</v>
      </c>
      <c r="M4984" t="n">
        <v>0</v>
      </c>
      <c r="N4984" t="n">
        <v>0</v>
      </c>
      <c r="O4984" t="n">
        <v>0</v>
      </c>
      <c r="P4984" t="n">
        <v>0</v>
      </c>
      <c r="Q4984" t="n">
        <v>0</v>
      </c>
      <c r="R4984" s="2" t="inlineStr"/>
    </row>
    <row r="4985">
      <c r="A4985" t="inlineStr">
        <is>
          <t>A 6691-2025</t>
        </is>
      </c>
      <c r="B4985" s="1" t="n">
        <v>45700</v>
      </c>
      <c r="C4985" s="1" t="n">
        <v>45701</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2025-02-13T16:28:22Z</dcterms:created>
  <dcterms:modified xmlns:dcterms="http://purl.org/dc/terms/" xmlns:xsi="http://www.w3.org/2001/XMLSchema-instance" xsi:type="dcterms:W3CDTF">2025-02-13T16:28:26Z</dcterms:modified>
</cp:coreProperties>
</file>