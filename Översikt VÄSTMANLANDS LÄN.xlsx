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45757</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45757</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45757</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45757</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45757</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45757</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45757</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45757</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45757</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45757</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45757</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45757</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45757</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45757</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45757</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45757</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45757</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45757</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45757</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45757</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45757</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45757</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45757</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45757</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45757</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45757</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45757</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45757</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45757</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45757</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45757</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45757</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45757</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45757</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45757</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45757</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45757</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45757</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45757</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45757</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45757</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45757</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45757</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45757</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45757</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45757</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45757</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45757</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45757</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45757</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45757</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45757</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45757</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45757</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45757</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45757</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45757</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45757</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45757</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45757</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45757</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45757</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45757</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45757</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45757</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45757</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45757</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45757</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45757</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45757</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45757</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45757</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45757</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45757</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45757</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45757</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45757</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45757</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45757</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45757</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45757</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45757</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45757</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45757</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45757</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45757</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45757</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45757</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45757</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45757</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45757</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45757</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45757</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45757</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45757</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45757</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45757</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45757</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45757</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45757</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45757</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45757</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45757</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45757</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45757</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45757</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45757</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45757</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45757</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45757</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45757</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45757</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45757</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45757</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45757</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45757</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45757</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45757</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45757</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45757</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45757</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45757</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45757</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45757</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45757</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45757</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45757</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45757</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45757</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45757</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45757</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45757</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45757</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45757</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45757</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45757</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45757</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45757</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45757</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45757</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45757</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45757</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45757</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45757</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45757</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45757</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45757</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45757</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45757</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45757</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45757</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45757</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45757</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45757</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45757</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45757</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45757</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45757</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45757</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45757</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45757</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45757</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45757</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45757</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45757</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45757</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45757</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45757</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45757</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45757</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45757</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45757</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45757</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45757</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45757</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45757</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45757</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45757</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45757</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45757</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45757</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45757</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45757</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45757</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45757</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45757</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45757</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45757</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45757</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45757</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45757</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45757</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45757</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45757</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45757</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45757</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45757</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45757</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45757</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45757</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45757</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45757</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45757</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45757</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45757</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45757</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45757</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45757</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45757</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45757</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45757</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45757</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45757</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45757</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45757</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45757</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45757</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45757</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45757</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45757</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45757</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45757</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45757</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45757</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45757</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45757</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45757</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45757</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45757</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45757</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45757</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45757</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45757</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45757</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45757</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45757</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45757</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45757</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45757</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45757</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45757</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45757</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45757</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45757</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45757</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45757</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45757</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45757</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45757</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45757</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45757</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45757</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45757</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45757</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45757</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45757</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45757</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45757</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45757</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45757</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45757</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45757</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45757</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45757</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45757</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45757</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45757</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45757</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45757</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45757</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45757</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45757</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45757</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45757</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45757</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45757</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45757</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45757</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45757</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45757</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45757</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45757</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45757</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45757</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45757</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45757</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45757</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45757</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45757</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45757</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45757</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45757</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45757</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45757</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45757</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45757</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45757</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45757</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45757</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45757</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45757</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45757</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45757</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45757</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45757</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45757</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45757</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45757</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45757</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45757</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45757</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45757</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45757</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45757</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45757</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45757</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56809-2022</t>
        </is>
      </c>
      <c r="B332" s="1" t="n">
        <v>44894</v>
      </c>
      <c r="C332" s="1" t="n">
        <v>45757</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HYPERLINK("https://klasma.github.io/Logging_1983/artfynd/A 56809-2022 artfynd.xlsx", "A 56809-2022")</f>
        <v/>
      </c>
      <c r="T332">
        <f>HYPERLINK("https://klasma.github.io/Logging_1983/kartor/A 56809-2022 karta.png", "A 56809-2022")</f>
        <v/>
      </c>
      <c r="V332">
        <f>HYPERLINK("https://klasma.github.io/Logging_1983/klagomål/A 56809-2022 FSC-klagomål.docx", "A 56809-2022")</f>
        <v/>
      </c>
      <c r="W332">
        <f>HYPERLINK("https://klasma.github.io/Logging_1983/klagomålsmail/A 56809-2022 FSC-klagomål mail.docx", "A 56809-2022")</f>
        <v/>
      </c>
      <c r="X332">
        <f>HYPERLINK("https://klasma.github.io/Logging_1983/tillsyn/A 56809-2022 tillsynsbegäran.docx", "A 56809-2022")</f>
        <v/>
      </c>
      <c r="Y332">
        <f>HYPERLINK("https://klasma.github.io/Logging_1983/tillsynsmail/A 56809-2022 tillsynsbegäran mail.docx", "A 56809-2022")</f>
        <v/>
      </c>
      <c r="Z332">
        <f>HYPERLINK("https://klasma.github.io/Logging_1983/fåglar/A 56809-2022 prioriterade fågelarter.docx", "A 56809-2022")</f>
        <v/>
      </c>
    </row>
    <row r="333" ht="15" customHeight="1">
      <c r="A333" t="inlineStr">
        <is>
          <t>A 61212-2022</t>
        </is>
      </c>
      <c r="B333" s="1" t="n">
        <v>44908</v>
      </c>
      <c r="C333" s="1" t="n">
        <v>45757</v>
      </c>
      <c r="D333" t="inlineStr">
        <is>
          <t>VÄSTMANLANDS LÄN</t>
        </is>
      </c>
      <c r="E333" t="inlineStr">
        <is>
          <t>SKINNSKATTEBERG</t>
        </is>
      </c>
      <c r="G333" t="n">
        <v>17.4</v>
      </c>
      <c r="H333" t="n">
        <v>1</v>
      </c>
      <c r="I333" t="n">
        <v>0</v>
      </c>
      <c r="J333" t="n">
        <v>0</v>
      </c>
      <c r="K333" t="n">
        <v>0</v>
      </c>
      <c r="L333" t="n">
        <v>0</v>
      </c>
      <c r="M333" t="n">
        <v>0</v>
      </c>
      <c r="N333" t="n">
        <v>0</v>
      </c>
      <c r="O333" t="n">
        <v>0</v>
      </c>
      <c r="P333" t="n">
        <v>0</v>
      </c>
      <c r="Q333" t="n">
        <v>1</v>
      </c>
      <c r="R333" s="2" t="inlineStr">
        <is>
          <t>Blåsippa</t>
        </is>
      </c>
      <c r="S333">
        <f>HYPERLINK("https://klasma.github.io/Logging_1904/artfynd/A 61212-2022 artfynd.xlsx", "A 61212-2022")</f>
        <v/>
      </c>
      <c r="T333">
        <f>HYPERLINK("https://klasma.github.io/Logging_1904/kartor/A 61212-2022 karta.png", "A 61212-2022")</f>
        <v/>
      </c>
      <c r="V333">
        <f>HYPERLINK("https://klasma.github.io/Logging_1904/klagomål/A 61212-2022 FSC-klagomål.docx", "A 61212-2022")</f>
        <v/>
      </c>
      <c r="W333">
        <f>HYPERLINK("https://klasma.github.io/Logging_1904/klagomålsmail/A 61212-2022 FSC-klagomål mail.docx", "A 61212-2022")</f>
        <v/>
      </c>
      <c r="X333">
        <f>HYPERLINK("https://klasma.github.io/Logging_1904/tillsyn/A 61212-2022 tillsynsbegäran.docx", "A 61212-2022")</f>
        <v/>
      </c>
      <c r="Y333">
        <f>HYPERLINK("https://klasma.github.io/Logging_1904/tillsynsmail/A 61212-2022 tillsynsbegäran mail.docx", "A 61212-2022")</f>
        <v/>
      </c>
    </row>
    <row r="334" ht="15" customHeight="1">
      <c r="A334" t="inlineStr">
        <is>
          <t>A 61435-2022</t>
        </is>
      </c>
      <c r="B334" s="1" t="n">
        <v>44916</v>
      </c>
      <c r="C334" s="1" t="n">
        <v>45757</v>
      </c>
      <c r="D334" t="inlineStr">
        <is>
          <t>VÄSTMANLANDS LÄN</t>
        </is>
      </c>
      <c r="E334" t="inlineStr">
        <is>
          <t>ARBOGA</t>
        </is>
      </c>
      <c r="G334" t="n">
        <v>5.7</v>
      </c>
      <c r="H334" t="n">
        <v>0</v>
      </c>
      <c r="I334" t="n">
        <v>0</v>
      </c>
      <c r="J334" t="n">
        <v>0</v>
      </c>
      <c r="K334" t="n">
        <v>0</v>
      </c>
      <c r="L334" t="n">
        <v>1</v>
      </c>
      <c r="M334" t="n">
        <v>0</v>
      </c>
      <c r="N334" t="n">
        <v>0</v>
      </c>
      <c r="O334" t="n">
        <v>1</v>
      </c>
      <c r="P334" t="n">
        <v>1</v>
      </c>
      <c r="Q334" t="n">
        <v>1</v>
      </c>
      <c r="R334" s="2" t="inlineStr">
        <is>
          <t>Ask</t>
        </is>
      </c>
      <c r="S334">
        <f>HYPERLINK("https://klasma.github.io/Logging_1984/artfynd/A 61435-2022 artfynd.xlsx", "A 61435-2022")</f>
        <v/>
      </c>
      <c r="T334">
        <f>HYPERLINK("https://klasma.github.io/Logging_1984/kartor/A 61435-2022 karta.png", "A 61435-2022")</f>
        <v/>
      </c>
      <c r="V334">
        <f>HYPERLINK("https://klasma.github.io/Logging_1984/klagomål/A 61435-2022 FSC-klagomål.docx", "A 61435-2022")</f>
        <v/>
      </c>
      <c r="W334">
        <f>HYPERLINK("https://klasma.github.io/Logging_1984/klagomålsmail/A 61435-2022 FSC-klagomål mail.docx", "A 61435-2022")</f>
        <v/>
      </c>
      <c r="X334">
        <f>HYPERLINK("https://klasma.github.io/Logging_1984/tillsyn/A 61435-2022 tillsynsbegäran.docx", "A 61435-2022")</f>
        <v/>
      </c>
      <c r="Y334">
        <f>HYPERLINK("https://klasma.github.io/Logging_1984/tillsynsmail/A 61435-2022 tillsynsbegäran mail.docx", "A 61435-2022")</f>
        <v/>
      </c>
    </row>
    <row r="335" ht="15" customHeight="1">
      <c r="A335" t="inlineStr">
        <is>
          <t>A 6182-2023</t>
        </is>
      </c>
      <c r="B335" s="1" t="n">
        <v>44964</v>
      </c>
      <c r="C335" s="1" t="n">
        <v>45757</v>
      </c>
      <c r="D335" t="inlineStr">
        <is>
          <t>VÄSTMANLANDS LÄN</t>
        </is>
      </c>
      <c r="E335" t="inlineStr">
        <is>
          <t>SKINNSKATTEBERG</t>
        </is>
      </c>
      <c r="F335" t="inlineStr">
        <is>
          <t>Sveaskog</t>
        </is>
      </c>
      <c r="G335" t="n">
        <v>6.4</v>
      </c>
      <c r="H335" t="n">
        <v>1</v>
      </c>
      <c r="I335" t="n">
        <v>0</v>
      </c>
      <c r="J335" t="n">
        <v>0</v>
      </c>
      <c r="K335" t="n">
        <v>0</v>
      </c>
      <c r="L335" t="n">
        <v>0</v>
      </c>
      <c r="M335" t="n">
        <v>0</v>
      </c>
      <c r="N335" t="n">
        <v>0</v>
      </c>
      <c r="O335" t="n">
        <v>0</v>
      </c>
      <c r="P335" t="n">
        <v>0</v>
      </c>
      <c r="Q335" t="n">
        <v>1</v>
      </c>
      <c r="R335" s="2" t="inlineStr">
        <is>
          <t>Blåsippa</t>
        </is>
      </c>
      <c r="S335">
        <f>HYPERLINK("https://klasma.github.io/Logging_1904/artfynd/A 6182-2023 artfynd.xlsx", "A 6182-2023")</f>
        <v/>
      </c>
      <c r="T335">
        <f>HYPERLINK("https://klasma.github.io/Logging_1904/kartor/A 6182-2023 karta.png", "A 6182-2023")</f>
        <v/>
      </c>
      <c r="V335">
        <f>HYPERLINK("https://klasma.github.io/Logging_1904/klagomål/A 6182-2023 FSC-klagomål.docx", "A 6182-2023")</f>
        <v/>
      </c>
      <c r="W335">
        <f>HYPERLINK("https://klasma.github.io/Logging_1904/klagomålsmail/A 6182-2023 FSC-klagomål mail.docx", "A 6182-2023")</f>
        <v/>
      </c>
      <c r="X335">
        <f>HYPERLINK("https://klasma.github.io/Logging_1904/tillsyn/A 6182-2023 tillsynsbegäran.docx", "A 6182-2023")</f>
        <v/>
      </c>
      <c r="Y335">
        <f>HYPERLINK("https://klasma.github.io/Logging_1904/tillsynsmail/A 6182-2023 tillsynsbegäran mail.docx", "A 6182-2023")</f>
        <v/>
      </c>
    </row>
    <row r="336" ht="15" customHeight="1">
      <c r="A336" t="inlineStr">
        <is>
          <t>A 7731-2023</t>
        </is>
      </c>
      <c r="B336" s="1" t="n">
        <v>44973</v>
      </c>
      <c r="C336" s="1" t="n">
        <v>45757</v>
      </c>
      <c r="D336" t="inlineStr">
        <is>
          <t>VÄSTMANLANDS LÄN</t>
        </is>
      </c>
      <c r="E336" t="inlineStr">
        <is>
          <t>SALA</t>
        </is>
      </c>
      <c r="F336" t="inlineStr">
        <is>
          <t>Bergvik skog öst AB</t>
        </is>
      </c>
      <c r="G336" t="n">
        <v>1.7</v>
      </c>
      <c r="H336" t="n">
        <v>1</v>
      </c>
      <c r="I336" t="n">
        <v>0</v>
      </c>
      <c r="J336" t="n">
        <v>1</v>
      </c>
      <c r="K336" t="n">
        <v>0</v>
      </c>
      <c r="L336" t="n">
        <v>0</v>
      </c>
      <c r="M336" t="n">
        <v>0</v>
      </c>
      <c r="N336" t="n">
        <v>0</v>
      </c>
      <c r="O336" t="n">
        <v>1</v>
      </c>
      <c r="P336" t="n">
        <v>0</v>
      </c>
      <c r="Q336" t="n">
        <v>1</v>
      </c>
      <c r="R336" s="2" t="inlineStr">
        <is>
          <t>Ävjepilört</t>
        </is>
      </c>
      <c r="S336">
        <f>HYPERLINK("https://klasma.github.io/Logging_1981/artfynd/A 7731-2023 artfynd.xlsx", "A 7731-2023")</f>
        <v/>
      </c>
      <c r="T336">
        <f>HYPERLINK("https://klasma.github.io/Logging_1981/kartor/A 7731-2023 karta.png", "A 7731-2023")</f>
        <v/>
      </c>
      <c r="V336">
        <f>HYPERLINK("https://klasma.github.io/Logging_1981/klagomål/A 7731-2023 FSC-klagomål.docx", "A 7731-2023")</f>
        <v/>
      </c>
      <c r="W336">
        <f>HYPERLINK("https://klasma.github.io/Logging_1981/klagomålsmail/A 7731-2023 FSC-klagomål mail.docx", "A 7731-2023")</f>
        <v/>
      </c>
      <c r="X336">
        <f>HYPERLINK("https://klasma.github.io/Logging_1981/tillsyn/A 7731-2023 tillsynsbegäran.docx", "A 7731-2023")</f>
        <v/>
      </c>
      <c r="Y336">
        <f>HYPERLINK("https://klasma.github.io/Logging_1981/tillsynsmail/A 7731-2023 tillsynsbegäran mail.docx", "A 7731-2023")</f>
        <v/>
      </c>
    </row>
    <row r="337" ht="15" customHeight="1">
      <c r="A337" t="inlineStr">
        <is>
          <t>A 7832-2023</t>
        </is>
      </c>
      <c r="B337" s="1" t="n">
        <v>44973</v>
      </c>
      <c r="C337" s="1" t="n">
        <v>45757</v>
      </c>
      <c r="D337" t="inlineStr">
        <is>
          <t>VÄSTMANLANDS LÄN</t>
        </is>
      </c>
      <c r="E337" t="inlineStr">
        <is>
          <t>VÄSTERÅS</t>
        </is>
      </c>
      <c r="G337" t="n">
        <v>3.1</v>
      </c>
      <c r="H337" t="n">
        <v>1</v>
      </c>
      <c r="I337" t="n">
        <v>0</v>
      </c>
      <c r="J337" t="n">
        <v>1</v>
      </c>
      <c r="K337" t="n">
        <v>0</v>
      </c>
      <c r="L337" t="n">
        <v>0</v>
      </c>
      <c r="M337" t="n">
        <v>0</v>
      </c>
      <c r="N337" t="n">
        <v>0</v>
      </c>
      <c r="O337" t="n">
        <v>1</v>
      </c>
      <c r="P337" t="n">
        <v>0</v>
      </c>
      <c r="Q337" t="n">
        <v>1</v>
      </c>
      <c r="R337" s="2" t="inlineStr">
        <is>
          <t>Talltita</t>
        </is>
      </c>
      <c r="S337">
        <f>HYPERLINK("https://klasma.github.io/Logging_1980/artfynd/A 7832-2023 artfynd.xlsx", "A 7832-2023")</f>
        <v/>
      </c>
      <c r="T337">
        <f>HYPERLINK("https://klasma.github.io/Logging_1980/kartor/A 7832-2023 karta.png", "A 7832-2023")</f>
        <v/>
      </c>
      <c r="V337">
        <f>HYPERLINK("https://klasma.github.io/Logging_1980/klagomål/A 7832-2023 FSC-klagomål.docx", "A 7832-2023")</f>
        <v/>
      </c>
      <c r="W337">
        <f>HYPERLINK("https://klasma.github.io/Logging_1980/klagomålsmail/A 7832-2023 FSC-klagomål mail.docx", "A 7832-2023")</f>
        <v/>
      </c>
      <c r="X337">
        <f>HYPERLINK("https://klasma.github.io/Logging_1980/tillsyn/A 7832-2023 tillsynsbegäran.docx", "A 7832-2023")</f>
        <v/>
      </c>
      <c r="Y337">
        <f>HYPERLINK("https://klasma.github.io/Logging_1980/tillsynsmail/A 7832-2023 tillsynsbegäran mail.docx", "A 7832-2023")</f>
        <v/>
      </c>
      <c r="Z337">
        <f>HYPERLINK("https://klasma.github.io/Logging_1980/fåglar/A 7832-2023 prioriterade fågelarter.docx", "A 7832-2023")</f>
        <v/>
      </c>
    </row>
    <row r="338" ht="15" customHeight="1">
      <c r="A338" t="inlineStr">
        <is>
          <t>A 11259-2023</t>
        </is>
      </c>
      <c r="B338" s="1" t="n">
        <v>44991</v>
      </c>
      <c r="C338" s="1" t="n">
        <v>45757</v>
      </c>
      <c r="D338" t="inlineStr">
        <is>
          <t>VÄSTMANLANDS LÄN</t>
        </is>
      </c>
      <c r="E338" t="inlineStr">
        <is>
          <t>SURAHAMMAR</t>
        </is>
      </c>
      <c r="G338" t="n">
        <v>2.4</v>
      </c>
      <c r="H338" t="n">
        <v>1</v>
      </c>
      <c r="I338" t="n">
        <v>0</v>
      </c>
      <c r="J338" t="n">
        <v>1</v>
      </c>
      <c r="K338" t="n">
        <v>0</v>
      </c>
      <c r="L338" t="n">
        <v>0</v>
      </c>
      <c r="M338" t="n">
        <v>0</v>
      </c>
      <c r="N338" t="n">
        <v>0</v>
      </c>
      <c r="O338" t="n">
        <v>1</v>
      </c>
      <c r="P338" t="n">
        <v>0</v>
      </c>
      <c r="Q338" t="n">
        <v>1</v>
      </c>
      <c r="R338" s="2" t="inlineStr">
        <is>
          <t>Spillkråka</t>
        </is>
      </c>
      <c r="S338">
        <f>HYPERLINK("https://klasma.github.io/Logging_1907/artfynd/A 11259-2023 artfynd.xlsx", "A 11259-2023")</f>
        <v/>
      </c>
      <c r="T338">
        <f>HYPERLINK("https://klasma.github.io/Logging_1907/kartor/A 11259-2023 karta.png", "A 11259-2023")</f>
        <v/>
      </c>
      <c r="V338">
        <f>HYPERLINK("https://klasma.github.io/Logging_1907/klagomål/A 11259-2023 FSC-klagomål.docx", "A 11259-2023")</f>
        <v/>
      </c>
      <c r="W338">
        <f>HYPERLINK("https://klasma.github.io/Logging_1907/klagomålsmail/A 11259-2023 FSC-klagomål mail.docx", "A 11259-2023")</f>
        <v/>
      </c>
      <c r="X338">
        <f>HYPERLINK("https://klasma.github.io/Logging_1907/tillsyn/A 11259-2023 tillsynsbegäran.docx", "A 11259-2023")</f>
        <v/>
      </c>
      <c r="Y338">
        <f>HYPERLINK("https://klasma.github.io/Logging_1907/tillsynsmail/A 11259-2023 tillsynsbegäran mail.docx", "A 11259-2023")</f>
        <v/>
      </c>
      <c r="Z338">
        <f>HYPERLINK("https://klasma.github.io/Logging_1907/fåglar/A 11259-2023 prioriterade fågelarter.docx", "A 11259-2023")</f>
        <v/>
      </c>
    </row>
    <row r="339" ht="15" customHeight="1">
      <c r="A339" t="inlineStr">
        <is>
          <t>A 13971-2023</t>
        </is>
      </c>
      <c r="B339" s="1" t="n">
        <v>45007</v>
      </c>
      <c r="C339" s="1" t="n">
        <v>45757</v>
      </c>
      <c r="D339" t="inlineStr">
        <is>
          <t>VÄSTMANLANDS LÄN</t>
        </is>
      </c>
      <c r="E339" t="inlineStr">
        <is>
          <t>SURAHAMMAR</t>
        </is>
      </c>
      <c r="F339" t="inlineStr">
        <is>
          <t>Bergvik skog väst AB</t>
        </is>
      </c>
      <c r="G339" t="n">
        <v>2.9</v>
      </c>
      <c r="H339" t="n">
        <v>1</v>
      </c>
      <c r="I339" t="n">
        <v>0</v>
      </c>
      <c r="J339" t="n">
        <v>0</v>
      </c>
      <c r="K339" t="n">
        <v>0</v>
      </c>
      <c r="L339" t="n">
        <v>0</v>
      </c>
      <c r="M339" t="n">
        <v>0</v>
      </c>
      <c r="N339" t="n">
        <v>0</v>
      </c>
      <c r="O339" t="n">
        <v>0</v>
      </c>
      <c r="P339" t="n">
        <v>0</v>
      </c>
      <c r="Q339" t="n">
        <v>1</v>
      </c>
      <c r="R339" s="2" t="inlineStr">
        <is>
          <t>Fläcknycklar</t>
        </is>
      </c>
      <c r="S339">
        <f>HYPERLINK("https://klasma.github.io/Logging_1907/artfynd/A 13971-2023 artfynd.xlsx", "A 13971-2023")</f>
        <v/>
      </c>
      <c r="T339">
        <f>HYPERLINK("https://klasma.github.io/Logging_1907/kartor/A 13971-2023 karta.png", "A 13971-2023")</f>
        <v/>
      </c>
      <c r="V339">
        <f>HYPERLINK("https://klasma.github.io/Logging_1907/klagomål/A 13971-2023 FSC-klagomål.docx", "A 13971-2023")</f>
        <v/>
      </c>
      <c r="W339">
        <f>HYPERLINK("https://klasma.github.io/Logging_1907/klagomålsmail/A 13971-2023 FSC-klagomål mail.docx", "A 13971-2023")</f>
        <v/>
      </c>
      <c r="X339">
        <f>HYPERLINK("https://klasma.github.io/Logging_1907/tillsyn/A 13971-2023 tillsynsbegäran.docx", "A 13971-2023")</f>
        <v/>
      </c>
      <c r="Y339">
        <f>HYPERLINK("https://klasma.github.io/Logging_1907/tillsynsmail/A 13971-2023 tillsynsbegäran mail.docx", "A 13971-2023")</f>
        <v/>
      </c>
    </row>
    <row r="340" ht="15" customHeight="1">
      <c r="A340" t="inlineStr">
        <is>
          <t>A 14001-2023</t>
        </is>
      </c>
      <c r="B340" s="1" t="n">
        <v>45007</v>
      </c>
      <c r="C340" s="1" t="n">
        <v>45757</v>
      </c>
      <c r="D340" t="inlineStr">
        <is>
          <t>VÄSTMANLANDS LÄN</t>
        </is>
      </c>
      <c r="E340" t="inlineStr">
        <is>
          <t>SURAHAMMAR</t>
        </is>
      </c>
      <c r="F340" t="inlineStr">
        <is>
          <t>Bergvik skog väst AB</t>
        </is>
      </c>
      <c r="G340" t="n">
        <v>1</v>
      </c>
      <c r="H340" t="n">
        <v>0</v>
      </c>
      <c r="I340" t="n">
        <v>0</v>
      </c>
      <c r="J340" t="n">
        <v>1</v>
      </c>
      <c r="K340" t="n">
        <v>0</v>
      </c>
      <c r="L340" t="n">
        <v>0</v>
      </c>
      <c r="M340" t="n">
        <v>0</v>
      </c>
      <c r="N340" t="n">
        <v>0</v>
      </c>
      <c r="O340" t="n">
        <v>1</v>
      </c>
      <c r="P340" t="n">
        <v>0</v>
      </c>
      <c r="Q340" t="n">
        <v>1</v>
      </c>
      <c r="R340" s="2" t="inlineStr">
        <is>
          <t>Motaggsvamp</t>
        </is>
      </c>
      <c r="S340">
        <f>HYPERLINK("https://klasma.github.io/Logging_1907/artfynd/A 14001-2023 artfynd.xlsx", "A 14001-2023")</f>
        <v/>
      </c>
      <c r="T340">
        <f>HYPERLINK("https://klasma.github.io/Logging_1907/kartor/A 14001-2023 karta.png", "A 14001-2023")</f>
        <v/>
      </c>
      <c r="V340">
        <f>HYPERLINK("https://klasma.github.io/Logging_1907/klagomål/A 14001-2023 FSC-klagomål.docx", "A 14001-2023")</f>
        <v/>
      </c>
      <c r="W340">
        <f>HYPERLINK("https://klasma.github.io/Logging_1907/klagomålsmail/A 14001-2023 FSC-klagomål mail.docx", "A 14001-2023")</f>
        <v/>
      </c>
      <c r="X340">
        <f>HYPERLINK("https://klasma.github.io/Logging_1907/tillsyn/A 14001-2023 tillsynsbegäran.docx", "A 14001-2023")</f>
        <v/>
      </c>
      <c r="Y340">
        <f>HYPERLINK("https://klasma.github.io/Logging_1907/tillsynsmail/A 14001-2023 tillsynsbegäran mail.docx", "A 14001-2023")</f>
        <v/>
      </c>
    </row>
    <row r="341" ht="15" customHeight="1">
      <c r="A341" t="inlineStr">
        <is>
          <t>A 14171-2023</t>
        </is>
      </c>
      <c r="B341" s="1" t="n">
        <v>45009</v>
      </c>
      <c r="C341" s="1" t="n">
        <v>45757</v>
      </c>
      <c r="D341" t="inlineStr">
        <is>
          <t>VÄSTMANLANDS LÄN</t>
        </is>
      </c>
      <c r="E341" t="inlineStr">
        <is>
          <t>SKINNSKATTEBERG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HYPERLINK("https://klasma.github.io/Logging_1904/artfynd/A 14171-2023 artfynd.xlsx", "A 14171-2023")</f>
        <v/>
      </c>
      <c r="T341">
        <f>HYPERLINK("https://klasma.github.io/Logging_1904/kartor/A 14171-2023 karta.png", "A 14171-2023")</f>
        <v/>
      </c>
      <c r="V341">
        <f>HYPERLINK("https://klasma.github.io/Logging_1904/klagomål/A 14171-2023 FSC-klagomål.docx", "A 14171-2023")</f>
        <v/>
      </c>
      <c r="W341">
        <f>HYPERLINK("https://klasma.github.io/Logging_1904/klagomålsmail/A 14171-2023 FSC-klagomål mail.docx", "A 14171-2023")</f>
        <v/>
      </c>
      <c r="X341">
        <f>HYPERLINK("https://klasma.github.io/Logging_1904/tillsyn/A 14171-2023 tillsynsbegäran.docx", "A 14171-2023")</f>
        <v/>
      </c>
      <c r="Y341">
        <f>HYPERLINK("https://klasma.github.io/Logging_1904/tillsynsmail/A 14171-2023 tillsynsbegäran mail.docx", "A 14171-2023")</f>
        <v/>
      </c>
    </row>
    <row r="342" ht="15" customHeight="1">
      <c r="A342" t="inlineStr">
        <is>
          <t>A 14775-2023</t>
        </is>
      </c>
      <c r="B342" s="1" t="n">
        <v>45014</v>
      </c>
      <c r="C342" s="1" t="n">
        <v>45757</v>
      </c>
      <c r="D342" t="inlineStr">
        <is>
          <t>VÄSTMANLANDS LÄN</t>
        </is>
      </c>
      <c r="E342" t="inlineStr">
        <is>
          <t>SALA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HYPERLINK("https://klasma.github.io/Logging_1981/artfynd/A 14775-2023 artfynd.xlsx", "A 14775-2023")</f>
        <v/>
      </c>
      <c r="T342">
        <f>HYPERLINK("https://klasma.github.io/Logging_1981/kartor/A 14775-2023 karta.png", "A 14775-2023")</f>
        <v/>
      </c>
      <c r="U342">
        <f>HYPERLINK("https://klasma.github.io/Logging_1981/knärot/A 14775-2023 karta knärot.png", "A 14775-2023")</f>
        <v/>
      </c>
      <c r="V342">
        <f>HYPERLINK("https://klasma.github.io/Logging_1981/klagomål/A 14775-2023 FSC-klagomål.docx", "A 14775-2023")</f>
        <v/>
      </c>
      <c r="W342">
        <f>HYPERLINK("https://klasma.github.io/Logging_1981/klagomålsmail/A 14775-2023 FSC-klagomål mail.docx", "A 14775-2023")</f>
        <v/>
      </c>
      <c r="X342">
        <f>HYPERLINK("https://klasma.github.io/Logging_1981/tillsyn/A 14775-2023 tillsynsbegäran.docx", "A 14775-2023")</f>
        <v/>
      </c>
      <c r="Y342">
        <f>HYPERLINK("https://klasma.github.io/Logging_1981/tillsynsmail/A 14775-2023 tillsynsbegäran mail.docx", "A 14775-2023")</f>
        <v/>
      </c>
    </row>
    <row r="343" ht="15" customHeight="1">
      <c r="A343" t="inlineStr">
        <is>
          <t>A 15334-2023</t>
        </is>
      </c>
      <c r="B343" s="1" t="n">
        <v>45019</v>
      </c>
      <c r="C343" s="1" t="n">
        <v>45757</v>
      </c>
      <c r="D343" t="inlineStr">
        <is>
          <t>VÄSTMANLANDS LÄN</t>
        </is>
      </c>
      <c r="E343" t="inlineStr">
        <is>
          <t>FAGERSTA</t>
        </is>
      </c>
      <c r="F343" t="inlineStr">
        <is>
          <t>Övriga Aktiebolag</t>
        </is>
      </c>
      <c r="G343" t="n">
        <v>27.3</v>
      </c>
      <c r="H343" t="n">
        <v>0</v>
      </c>
      <c r="I343" t="n">
        <v>1</v>
      </c>
      <c r="J343" t="n">
        <v>0</v>
      </c>
      <c r="K343" t="n">
        <v>0</v>
      </c>
      <c r="L343" t="n">
        <v>0</v>
      </c>
      <c r="M343" t="n">
        <v>0</v>
      </c>
      <c r="N343" t="n">
        <v>0</v>
      </c>
      <c r="O343" t="n">
        <v>0</v>
      </c>
      <c r="P343" t="n">
        <v>0</v>
      </c>
      <c r="Q343" t="n">
        <v>1</v>
      </c>
      <c r="R343" s="2" t="inlineStr">
        <is>
          <t>Grovticka</t>
        </is>
      </c>
      <c r="S343">
        <f>HYPERLINK("https://klasma.github.io/Logging_1982/artfynd/A 15334-2023 artfynd.xlsx", "A 15334-2023")</f>
        <v/>
      </c>
      <c r="T343">
        <f>HYPERLINK("https://klasma.github.io/Logging_1982/kartor/A 15334-2023 karta.png", "A 15334-2023")</f>
        <v/>
      </c>
      <c r="V343">
        <f>HYPERLINK("https://klasma.github.io/Logging_1982/klagomål/A 15334-2023 FSC-klagomål.docx", "A 15334-2023")</f>
        <v/>
      </c>
      <c r="W343">
        <f>HYPERLINK("https://klasma.github.io/Logging_1982/klagomålsmail/A 15334-2023 FSC-klagomål mail.docx", "A 15334-2023")</f>
        <v/>
      </c>
      <c r="X343">
        <f>HYPERLINK("https://klasma.github.io/Logging_1982/tillsyn/A 15334-2023 tillsynsbegäran.docx", "A 15334-2023")</f>
        <v/>
      </c>
      <c r="Y343">
        <f>HYPERLINK("https://klasma.github.io/Logging_1982/tillsynsmail/A 15334-2023 tillsynsbegäran mail.docx", "A 15334-2023")</f>
        <v/>
      </c>
    </row>
    <row r="344" ht="15" customHeight="1">
      <c r="A344" t="inlineStr">
        <is>
          <t>A 15631-2023</t>
        </is>
      </c>
      <c r="B344" s="1" t="n">
        <v>45021</v>
      </c>
      <c r="C344" s="1" t="n">
        <v>45757</v>
      </c>
      <c r="D344" t="inlineStr">
        <is>
          <t>VÄSTMANLANDS LÄN</t>
        </is>
      </c>
      <c r="E344" t="inlineStr">
        <is>
          <t>FAGERSTA</t>
        </is>
      </c>
      <c r="F344" t="inlineStr">
        <is>
          <t>Bergvik skog väst AB</t>
        </is>
      </c>
      <c r="G344" t="n">
        <v>33.1</v>
      </c>
      <c r="H344" t="n">
        <v>1</v>
      </c>
      <c r="I344" t="n">
        <v>0</v>
      </c>
      <c r="J344" t="n">
        <v>1</v>
      </c>
      <c r="K344" t="n">
        <v>0</v>
      </c>
      <c r="L344" t="n">
        <v>0</v>
      </c>
      <c r="M344" t="n">
        <v>0</v>
      </c>
      <c r="N344" t="n">
        <v>0</v>
      </c>
      <c r="O344" t="n">
        <v>1</v>
      </c>
      <c r="P344" t="n">
        <v>0</v>
      </c>
      <c r="Q344" t="n">
        <v>1</v>
      </c>
      <c r="R344" s="2" t="inlineStr">
        <is>
          <t>Kungsörn</t>
        </is>
      </c>
      <c r="S344">
        <f>HYPERLINK("https://klasma.github.io/Logging_1982/artfynd/A 15631-2023 artfynd.xlsx", "A 15631-2023")</f>
        <v/>
      </c>
      <c r="T344">
        <f>HYPERLINK("https://klasma.github.io/Logging_1982/kartor/A 15631-2023 karta.png", "A 15631-2023")</f>
        <v/>
      </c>
      <c r="V344">
        <f>HYPERLINK("https://klasma.github.io/Logging_1982/klagomål/A 15631-2023 FSC-klagomål.docx", "A 15631-2023")</f>
        <v/>
      </c>
      <c r="W344">
        <f>HYPERLINK("https://klasma.github.io/Logging_1982/klagomålsmail/A 15631-2023 FSC-klagomål mail.docx", "A 15631-2023")</f>
        <v/>
      </c>
      <c r="X344">
        <f>HYPERLINK("https://klasma.github.io/Logging_1982/tillsyn/A 15631-2023 tillsynsbegäran.docx", "A 15631-2023")</f>
        <v/>
      </c>
      <c r="Y344">
        <f>HYPERLINK("https://klasma.github.io/Logging_1982/tillsynsmail/A 15631-2023 tillsynsbegäran mail.docx", "A 15631-2023")</f>
        <v/>
      </c>
      <c r="Z344">
        <f>HYPERLINK("https://klasma.github.io/Logging_1982/fåglar/A 15631-2023 prioriterade fågelarter.docx", "A 15631-2023")</f>
        <v/>
      </c>
    </row>
    <row r="345" ht="15" customHeight="1">
      <c r="A345" t="inlineStr">
        <is>
          <t>A 16219-2023</t>
        </is>
      </c>
      <c r="B345" s="1" t="n">
        <v>45022</v>
      </c>
      <c r="C345" s="1" t="n">
        <v>45757</v>
      </c>
      <c r="D345" t="inlineStr">
        <is>
          <t>VÄSTMANLANDS LÄN</t>
        </is>
      </c>
      <c r="E345" t="inlineStr">
        <is>
          <t>SURAHAMMAR</t>
        </is>
      </c>
      <c r="G345" t="n">
        <v>5.9</v>
      </c>
      <c r="H345" t="n">
        <v>1</v>
      </c>
      <c r="I345" t="n">
        <v>0</v>
      </c>
      <c r="J345" t="n">
        <v>1</v>
      </c>
      <c r="K345" t="n">
        <v>0</v>
      </c>
      <c r="L345" t="n">
        <v>0</v>
      </c>
      <c r="M345" t="n">
        <v>0</v>
      </c>
      <c r="N345" t="n">
        <v>0</v>
      </c>
      <c r="O345" t="n">
        <v>1</v>
      </c>
      <c r="P345" t="n">
        <v>0</v>
      </c>
      <c r="Q345" t="n">
        <v>1</v>
      </c>
      <c r="R345" s="2" t="inlineStr">
        <is>
          <t>Talltita</t>
        </is>
      </c>
      <c r="S345">
        <f>HYPERLINK("https://klasma.github.io/Logging_1907/artfynd/A 16219-2023 artfynd.xlsx", "A 16219-2023")</f>
        <v/>
      </c>
      <c r="T345">
        <f>HYPERLINK("https://klasma.github.io/Logging_1907/kartor/A 16219-2023 karta.png", "A 16219-2023")</f>
        <v/>
      </c>
      <c r="V345">
        <f>HYPERLINK("https://klasma.github.io/Logging_1907/klagomål/A 16219-2023 FSC-klagomål.docx", "A 16219-2023")</f>
        <v/>
      </c>
      <c r="W345">
        <f>HYPERLINK("https://klasma.github.io/Logging_1907/klagomålsmail/A 16219-2023 FSC-klagomål mail.docx", "A 16219-2023")</f>
        <v/>
      </c>
      <c r="X345">
        <f>HYPERLINK("https://klasma.github.io/Logging_1907/tillsyn/A 16219-2023 tillsynsbegäran.docx", "A 16219-2023")</f>
        <v/>
      </c>
      <c r="Y345">
        <f>HYPERLINK("https://klasma.github.io/Logging_1907/tillsynsmail/A 16219-2023 tillsynsbegäran mail.docx", "A 16219-2023")</f>
        <v/>
      </c>
      <c r="Z345">
        <f>HYPERLINK("https://klasma.github.io/Logging_1907/fåglar/A 16219-2023 prioriterade fågelarter.docx", "A 16219-2023")</f>
        <v/>
      </c>
    </row>
    <row r="346" ht="15" customHeight="1">
      <c r="A346" t="inlineStr">
        <is>
          <t>A 18648-2023</t>
        </is>
      </c>
      <c r="B346" s="1" t="n">
        <v>45043</v>
      </c>
      <c r="C346" s="1" t="n">
        <v>45757</v>
      </c>
      <c r="D346" t="inlineStr">
        <is>
          <t>VÄSTMANLANDS LÄN</t>
        </is>
      </c>
      <c r="E346" t="inlineStr">
        <is>
          <t>SKINNSKATTEBERG</t>
        </is>
      </c>
      <c r="F346" t="inlineStr">
        <is>
          <t>Sveaskog</t>
        </is>
      </c>
      <c r="G346" t="n">
        <v>7.3</v>
      </c>
      <c r="H346" t="n">
        <v>0</v>
      </c>
      <c r="I346" t="n">
        <v>0</v>
      </c>
      <c r="J346" t="n">
        <v>1</v>
      </c>
      <c r="K346" t="n">
        <v>0</v>
      </c>
      <c r="L346" t="n">
        <v>0</v>
      </c>
      <c r="M346" t="n">
        <v>0</v>
      </c>
      <c r="N346" t="n">
        <v>0</v>
      </c>
      <c r="O346" t="n">
        <v>1</v>
      </c>
      <c r="P346" t="n">
        <v>0</v>
      </c>
      <c r="Q346" t="n">
        <v>1</v>
      </c>
      <c r="R346" s="2" t="inlineStr">
        <is>
          <t>Skogsklocka</t>
        </is>
      </c>
      <c r="S346">
        <f>HYPERLINK("https://klasma.github.io/Logging_1904/artfynd/A 18648-2023 artfynd.xlsx", "A 18648-2023")</f>
        <v/>
      </c>
      <c r="T346">
        <f>HYPERLINK("https://klasma.github.io/Logging_1904/kartor/A 18648-2023 karta.png", "A 18648-2023")</f>
        <v/>
      </c>
      <c r="V346">
        <f>HYPERLINK("https://klasma.github.io/Logging_1904/klagomål/A 18648-2023 FSC-klagomål.docx", "A 18648-2023")</f>
        <v/>
      </c>
      <c r="W346">
        <f>HYPERLINK("https://klasma.github.io/Logging_1904/klagomålsmail/A 18648-2023 FSC-klagomål mail.docx", "A 18648-2023")</f>
        <v/>
      </c>
      <c r="X346">
        <f>HYPERLINK("https://klasma.github.io/Logging_1904/tillsyn/A 18648-2023 tillsynsbegäran.docx", "A 18648-2023")</f>
        <v/>
      </c>
      <c r="Y346">
        <f>HYPERLINK("https://klasma.github.io/Logging_1904/tillsynsmail/A 18648-2023 tillsynsbegäran mail.docx", "A 18648-2023")</f>
        <v/>
      </c>
    </row>
    <row r="347" ht="15" customHeight="1">
      <c r="A347" t="inlineStr">
        <is>
          <t>A 19218-2023</t>
        </is>
      </c>
      <c r="B347" s="1" t="n">
        <v>45048</v>
      </c>
      <c r="C347" s="1" t="n">
        <v>45757</v>
      </c>
      <c r="D347" t="inlineStr">
        <is>
          <t>VÄSTMANLANDS LÄN</t>
        </is>
      </c>
      <c r="E347" t="inlineStr">
        <is>
          <t>FAGERSTA</t>
        </is>
      </c>
      <c r="F347" t="inlineStr">
        <is>
          <t>Sveaskog</t>
        </is>
      </c>
      <c r="G347" t="n">
        <v>9.5</v>
      </c>
      <c r="H347" t="n">
        <v>1</v>
      </c>
      <c r="I347" t="n">
        <v>0</v>
      </c>
      <c r="J347" t="n">
        <v>0</v>
      </c>
      <c r="K347" t="n">
        <v>0</v>
      </c>
      <c r="L347" t="n">
        <v>0</v>
      </c>
      <c r="M347" t="n">
        <v>0</v>
      </c>
      <c r="N347" t="n">
        <v>0</v>
      </c>
      <c r="O347" t="n">
        <v>0</v>
      </c>
      <c r="P347" t="n">
        <v>0</v>
      </c>
      <c r="Q347" t="n">
        <v>1</v>
      </c>
      <c r="R347" s="2" t="inlineStr">
        <is>
          <t>Fläcknycklar</t>
        </is>
      </c>
      <c r="S347">
        <f>HYPERLINK("https://klasma.github.io/Logging_1982/artfynd/A 19218-2023 artfynd.xlsx", "A 19218-2023")</f>
        <v/>
      </c>
      <c r="T347">
        <f>HYPERLINK("https://klasma.github.io/Logging_1982/kartor/A 19218-2023 karta.png", "A 19218-2023")</f>
        <v/>
      </c>
      <c r="V347">
        <f>HYPERLINK("https://klasma.github.io/Logging_1982/klagomål/A 19218-2023 FSC-klagomål.docx", "A 19218-2023")</f>
        <v/>
      </c>
      <c r="W347">
        <f>HYPERLINK("https://klasma.github.io/Logging_1982/klagomålsmail/A 19218-2023 FSC-klagomål mail.docx", "A 19218-2023")</f>
        <v/>
      </c>
      <c r="X347">
        <f>HYPERLINK("https://klasma.github.io/Logging_1982/tillsyn/A 19218-2023 tillsynsbegäran.docx", "A 19218-2023")</f>
        <v/>
      </c>
      <c r="Y347">
        <f>HYPERLINK("https://klasma.github.io/Logging_1982/tillsynsmail/A 19218-2023 tillsynsbegäran mail.docx", "A 19218-2023")</f>
        <v/>
      </c>
    </row>
    <row r="348" ht="15" customHeight="1">
      <c r="A348" t="inlineStr">
        <is>
          <t>A 22840-2023</t>
        </is>
      </c>
      <c r="B348" s="1" t="n">
        <v>45072</v>
      </c>
      <c r="C348" s="1" t="n">
        <v>45757</v>
      </c>
      <c r="D348" t="inlineStr">
        <is>
          <t>VÄSTMANLANDS LÄN</t>
        </is>
      </c>
      <c r="E348" t="inlineStr">
        <is>
          <t>SURAHAMMAR</t>
        </is>
      </c>
      <c r="G348" t="n">
        <v>4.3</v>
      </c>
      <c r="H348" t="n">
        <v>1</v>
      </c>
      <c r="I348" t="n">
        <v>0</v>
      </c>
      <c r="J348" t="n">
        <v>0</v>
      </c>
      <c r="K348" t="n">
        <v>0</v>
      </c>
      <c r="L348" t="n">
        <v>0</v>
      </c>
      <c r="M348" t="n">
        <v>0</v>
      </c>
      <c r="N348" t="n">
        <v>0</v>
      </c>
      <c r="O348" t="n">
        <v>0</v>
      </c>
      <c r="P348" t="n">
        <v>0</v>
      </c>
      <c r="Q348" t="n">
        <v>1</v>
      </c>
      <c r="R348" s="2" t="inlineStr">
        <is>
          <t>Fläcknycklar</t>
        </is>
      </c>
      <c r="S348">
        <f>HYPERLINK("https://klasma.github.io/Logging_1907/artfynd/A 22840-2023 artfynd.xlsx", "A 22840-2023")</f>
        <v/>
      </c>
      <c r="T348">
        <f>HYPERLINK("https://klasma.github.io/Logging_1907/kartor/A 22840-2023 karta.png", "A 22840-2023")</f>
        <v/>
      </c>
      <c r="V348">
        <f>HYPERLINK("https://klasma.github.io/Logging_1907/klagomål/A 22840-2023 FSC-klagomål.docx", "A 22840-2023")</f>
        <v/>
      </c>
      <c r="W348">
        <f>HYPERLINK("https://klasma.github.io/Logging_1907/klagomålsmail/A 22840-2023 FSC-klagomål mail.docx", "A 22840-2023")</f>
        <v/>
      </c>
      <c r="X348">
        <f>HYPERLINK("https://klasma.github.io/Logging_1907/tillsyn/A 22840-2023 tillsynsbegäran.docx", "A 22840-2023")</f>
        <v/>
      </c>
      <c r="Y348">
        <f>HYPERLINK("https://klasma.github.io/Logging_1907/tillsynsmail/A 22840-2023 tillsynsbegäran mail.docx", "A 22840-2023")</f>
        <v/>
      </c>
    </row>
    <row r="349" ht="15" customHeight="1">
      <c r="A349" t="inlineStr">
        <is>
          <t>A 23087-2023</t>
        </is>
      </c>
      <c r="B349" s="1" t="n">
        <v>45075</v>
      </c>
      <c r="C349" s="1" t="n">
        <v>45757</v>
      </c>
      <c r="D349" t="inlineStr">
        <is>
          <t>VÄSTMANLANDS LÄN</t>
        </is>
      </c>
      <c r="E349" t="inlineStr">
        <is>
          <t>NORBERG</t>
        </is>
      </c>
      <c r="F349" t="inlineStr">
        <is>
          <t>Bergvik skog väst AB</t>
        </is>
      </c>
      <c r="G349" t="n">
        <v>8.4</v>
      </c>
      <c r="H349" t="n">
        <v>1</v>
      </c>
      <c r="I349" t="n">
        <v>1</v>
      </c>
      <c r="J349" t="n">
        <v>0</v>
      </c>
      <c r="K349" t="n">
        <v>0</v>
      </c>
      <c r="L349" t="n">
        <v>0</v>
      </c>
      <c r="M349" t="n">
        <v>0</v>
      </c>
      <c r="N349" t="n">
        <v>0</v>
      </c>
      <c r="O349" t="n">
        <v>0</v>
      </c>
      <c r="P349" t="n">
        <v>0</v>
      </c>
      <c r="Q349" t="n">
        <v>1</v>
      </c>
      <c r="R349" s="2" t="inlineStr">
        <is>
          <t>Plattlummer</t>
        </is>
      </c>
      <c r="S349">
        <f>HYPERLINK("https://klasma.github.io/Logging_1962/artfynd/A 23087-2023 artfynd.xlsx", "A 23087-2023")</f>
        <v/>
      </c>
      <c r="T349">
        <f>HYPERLINK("https://klasma.github.io/Logging_1962/kartor/A 23087-2023 karta.png", "A 23087-2023")</f>
        <v/>
      </c>
      <c r="V349">
        <f>HYPERLINK("https://klasma.github.io/Logging_1962/klagomål/A 23087-2023 FSC-klagomål.docx", "A 23087-2023")</f>
        <v/>
      </c>
      <c r="W349">
        <f>HYPERLINK("https://klasma.github.io/Logging_1962/klagomålsmail/A 23087-2023 FSC-klagomål mail.docx", "A 23087-2023")</f>
        <v/>
      </c>
      <c r="X349">
        <f>HYPERLINK("https://klasma.github.io/Logging_1962/tillsyn/A 23087-2023 tillsynsbegäran.docx", "A 23087-2023")</f>
        <v/>
      </c>
      <c r="Y349">
        <f>HYPERLINK("https://klasma.github.io/Logging_1962/tillsynsmail/A 23087-2023 tillsynsbegäran mail.docx", "A 23087-2023")</f>
        <v/>
      </c>
    </row>
    <row r="350" ht="15" customHeight="1">
      <c r="A350" t="inlineStr">
        <is>
          <t>A 23690-2023</t>
        </is>
      </c>
      <c r="B350" s="1" t="n">
        <v>45077</v>
      </c>
      <c r="C350" s="1" t="n">
        <v>45757</v>
      </c>
      <c r="D350" t="inlineStr">
        <is>
          <t>VÄSTMANLANDS LÄN</t>
        </is>
      </c>
      <c r="E350" t="inlineStr">
        <is>
          <t>NORBERG</t>
        </is>
      </c>
      <c r="G350" t="n">
        <v>2.4</v>
      </c>
      <c r="H350" t="n">
        <v>0</v>
      </c>
      <c r="I350" t="n">
        <v>1</v>
      </c>
      <c r="J350" t="n">
        <v>0</v>
      </c>
      <c r="K350" t="n">
        <v>0</v>
      </c>
      <c r="L350" t="n">
        <v>0</v>
      </c>
      <c r="M350" t="n">
        <v>0</v>
      </c>
      <c r="N350" t="n">
        <v>0</v>
      </c>
      <c r="O350" t="n">
        <v>0</v>
      </c>
      <c r="P350" t="n">
        <v>0</v>
      </c>
      <c r="Q350" t="n">
        <v>1</v>
      </c>
      <c r="R350" s="2" t="inlineStr">
        <is>
          <t>Rödgul trumpetsvamp</t>
        </is>
      </c>
      <c r="S350">
        <f>HYPERLINK("https://klasma.github.io/Logging_1962/artfynd/A 23690-2023 artfynd.xlsx", "A 23690-2023")</f>
        <v/>
      </c>
      <c r="T350">
        <f>HYPERLINK("https://klasma.github.io/Logging_1962/kartor/A 23690-2023 karta.png", "A 23690-2023")</f>
        <v/>
      </c>
      <c r="U350">
        <f>HYPERLINK("https://klasma.github.io/Logging_1962/knärot/A 23690-2023 karta knärot.png", "A 23690-2023")</f>
        <v/>
      </c>
      <c r="V350">
        <f>HYPERLINK("https://klasma.github.io/Logging_1962/klagomål/A 23690-2023 FSC-klagomål.docx", "A 23690-2023")</f>
        <v/>
      </c>
      <c r="W350">
        <f>HYPERLINK("https://klasma.github.io/Logging_1962/klagomålsmail/A 23690-2023 FSC-klagomål mail.docx", "A 23690-2023")</f>
        <v/>
      </c>
      <c r="X350">
        <f>HYPERLINK("https://klasma.github.io/Logging_1962/tillsyn/A 23690-2023 tillsynsbegäran.docx", "A 23690-2023")</f>
        <v/>
      </c>
      <c r="Y350">
        <f>HYPERLINK("https://klasma.github.io/Logging_1962/tillsynsmail/A 23690-2023 tillsynsbegäran mail.docx", "A 23690-2023")</f>
        <v/>
      </c>
    </row>
    <row r="351" ht="15" customHeight="1">
      <c r="A351" t="inlineStr">
        <is>
          <t>A 23893-2023</t>
        </is>
      </c>
      <c r="B351" s="1" t="n">
        <v>45078</v>
      </c>
      <c r="C351" s="1" t="n">
        <v>45757</v>
      </c>
      <c r="D351" t="inlineStr">
        <is>
          <t>VÄSTMANLANDS LÄN</t>
        </is>
      </c>
      <c r="E351" t="inlineStr">
        <is>
          <t>SKINNSKATTEBERG</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HYPERLINK("https://klasma.github.io/Logging_1904/artfynd/A 23893-2023 artfynd.xlsx", "A 23893-2023")</f>
        <v/>
      </c>
      <c r="T351">
        <f>HYPERLINK("https://klasma.github.io/Logging_1904/kartor/A 23893-2023 karta.png", "A 23893-2023")</f>
        <v/>
      </c>
      <c r="U351">
        <f>HYPERLINK("https://klasma.github.io/Logging_1904/knärot/A 23893-2023 karta knärot.png", "A 23893-2023")</f>
        <v/>
      </c>
      <c r="V351">
        <f>HYPERLINK("https://klasma.github.io/Logging_1904/klagomål/A 23893-2023 FSC-klagomål.docx", "A 23893-2023")</f>
        <v/>
      </c>
      <c r="W351">
        <f>HYPERLINK("https://klasma.github.io/Logging_1904/klagomålsmail/A 23893-2023 FSC-klagomål mail.docx", "A 23893-2023")</f>
        <v/>
      </c>
      <c r="X351">
        <f>HYPERLINK("https://klasma.github.io/Logging_1904/tillsyn/A 23893-2023 tillsynsbegäran.docx", "A 23893-2023")</f>
        <v/>
      </c>
      <c r="Y351">
        <f>HYPERLINK("https://klasma.github.io/Logging_1904/tillsynsmail/A 23893-2023 tillsynsbegäran mail.docx", "A 23893-2023")</f>
        <v/>
      </c>
    </row>
    <row r="352" ht="15" customHeight="1">
      <c r="A352" t="inlineStr">
        <is>
          <t>A 24486-2023</t>
        </is>
      </c>
      <c r="B352" s="1" t="n">
        <v>45082</v>
      </c>
      <c r="C352" s="1" t="n">
        <v>45757</v>
      </c>
      <c r="D352" t="inlineStr">
        <is>
          <t>VÄSTMANLANDS LÄN</t>
        </is>
      </c>
      <c r="E352" t="inlineStr">
        <is>
          <t>VÄSTERÅS</t>
        </is>
      </c>
      <c r="G352" t="n">
        <v>12.8</v>
      </c>
      <c r="H352" t="n">
        <v>0</v>
      </c>
      <c r="I352" t="n">
        <v>1</v>
      </c>
      <c r="J352" t="n">
        <v>0</v>
      </c>
      <c r="K352" t="n">
        <v>0</v>
      </c>
      <c r="L352" t="n">
        <v>0</v>
      </c>
      <c r="M352" t="n">
        <v>0</v>
      </c>
      <c r="N352" t="n">
        <v>0</v>
      </c>
      <c r="O352" t="n">
        <v>0</v>
      </c>
      <c r="P352" t="n">
        <v>0</v>
      </c>
      <c r="Q352" t="n">
        <v>1</v>
      </c>
      <c r="R352" s="2" t="inlineStr">
        <is>
          <t>Vedticka</t>
        </is>
      </c>
      <c r="S352">
        <f>HYPERLINK("https://klasma.github.io/Logging_1980/artfynd/A 24486-2023 artfynd.xlsx", "A 24486-2023")</f>
        <v/>
      </c>
      <c r="T352">
        <f>HYPERLINK("https://klasma.github.io/Logging_1980/kartor/A 24486-2023 karta.png", "A 24486-2023")</f>
        <v/>
      </c>
      <c r="V352">
        <f>HYPERLINK("https://klasma.github.io/Logging_1980/klagomål/A 24486-2023 FSC-klagomål.docx", "A 24486-2023")</f>
        <v/>
      </c>
      <c r="W352">
        <f>HYPERLINK("https://klasma.github.io/Logging_1980/klagomålsmail/A 24486-2023 FSC-klagomål mail.docx", "A 24486-2023")</f>
        <v/>
      </c>
      <c r="X352">
        <f>HYPERLINK("https://klasma.github.io/Logging_1980/tillsyn/A 24486-2023 tillsynsbegäran.docx", "A 24486-2023")</f>
        <v/>
      </c>
      <c r="Y352">
        <f>HYPERLINK("https://klasma.github.io/Logging_1980/tillsynsmail/A 24486-2023 tillsynsbegäran mail.docx", "A 24486-2023")</f>
        <v/>
      </c>
    </row>
    <row r="353" ht="15" customHeight="1">
      <c r="A353" t="inlineStr">
        <is>
          <t>A 24920-2023</t>
        </is>
      </c>
      <c r="B353" s="1" t="n">
        <v>45085</v>
      </c>
      <c r="C353" s="1" t="n">
        <v>45757</v>
      </c>
      <c r="D353" t="inlineStr">
        <is>
          <t>VÄSTMANLANDS LÄN</t>
        </is>
      </c>
      <c r="E353" t="inlineStr">
        <is>
          <t>SURAHAMMAR</t>
        </is>
      </c>
      <c r="F353" t="inlineStr">
        <is>
          <t>Allmännings- och besparingsskogar</t>
        </is>
      </c>
      <c r="G353" t="n">
        <v>16.2</v>
      </c>
      <c r="H353" t="n">
        <v>1</v>
      </c>
      <c r="I353" t="n">
        <v>0</v>
      </c>
      <c r="J353" t="n">
        <v>1</v>
      </c>
      <c r="K353" t="n">
        <v>0</v>
      </c>
      <c r="L353" t="n">
        <v>0</v>
      </c>
      <c r="M353" t="n">
        <v>0</v>
      </c>
      <c r="N353" t="n">
        <v>0</v>
      </c>
      <c r="O353" t="n">
        <v>1</v>
      </c>
      <c r="P353" t="n">
        <v>0</v>
      </c>
      <c r="Q353" t="n">
        <v>1</v>
      </c>
      <c r="R353" s="2" t="inlineStr">
        <is>
          <t>Talltita</t>
        </is>
      </c>
      <c r="S353">
        <f>HYPERLINK("https://klasma.github.io/Logging_1907/artfynd/A 24920-2023 artfynd.xlsx", "A 24920-2023")</f>
        <v/>
      </c>
      <c r="T353">
        <f>HYPERLINK("https://klasma.github.io/Logging_1907/kartor/A 24920-2023 karta.png", "A 24920-2023")</f>
        <v/>
      </c>
      <c r="V353">
        <f>HYPERLINK("https://klasma.github.io/Logging_1907/klagomål/A 24920-2023 FSC-klagomål.docx", "A 24920-2023")</f>
        <v/>
      </c>
      <c r="W353">
        <f>HYPERLINK("https://klasma.github.io/Logging_1907/klagomålsmail/A 24920-2023 FSC-klagomål mail.docx", "A 24920-2023")</f>
        <v/>
      </c>
      <c r="X353">
        <f>HYPERLINK("https://klasma.github.io/Logging_1907/tillsyn/A 24920-2023 tillsynsbegäran.docx", "A 24920-2023")</f>
        <v/>
      </c>
      <c r="Y353">
        <f>HYPERLINK("https://klasma.github.io/Logging_1907/tillsynsmail/A 24920-2023 tillsynsbegäran mail.docx", "A 24920-2023")</f>
        <v/>
      </c>
      <c r="Z353">
        <f>HYPERLINK("https://klasma.github.io/Logging_1907/fåglar/A 24920-2023 prioriterade fågelarter.docx", "A 24920-2023")</f>
        <v/>
      </c>
    </row>
    <row r="354" ht="15" customHeight="1">
      <c r="A354" t="inlineStr">
        <is>
          <t>A 27170-2023</t>
        </is>
      </c>
      <c r="B354" s="1" t="n">
        <v>45096</v>
      </c>
      <c r="C354" s="1" t="n">
        <v>45757</v>
      </c>
      <c r="D354" t="inlineStr">
        <is>
          <t>VÄSTMANLANDS LÄN</t>
        </is>
      </c>
      <c r="E354" t="inlineStr">
        <is>
          <t>SURAHAMMAR</t>
        </is>
      </c>
      <c r="F354" t="inlineStr">
        <is>
          <t>Sveaskog</t>
        </is>
      </c>
      <c r="G354" t="n">
        <v>11.3</v>
      </c>
      <c r="H354" t="n">
        <v>0</v>
      </c>
      <c r="I354" t="n">
        <v>1</v>
      </c>
      <c r="J354" t="n">
        <v>0</v>
      </c>
      <c r="K354" t="n">
        <v>0</v>
      </c>
      <c r="L354" t="n">
        <v>0</v>
      </c>
      <c r="M354" t="n">
        <v>0</v>
      </c>
      <c r="N354" t="n">
        <v>0</v>
      </c>
      <c r="O354" t="n">
        <v>0</v>
      </c>
      <c r="P354" t="n">
        <v>0</v>
      </c>
      <c r="Q354" t="n">
        <v>1</v>
      </c>
      <c r="R354" s="2" t="inlineStr">
        <is>
          <t>Vedticka</t>
        </is>
      </c>
      <c r="S354">
        <f>HYPERLINK("https://klasma.github.io/Logging_1907/artfynd/A 27170-2023 artfynd.xlsx", "A 27170-2023")</f>
        <v/>
      </c>
      <c r="T354">
        <f>HYPERLINK("https://klasma.github.io/Logging_1907/kartor/A 27170-2023 karta.png", "A 27170-2023")</f>
        <v/>
      </c>
      <c r="V354">
        <f>HYPERLINK("https://klasma.github.io/Logging_1907/klagomål/A 27170-2023 FSC-klagomål.docx", "A 27170-2023")</f>
        <v/>
      </c>
      <c r="W354">
        <f>HYPERLINK("https://klasma.github.io/Logging_1907/klagomålsmail/A 27170-2023 FSC-klagomål mail.docx", "A 27170-2023")</f>
        <v/>
      </c>
      <c r="X354">
        <f>HYPERLINK("https://klasma.github.io/Logging_1907/tillsyn/A 27170-2023 tillsynsbegäran.docx", "A 27170-2023")</f>
        <v/>
      </c>
      <c r="Y354">
        <f>HYPERLINK("https://klasma.github.io/Logging_1907/tillsynsmail/A 27170-2023 tillsynsbegäran mail.docx", "A 27170-2023")</f>
        <v/>
      </c>
    </row>
    <row r="355" ht="15" customHeight="1">
      <c r="A355" t="inlineStr">
        <is>
          <t>A 28794-2023</t>
        </is>
      </c>
      <c r="B355" s="1" t="n">
        <v>45104</v>
      </c>
      <c r="C355" s="1" t="n">
        <v>45757</v>
      </c>
      <c r="D355" t="inlineStr">
        <is>
          <t>VÄSTMANLANDS LÄN</t>
        </is>
      </c>
      <c r="E355" t="inlineStr">
        <is>
          <t>FAGERSTA</t>
        </is>
      </c>
      <c r="G355" t="n">
        <v>12.2</v>
      </c>
      <c r="H355" t="n">
        <v>1</v>
      </c>
      <c r="I355" t="n">
        <v>0</v>
      </c>
      <c r="J355" t="n">
        <v>1</v>
      </c>
      <c r="K355" t="n">
        <v>0</v>
      </c>
      <c r="L355" t="n">
        <v>0</v>
      </c>
      <c r="M355" t="n">
        <v>0</v>
      </c>
      <c r="N355" t="n">
        <v>0</v>
      </c>
      <c r="O355" t="n">
        <v>1</v>
      </c>
      <c r="P355" t="n">
        <v>0</v>
      </c>
      <c r="Q355" t="n">
        <v>1</v>
      </c>
      <c r="R355" s="2" t="inlineStr">
        <is>
          <t>Spillkråka</t>
        </is>
      </c>
      <c r="S355">
        <f>HYPERLINK("https://klasma.github.io/Logging_1982/artfynd/A 28794-2023 artfynd.xlsx", "A 28794-2023")</f>
        <v/>
      </c>
      <c r="T355">
        <f>HYPERLINK("https://klasma.github.io/Logging_1982/kartor/A 28794-2023 karta.png", "A 28794-2023")</f>
        <v/>
      </c>
      <c r="V355">
        <f>HYPERLINK("https://klasma.github.io/Logging_1982/klagomål/A 28794-2023 FSC-klagomål.docx", "A 28794-2023")</f>
        <v/>
      </c>
      <c r="W355">
        <f>HYPERLINK("https://klasma.github.io/Logging_1982/klagomålsmail/A 28794-2023 FSC-klagomål mail.docx", "A 28794-2023")</f>
        <v/>
      </c>
      <c r="X355">
        <f>HYPERLINK("https://klasma.github.io/Logging_1982/tillsyn/A 28794-2023 tillsynsbegäran.docx", "A 28794-2023")</f>
        <v/>
      </c>
      <c r="Y355">
        <f>HYPERLINK("https://klasma.github.io/Logging_1982/tillsynsmail/A 28794-2023 tillsynsbegäran mail.docx", "A 28794-2023")</f>
        <v/>
      </c>
      <c r="Z355">
        <f>HYPERLINK("https://klasma.github.io/Logging_1982/fåglar/A 28794-2023 prioriterade fågelarter.docx", "A 28794-2023")</f>
        <v/>
      </c>
    </row>
    <row r="356" ht="15" customHeight="1">
      <c r="A356" t="inlineStr">
        <is>
          <t>A 29727-2023</t>
        </is>
      </c>
      <c r="B356" s="1" t="n">
        <v>45107</v>
      </c>
      <c r="C356" s="1" t="n">
        <v>45757</v>
      </c>
      <c r="D356" t="inlineStr">
        <is>
          <t>VÄSTMANLANDS LÄN</t>
        </is>
      </c>
      <c r="E356" t="inlineStr">
        <is>
          <t>SALA</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HYPERLINK("https://klasma.github.io/Logging_1981/artfynd/A 29727-2023 artfynd.xlsx", "A 29727-2023")</f>
        <v/>
      </c>
      <c r="T356">
        <f>HYPERLINK("https://klasma.github.io/Logging_1981/kartor/A 29727-2023 karta.png", "A 29727-2023")</f>
        <v/>
      </c>
      <c r="V356">
        <f>HYPERLINK("https://klasma.github.io/Logging_1981/klagomål/A 29727-2023 FSC-klagomål.docx", "A 29727-2023")</f>
        <v/>
      </c>
      <c r="W356">
        <f>HYPERLINK("https://klasma.github.io/Logging_1981/klagomålsmail/A 29727-2023 FSC-klagomål mail.docx", "A 29727-2023")</f>
        <v/>
      </c>
      <c r="X356">
        <f>HYPERLINK("https://klasma.github.io/Logging_1981/tillsyn/A 29727-2023 tillsynsbegäran.docx", "A 29727-2023")</f>
        <v/>
      </c>
      <c r="Y356">
        <f>HYPERLINK("https://klasma.github.io/Logging_1981/tillsynsmail/A 29727-2023 tillsynsbegäran mail.docx", "A 29727-2023")</f>
        <v/>
      </c>
    </row>
    <row r="357" ht="15" customHeight="1">
      <c r="A357" t="inlineStr">
        <is>
          <t>A 29787-2023</t>
        </is>
      </c>
      <c r="B357" s="1" t="n">
        <v>45107</v>
      </c>
      <c r="C357" s="1" t="n">
        <v>45757</v>
      </c>
      <c r="D357" t="inlineStr">
        <is>
          <t>VÄSTMANLANDS LÄN</t>
        </is>
      </c>
      <c r="E357" t="inlineStr">
        <is>
          <t>VÄSTERÅS</t>
        </is>
      </c>
      <c r="F357" t="inlineStr">
        <is>
          <t>Sveaskog</t>
        </is>
      </c>
      <c r="G357" t="n">
        <v>5.3</v>
      </c>
      <c r="H357" t="n">
        <v>1</v>
      </c>
      <c r="I357" t="n">
        <v>0</v>
      </c>
      <c r="J357" t="n">
        <v>0</v>
      </c>
      <c r="K357" t="n">
        <v>0</v>
      </c>
      <c r="L357" t="n">
        <v>0</v>
      </c>
      <c r="M357" t="n">
        <v>0</v>
      </c>
      <c r="N357" t="n">
        <v>0</v>
      </c>
      <c r="O357" t="n">
        <v>0</v>
      </c>
      <c r="P357" t="n">
        <v>0</v>
      </c>
      <c r="Q357" t="n">
        <v>1</v>
      </c>
      <c r="R357" s="2" t="inlineStr">
        <is>
          <t>Kopparödla</t>
        </is>
      </c>
      <c r="S357">
        <f>HYPERLINK("https://klasma.github.io/Logging_1980/artfynd/A 29787-2023 artfynd.xlsx", "A 29787-2023")</f>
        <v/>
      </c>
      <c r="T357">
        <f>HYPERLINK("https://klasma.github.io/Logging_1980/kartor/A 29787-2023 karta.png", "A 29787-2023")</f>
        <v/>
      </c>
      <c r="V357">
        <f>HYPERLINK("https://klasma.github.io/Logging_1980/klagomål/A 29787-2023 FSC-klagomål.docx", "A 29787-2023")</f>
        <v/>
      </c>
      <c r="W357">
        <f>HYPERLINK("https://klasma.github.io/Logging_1980/klagomålsmail/A 29787-2023 FSC-klagomål mail.docx", "A 29787-2023")</f>
        <v/>
      </c>
      <c r="X357">
        <f>HYPERLINK("https://klasma.github.io/Logging_1980/tillsyn/A 29787-2023 tillsynsbegäran.docx", "A 29787-2023")</f>
        <v/>
      </c>
      <c r="Y357">
        <f>HYPERLINK("https://klasma.github.io/Logging_1980/tillsynsmail/A 29787-2023 tillsynsbegäran mail.docx", "A 29787-2023")</f>
        <v/>
      </c>
    </row>
    <row r="358" ht="15" customHeight="1">
      <c r="A358" t="inlineStr">
        <is>
          <t>A 30074-2023</t>
        </is>
      </c>
      <c r="B358" s="1" t="n">
        <v>45110</v>
      </c>
      <c r="C358" s="1" t="n">
        <v>45757</v>
      </c>
      <c r="D358" t="inlineStr">
        <is>
          <t>VÄSTMANLANDS LÄN</t>
        </is>
      </c>
      <c r="E358" t="inlineStr">
        <is>
          <t>SURAHAMMAR</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HYPERLINK("https://klasma.github.io/Logging_1907/artfynd/A 30074-2023 artfynd.xlsx", "A 30074-2023")</f>
        <v/>
      </c>
      <c r="T358">
        <f>HYPERLINK("https://klasma.github.io/Logging_1907/kartor/A 30074-2023 karta.png", "A 30074-2023")</f>
        <v/>
      </c>
      <c r="V358">
        <f>HYPERLINK("https://klasma.github.io/Logging_1907/klagomål/A 30074-2023 FSC-klagomål.docx", "A 30074-2023")</f>
        <v/>
      </c>
      <c r="W358">
        <f>HYPERLINK("https://klasma.github.io/Logging_1907/klagomålsmail/A 30074-2023 FSC-klagomål mail.docx", "A 30074-2023")</f>
        <v/>
      </c>
      <c r="X358">
        <f>HYPERLINK("https://klasma.github.io/Logging_1907/tillsyn/A 30074-2023 tillsynsbegäran.docx", "A 30074-2023")</f>
        <v/>
      </c>
      <c r="Y358">
        <f>HYPERLINK("https://klasma.github.io/Logging_1907/tillsynsmail/A 30074-2023 tillsynsbegäran mail.docx", "A 30074-2023")</f>
        <v/>
      </c>
    </row>
    <row r="359" ht="15" customHeight="1">
      <c r="A359" t="inlineStr">
        <is>
          <t>A 30073-2023</t>
        </is>
      </c>
      <c r="B359" s="1" t="n">
        <v>45110</v>
      </c>
      <c r="C359" s="1" t="n">
        <v>45757</v>
      </c>
      <c r="D359" t="inlineStr">
        <is>
          <t>VÄSTMANLANDS LÄN</t>
        </is>
      </c>
      <c r="E359" t="inlineStr">
        <is>
          <t>SURAHAMMAR</t>
        </is>
      </c>
      <c r="F359" t="inlineStr">
        <is>
          <t>Sveaskog</t>
        </is>
      </c>
      <c r="G359" t="n">
        <v>4.7</v>
      </c>
      <c r="H359" t="n">
        <v>0</v>
      </c>
      <c r="I359" t="n">
        <v>1</v>
      </c>
      <c r="J359" t="n">
        <v>0</v>
      </c>
      <c r="K359" t="n">
        <v>0</v>
      </c>
      <c r="L359" t="n">
        <v>0</v>
      </c>
      <c r="M359" t="n">
        <v>0</v>
      </c>
      <c r="N359" t="n">
        <v>0</v>
      </c>
      <c r="O359" t="n">
        <v>0</v>
      </c>
      <c r="P359" t="n">
        <v>0</v>
      </c>
      <c r="Q359" t="n">
        <v>1</v>
      </c>
      <c r="R359" s="2" t="inlineStr">
        <is>
          <t>Grönpyrola</t>
        </is>
      </c>
      <c r="S359">
        <f>HYPERLINK("https://klasma.github.io/Logging_1907/artfynd/A 30073-2023 artfynd.xlsx", "A 30073-2023")</f>
        <v/>
      </c>
      <c r="T359">
        <f>HYPERLINK("https://klasma.github.io/Logging_1907/kartor/A 30073-2023 karta.png", "A 30073-2023")</f>
        <v/>
      </c>
      <c r="V359">
        <f>HYPERLINK("https://klasma.github.io/Logging_1907/klagomål/A 30073-2023 FSC-klagomål.docx", "A 30073-2023")</f>
        <v/>
      </c>
      <c r="W359">
        <f>HYPERLINK("https://klasma.github.io/Logging_1907/klagomålsmail/A 30073-2023 FSC-klagomål mail.docx", "A 30073-2023")</f>
        <v/>
      </c>
      <c r="X359">
        <f>HYPERLINK("https://klasma.github.io/Logging_1907/tillsyn/A 30073-2023 tillsynsbegäran.docx", "A 30073-2023")</f>
        <v/>
      </c>
      <c r="Y359">
        <f>HYPERLINK("https://klasma.github.io/Logging_1907/tillsynsmail/A 30073-2023 tillsynsbegäran mail.docx", "A 30073-2023")</f>
        <v/>
      </c>
    </row>
    <row r="360" ht="15" customHeight="1">
      <c r="A360" t="inlineStr">
        <is>
          <t>A 30084-2023</t>
        </is>
      </c>
      <c r="B360" s="1" t="n">
        <v>45110</v>
      </c>
      <c r="C360" s="1" t="n">
        <v>45757</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Blåsippa</t>
        </is>
      </c>
      <c r="S360">
        <f>HYPERLINK("https://klasma.github.io/Logging_1980/artfynd/A 30084-2023 artfynd.xlsx", "A 30084-2023")</f>
        <v/>
      </c>
      <c r="T360">
        <f>HYPERLINK("https://klasma.github.io/Logging_1980/kartor/A 30084-2023 karta.png", "A 30084-2023")</f>
        <v/>
      </c>
      <c r="V360">
        <f>HYPERLINK("https://klasma.github.io/Logging_1980/klagomål/A 30084-2023 FSC-klagomål.docx", "A 30084-2023")</f>
        <v/>
      </c>
      <c r="W360">
        <f>HYPERLINK("https://klasma.github.io/Logging_1980/klagomålsmail/A 30084-2023 FSC-klagomål mail.docx", "A 30084-2023")</f>
        <v/>
      </c>
      <c r="X360">
        <f>HYPERLINK("https://klasma.github.io/Logging_1980/tillsyn/A 30084-2023 tillsynsbegäran.docx", "A 30084-2023")</f>
        <v/>
      </c>
      <c r="Y360">
        <f>HYPERLINK("https://klasma.github.io/Logging_1980/tillsynsmail/A 30084-2023 tillsynsbegäran mail.docx", "A 30084-2023")</f>
        <v/>
      </c>
    </row>
    <row r="361" ht="15" customHeight="1">
      <c r="A361" t="inlineStr">
        <is>
          <t>A 31354-2023</t>
        </is>
      </c>
      <c r="B361" s="1" t="n">
        <v>45114</v>
      </c>
      <c r="C361" s="1" t="n">
        <v>45757</v>
      </c>
      <c r="D361" t="inlineStr">
        <is>
          <t>VÄSTMANLANDS LÄN</t>
        </is>
      </c>
      <c r="E361" t="inlineStr">
        <is>
          <t>VÄSTERÅS</t>
        </is>
      </c>
      <c r="F361" t="inlineStr">
        <is>
          <t>Sveaskog</t>
        </is>
      </c>
      <c r="G361" t="n">
        <v>5.7</v>
      </c>
      <c r="H361" t="n">
        <v>1</v>
      </c>
      <c r="I361" t="n">
        <v>0</v>
      </c>
      <c r="J361" t="n">
        <v>1</v>
      </c>
      <c r="K361" t="n">
        <v>0</v>
      </c>
      <c r="L361" t="n">
        <v>0</v>
      </c>
      <c r="M361" t="n">
        <v>0</v>
      </c>
      <c r="N361" t="n">
        <v>0</v>
      </c>
      <c r="O361" t="n">
        <v>1</v>
      </c>
      <c r="P361" t="n">
        <v>0</v>
      </c>
      <c r="Q361" t="n">
        <v>1</v>
      </c>
      <c r="R361" s="2" t="inlineStr">
        <is>
          <t>Talltita</t>
        </is>
      </c>
      <c r="S361">
        <f>HYPERLINK("https://klasma.github.io/Logging_1980/artfynd/A 31354-2023 artfynd.xlsx", "A 31354-2023")</f>
        <v/>
      </c>
      <c r="T361">
        <f>HYPERLINK("https://klasma.github.io/Logging_1980/kartor/A 31354-2023 karta.png", "A 31354-2023")</f>
        <v/>
      </c>
      <c r="V361">
        <f>HYPERLINK("https://klasma.github.io/Logging_1980/klagomål/A 31354-2023 FSC-klagomål.docx", "A 31354-2023")</f>
        <v/>
      </c>
      <c r="W361">
        <f>HYPERLINK("https://klasma.github.io/Logging_1980/klagomålsmail/A 31354-2023 FSC-klagomål mail.docx", "A 31354-2023")</f>
        <v/>
      </c>
      <c r="X361">
        <f>HYPERLINK("https://klasma.github.io/Logging_1980/tillsyn/A 31354-2023 tillsynsbegäran.docx", "A 31354-2023")</f>
        <v/>
      </c>
      <c r="Y361">
        <f>HYPERLINK("https://klasma.github.io/Logging_1980/tillsynsmail/A 31354-2023 tillsynsbegäran mail.docx", "A 31354-2023")</f>
        <v/>
      </c>
      <c r="Z361">
        <f>HYPERLINK("https://klasma.github.io/Logging_1980/fåglar/A 31354-2023 prioriterade fågelarter.docx", "A 31354-2023")</f>
        <v/>
      </c>
    </row>
    <row r="362" ht="15" customHeight="1">
      <c r="A362" t="inlineStr">
        <is>
          <t>A 31535-2023</t>
        </is>
      </c>
      <c r="B362" s="1" t="n">
        <v>45116</v>
      </c>
      <c r="C362" s="1" t="n">
        <v>45757</v>
      </c>
      <c r="D362" t="inlineStr">
        <is>
          <t>VÄSTMANLANDS LÄN</t>
        </is>
      </c>
      <c r="E362" t="inlineStr">
        <is>
          <t>SALA</t>
        </is>
      </c>
      <c r="G362" t="n">
        <v>0.9</v>
      </c>
      <c r="H362" t="n">
        <v>0</v>
      </c>
      <c r="I362" t="n">
        <v>0</v>
      </c>
      <c r="J362" t="n">
        <v>1</v>
      </c>
      <c r="K362" t="n">
        <v>0</v>
      </c>
      <c r="L362" t="n">
        <v>0</v>
      </c>
      <c r="M362" t="n">
        <v>0</v>
      </c>
      <c r="N362" t="n">
        <v>0</v>
      </c>
      <c r="O362" t="n">
        <v>1</v>
      </c>
      <c r="P362" t="n">
        <v>0</v>
      </c>
      <c r="Q362" t="n">
        <v>1</v>
      </c>
      <c r="R362" s="2" t="inlineStr">
        <is>
          <t>Orange taggsvamp</t>
        </is>
      </c>
      <c r="S362">
        <f>HYPERLINK("https://klasma.github.io/Logging_1981/artfynd/A 31535-2023 artfynd.xlsx", "A 31535-2023")</f>
        <v/>
      </c>
      <c r="T362">
        <f>HYPERLINK("https://klasma.github.io/Logging_1981/kartor/A 31535-2023 karta.png", "A 31535-2023")</f>
        <v/>
      </c>
      <c r="V362">
        <f>HYPERLINK("https://klasma.github.io/Logging_1981/klagomål/A 31535-2023 FSC-klagomål.docx", "A 31535-2023")</f>
        <v/>
      </c>
      <c r="W362">
        <f>HYPERLINK("https://klasma.github.io/Logging_1981/klagomålsmail/A 31535-2023 FSC-klagomål mail.docx", "A 31535-2023")</f>
        <v/>
      </c>
      <c r="X362">
        <f>HYPERLINK("https://klasma.github.io/Logging_1981/tillsyn/A 31535-2023 tillsynsbegäran.docx", "A 31535-2023")</f>
        <v/>
      </c>
      <c r="Y362">
        <f>HYPERLINK("https://klasma.github.io/Logging_1981/tillsynsmail/A 31535-2023 tillsynsbegäran mail.docx", "A 31535-2023")</f>
        <v/>
      </c>
    </row>
    <row r="363" ht="15" customHeight="1">
      <c r="A363" t="inlineStr">
        <is>
          <t>A 37277-2023</t>
        </is>
      </c>
      <c r="B363" s="1" t="n">
        <v>45156</v>
      </c>
      <c r="C363" s="1" t="n">
        <v>45757</v>
      </c>
      <c r="D363" t="inlineStr">
        <is>
          <t>VÄSTMANLANDS LÄN</t>
        </is>
      </c>
      <c r="E363" t="inlineStr">
        <is>
          <t>SURAHAMMAR</t>
        </is>
      </c>
      <c r="G363" t="n">
        <v>4.3</v>
      </c>
      <c r="H363" t="n">
        <v>1</v>
      </c>
      <c r="I363" t="n">
        <v>0</v>
      </c>
      <c r="J363" t="n">
        <v>0</v>
      </c>
      <c r="K363" t="n">
        <v>1</v>
      </c>
      <c r="L363" t="n">
        <v>0</v>
      </c>
      <c r="M363" t="n">
        <v>0</v>
      </c>
      <c r="N363" t="n">
        <v>0</v>
      </c>
      <c r="O363" t="n">
        <v>1</v>
      </c>
      <c r="P363" t="n">
        <v>1</v>
      </c>
      <c r="Q363" t="n">
        <v>1</v>
      </c>
      <c r="R363" s="2" t="inlineStr">
        <is>
          <t>Bombmurkla</t>
        </is>
      </c>
      <c r="S363">
        <f>HYPERLINK("https://klasma.github.io/Logging_1907/artfynd/A 37277-2023 artfynd.xlsx", "A 37277-2023")</f>
        <v/>
      </c>
      <c r="T363">
        <f>HYPERLINK("https://klasma.github.io/Logging_1907/kartor/A 37277-2023 karta.png", "A 37277-2023")</f>
        <v/>
      </c>
      <c r="V363">
        <f>HYPERLINK("https://klasma.github.io/Logging_1907/klagomål/A 37277-2023 FSC-klagomål.docx", "A 37277-2023")</f>
        <v/>
      </c>
      <c r="W363">
        <f>HYPERLINK("https://klasma.github.io/Logging_1907/klagomålsmail/A 37277-2023 FSC-klagomål mail.docx", "A 37277-2023")</f>
        <v/>
      </c>
      <c r="X363">
        <f>HYPERLINK("https://klasma.github.io/Logging_1907/tillsyn/A 37277-2023 tillsynsbegäran.docx", "A 37277-2023")</f>
        <v/>
      </c>
      <c r="Y363">
        <f>HYPERLINK("https://klasma.github.io/Logging_1907/tillsynsmail/A 37277-2023 tillsynsbegäran mail.docx", "A 37277-2023")</f>
        <v/>
      </c>
    </row>
    <row r="364" ht="15" customHeight="1">
      <c r="A364" t="inlineStr">
        <is>
          <t>A 38849-2023</t>
        </is>
      </c>
      <c r="B364" s="1" t="n">
        <v>45163</v>
      </c>
      <c r="C364" s="1" t="n">
        <v>45757</v>
      </c>
      <c r="D364" t="inlineStr">
        <is>
          <t>VÄSTMANLANDS LÄN</t>
        </is>
      </c>
      <c r="E364" t="inlineStr">
        <is>
          <t>VÄSTERÅS</t>
        </is>
      </c>
      <c r="G364" t="n">
        <v>2.9</v>
      </c>
      <c r="H364" t="n">
        <v>1</v>
      </c>
      <c r="I364" t="n">
        <v>0</v>
      </c>
      <c r="J364" t="n">
        <v>1</v>
      </c>
      <c r="K364" t="n">
        <v>0</v>
      </c>
      <c r="L364" t="n">
        <v>0</v>
      </c>
      <c r="M364" t="n">
        <v>0</v>
      </c>
      <c r="N364" t="n">
        <v>0</v>
      </c>
      <c r="O364" t="n">
        <v>1</v>
      </c>
      <c r="P364" t="n">
        <v>0</v>
      </c>
      <c r="Q364" t="n">
        <v>1</v>
      </c>
      <c r="R364" s="2" t="inlineStr">
        <is>
          <t>Spillkråka</t>
        </is>
      </c>
      <c r="S364">
        <f>HYPERLINK("https://klasma.github.io/Logging_1980/artfynd/A 38849-2023 artfynd.xlsx", "A 38849-2023")</f>
        <v/>
      </c>
      <c r="T364">
        <f>HYPERLINK("https://klasma.github.io/Logging_1980/kartor/A 38849-2023 karta.png", "A 38849-2023")</f>
        <v/>
      </c>
      <c r="V364">
        <f>HYPERLINK("https://klasma.github.io/Logging_1980/klagomål/A 38849-2023 FSC-klagomål.docx", "A 38849-2023")</f>
        <v/>
      </c>
      <c r="W364">
        <f>HYPERLINK("https://klasma.github.io/Logging_1980/klagomålsmail/A 38849-2023 FSC-klagomål mail.docx", "A 38849-2023")</f>
        <v/>
      </c>
      <c r="X364">
        <f>HYPERLINK("https://klasma.github.io/Logging_1980/tillsyn/A 38849-2023 tillsynsbegäran.docx", "A 38849-2023")</f>
        <v/>
      </c>
      <c r="Y364">
        <f>HYPERLINK("https://klasma.github.io/Logging_1980/tillsynsmail/A 38849-2023 tillsynsbegäran mail.docx", "A 38849-2023")</f>
        <v/>
      </c>
      <c r="Z364">
        <f>HYPERLINK("https://klasma.github.io/Logging_1980/fåglar/A 38849-2023 prioriterade fågelarter.docx", "A 38849-2023")</f>
        <v/>
      </c>
    </row>
    <row r="365" ht="15" customHeight="1">
      <c r="A365" t="inlineStr">
        <is>
          <t>A 38712-2023</t>
        </is>
      </c>
      <c r="B365" s="1" t="n">
        <v>45163</v>
      </c>
      <c r="C365" s="1" t="n">
        <v>45757</v>
      </c>
      <c r="D365" t="inlineStr">
        <is>
          <t>VÄSTMANLANDS LÄN</t>
        </is>
      </c>
      <c r="E365" t="inlineStr">
        <is>
          <t>SKINNSKATTEBERG</t>
        </is>
      </c>
      <c r="F365" t="inlineStr">
        <is>
          <t>Sveaskog</t>
        </is>
      </c>
      <c r="G365" t="n">
        <v>8</v>
      </c>
      <c r="H365" t="n">
        <v>1</v>
      </c>
      <c r="I365" t="n">
        <v>0</v>
      </c>
      <c r="J365" t="n">
        <v>0</v>
      </c>
      <c r="K365" t="n">
        <v>0</v>
      </c>
      <c r="L365" t="n">
        <v>0</v>
      </c>
      <c r="M365" t="n">
        <v>0</v>
      </c>
      <c r="N365" t="n">
        <v>0</v>
      </c>
      <c r="O365" t="n">
        <v>0</v>
      </c>
      <c r="P365" t="n">
        <v>0</v>
      </c>
      <c r="Q365" t="n">
        <v>1</v>
      </c>
      <c r="R365" s="2" t="inlineStr">
        <is>
          <t>Grönvit nattviol</t>
        </is>
      </c>
      <c r="S365">
        <f>HYPERLINK("https://klasma.github.io/Logging_1904/artfynd/A 38712-2023 artfynd.xlsx", "A 38712-2023")</f>
        <v/>
      </c>
      <c r="T365">
        <f>HYPERLINK("https://klasma.github.io/Logging_1904/kartor/A 38712-2023 karta.png", "A 38712-2023")</f>
        <v/>
      </c>
      <c r="V365">
        <f>HYPERLINK("https://klasma.github.io/Logging_1904/klagomål/A 38712-2023 FSC-klagomål.docx", "A 38712-2023")</f>
        <v/>
      </c>
      <c r="W365">
        <f>HYPERLINK("https://klasma.github.io/Logging_1904/klagomålsmail/A 38712-2023 FSC-klagomål mail.docx", "A 38712-2023")</f>
        <v/>
      </c>
      <c r="X365">
        <f>HYPERLINK("https://klasma.github.io/Logging_1904/tillsyn/A 38712-2023 tillsynsbegäran.docx", "A 38712-2023")</f>
        <v/>
      </c>
      <c r="Y365">
        <f>HYPERLINK("https://klasma.github.io/Logging_1904/tillsynsmail/A 38712-2023 tillsynsbegäran mail.docx", "A 38712-2023")</f>
        <v/>
      </c>
    </row>
    <row r="366" ht="15" customHeight="1">
      <c r="A366" t="inlineStr">
        <is>
          <t>A 40302-2023</t>
        </is>
      </c>
      <c r="B366" s="1" t="n">
        <v>45169</v>
      </c>
      <c r="C366" s="1" t="n">
        <v>45757</v>
      </c>
      <c r="D366" t="inlineStr">
        <is>
          <t>VÄSTMANLANDS LÄN</t>
        </is>
      </c>
      <c r="E366" t="inlineStr">
        <is>
          <t>VÄSTERÅS</t>
        </is>
      </c>
      <c r="F366" t="inlineStr">
        <is>
          <t>Sveaskog</t>
        </is>
      </c>
      <c r="G366" t="n">
        <v>4.9</v>
      </c>
      <c r="H366" t="n">
        <v>0</v>
      </c>
      <c r="I366" t="n">
        <v>0</v>
      </c>
      <c r="J366" t="n">
        <v>1</v>
      </c>
      <c r="K366" t="n">
        <v>0</v>
      </c>
      <c r="L366" t="n">
        <v>0</v>
      </c>
      <c r="M366" t="n">
        <v>0</v>
      </c>
      <c r="N366" t="n">
        <v>0</v>
      </c>
      <c r="O366" t="n">
        <v>1</v>
      </c>
      <c r="P366" t="n">
        <v>0</v>
      </c>
      <c r="Q366" t="n">
        <v>1</v>
      </c>
      <c r="R366" s="2" t="inlineStr">
        <is>
          <t>Vedskivlav</t>
        </is>
      </c>
      <c r="S366">
        <f>HYPERLINK("https://klasma.github.io/Logging_1980/artfynd/A 40302-2023 artfynd.xlsx", "A 40302-2023")</f>
        <v/>
      </c>
      <c r="T366">
        <f>HYPERLINK("https://klasma.github.io/Logging_1980/kartor/A 40302-2023 karta.png", "A 40302-2023")</f>
        <v/>
      </c>
      <c r="V366">
        <f>HYPERLINK("https://klasma.github.io/Logging_1980/klagomål/A 40302-2023 FSC-klagomål.docx", "A 40302-2023")</f>
        <v/>
      </c>
      <c r="W366">
        <f>HYPERLINK("https://klasma.github.io/Logging_1980/klagomålsmail/A 40302-2023 FSC-klagomål mail.docx", "A 40302-2023")</f>
        <v/>
      </c>
      <c r="X366">
        <f>HYPERLINK("https://klasma.github.io/Logging_1980/tillsyn/A 40302-2023 tillsynsbegäran.docx", "A 40302-2023")</f>
        <v/>
      </c>
      <c r="Y366">
        <f>HYPERLINK("https://klasma.github.io/Logging_1980/tillsynsmail/A 40302-2023 tillsynsbegäran mail.docx", "A 40302-2023")</f>
        <v/>
      </c>
    </row>
    <row r="367" ht="15" customHeight="1">
      <c r="A367" t="inlineStr">
        <is>
          <t>A 41622-2023</t>
        </is>
      </c>
      <c r="B367" s="1" t="n">
        <v>45175</v>
      </c>
      <c r="C367" s="1" t="n">
        <v>45757</v>
      </c>
      <c r="D367" t="inlineStr">
        <is>
          <t>VÄSTMANLANDS LÄN</t>
        </is>
      </c>
      <c r="E367" t="inlineStr">
        <is>
          <t>SURAHAMMAR</t>
        </is>
      </c>
      <c r="G367" t="n">
        <v>0.6</v>
      </c>
      <c r="H367" t="n">
        <v>1</v>
      </c>
      <c r="I367" t="n">
        <v>0</v>
      </c>
      <c r="J367" t="n">
        <v>0</v>
      </c>
      <c r="K367" t="n">
        <v>1</v>
      </c>
      <c r="L367" t="n">
        <v>0</v>
      </c>
      <c r="M367" t="n">
        <v>0</v>
      </c>
      <c r="N367" t="n">
        <v>0</v>
      </c>
      <c r="O367" t="n">
        <v>1</v>
      </c>
      <c r="P367" t="n">
        <v>1</v>
      </c>
      <c r="Q367" t="n">
        <v>1</v>
      </c>
      <c r="R367" s="2" t="inlineStr">
        <is>
          <t>Knärot</t>
        </is>
      </c>
      <c r="S367">
        <f>HYPERLINK("https://klasma.github.io/Logging_1907/artfynd/A 41622-2023 artfynd.xlsx", "A 41622-2023")</f>
        <v/>
      </c>
      <c r="T367">
        <f>HYPERLINK("https://klasma.github.io/Logging_1907/kartor/A 41622-2023 karta.png", "A 41622-2023")</f>
        <v/>
      </c>
      <c r="U367">
        <f>HYPERLINK("https://klasma.github.io/Logging_1907/knärot/A 41622-2023 karta knärot.png", "A 41622-2023")</f>
        <v/>
      </c>
      <c r="V367">
        <f>HYPERLINK("https://klasma.github.io/Logging_1907/klagomål/A 41622-2023 FSC-klagomål.docx", "A 41622-2023")</f>
        <v/>
      </c>
      <c r="W367">
        <f>HYPERLINK("https://klasma.github.io/Logging_1907/klagomålsmail/A 41622-2023 FSC-klagomål mail.docx", "A 41622-2023")</f>
        <v/>
      </c>
      <c r="X367">
        <f>HYPERLINK("https://klasma.github.io/Logging_1907/tillsyn/A 41622-2023 tillsynsbegäran.docx", "A 41622-2023")</f>
        <v/>
      </c>
      <c r="Y367">
        <f>HYPERLINK("https://klasma.github.io/Logging_1907/tillsynsmail/A 41622-2023 tillsynsbegäran mail.docx", "A 41622-2023")</f>
        <v/>
      </c>
    </row>
    <row r="368" ht="15" customHeight="1">
      <c r="A368" t="inlineStr">
        <is>
          <t>A 42194-2023</t>
        </is>
      </c>
      <c r="B368" s="1" t="n">
        <v>45179</v>
      </c>
      <c r="C368" s="1" t="n">
        <v>45757</v>
      </c>
      <c r="D368" t="inlineStr">
        <is>
          <t>VÄSTMANLANDS LÄN</t>
        </is>
      </c>
      <c r="E368" t="inlineStr">
        <is>
          <t>NORBERG</t>
        </is>
      </c>
      <c r="F368" t="inlineStr">
        <is>
          <t>Sveaskog</t>
        </is>
      </c>
      <c r="G368" t="n">
        <v>2.8</v>
      </c>
      <c r="H368" t="n">
        <v>1</v>
      </c>
      <c r="I368" t="n">
        <v>0</v>
      </c>
      <c r="J368" t="n">
        <v>0</v>
      </c>
      <c r="K368" t="n">
        <v>0</v>
      </c>
      <c r="L368" t="n">
        <v>0</v>
      </c>
      <c r="M368" t="n">
        <v>0</v>
      </c>
      <c r="N368" t="n">
        <v>0</v>
      </c>
      <c r="O368" t="n">
        <v>0</v>
      </c>
      <c r="P368" t="n">
        <v>0</v>
      </c>
      <c r="Q368" t="n">
        <v>1</v>
      </c>
      <c r="R368" s="2" t="inlineStr">
        <is>
          <t>Revlummer</t>
        </is>
      </c>
      <c r="S368">
        <f>HYPERLINK("https://klasma.github.io/Logging_1962/artfynd/A 42194-2023 artfynd.xlsx", "A 42194-2023")</f>
        <v/>
      </c>
      <c r="T368">
        <f>HYPERLINK("https://klasma.github.io/Logging_1962/kartor/A 42194-2023 karta.png", "A 42194-2023")</f>
        <v/>
      </c>
      <c r="V368">
        <f>HYPERLINK("https://klasma.github.io/Logging_1962/klagomål/A 42194-2023 FSC-klagomål.docx", "A 42194-2023")</f>
        <v/>
      </c>
      <c r="W368">
        <f>HYPERLINK("https://klasma.github.io/Logging_1962/klagomålsmail/A 42194-2023 FSC-klagomål mail.docx", "A 42194-2023")</f>
        <v/>
      </c>
      <c r="X368">
        <f>HYPERLINK("https://klasma.github.io/Logging_1962/tillsyn/A 42194-2023 tillsynsbegäran.docx", "A 42194-2023")</f>
        <v/>
      </c>
      <c r="Y368">
        <f>HYPERLINK("https://klasma.github.io/Logging_1962/tillsynsmail/A 42194-2023 tillsynsbegäran mail.docx", "A 42194-2023")</f>
        <v/>
      </c>
    </row>
    <row r="369" ht="15" customHeight="1">
      <c r="A369" t="inlineStr">
        <is>
          <t>A 43175-2023</t>
        </is>
      </c>
      <c r="B369" s="1" t="n">
        <v>45183</v>
      </c>
      <c r="C369" s="1" t="n">
        <v>45757</v>
      </c>
      <c r="D369" t="inlineStr">
        <is>
          <t>VÄSTMANLANDS LÄN</t>
        </is>
      </c>
      <c r="E369" t="inlineStr">
        <is>
          <t>SALA</t>
        </is>
      </c>
      <c r="G369" t="n">
        <v>5.6</v>
      </c>
      <c r="H369" t="n">
        <v>0</v>
      </c>
      <c r="I369" t="n">
        <v>1</v>
      </c>
      <c r="J369" t="n">
        <v>0</v>
      </c>
      <c r="K369" t="n">
        <v>0</v>
      </c>
      <c r="L369" t="n">
        <v>0</v>
      </c>
      <c r="M369" t="n">
        <v>0</v>
      </c>
      <c r="N369" t="n">
        <v>0</v>
      </c>
      <c r="O369" t="n">
        <v>0</v>
      </c>
      <c r="P369" t="n">
        <v>0</v>
      </c>
      <c r="Q369" t="n">
        <v>1</v>
      </c>
      <c r="R369" s="2" t="inlineStr">
        <is>
          <t>Grönpyrola</t>
        </is>
      </c>
      <c r="S369">
        <f>HYPERLINK("https://klasma.github.io/Logging_1981/artfynd/A 43175-2023 artfynd.xlsx", "A 43175-2023")</f>
        <v/>
      </c>
      <c r="T369">
        <f>HYPERLINK("https://klasma.github.io/Logging_1981/kartor/A 43175-2023 karta.png", "A 43175-2023")</f>
        <v/>
      </c>
      <c r="V369">
        <f>HYPERLINK("https://klasma.github.io/Logging_1981/klagomål/A 43175-2023 FSC-klagomål.docx", "A 43175-2023")</f>
        <v/>
      </c>
      <c r="W369">
        <f>HYPERLINK("https://klasma.github.io/Logging_1981/klagomålsmail/A 43175-2023 FSC-klagomål mail.docx", "A 43175-2023")</f>
        <v/>
      </c>
      <c r="X369">
        <f>HYPERLINK("https://klasma.github.io/Logging_1981/tillsyn/A 43175-2023 tillsynsbegäran.docx", "A 43175-2023")</f>
        <v/>
      </c>
      <c r="Y369">
        <f>HYPERLINK("https://klasma.github.io/Logging_1981/tillsynsmail/A 43175-2023 tillsynsbegäran mail.docx", "A 43175-2023")</f>
        <v/>
      </c>
    </row>
    <row r="370" ht="15" customHeight="1">
      <c r="A370" t="inlineStr">
        <is>
          <t>A 43802-2023</t>
        </is>
      </c>
      <c r="B370" s="1" t="n">
        <v>45187</v>
      </c>
      <c r="C370" s="1" t="n">
        <v>45757</v>
      </c>
      <c r="D370" t="inlineStr">
        <is>
          <t>VÄSTMANLANDS LÄN</t>
        </is>
      </c>
      <c r="E370" t="inlineStr">
        <is>
          <t>ARBOGA</t>
        </is>
      </c>
      <c r="F370" t="inlineStr">
        <is>
          <t>Sveaskog</t>
        </is>
      </c>
      <c r="G370" t="n">
        <v>1</v>
      </c>
      <c r="H370" t="n">
        <v>0</v>
      </c>
      <c r="I370" t="n">
        <v>0</v>
      </c>
      <c r="J370" t="n">
        <v>1</v>
      </c>
      <c r="K370" t="n">
        <v>0</v>
      </c>
      <c r="L370" t="n">
        <v>0</v>
      </c>
      <c r="M370" t="n">
        <v>0</v>
      </c>
      <c r="N370" t="n">
        <v>0</v>
      </c>
      <c r="O370" t="n">
        <v>1</v>
      </c>
      <c r="P370" t="n">
        <v>0</v>
      </c>
      <c r="Q370" t="n">
        <v>1</v>
      </c>
      <c r="R370" s="2" t="inlineStr">
        <is>
          <t>Ullticka</t>
        </is>
      </c>
      <c r="S370">
        <f>HYPERLINK("https://klasma.github.io/Logging_1984/artfynd/A 43802-2023 artfynd.xlsx", "A 43802-2023")</f>
        <v/>
      </c>
      <c r="T370">
        <f>HYPERLINK("https://klasma.github.io/Logging_1984/kartor/A 43802-2023 karta.png", "A 43802-2023")</f>
        <v/>
      </c>
      <c r="V370">
        <f>HYPERLINK("https://klasma.github.io/Logging_1984/klagomål/A 43802-2023 FSC-klagomål.docx", "A 43802-2023")</f>
        <v/>
      </c>
      <c r="W370">
        <f>HYPERLINK("https://klasma.github.io/Logging_1984/klagomålsmail/A 43802-2023 FSC-klagomål mail.docx", "A 43802-2023")</f>
        <v/>
      </c>
      <c r="X370">
        <f>HYPERLINK("https://klasma.github.io/Logging_1984/tillsyn/A 43802-2023 tillsynsbegäran.docx", "A 43802-2023")</f>
        <v/>
      </c>
      <c r="Y370">
        <f>HYPERLINK("https://klasma.github.io/Logging_1984/tillsynsmail/A 43802-2023 tillsynsbegäran mail.docx", "A 43802-2023")</f>
        <v/>
      </c>
    </row>
    <row r="371" ht="15" customHeight="1">
      <c r="A371" t="inlineStr">
        <is>
          <t>A 45374-2023</t>
        </is>
      </c>
      <c r="B371" s="1" t="n">
        <v>45193</v>
      </c>
      <c r="C371" s="1" t="n">
        <v>45757</v>
      </c>
      <c r="D371" t="inlineStr">
        <is>
          <t>VÄSTMANLANDS LÄN</t>
        </is>
      </c>
      <c r="E371" t="inlineStr">
        <is>
          <t>SKINNSKATTEBERG</t>
        </is>
      </c>
      <c r="F371" t="inlineStr">
        <is>
          <t>Sveaskog</t>
        </is>
      </c>
      <c r="G371" t="n">
        <v>3.5</v>
      </c>
      <c r="H371" t="n">
        <v>0</v>
      </c>
      <c r="I371" t="n">
        <v>1</v>
      </c>
      <c r="J371" t="n">
        <v>0</v>
      </c>
      <c r="K371" t="n">
        <v>0</v>
      </c>
      <c r="L371" t="n">
        <v>0</v>
      </c>
      <c r="M371" t="n">
        <v>0</v>
      </c>
      <c r="N371" t="n">
        <v>0</v>
      </c>
      <c r="O371" t="n">
        <v>0</v>
      </c>
      <c r="P371" t="n">
        <v>0</v>
      </c>
      <c r="Q371" t="n">
        <v>1</v>
      </c>
      <c r="R371" s="2" t="inlineStr">
        <is>
          <t>Purpurmylia</t>
        </is>
      </c>
      <c r="S371">
        <f>HYPERLINK("https://klasma.github.io/Logging_1904/artfynd/A 45374-2023 artfynd.xlsx", "A 45374-2023")</f>
        <v/>
      </c>
      <c r="T371">
        <f>HYPERLINK("https://klasma.github.io/Logging_1904/kartor/A 45374-2023 karta.png", "A 45374-2023")</f>
        <v/>
      </c>
      <c r="V371">
        <f>HYPERLINK("https://klasma.github.io/Logging_1904/klagomål/A 45374-2023 FSC-klagomål.docx", "A 45374-2023")</f>
        <v/>
      </c>
      <c r="W371">
        <f>HYPERLINK("https://klasma.github.io/Logging_1904/klagomålsmail/A 45374-2023 FSC-klagomål mail.docx", "A 45374-2023")</f>
        <v/>
      </c>
      <c r="X371">
        <f>HYPERLINK("https://klasma.github.io/Logging_1904/tillsyn/A 45374-2023 tillsynsbegäran.docx", "A 45374-2023")</f>
        <v/>
      </c>
      <c r="Y371">
        <f>HYPERLINK("https://klasma.github.io/Logging_1904/tillsynsmail/A 45374-2023 tillsynsbegäran mail.docx", "A 45374-2023")</f>
        <v/>
      </c>
    </row>
    <row r="372" ht="15" customHeight="1">
      <c r="A372" t="inlineStr">
        <is>
          <t>A 47695-2023</t>
        </is>
      </c>
      <c r="B372" s="1" t="n">
        <v>45203</v>
      </c>
      <c r="C372" s="1" t="n">
        <v>45757</v>
      </c>
      <c r="D372" t="inlineStr">
        <is>
          <t>VÄSTMANLANDS LÄN</t>
        </is>
      </c>
      <c r="E372" t="inlineStr">
        <is>
          <t>VÄSTERÅS</t>
        </is>
      </c>
      <c r="G372" t="n">
        <v>6</v>
      </c>
      <c r="H372" t="n">
        <v>0</v>
      </c>
      <c r="I372" t="n">
        <v>1</v>
      </c>
      <c r="J372" t="n">
        <v>0</v>
      </c>
      <c r="K372" t="n">
        <v>0</v>
      </c>
      <c r="L372" t="n">
        <v>0</v>
      </c>
      <c r="M372" t="n">
        <v>0</v>
      </c>
      <c r="N372" t="n">
        <v>0</v>
      </c>
      <c r="O372" t="n">
        <v>0</v>
      </c>
      <c r="P372" t="n">
        <v>0</v>
      </c>
      <c r="Q372" t="n">
        <v>1</v>
      </c>
      <c r="R372" s="2" t="inlineStr">
        <is>
          <t>Hasselticka</t>
        </is>
      </c>
      <c r="S372">
        <f>HYPERLINK("https://klasma.github.io/Logging_1980/artfynd/A 47695-2023 artfynd.xlsx", "A 47695-2023")</f>
        <v/>
      </c>
      <c r="T372">
        <f>HYPERLINK("https://klasma.github.io/Logging_1980/kartor/A 47695-2023 karta.png", "A 47695-2023")</f>
        <v/>
      </c>
      <c r="V372">
        <f>HYPERLINK("https://klasma.github.io/Logging_1980/klagomål/A 47695-2023 FSC-klagomål.docx", "A 47695-2023")</f>
        <v/>
      </c>
      <c r="W372">
        <f>HYPERLINK("https://klasma.github.io/Logging_1980/klagomålsmail/A 47695-2023 FSC-klagomål mail.docx", "A 47695-2023")</f>
        <v/>
      </c>
      <c r="X372">
        <f>HYPERLINK("https://klasma.github.io/Logging_1980/tillsyn/A 47695-2023 tillsynsbegäran.docx", "A 47695-2023")</f>
        <v/>
      </c>
      <c r="Y372">
        <f>HYPERLINK("https://klasma.github.io/Logging_1980/tillsynsmail/A 47695-2023 tillsynsbegäran mail.docx", "A 47695-2023")</f>
        <v/>
      </c>
    </row>
    <row r="373" ht="15" customHeight="1">
      <c r="A373" t="inlineStr">
        <is>
          <t>A 52476-2023</t>
        </is>
      </c>
      <c r="B373" s="1" t="n">
        <v>45225</v>
      </c>
      <c r="C373" s="1" t="n">
        <v>45757</v>
      </c>
      <c r="D373" t="inlineStr">
        <is>
          <t>VÄSTMANLANDS LÄN</t>
        </is>
      </c>
      <c r="E373" t="inlineStr">
        <is>
          <t>KÖPING</t>
        </is>
      </c>
      <c r="F373" t="inlineStr">
        <is>
          <t>Sveaskog</t>
        </is>
      </c>
      <c r="G373" t="n">
        <v>1.9</v>
      </c>
      <c r="H373" t="n">
        <v>0</v>
      </c>
      <c r="I373" t="n">
        <v>1</v>
      </c>
      <c r="J373" t="n">
        <v>0</v>
      </c>
      <c r="K373" t="n">
        <v>0</v>
      </c>
      <c r="L373" t="n">
        <v>0</v>
      </c>
      <c r="M373" t="n">
        <v>0</v>
      </c>
      <c r="N373" t="n">
        <v>0</v>
      </c>
      <c r="O373" t="n">
        <v>0</v>
      </c>
      <c r="P373" t="n">
        <v>0</v>
      </c>
      <c r="Q373" t="n">
        <v>1</v>
      </c>
      <c r="R373" s="2" t="inlineStr">
        <is>
          <t>Bårdlav</t>
        </is>
      </c>
      <c r="S373">
        <f>HYPERLINK("https://klasma.github.io/Logging_1983/artfynd/A 52476-2023 artfynd.xlsx", "A 52476-2023")</f>
        <v/>
      </c>
      <c r="T373">
        <f>HYPERLINK("https://klasma.github.io/Logging_1983/kartor/A 52476-2023 karta.png", "A 52476-2023")</f>
        <v/>
      </c>
      <c r="V373">
        <f>HYPERLINK("https://klasma.github.io/Logging_1983/klagomål/A 52476-2023 FSC-klagomål.docx", "A 52476-2023")</f>
        <v/>
      </c>
      <c r="W373">
        <f>HYPERLINK("https://klasma.github.io/Logging_1983/klagomålsmail/A 52476-2023 FSC-klagomål mail.docx", "A 52476-2023")</f>
        <v/>
      </c>
      <c r="X373">
        <f>HYPERLINK("https://klasma.github.io/Logging_1983/tillsyn/A 52476-2023 tillsynsbegäran.docx", "A 52476-2023")</f>
        <v/>
      </c>
      <c r="Y373">
        <f>HYPERLINK("https://klasma.github.io/Logging_1983/tillsynsmail/A 52476-2023 tillsynsbegäran mail.docx", "A 52476-2023")</f>
        <v/>
      </c>
    </row>
    <row r="374" ht="15" customHeight="1">
      <c r="A374" t="inlineStr">
        <is>
          <t>A 55550-2023</t>
        </is>
      </c>
      <c r="B374" s="1" t="n">
        <v>45232</v>
      </c>
      <c r="C374" s="1" t="n">
        <v>45757</v>
      </c>
      <c r="D374" t="inlineStr">
        <is>
          <t>VÄSTMANLANDS LÄN</t>
        </is>
      </c>
      <c r="E374" t="inlineStr">
        <is>
          <t>SALA</t>
        </is>
      </c>
      <c r="G374" t="n">
        <v>9.9</v>
      </c>
      <c r="H374" t="n">
        <v>1</v>
      </c>
      <c r="I374" t="n">
        <v>0</v>
      </c>
      <c r="J374" t="n">
        <v>0</v>
      </c>
      <c r="K374" t="n">
        <v>1</v>
      </c>
      <c r="L374" t="n">
        <v>0</v>
      </c>
      <c r="M374" t="n">
        <v>0</v>
      </c>
      <c r="N374" t="n">
        <v>0</v>
      </c>
      <c r="O374" t="n">
        <v>1</v>
      </c>
      <c r="P374" t="n">
        <v>1</v>
      </c>
      <c r="Q374" t="n">
        <v>1</v>
      </c>
      <c r="R374" s="2" t="inlineStr">
        <is>
          <t>Knärot</t>
        </is>
      </c>
      <c r="S374">
        <f>HYPERLINK("https://klasma.github.io/Logging_1981/artfynd/A 55550-2023 artfynd.xlsx", "A 55550-2023")</f>
        <v/>
      </c>
      <c r="T374">
        <f>HYPERLINK("https://klasma.github.io/Logging_1981/kartor/A 55550-2023 karta.png", "A 55550-2023")</f>
        <v/>
      </c>
      <c r="U374">
        <f>HYPERLINK("https://klasma.github.io/Logging_1981/knärot/A 55550-2023 karta knärot.png", "A 55550-2023")</f>
        <v/>
      </c>
      <c r="V374">
        <f>HYPERLINK("https://klasma.github.io/Logging_1981/klagomål/A 55550-2023 FSC-klagomål.docx", "A 55550-2023")</f>
        <v/>
      </c>
      <c r="W374">
        <f>HYPERLINK("https://klasma.github.io/Logging_1981/klagomålsmail/A 55550-2023 FSC-klagomål mail.docx", "A 55550-2023")</f>
        <v/>
      </c>
      <c r="X374">
        <f>HYPERLINK("https://klasma.github.io/Logging_1981/tillsyn/A 55550-2023 tillsynsbegäran.docx", "A 55550-2023")</f>
        <v/>
      </c>
      <c r="Y374">
        <f>HYPERLINK("https://klasma.github.io/Logging_1981/tillsynsmail/A 55550-2023 tillsynsbegäran mail.docx", "A 55550-2023")</f>
        <v/>
      </c>
    </row>
    <row r="375" ht="15" customHeight="1">
      <c r="A375" t="inlineStr">
        <is>
          <t>A 55684-2023</t>
        </is>
      </c>
      <c r="B375" s="1" t="n">
        <v>45232</v>
      </c>
      <c r="C375" s="1" t="n">
        <v>45757</v>
      </c>
      <c r="D375" t="inlineStr">
        <is>
          <t>VÄSTMANLANDS LÄN</t>
        </is>
      </c>
      <c r="E375" t="inlineStr">
        <is>
          <t>VÄSTERÅS</t>
        </is>
      </c>
      <c r="F375" t="inlineStr">
        <is>
          <t>Övriga Aktiebolag</t>
        </is>
      </c>
      <c r="G375" t="n">
        <v>29.4</v>
      </c>
      <c r="H375" t="n">
        <v>0</v>
      </c>
      <c r="I375" t="n">
        <v>0</v>
      </c>
      <c r="J375" t="n">
        <v>1</v>
      </c>
      <c r="K375" t="n">
        <v>0</v>
      </c>
      <c r="L375" t="n">
        <v>0</v>
      </c>
      <c r="M375" t="n">
        <v>0</v>
      </c>
      <c r="N375" t="n">
        <v>0</v>
      </c>
      <c r="O375" t="n">
        <v>1</v>
      </c>
      <c r="P375" t="n">
        <v>0</v>
      </c>
      <c r="Q375" t="n">
        <v>1</v>
      </c>
      <c r="R375" s="2" t="inlineStr">
        <is>
          <t>Mindre timmerman</t>
        </is>
      </c>
      <c r="S375">
        <f>HYPERLINK("https://klasma.github.io/Logging_1980/artfynd/A 55684-2023 artfynd.xlsx", "A 55684-2023")</f>
        <v/>
      </c>
      <c r="T375">
        <f>HYPERLINK("https://klasma.github.io/Logging_1980/kartor/A 55684-2023 karta.png", "A 55684-2023")</f>
        <v/>
      </c>
      <c r="V375">
        <f>HYPERLINK("https://klasma.github.io/Logging_1980/klagomål/A 55684-2023 FSC-klagomål.docx", "A 55684-2023")</f>
        <v/>
      </c>
      <c r="W375">
        <f>HYPERLINK("https://klasma.github.io/Logging_1980/klagomålsmail/A 55684-2023 FSC-klagomål mail.docx", "A 55684-2023")</f>
        <v/>
      </c>
      <c r="X375">
        <f>HYPERLINK("https://klasma.github.io/Logging_1980/tillsyn/A 55684-2023 tillsynsbegäran.docx", "A 55684-2023")</f>
        <v/>
      </c>
      <c r="Y375">
        <f>HYPERLINK("https://klasma.github.io/Logging_1980/tillsynsmail/A 55684-2023 tillsynsbegäran mail.docx", "A 55684-2023")</f>
        <v/>
      </c>
    </row>
    <row r="376" ht="15" customHeight="1">
      <c r="A376" t="inlineStr">
        <is>
          <t>A 56362-2023</t>
        </is>
      </c>
      <c r="B376" s="1" t="n">
        <v>45236</v>
      </c>
      <c r="C376" s="1" t="n">
        <v>45757</v>
      </c>
      <c r="D376" t="inlineStr">
        <is>
          <t>VÄSTMANLANDS LÄN</t>
        </is>
      </c>
      <c r="E376" t="inlineStr">
        <is>
          <t>SURAHAMMAR</t>
        </is>
      </c>
      <c r="F376" t="inlineStr">
        <is>
          <t>Bergvik skog väst AB</t>
        </is>
      </c>
      <c r="G376" t="n">
        <v>15.2</v>
      </c>
      <c r="H376" t="n">
        <v>0</v>
      </c>
      <c r="I376" t="n">
        <v>1</v>
      </c>
      <c r="J376" t="n">
        <v>0</v>
      </c>
      <c r="K376" t="n">
        <v>0</v>
      </c>
      <c r="L376" t="n">
        <v>0</v>
      </c>
      <c r="M376" t="n">
        <v>0</v>
      </c>
      <c r="N376" t="n">
        <v>0</v>
      </c>
      <c r="O376" t="n">
        <v>0</v>
      </c>
      <c r="P376" t="n">
        <v>0</v>
      </c>
      <c r="Q376" t="n">
        <v>1</v>
      </c>
      <c r="R376" s="2" t="inlineStr">
        <is>
          <t>Grönpyrola</t>
        </is>
      </c>
      <c r="S376">
        <f>HYPERLINK("https://klasma.github.io/Logging_1907/artfynd/A 56362-2023 artfynd.xlsx", "A 56362-2023")</f>
        <v/>
      </c>
      <c r="T376">
        <f>HYPERLINK("https://klasma.github.io/Logging_1907/kartor/A 56362-2023 karta.png", "A 56362-2023")</f>
        <v/>
      </c>
      <c r="V376">
        <f>HYPERLINK("https://klasma.github.io/Logging_1907/klagomål/A 56362-2023 FSC-klagomål.docx", "A 56362-2023")</f>
        <v/>
      </c>
      <c r="W376">
        <f>HYPERLINK("https://klasma.github.io/Logging_1907/klagomålsmail/A 56362-2023 FSC-klagomål mail.docx", "A 56362-2023")</f>
        <v/>
      </c>
      <c r="X376">
        <f>HYPERLINK("https://klasma.github.io/Logging_1907/tillsyn/A 56362-2023 tillsynsbegäran.docx", "A 56362-2023")</f>
        <v/>
      </c>
      <c r="Y376">
        <f>HYPERLINK("https://klasma.github.io/Logging_1907/tillsynsmail/A 56362-2023 tillsynsbegäran mail.docx", "A 56362-2023")</f>
        <v/>
      </c>
    </row>
    <row r="377" ht="15" customHeight="1">
      <c r="A377" t="inlineStr">
        <is>
          <t>A 55157-2023</t>
        </is>
      </c>
      <c r="B377" s="1" t="n">
        <v>45237</v>
      </c>
      <c r="C377" s="1" t="n">
        <v>45757</v>
      </c>
      <c r="D377" t="inlineStr">
        <is>
          <t>VÄSTMANLANDS LÄN</t>
        </is>
      </c>
      <c r="E377" t="inlineStr">
        <is>
          <t>KÖPING</t>
        </is>
      </c>
      <c r="G377" t="n">
        <v>6.7</v>
      </c>
      <c r="H377" t="n">
        <v>1</v>
      </c>
      <c r="I377" t="n">
        <v>0</v>
      </c>
      <c r="J377" t="n">
        <v>0</v>
      </c>
      <c r="K377" t="n">
        <v>0</v>
      </c>
      <c r="L377" t="n">
        <v>0</v>
      </c>
      <c r="M377" t="n">
        <v>0</v>
      </c>
      <c r="N377" t="n">
        <v>0</v>
      </c>
      <c r="O377" t="n">
        <v>0</v>
      </c>
      <c r="P377" t="n">
        <v>0</v>
      </c>
      <c r="Q377" t="n">
        <v>1</v>
      </c>
      <c r="R377" s="2" t="inlineStr">
        <is>
          <t>Nattviol</t>
        </is>
      </c>
      <c r="S377">
        <f>HYPERLINK("https://klasma.github.io/Logging_1983/artfynd/A 55157-2023 artfynd.xlsx", "A 55157-2023")</f>
        <v/>
      </c>
      <c r="T377">
        <f>HYPERLINK("https://klasma.github.io/Logging_1983/kartor/A 55157-2023 karta.png", "A 55157-2023")</f>
        <v/>
      </c>
      <c r="V377">
        <f>HYPERLINK("https://klasma.github.io/Logging_1983/klagomål/A 55157-2023 FSC-klagomål.docx", "A 55157-2023")</f>
        <v/>
      </c>
      <c r="W377">
        <f>HYPERLINK("https://klasma.github.io/Logging_1983/klagomålsmail/A 55157-2023 FSC-klagomål mail.docx", "A 55157-2023")</f>
        <v/>
      </c>
      <c r="X377">
        <f>HYPERLINK("https://klasma.github.io/Logging_1983/tillsyn/A 55157-2023 tillsynsbegäran.docx", "A 55157-2023")</f>
        <v/>
      </c>
      <c r="Y377">
        <f>HYPERLINK("https://klasma.github.io/Logging_1983/tillsynsmail/A 55157-2023 tillsynsbegäran mail.docx", "A 55157-2023")</f>
        <v/>
      </c>
    </row>
    <row r="378" ht="15" customHeight="1">
      <c r="A378" t="inlineStr">
        <is>
          <t>A 61254-2023</t>
        </is>
      </c>
      <c r="B378" s="1" t="n">
        <v>45264</v>
      </c>
      <c r="C378" s="1" t="n">
        <v>45757</v>
      </c>
      <c r="D378" t="inlineStr">
        <is>
          <t>VÄSTMANLANDS LÄN</t>
        </is>
      </c>
      <c r="E378" t="inlineStr">
        <is>
          <t>VÄSTERÅS</t>
        </is>
      </c>
      <c r="G378" t="n">
        <v>0.8</v>
      </c>
      <c r="H378" t="n">
        <v>1</v>
      </c>
      <c r="I378" t="n">
        <v>0</v>
      </c>
      <c r="J378" t="n">
        <v>0</v>
      </c>
      <c r="K378" t="n">
        <v>0</v>
      </c>
      <c r="L378" t="n">
        <v>0</v>
      </c>
      <c r="M378" t="n">
        <v>0</v>
      </c>
      <c r="N378" t="n">
        <v>0</v>
      </c>
      <c r="O378" t="n">
        <v>0</v>
      </c>
      <c r="P378" t="n">
        <v>0</v>
      </c>
      <c r="Q378" t="n">
        <v>1</v>
      </c>
      <c r="R378" s="2" t="inlineStr">
        <is>
          <t>Mistel</t>
        </is>
      </c>
      <c r="S378">
        <f>HYPERLINK("https://klasma.github.io/Logging_1980/artfynd/A 61254-2023 artfynd.xlsx", "A 61254-2023")</f>
        <v/>
      </c>
      <c r="T378">
        <f>HYPERLINK("https://klasma.github.io/Logging_1980/kartor/A 61254-2023 karta.png", "A 61254-2023")</f>
        <v/>
      </c>
      <c r="V378">
        <f>HYPERLINK("https://klasma.github.io/Logging_1980/klagomål/A 61254-2023 FSC-klagomål.docx", "A 61254-2023")</f>
        <v/>
      </c>
      <c r="W378">
        <f>HYPERLINK("https://klasma.github.io/Logging_1980/klagomålsmail/A 61254-2023 FSC-klagomål mail.docx", "A 61254-2023")</f>
        <v/>
      </c>
      <c r="X378">
        <f>HYPERLINK("https://klasma.github.io/Logging_1980/tillsyn/A 61254-2023 tillsynsbegäran.docx", "A 61254-2023")</f>
        <v/>
      </c>
      <c r="Y378">
        <f>HYPERLINK("https://klasma.github.io/Logging_1980/tillsynsmail/A 61254-2023 tillsynsbegäran mail.docx", "A 61254-2023")</f>
        <v/>
      </c>
    </row>
    <row r="379" ht="15" customHeight="1">
      <c r="A379" t="inlineStr">
        <is>
          <t>A 3534-2024</t>
        </is>
      </c>
      <c r="B379" s="1" t="n">
        <v>45320</v>
      </c>
      <c r="C379" s="1" t="n">
        <v>45757</v>
      </c>
      <c r="D379" t="inlineStr">
        <is>
          <t>VÄSTMANLANDS LÄN</t>
        </is>
      </c>
      <c r="E379" t="inlineStr">
        <is>
          <t>SALA</t>
        </is>
      </c>
      <c r="G379" t="n">
        <v>1.9</v>
      </c>
      <c r="H379" t="n">
        <v>1</v>
      </c>
      <c r="I379" t="n">
        <v>0</v>
      </c>
      <c r="J379" t="n">
        <v>0</v>
      </c>
      <c r="K379" t="n">
        <v>0</v>
      </c>
      <c r="L379" t="n">
        <v>1</v>
      </c>
      <c r="M379" t="n">
        <v>0</v>
      </c>
      <c r="N379" t="n">
        <v>0</v>
      </c>
      <c r="O379" t="n">
        <v>1</v>
      </c>
      <c r="P379" t="n">
        <v>1</v>
      </c>
      <c r="Q379" t="n">
        <v>1</v>
      </c>
      <c r="R379" s="2" t="inlineStr">
        <is>
          <t>Mosippa</t>
        </is>
      </c>
      <c r="S379">
        <f>HYPERLINK("https://klasma.github.io/Logging_1981/artfynd/A 3534-2024 artfynd.xlsx", "A 3534-2024")</f>
        <v/>
      </c>
      <c r="T379">
        <f>HYPERLINK("https://klasma.github.io/Logging_1981/kartor/A 3534-2024 karta.png", "A 3534-2024")</f>
        <v/>
      </c>
      <c r="V379">
        <f>HYPERLINK("https://klasma.github.io/Logging_1981/klagomål/A 3534-2024 FSC-klagomål.docx", "A 3534-2024")</f>
        <v/>
      </c>
      <c r="W379">
        <f>HYPERLINK("https://klasma.github.io/Logging_1981/klagomålsmail/A 3534-2024 FSC-klagomål mail.docx", "A 3534-2024")</f>
        <v/>
      </c>
      <c r="X379">
        <f>HYPERLINK("https://klasma.github.io/Logging_1981/tillsyn/A 3534-2024 tillsynsbegäran.docx", "A 3534-2024")</f>
        <v/>
      </c>
      <c r="Y379">
        <f>HYPERLINK("https://klasma.github.io/Logging_1981/tillsynsmail/A 3534-2024 tillsynsbegäran mail.docx", "A 3534-2024")</f>
        <v/>
      </c>
    </row>
    <row r="380" ht="15" customHeight="1">
      <c r="A380" t="inlineStr">
        <is>
          <t>A 3649-2024</t>
        </is>
      </c>
      <c r="B380" s="1" t="n">
        <v>45321</v>
      </c>
      <c r="C380" s="1" t="n">
        <v>45757</v>
      </c>
      <c r="D380" t="inlineStr">
        <is>
          <t>VÄSTMANLANDS LÄN</t>
        </is>
      </c>
      <c r="E380" t="inlineStr">
        <is>
          <t>SURAHAMMAR</t>
        </is>
      </c>
      <c r="F380" t="inlineStr">
        <is>
          <t>Övriga Aktiebolag</t>
        </is>
      </c>
      <c r="G380" t="n">
        <v>9.300000000000001</v>
      </c>
      <c r="H380" t="n">
        <v>1</v>
      </c>
      <c r="I380" t="n">
        <v>0</v>
      </c>
      <c r="J380" t="n">
        <v>0</v>
      </c>
      <c r="K380" t="n">
        <v>1</v>
      </c>
      <c r="L380" t="n">
        <v>0</v>
      </c>
      <c r="M380" t="n">
        <v>0</v>
      </c>
      <c r="N380" t="n">
        <v>0</v>
      </c>
      <c r="O380" t="n">
        <v>1</v>
      </c>
      <c r="P380" t="n">
        <v>1</v>
      </c>
      <c r="Q380" t="n">
        <v>1</v>
      </c>
      <c r="R380" s="2" t="inlineStr">
        <is>
          <t>Väddnätfjäril</t>
        </is>
      </c>
      <c r="S380">
        <f>HYPERLINK("https://klasma.github.io/Logging_1907/artfynd/A 3649-2024 artfynd.xlsx", "A 3649-2024")</f>
        <v/>
      </c>
      <c r="T380">
        <f>HYPERLINK("https://klasma.github.io/Logging_1907/kartor/A 3649-2024 karta.png", "A 3649-2024")</f>
        <v/>
      </c>
      <c r="V380">
        <f>HYPERLINK("https://klasma.github.io/Logging_1907/klagomål/A 3649-2024 FSC-klagomål.docx", "A 3649-2024")</f>
        <v/>
      </c>
      <c r="W380">
        <f>HYPERLINK("https://klasma.github.io/Logging_1907/klagomålsmail/A 3649-2024 FSC-klagomål mail.docx", "A 3649-2024")</f>
        <v/>
      </c>
      <c r="X380">
        <f>HYPERLINK("https://klasma.github.io/Logging_1907/tillsyn/A 3649-2024 tillsynsbegäran.docx", "A 3649-2024")</f>
        <v/>
      </c>
      <c r="Y380">
        <f>HYPERLINK("https://klasma.github.io/Logging_1907/tillsynsmail/A 3649-2024 tillsynsbegäran mail.docx", "A 3649-2024")</f>
        <v/>
      </c>
    </row>
    <row r="381" ht="15" customHeight="1">
      <c r="A381" t="inlineStr">
        <is>
          <t>A 3927-2024</t>
        </is>
      </c>
      <c r="B381" s="1" t="n">
        <v>45322</v>
      </c>
      <c r="C381" s="1" t="n">
        <v>45757</v>
      </c>
      <c r="D381" t="inlineStr">
        <is>
          <t>VÄSTMANLANDS LÄN</t>
        </is>
      </c>
      <c r="E381" t="inlineStr">
        <is>
          <t>KÖPING</t>
        </is>
      </c>
      <c r="G381" t="n">
        <v>4.8</v>
      </c>
      <c r="H381" t="n">
        <v>0</v>
      </c>
      <c r="I381" t="n">
        <v>0</v>
      </c>
      <c r="J381" t="n">
        <v>1</v>
      </c>
      <c r="K381" t="n">
        <v>0</v>
      </c>
      <c r="L381" t="n">
        <v>0</v>
      </c>
      <c r="M381" t="n">
        <v>0</v>
      </c>
      <c r="N381" t="n">
        <v>0</v>
      </c>
      <c r="O381" t="n">
        <v>1</v>
      </c>
      <c r="P381" t="n">
        <v>0</v>
      </c>
      <c r="Q381" t="n">
        <v>1</v>
      </c>
      <c r="R381" s="2" t="inlineStr">
        <is>
          <t>Druvfingersvamp</t>
        </is>
      </c>
      <c r="S381">
        <f>HYPERLINK("https://klasma.github.io/Logging_1983/artfynd/A 3927-2024 artfynd.xlsx", "A 3927-2024")</f>
        <v/>
      </c>
      <c r="T381">
        <f>HYPERLINK("https://klasma.github.io/Logging_1983/kartor/A 3927-2024 karta.png", "A 3927-2024")</f>
        <v/>
      </c>
      <c r="V381">
        <f>HYPERLINK("https://klasma.github.io/Logging_1983/klagomål/A 3927-2024 FSC-klagomål.docx", "A 3927-2024")</f>
        <v/>
      </c>
      <c r="W381">
        <f>HYPERLINK("https://klasma.github.io/Logging_1983/klagomålsmail/A 3927-2024 FSC-klagomål mail.docx", "A 3927-2024")</f>
        <v/>
      </c>
      <c r="X381">
        <f>HYPERLINK("https://klasma.github.io/Logging_1983/tillsyn/A 3927-2024 tillsynsbegäran.docx", "A 3927-2024")</f>
        <v/>
      </c>
      <c r="Y381">
        <f>HYPERLINK("https://klasma.github.io/Logging_1983/tillsynsmail/A 3927-2024 tillsynsbegäran mail.docx", "A 3927-2024")</f>
        <v/>
      </c>
    </row>
    <row r="382" ht="15" customHeight="1">
      <c r="A382" t="inlineStr">
        <is>
          <t>A 6249-2024</t>
        </is>
      </c>
      <c r="B382" s="1" t="n">
        <v>45337</v>
      </c>
      <c r="C382" s="1" t="n">
        <v>45757</v>
      </c>
      <c r="D382" t="inlineStr">
        <is>
          <t>VÄSTMANLANDS LÄN</t>
        </is>
      </c>
      <c r="E382" t="inlineStr">
        <is>
          <t>VÄSTERÅS</t>
        </is>
      </c>
      <c r="G382" t="n">
        <v>6.5</v>
      </c>
      <c r="H382" t="n">
        <v>1</v>
      </c>
      <c r="I382" t="n">
        <v>0</v>
      </c>
      <c r="J382" t="n">
        <v>0</v>
      </c>
      <c r="K382" t="n">
        <v>0</v>
      </c>
      <c r="L382" t="n">
        <v>1</v>
      </c>
      <c r="M382" t="n">
        <v>0</v>
      </c>
      <c r="N382" t="n">
        <v>0</v>
      </c>
      <c r="O382" t="n">
        <v>1</v>
      </c>
      <c r="P382" t="n">
        <v>1</v>
      </c>
      <c r="Q382" t="n">
        <v>1</v>
      </c>
      <c r="R382" s="2" t="inlineStr">
        <is>
          <t>Grönfink</t>
        </is>
      </c>
      <c r="S382">
        <f>HYPERLINK("https://klasma.github.io/Logging_1980/artfynd/A 6249-2024 artfynd.xlsx", "A 6249-2024")</f>
        <v/>
      </c>
      <c r="T382">
        <f>HYPERLINK("https://klasma.github.io/Logging_1980/kartor/A 6249-2024 karta.png", "A 6249-2024")</f>
        <v/>
      </c>
      <c r="V382">
        <f>HYPERLINK("https://klasma.github.io/Logging_1980/klagomål/A 6249-2024 FSC-klagomål.docx", "A 6249-2024")</f>
        <v/>
      </c>
      <c r="W382">
        <f>HYPERLINK("https://klasma.github.io/Logging_1980/klagomålsmail/A 6249-2024 FSC-klagomål mail.docx", "A 6249-2024")</f>
        <v/>
      </c>
      <c r="X382">
        <f>HYPERLINK("https://klasma.github.io/Logging_1980/tillsyn/A 6249-2024 tillsynsbegäran.docx", "A 6249-2024")</f>
        <v/>
      </c>
      <c r="Y382">
        <f>HYPERLINK("https://klasma.github.io/Logging_1980/tillsynsmail/A 6249-2024 tillsynsbegäran mail.docx", "A 6249-2024")</f>
        <v/>
      </c>
      <c r="Z382">
        <f>HYPERLINK("https://klasma.github.io/Logging_1980/fåglar/A 6249-2024 prioriterade fågelarter.docx", "A 6249-2024")</f>
        <v/>
      </c>
    </row>
    <row r="383" ht="15" customHeight="1">
      <c r="A383" t="inlineStr">
        <is>
          <t>A 9510-2024</t>
        </is>
      </c>
      <c r="B383" s="1" t="n">
        <v>45359</v>
      </c>
      <c r="C383" s="1" t="n">
        <v>45757</v>
      </c>
      <c r="D383" t="inlineStr">
        <is>
          <t>VÄSTMANLANDS LÄN</t>
        </is>
      </c>
      <c r="E383" t="inlineStr">
        <is>
          <t>KÖPING</t>
        </is>
      </c>
      <c r="F383" t="inlineStr">
        <is>
          <t>Sveaskog</t>
        </is>
      </c>
      <c r="G383" t="n">
        <v>3</v>
      </c>
      <c r="H383" t="n">
        <v>0</v>
      </c>
      <c r="I383" t="n">
        <v>0</v>
      </c>
      <c r="J383" t="n">
        <v>1</v>
      </c>
      <c r="K383" t="n">
        <v>0</v>
      </c>
      <c r="L383" t="n">
        <v>0</v>
      </c>
      <c r="M383" t="n">
        <v>0</v>
      </c>
      <c r="N383" t="n">
        <v>0</v>
      </c>
      <c r="O383" t="n">
        <v>1</v>
      </c>
      <c r="P383" t="n">
        <v>0</v>
      </c>
      <c r="Q383" t="n">
        <v>1</v>
      </c>
      <c r="R383" s="2" t="inlineStr">
        <is>
          <t>Storgröe</t>
        </is>
      </c>
      <c r="S383">
        <f>HYPERLINK("https://klasma.github.io/Logging_1983/artfynd/A 9510-2024 artfynd.xlsx", "A 9510-2024")</f>
        <v/>
      </c>
      <c r="T383">
        <f>HYPERLINK("https://klasma.github.io/Logging_1983/kartor/A 9510-2024 karta.png", "A 9510-2024")</f>
        <v/>
      </c>
      <c r="V383">
        <f>HYPERLINK("https://klasma.github.io/Logging_1983/klagomål/A 9510-2024 FSC-klagomål.docx", "A 9510-2024")</f>
        <v/>
      </c>
      <c r="W383">
        <f>HYPERLINK("https://klasma.github.io/Logging_1983/klagomålsmail/A 9510-2024 FSC-klagomål mail.docx", "A 9510-2024")</f>
        <v/>
      </c>
      <c r="X383">
        <f>HYPERLINK("https://klasma.github.io/Logging_1983/tillsyn/A 9510-2024 tillsynsbegäran.docx", "A 9510-2024")</f>
        <v/>
      </c>
      <c r="Y383">
        <f>HYPERLINK("https://klasma.github.io/Logging_1983/tillsynsmail/A 9510-2024 tillsynsbegäran mail.docx", "A 9510-2024")</f>
        <v/>
      </c>
    </row>
    <row r="384" ht="15" customHeight="1">
      <c r="A384" t="inlineStr">
        <is>
          <t>A 10819-2024</t>
        </is>
      </c>
      <c r="B384" s="1" t="n">
        <v>45369</v>
      </c>
      <c r="C384" s="1" t="n">
        <v>45757</v>
      </c>
      <c r="D384" t="inlineStr">
        <is>
          <t>VÄSTMANLANDS LÄN</t>
        </is>
      </c>
      <c r="E384" t="inlineStr">
        <is>
          <t>SURAHAMMAR</t>
        </is>
      </c>
      <c r="G384" t="n">
        <v>2</v>
      </c>
      <c r="H384" t="n">
        <v>0</v>
      </c>
      <c r="I384" t="n">
        <v>1</v>
      </c>
      <c r="J384" t="n">
        <v>0</v>
      </c>
      <c r="K384" t="n">
        <v>0</v>
      </c>
      <c r="L384" t="n">
        <v>0</v>
      </c>
      <c r="M384" t="n">
        <v>0</v>
      </c>
      <c r="N384" t="n">
        <v>0</v>
      </c>
      <c r="O384" t="n">
        <v>0</v>
      </c>
      <c r="P384" t="n">
        <v>0</v>
      </c>
      <c r="Q384" t="n">
        <v>1</v>
      </c>
      <c r="R384" s="2" t="inlineStr">
        <is>
          <t>Tibast</t>
        </is>
      </c>
      <c r="S384">
        <f>HYPERLINK("https://klasma.github.io/Logging_1907/artfynd/A 10819-2024 artfynd.xlsx", "A 10819-2024")</f>
        <v/>
      </c>
      <c r="T384">
        <f>HYPERLINK("https://klasma.github.io/Logging_1907/kartor/A 10819-2024 karta.png", "A 10819-2024")</f>
        <v/>
      </c>
      <c r="V384">
        <f>HYPERLINK("https://klasma.github.io/Logging_1907/klagomål/A 10819-2024 FSC-klagomål.docx", "A 10819-2024")</f>
        <v/>
      </c>
      <c r="W384">
        <f>HYPERLINK("https://klasma.github.io/Logging_1907/klagomålsmail/A 10819-2024 FSC-klagomål mail.docx", "A 10819-2024")</f>
        <v/>
      </c>
      <c r="X384">
        <f>HYPERLINK("https://klasma.github.io/Logging_1907/tillsyn/A 10819-2024 tillsynsbegäran.docx", "A 10819-2024")</f>
        <v/>
      </c>
      <c r="Y384">
        <f>HYPERLINK("https://klasma.github.io/Logging_1907/tillsynsmail/A 10819-2024 tillsynsbegäran mail.docx", "A 10819-2024")</f>
        <v/>
      </c>
    </row>
    <row r="385" ht="15" customHeight="1">
      <c r="A385" t="inlineStr">
        <is>
          <t>A 12179-2024</t>
        </is>
      </c>
      <c r="B385" s="1" t="n">
        <v>45377</v>
      </c>
      <c r="C385" s="1" t="n">
        <v>45757</v>
      </c>
      <c r="D385" t="inlineStr">
        <is>
          <t>VÄSTMANLANDS LÄN</t>
        </is>
      </c>
      <c r="E385" t="inlineStr">
        <is>
          <t>KÖPING</t>
        </is>
      </c>
      <c r="F385" t="inlineStr">
        <is>
          <t>Allmännings- och besparingsskogar</t>
        </is>
      </c>
      <c r="G385" t="n">
        <v>11.4</v>
      </c>
      <c r="H385" t="n">
        <v>1</v>
      </c>
      <c r="I385" t="n">
        <v>0</v>
      </c>
      <c r="J385" t="n">
        <v>0</v>
      </c>
      <c r="K385" t="n">
        <v>0</v>
      </c>
      <c r="L385" t="n">
        <v>0</v>
      </c>
      <c r="M385" t="n">
        <v>0</v>
      </c>
      <c r="N385" t="n">
        <v>0</v>
      </c>
      <c r="O385" t="n">
        <v>0</v>
      </c>
      <c r="P385" t="n">
        <v>0</v>
      </c>
      <c r="Q385" t="n">
        <v>1</v>
      </c>
      <c r="R385" s="2" t="inlineStr">
        <is>
          <t>Orre</t>
        </is>
      </c>
      <c r="S385">
        <f>HYPERLINK("https://klasma.github.io/Logging_1983/artfynd/A 12179-2024 artfynd.xlsx", "A 12179-2024")</f>
        <v/>
      </c>
      <c r="T385">
        <f>HYPERLINK("https://klasma.github.io/Logging_1983/kartor/A 12179-2024 karta.png", "A 12179-2024")</f>
        <v/>
      </c>
      <c r="V385">
        <f>HYPERLINK("https://klasma.github.io/Logging_1983/klagomål/A 12179-2024 FSC-klagomål.docx", "A 12179-2024")</f>
        <v/>
      </c>
      <c r="W385">
        <f>HYPERLINK("https://klasma.github.io/Logging_1983/klagomålsmail/A 12179-2024 FSC-klagomål mail.docx", "A 12179-2024")</f>
        <v/>
      </c>
      <c r="X385">
        <f>HYPERLINK("https://klasma.github.io/Logging_1983/tillsyn/A 12179-2024 tillsynsbegäran.docx", "A 12179-2024")</f>
        <v/>
      </c>
      <c r="Y385">
        <f>HYPERLINK("https://klasma.github.io/Logging_1983/tillsynsmail/A 12179-2024 tillsynsbegäran mail.docx", "A 12179-2024")</f>
        <v/>
      </c>
      <c r="Z385">
        <f>HYPERLINK("https://klasma.github.io/Logging_1983/fåglar/A 12179-2024 prioriterade fågelarter.docx", "A 12179-2024")</f>
        <v/>
      </c>
    </row>
    <row r="386" ht="15" customHeight="1">
      <c r="A386" t="inlineStr">
        <is>
          <t>A 12434-2024</t>
        </is>
      </c>
      <c r="B386" s="1" t="n">
        <v>45379</v>
      </c>
      <c r="C386" s="1" t="n">
        <v>45757</v>
      </c>
      <c r="D386" t="inlineStr">
        <is>
          <t>VÄSTMANLANDS LÄN</t>
        </is>
      </c>
      <c r="E386" t="inlineStr">
        <is>
          <t>SALA</t>
        </is>
      </c>
      <c r="G386" t="n">
        <v>7.8</v>
      </c>
      <c r="H386" t="n">
        <v>1</v>
      </c>
      <c r="I386" t="n">
        <v>0</v>
      </c>
      <c r="J386" t="n">
        <v>0</v>
      </c>
      <c r="K386" t="n">
        <v>1</v>
      </c>
      <c r="L386" t="n">
        <v>0</v>
      </c>
      <c r="M386" t="n">
        <v>0</v>
      </c>
      <c r="N386" t="n">
        <v>0</v>
      </c>
      <c r="O386" t="n">
        <v>1</v>
      </c>
      <c r="P386" t="n">
        <v>1</v>
      </c>
      <c r="Q386" t="n">
        <v>1</v>
      </c>
      <c r="R386" s="2" t="inlineStr">
        <is>
          <t>Knärot</t>
        </is>
      </c>
      <c r="S386">
        <f>HYPERLINK("https://klasma.github.io/Logging_1981/artfynd/A 12434-2024 artfynd.xlsx", "A 12434-2024")</f>
        <v/>
      </c>
      <c r="T386">
        <f>HYPERLINK("https://klasma.github.io/Logging_1981/kartor/A 12434-2024 karta.png", "A 12434-2024")</f>
        <v/>
      </c>
      <c r="U386">
        <f>HYPERLINK("https://klasma.github.io/Logging_1981/knärot/A 12434-2024 karta knärot.png", "A 12434-2024")</f>
        <v/>
      </c>
      <c r="V386">
        <f>HYPERLINK("https://klasma.github.io/Logging_1981/klagomål/A 12434-2024 FSC-klagomål.docx", "A 12434-2024")</f>
        <v/>
      </c>
      <c r="W386">
        <f>HYPERLINK("https://klasma.github.io/Logging_1981/klagomålsmail/A 12434-2024 FSC-klagomål mail.docx", "A 12434-2024")</f>
        <v/>
      </c>
      <c r="X386">
        <f>HYPERLINK("https://klasma.github.io/Logging_1981/tillsyn/A 12434-2024 tillsynsbegäran.docx", "A 12434-2024")</f>
        <v/>
      </c>
      <c r="Y386">
        <f>HYPERLINK("https://klasma.github.io/Logging_1981/tillsynsmail/A 12434-2024 tillsynsbegäran mail.docx", "A 12434-2024")</f>
        <v/>
      </c>
    </row>
    <row r="387" ht="15" customHeight="1">
      <c r="A387" t="inlineStr">
        <is>
          <t>A 12887-2024</t>
        </is>
      </c>
      <c r="B387" s="1" t="n">
        <v>45385</v>
      </c>
      <c r="C387" s="1" t="n">
        <v>45757</v>
      </c>
      <c r="D387" t="inlineStr">
        <is>
          <t>VÄSTMANLANDS LÄN</t>
        </is>
      </c>
      <c r="E387" t="inlineStr">
        <is>
          <t>SKINNSKATTEBERG</t>
        </is>
      </c>
      <c r="F387" t="inlineStr">
        <is>
          <t>Sveaskog</t>
        </is>
      </c>
      <c r="G387" t="n">
        <v>6.5</v>
      </c>
      <c r="H387" t="n">
        <v>1</v>
      </c>
      <c r="I387" t="n">
        <v>0</v>
      </c>
      <c r="J387" t="n">
        <v>0</v>
      </c>
      <c r="K387" t="n">
        <v>0</v>
      </c>
      <c r="L387" t="n">
        <v>0</v>
      </c>
      <c r="M387" t="n">
        <v>0</v>
      </c>
      <c r="N387" t="n">
        <v>0</v>
      </c>
      <c r="O387" t="n">
        <v>0</v>
      </c>
      <c r="P387" t="n">
        <v>0</v>
      </c>
      <c r="Q387" t="n">
        <v>1</v>
      </c>
      <c r="R387" s="2" t="inlineStr">
        <is>
          <t>Sparvuggla</t>
        </is>
      </c>
      <c r="S387">
        <f>HYPERLINK("https://klasma.github.io/Logging_1904/artfynd/A 12887-2024 artfynd.xlsx", "A 12887-2024")</f>
        <v/>
      </c>
      <c r="T387">
        <f>HYPERLINK("https://klasma.github.io/Logging_1904/kartor/A 12887-2024 karta.png", "A 12887-2024")</f>
        <v/>
      </c>
      <c r="V387">
        <f>HYPERLINK("https://klasma.github.io/Logging_1904/klagomål/A 12887-2024 FSC-klagomål.docx", "A 12887-2024")</f>
        <v/>
      </c>
      <c r="W387">
        <f>HYPERLINK("https://klasma.github.io/Logging_1904/klagomålsmail/A 12887-2024 FSC-klagomål mail.docx", "A 12887-2024")</f>
        <v/>
      </c>
      <c r="X387">
        <f>HYPERLINK("https://klasma.github.io/Logging_1904/tillsyn/A 12887-2024 tillsynsbegäran.docx", "A 12887-2024")</f>
        <v/>
      </c>
      <c r="Y387">
        <f>HYPERLINK("https://klasma.github.io/Logging_1904/tillsynsmail/A 12887-2024 tillsynsbegäran mail.docx", "A 12887-2024")</f>
        <v/>
      </c>
      <c r="Z387">
        <f>HYPERLINK("https://klasma.github.io/Logging_1904/fåglar/A 12887-2024 prioriterade fågelarter.docx", "A 12887-2024")</f>
        <v/>
      </c>
    </row>
    <row r="388" ht="15" customHeight="1">
      <c r="A388" t="inlineStr">
        <is>
          <t>A 16015-2024</t>
        </is>
      </c>
      <c r="B388" s="1" t="n">
        <v>45405</v>
      </c>
      <c r="C388" s="1" t="n">
        <v>45757</v>
      </c>
      <c r="D388" t="inlineStr">
        <is>
          <t>VÄSTMANLANDS LÄN</t>
        </is>
      </c>
      <c r="E388" t="inlineStr">
        <is>
          <t>VÄSTERÅS</t>
        </is>
      </c>
      <c r="G388" t="n">
        <v>6.8</v>
      </c>
      <c r="H388" t="n">
        <v>0</v>
      </c>
      <c r="I388" t="n">
        <v>0</v>
      </c>
      <c r="J388" t="n">
        <v>1</v>
      </c>
      <c r="K388" t="n">
        <v>0</v>
      </c>
      <c r="L388" t="n">
        <v>0</v>
      </c>
      <c r="M388" t="n">
        <v>0</v>
      </c>
      <c r="N388" t="n">
        <v>0</v>
      </c>
      <c r="O388" t="n">
        <v>1</v>
      </c>
      <c r="P388" t="n">
        <v>0</v>
      </c>
      <c r="Q388" t="n">
        <v>1</v>
      </c>
      <c r="R388" s="2" t="inlineStr">
        <is>
          <t>Orange taggsvamp</t>
        </is>
      </c>
      <c r="S388">
        <f>HYPERLINK("https://klasma.github.io/Logging_1980/artfynd/A 16015-2024 artfynd.xlsx", "A 16015-2024")</f>
        <v/>
      </c>
      <c r="T388">
        <f>HYPERLINK("https://klasma.github.io/Logging_1980/kartor/A 16015-2024 karta.png", "A 16015-2024")</f>
        <v/>
      </c>
      <c r="V388">
        <f>HYPERLINK("https://klasma.github.io/Logging_1980/klagomål/A 16015-2024 FSC-klagomål.docx", "A 16015-2024")</f>
        <v/>
      </c>
      <c r="W388">
        <f>HYPERLINK("https://klasma.github.io/Logging_1980/klagomålsmail/A 16015-2024 FSC-klagomål mail.docx", "A 16015-2024")</f>
        <v/>
      </c>
      <c r="X388">
        <f>HYPERLINK("https://klasma.github.io/Logging_1980/tillsyn/A 16015-2024 tillsynsbegäran.docx", "A 16015-2024")</f>
        <v/>
      </c>
      <c r="Y388">
        <f>HYPERLINK("https://klasma.github.io/Logging_1980/tillsynsmail/A 16015-2024 tillsynsbegäran mail.docx", "A 16015-2024")</f>
        <v/>
      </c>
    </row>
    <row r="389" ht="15" customHeight="1">
      <c r="A389" t="inlineStr">
        <is>
          <t>A 17381-2024</t>
        </is>
      </c>
      <c r="B389" s="1" t="n">
        <v>45414</v>
      </c>
      <c r="C389" s="1" t="n">
        <v>45757</v>
      </c>
      <c r="D389" t="inlineStr">
        <is>
          <t>VÄSTMANLANDS LÄN</t>
        </is>
      </c>
      <c r="E389" t="inlineStr">
        <is>
          <t>SKINNSKATTEBERG</t>
        </is>
      </c>
      <c r="G389" t="n">
        <v>4.4</v>
      </c>
      <c r="H389" t="n">
        <v>0</v>
      </c>
      <c r="I389" t="n">
        <v>0</v>
      </c>
      <c r="J389" t="n">
        <v>1</v>
      </c>
      <c r="K389" t="n">
        <v>0</v>
      </c>
      <c r="L389" t="n">
        <v>0</v>
      </c>
      <c r="M389" t="n">
        <v>0</v>
      </c>
      <c r="N389" t="n">
        <v>0</v>
      </c>
      <c r="O389" t="n">
        <v>1</v>
      </c>
      <c r="P389" t="n">
        <v>0</v>
      </c>
      <c r="Q389" t="n">
        <v>1</v>
      </c>
      <c r="R389" s="2" t="inlineStr">
        <is>
          <t>Skogsklocka</t>
        </is>
      </c>
      <c r="S389">
        <f>HYPERLINK("https://klasma.github.io/Logging_1904/artfynd/A 17381-2024 artfynd.xlsx", "A 17381-2024")</f>
        <v/>
      </c>
      <c r="T389">
        <f>HYPERLINK("https://klasma.github.io/Logging_1904/kartor/A 17381-2024 karta.png", "A 17381-2024")</f>
        <v/>
      </c>
      <c r="V389">
        <f>HYPERLINK("https://klasma.github.io/Logging_1904/klagomål/A 17381-2024 FSC-klagomål.docx", "A 17381-2024")</f>
        <v/>
      </c>
      <c r="W389">
        <f>HYPERLINK("https://klasma.github.io/Logging_1904/klagomålsmail/A 17381-2024 FSC-klagomål mail.docx", "A 17381-2024")</f>
        <v/>
      </c>
      <c r="X389">
        <f>HYPERLINK("https://klasma.github.io/Logging_1904/tillsyn/A 17381-2024 tillsynsbegäran.docx", "A 17381-2024")</f>
        <v/>
      </c>
      <c r="Y389">
        <f>HYPERLINK("https://klasma.github.io/Logging_1904/tillsynsmail/A 17381-2024 tillsynsbegäran mail.docx", "A 17381-2024")</f>
        <v/>
      </c>
    </row>
    <row r="390" ht="15" customHeight="1">
      <c r="A390" t="inlineStr">
        <is>
          <t>A 18148-2024</t>
        </is>
      </c>
      <c r="B390" s="1" t="n">
        <v>45420</v>
      </c>
      <c r="C390" s="1" t="n">
        <v>45757</v>
      </c>
      <c r="D390" t="inlineStr">
        <is>
          <t>VÄSTMANLANDS LÄN</t>
        </is>
      </c>
      <c r="E390" t="inlineStr">
        <is>
          <t>VÄSTERÅS</t>
        </is>
      </c>
      <c r="G390" t="n">
        <v>11.2</v>
      </c>
      <c r="H390" t="n">
        <v>1</v>
      </c>
      <c r="I390" t="n">
        <v>0</v>
      </c>
      <c r="J390" t="n">
        <v>0</v>
      </c>
      <c r="K390" t="n">
        <v>0</v>
      </c>
      <c r="L390" t="n">
        <v>0</v>
      </c>
      <c r="M390" t="n">
        <v>0</v>
      </c>
      <c r="N390" t="n">
        <v>0</v>
      </c>
      <c r="O390" t="n">
        <v>0</v>
      </c>
      <c r="P390" t="n">
        <v>0</v>
      </c>
      <c r="Q390" t="n">
        <v>1</v>
      </c>
      <c r="R390" s="2" t="inlineStr">
        <is>
          <t>Vanlig padda</t>
        </is>
      </c>
      <c r="S390">
        <f>HYPERLINK("https://klasma.github.io/Logging_1980/artfynd/A 18148-2024 artfynd.xlsx", "A 18148-2024")</f>
        <v/>
      </c>
      <c r="T390">
        <f>HYPERLINK("https://klasma.github.io/Logging_1980/kartor/A 18148-2024 karta.png", "A 18148-2024")</f>
        <v/>
      </c>
      <c r="V390">
        <f>HYPERLINK("https://klasma.github.io/Logging_1980/klagomål/A 18148-2024 FSC-klagomål.docx", "A 18148-2024")</f>
        <v/>
      </c>
      <c r="W390">
        <f>HYPERLINK("https://klasma.github.io/Logging_1980/klagomålsmail/A 18148-2024 FSC-klagomål mail.docx", "A 18148-2024")</f>
        <v/>
      </c>
      <c r="X390">
        <f>HYPERLINK("https://klasma.github.io/Logging_1980/tillsyn/A 18148-2024 tillsynsbegäran.docx", "A 18148-2024")</f>
        <v/>
      </c>
      <c r="Y390">
        <f>HYPERLINK("https://klasma.github.io/Logging_1980/tillsynsmail/A 18148-2024 tillsynsbegäran mail.docx", "A 18148-2024")</f>
        <v/>
      </c>
    </row>
    <row r="391" ht="15" customHeight="1">
      <c r="A391" t="inlineStr">
        <is>
          <t>A 18495-2024</t>
        </is>
      </c>
      <c r="B391" s="1" t="n">
        <v>45425</v>
      </c>
      <c r="C391" s="1" t="n">
        <v>45757</v>
      </c>
      <c r="D391" t="inlineStr">
        <is>
          <t>VÄSTMANLANDS LÄN</t>
        </is>
      </c>
      <c r="E391" t="inlineStr">
        <is>
          <t>ARBOGA</t>
        </is>
      </c>
      <c r="F391" t="inlineStr">
        <is>
          <t>Sveaskog</t>
        </is>
      </c>
      <c r="G391" t="n">
        <v>1.6</v>
      </c>
      <c r="H391" t="n">
        <v>1</v>
      </c>
      <c r="I391" t="n">
        <v>0</v>
      </c>
      <c r="J391" t="n">
        <v>0</v>
      </c>
      <c r="K391" t="n">
        <v>0</v>
      </c>
      <c r="L391" t="n">
        <v>0</v>
      </c>
      <c r="M391" t="n">
        <v>0</v>
      </c>
      <c r="N391" t="n">
        <v>0</v>
      </c>
      <c r="O391" t="n">
        <v>0</v>
      </c>
      <c r="P391" t="n">
        <v>0</v>
      </c>
      <c r="Q391" t="n">
        <v>1</v>
      </c>
      <c r="R391" s="2" t="inlineStr">
        <is>
          <t>Blåsippa</t>
        </is>
      </c>
      <c r="S391">
        <f>HYPERLINK("https://klasma.github.io/Logging_1984/artfynd/A 18495-2024 artfynd.xlsx", "A 18495-2024")</f>
        <v/>
      </c>
      <c r="T391">
        <f>HYPERLINK("https://klasma.github.io/Logging_1984/kartor/A 18495-2024 karta.png", "A 18495-2024")</f>
        <v/>
      </c>
      <c r="V391">
        <f>HYPERLINK("https://klasma.github.io/Logging_1984/klagomål/A 18495-2024 FSC-klagomål.docx", "A 18495-2024")</f>
        <v/>
      </c>
      <c r="W391">
        <f>HYPERLINK("https://klasma.github.io/Logging_1984/klagomålsmail/A 18495-2024 FSC-klagomål mail.docx", "A 18495-2024")</f>
        <v/>
      </c>
      <c r="X391">
        <f>HYPERLINK("https://klasma.github.io/Logging_1984/tillsyn/A 18495-2024 tillsynsbegäran.docx", "A 18495-2024")</f>
        <v/>
      </c>
      <c r="Y391">
        <f>HYPERLINK("https://klasma.github.io/Logging_1984/tillsynsmail/A 18495-2024 tillsynsbegäran mail.docx", "A 18495-2024")</f>
        <v/>
      </c>
    </row>
    <row r="392" ht="15" customHeight="1">
      <c r="A392" t="inlineStr">
        <is>
          <t>A 19201-2024</t>
        </is>
      </c>
      <c r="B392" s="1" t="n">
        <v>45428</v>
      </c>
      <c r="C392" s="1" t="n">
        <v>45757</v>
      </c>
      <c r="D392" t="inlineStr">
        <is>
          <t>VÄSTMANLANDS LÄN</t>
        </is>
      </c>
      <c r="E392" t="inlineStr">
        <is>
          <t>SKINNSKATTEBERG</t>
        </is>
      </c>
      <c r="F392" t="inlineStr">
        <is>
          <t>Sveaskog</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HYPERLINK("https://klasma.github.io/Logging_1904/artfynd/A 19201-2024 artfynd.xlsx", "A 19201-2024")</f>
        <v/>
      </c>
      <c r="T392">
        <f>HYPERLINK("https://klasma.github.io/Logging_1904/kartor/A 19201-2024 karta.png", "A 19201-2024")</f>
        <v/>
      </c>
      <c r="V392">
        <f>HYPERLINK("https://klasma.github.io/Logging_1904/klagomål/A 19201-2024 FSC-klagomål.docx", "A 19201-2024")</f>
        <v/>
      </c>
      <c r="W392">
        <f>HYPERLINK("https://klasma.github.io/Logging_1904/klagomålsmail/A 19201-2024 FSC-klagomål mail.docx", "A 19201-2024")</f>
        <v/>
      </c>
      <c r="X392">
        <f>HYPERLINK("https://klasma.github.io/Logging_1904/tillsyn/A 19201-2024 tillsynsbegäran.docx", "A 19201-2024")</f>
        <v/>
      </c>
      <c r="Y392">
        <f>HYPERLINK("https://klasma.github.io/Logging_1904/tillsynsmail/A 19201-2024 tillsynsbegäran mail.docx", "A 19201-2024")</f>
        <v/>
      </c>
      <c r="Z392">
        <f>HYPERLINK("https://klasma.github.io/Logging_1904/fåglar/A 19201-2024 prioriterade fågelarter.docx", "A 19201-2024")</f>
        <v/>
      </c>
    </row>
    <row r="393" ht="15" customHeight="1">
      <c r="A393" t="inlineStr">
        <is>
          <t>A 19716-2024</t>
        </is>
      </c>
      <c r="B393" s="1" t="n">
        <v>45432</v>
      </c>
      <c r="C393" s="1" t="n">
        <v>45757</v>
      </c>
      <c r="D393" t="inlineStr">
        <is>
          <t>VÄSTMANLANDS LÄN</t>
        </is>
      </c>
      <c r="E393" t="inlineStr">
        <is>
          <t>SALA</t>
        </is>
      </c>
      <c r="G393" t="n">
        <v>5.5</v>
      </c>
      <c r="H393" t="n">
        <v>1</v>
      </c>
      <c r="I393" t="n">
        <v>0</v>
      </c>
      <c r="J393" t="n">
        <v>0</v>
      </c>
      <c r="K393" t="n">
        <v>0</v>
      </c>
      <c r="L393" t="n">
        <v>0</v>
      </c>
      <c r="M393" t="n">
        <v>0</v>
      </c>
      <c r="N393" t="n">
        <v>0</v>
      </c>
      <c r="O393" t="n">
        <v>0</v>
      </c>
      <c r="P393" t="n">
        <v>0</v>
      </c>
      <c r="Q393" t="n">
        <v>1</v>
      </c>
      <c r="R393" s="2" t="inlineStr">
        <is>
          <t>Fläcknycklar</t>
        </is>
      </c>
      <c r="S393">
        <f>HYPERLINK("https://klasma.github.io/Logging_1981/artfynd/A 19716-2024 artfynd.xlsx", "A 19716-2024")</f>
        <v/>
      </c>
      <c r="T393">
        <f>HYPERLINK("https://klasma.github.io/Logging_1981/kartor/A 19716-2024 karta.png", "A 19716-2024")</f>
        <v/>
      </c>
      <c r="V393">
        <f>HYPERLINK("https://klasma.github.io/Logging_1981/klagomål/A 19716-2024 FSC-klagomål.docx", "A 19716-2024")</f>
        <v/>
      </c>
      <c r="W393">
        <f>HYPERLINK("https://klasma.github.io/Logging_1981/klagomålsmail/A 19716-2024 FSC-klagomål mail.docx", "A 19716-2024")</f>
        <v/>
      </c>
      <c r="X393">
        <f>HYPERLINK("https://klasma.github.io/Logging_1981/tillsyn/A 19716-2024 tillsynsbegäran.docx", "A 19716-2024")</f>
        <v/>
      </c>
      <c r="Y393">
        <f>HYPERLINK("https://klasma.github.io/Logging_1981/tillsynsmail/A 19716-2024 tillsynsbegäran mail.docx", "A 19716-2024")</f>
        <v/>
      </c>
    </row>
    <row r="394" ht="15" customHeight="1">
      <c r="A394" t="inlineStr">
        <is>
          <t>A 20064-2024</t>
        </is>
      </c>
      <c r="B394" s="1" t="n">
        <v>45434</v>
      </c>
      <c r="C394" s="1" t="n">
        <v>45757</v>
      </c>
      <c r="D394" t="inlineStr">
        <is>
          <t>VÄSTMANLANDS LÄN</t>
        </is>
      </c>
      <c r="E394" t="inlineStr">
        <is>
          <t>ARBOGA</t>
        </is>
      </c>
      <c r="G394" t="n">
        <v>7.1</v>
      </c>
      <c r="H394" t="n">
        <v>0</v>
      </c>
      <c r="I394" t="n">
        <v>0</v>
      </c>
      <c r="J394" t="n">
        <v>0</v>
      </c>
      <c r="K394" t="n">
        <v>0</v>
      </c>
      <c r="L394" t="n">
        <v>1</v>
      </c>
      <c r="M394" t="n">
        <v>0</v>
      </c>
      <c r="N394" t="n">
        <v>0</v>
      </c>
      <c r="O394" t="n">
        <v>1</v>
      </c>
      <c r="P394" t="n">
        <v>1</v>
      </c>
      <c r="Q394" t="n">
        <v>1</v>
      </c>
      <c r="R394" s="2" t="inlineStr">
        <is>
          <t>Ask</t>
        </is>
      </c>
      <c r="S394">
        <f>HYPERLINK("https://klasma.github.io/Logging_1984/artfynd/A 20064-2024 artfynd.xlsx", "A 20064-2024")</f>
        <v/>
      </c>
      <c r="T394">
        <f>HYPERLINK("https://klasma.github.io/Logging_1984/kartor/A 20064-2024 karta.png", "A 20064-2024")</f>
        <v/>
      </c>
      <c r="V394">
        <f>HYPERLINK("https://klasma.github.io/Logging_1984/klagomål/A 20064-2024 FSC-klagomål.docx", "A 20064-2024")</f>
        <v/>
      </c>
      <c r="W394">
        <f>HYPERLINK("https://klasma.github.io/Logging_1984/klagomålsmail/A 20064-2024 FSC-klagomål mail.docx", "A 20064-2024")</f>
        <v/>
      </c>
      <c r="X394">
        <f>HYPERLINK("https://klasma.github.io/Logging_1984/tillsyn/A 20064-2024 tillsynsbegäran.docx", "A 20064-2024")</f>
        <v/>
      </c>
      <c r="Y394">
        <f>HYPERLINK("https://klasma.github.io/Logging_1984/tillsynsmail/A 20064-2024 tillsynsbegäran mail.docx", "A 20064-2024")</f>
        <v/>
      </c>
    </row>
    <row r="395" ht="15" customHeight="1">
      <c r="A395" t="inlineStr">
        <is>
          <t>A 21576-2024</t>
        </is>
      </c>
      <c r="B395" s="1" t="n">
        <v>45441</v>
      </c>
      <c r="C395" s="1" t="n">
        <v>45757</v>
      </c>
      <c r="D395" t="inlineStr">
        <is>
          <t>VÄSTMANLANDS LÄN</t>
        </is>
      </c>
      <c r="E395" t="inlineStr">
        <is>
          <t>KÖPING</t>
        </is>
      </c>
      <c r="F395" t="inlineStr">
        <is>
          <t>Sveaskog</t>
        </is>
      </c>
      <c r="G395" t="n">
        <v>6.1</v>
      </c>
      <c r="H395" t="n">
        <v>0</v>
      </c>
      <c r="I395" t="n">
        <v>0</v>
      </c>
      <c r="J395" t="n">
        <v>1</v>
      </c>
      <c r="K395" t="n">
        <v>0</v>
      </c>
      <c r="L395" t="n">
        <v>0</v>
      </c>
      <c r="M395" t="n">
        <v>0</v>
      </c>
      <c r="N395" t="n">
        <v>0</v>
      </c>
      <c r="O395" t="n">
        <v>1</v>
      </c>
      <c r="P395" t="n">
        <v>0</v>
      </c>
      <c r="Q395" t="n">
        <v>1</v>
      </c>
      <c r="R395" s="2" t="inlineStr">
        <is>
          <t>Motaggsvamp</t>
        </is>
      </c>
      <c r="S395">
        <f>HYPERLINK("https://klasma.github.io/Logging_1983/artfynd/A 21576-2024 artfynd.xlsx", "A 21576-2024")</f>
        <v/>
      </c>
      <c r="T395">
        <f>HYPERLINK("https://klasma.github.io/Logging_1983/kartor/A 21576-2024 karta.png", "A 21576-2024")</f>
        <v/>
      </c>
      <c r="V395">
        <f>HYPERLINK("https://klasma.github.io/Logging_1983/klagomål/A 21576-2024 FSC-klagomål.docx", "A 21576-2024")</f>
        <v/>
      </c>
      <c r="W395">
        <f>HYPERLINK("https://klasma.github.io/Logging_1983/klagomålsmail/A 21576-2024 FSC-klagomål mail.docx", "A 21576-2024")</f>
        <v/>
      </c>
      <c r="X395">
        <f>HYPERLINK("https://klasma.github.io/Logging_1983/tillsyn/A 21576-2024 tillsynsbegäran.docx", "A 21576-2024")</f>
        <v/>
      </c>
      <c r="Y395">
        <f>HYPERLINK("https://klasma.github.io/Logging_1983/tillsynsmail/A 21576-2024 tillsynsbegäran mail.docx", "A 21576-2024")</f>
        <v/>
      </c>
    </row>
    <row r="396" ht="15" customHeight="1">
      <c r="A396" t="inlineStr">
        <is>
          <t>A 21574-2024</t>
        </is>
      </c>
      <c r="B396" s="1" t="n">
        <v>45441</v>
      </c>
      <c r="C396" s="1" t="n">
        <v>45757</v>
      </c>
      <c r="D396" t="inlineStr">
        <is>
          <t>VÄSTMANLANDS LÄN</t>
        </is>
      </c>
      <c r="E396" t="inlineStr">
        <is>
          <t>SKINNSKATTEBERG</t>
        </is>
      </c>
      <c r="F396" t="inlineStr">
        <is>
          <t>Sveaskog</t>
        </is>
      </c>
      <c r="G396" t="n">
        <v>2.2</v>
      </c>
      <c r="H396" t="n">
        <v>0</v>
      </c>
      <c r="I396" t="n">
        <v>0</v>
      </c>
      <c r="J396" t="n">
        <v>1</v>
      </c>
      <c r="K396" t="n">
        <v>0</v>
      </c>
      <c r="L396" t="n">
        <v>0</v>
      </c>
      <c r="M396" t="n">
        <v>0</v>
      </c>
      <c r="N396" t="n">
        <v>0</v>
      </c>
      <c r="O396" t="n">
        <v>1</v>
      </c>
      <c r="P396" t="n">
        <v>0</v>
      </c>
      <c r="Q396" t="n">
        <v>1</v>
      </c>
      <c r="R396" s="2" t="inlineStr">
        <is>
          <t>Vedskivlav</t>
        </is>
      </c>
      <c r="S396">
        <f>HYPERLINK("https://klasma.github.io/Logging_1904/artfynd/A 21574-2024 artfynd.xlsx", "A 21574-2024")</f>
        <v/>
      </c>
      <c r="T396">
        <f>HYPERLINK("https://klasma.github.io/Logging_1904/kartor/A 21574-2024 karta.png", "A 21574-2024")</f>
        <v/>
      </c>
      <c r="V396">
        <f>HYPERLINK("https://klasma.github.io/Logging_1904/klagomål/A 21574-2024 FSC-klagomål.docx", "A 21574-2024")</f>
        <v/>
      </c>
      <c r="W396">
        <f>HYPERLINK("https://klasma.github.io/Logging_1904/klagomålsmail/A 21574-2024 FSC-klagomål mail.docx", "A 21574-2024")</f>
        <v/>
      </c>
      <c r="X396">
        <f>HYPERLINK("https://klasma.github.io/Logging_1904/tillsyn/A 21574-2024 tillsynsbegäran.docx", "A 21574-2024")</f>
        <v/>
      </c>
      <c r="Y396">
        <f>HYPERLINK("https://klasma.github.io/Logging_1904/tillsynsmail/A 21574-2024 tillsynsbegäran mail.docx", "A 21574-2024")</f>
        <v/>
      </c>
    </row>
    <row r="397" ht="15" customHeight="1">
      <c r="A397" t="inlineStr">
        <is>
          <t>A 22350-2024</t>
        </is>
      </c>
      <c r="B397" s="1" t="n">
        <v>45446</v>
      </c>
      <c r="C397" s="1" t="n">
        <v>45757</v>
      </c>
      <c r="D397" t="inlineStr">
        <is>
          <t>VÄSTMANLANDS LÄN</t>
        </is>
      </c>
      <c r="E397" t="inlineStr">
        <is>
          <t>SALA</t>
        </is>
      </c>
      <c r="G397" t="n">
        <v>1.2</v>
      </c>
      <c r="H397" t="n">
        <v>1</v>
      </c>
      <c r="I397" t="n">
        <v>0</v>
      </c>
      <c r="J397" t="n">
        <v>0</v>
      </c>
      <c r="K397" t="n">
        <v>0</v>
      </c>
      <c r="L397" t="n">
        <v>0</v>
      </c>
      <c r="M397" t="n">
        <v>0</v>
      </c>
      <c r="N397" t="n">
        <v>0</v>
      </c>
      <c r="O397" t="n">
        <v>0</v>
      </c>
      <c r="P397" t="n">
        <v>0</v>
      </c>
      <c r="Q397" t="n">
        <v>1</v>
      </c>
      <c r="R397" s="2" t="inlineStr">
        <is>
          <t>Blåsippa</t>
        </is>
      </c>
      <c r="S397">
        <f>HYPERLINK("https://klasma.github.io/Logging_1981/artfynd/A 22350-2024 artfynd.xlsx", "A 22350-2024")</f>
        <v/>
      </c>
      <c r="T397">
        <f>HYPERLINK("https://klasma.github.io/Logging_1981/kartor/A 22350-2024 karta.png", "A 22350-2024")</f>
        <v/>
      </c>
      <c r="V397">
        <f>HYPERLINK("https://klasma.github.io/Logging_1981/klagomål/A 22350-2024 FSC-klagomål.docx", "A 22350-2024")</f>
        <v/>
      </c>
      <c r="W397">
        <f>HYPERLINK("https://klasma.github.io/Logging_1981/klagomålsmail/A 22350-2024 FSC-klagomål mail.docx", "A 22350-2024")</f>
        <v/>
      </c>
      <c r="X397">
        <f>HYPERLINK("https://klasma.github.io/Logging_1981/tillsyn/A 22350-2024 tillsynsbegäran.docx", "A 22350-2024")</f>
        <v/>
      </c>
      <c r="Y397">
        <f>HYPERLINK("https://klasma.github.io/Logging_1981/tillsynsmail/A 22350-2024 tillsynsbegäran mail.docx", "A 22350-2024")</f>
        <v/>
      </c>
    </row>
    <row r="398" ht="15" customHeight="1">
      <c r="A398" t="inlineStr">
        <is>
          <t>A 23444-2024</t>
        </is>
      </c>
      <c r="B398" s="1" t="n">
        <v>45453</v>
      </c>
      <c r="C398" s="1" t="n">
        <v>45757</v>
      </c>
      <c r="D398" t="inlineStr">
        <is>
          <t>VÄSTMANLANDS LÄN</t>
        </is>
      </c>
      <c r="E398" t="inlineStr">
        <is>
          <t>VÄSTERÅS</t>
        </is>
      </c>
      <c r="G398" t="n">
        <v>4.5</v>
      </c>
      <c r="H398" t="n">
        <v>0</v>
      </c>
      <c r="I398" t="n">
        <v>0</v>
      </c>
      <c r="J398" t="n">
        <v>1</v>
      </c>
      <c r="K398" t="n">
        <v>0</v>
      </c>
      <c r="L398" t="n">
        <v>0</v>
      </c>
      <c r="M398" t="n">
        <v>0</v>
      </c>
      <c r="N398" t="n">
        <v>0</v>
      </c>
      <c r="O398" t="n">
        <v>1</v>
      </c>
      <c r="P398" t="n">
        <v>0</v>
      </c>
      <c r="Q398" t="n">
        <v>1</v>
      </c>
      <c r="R398" s="2" t="inlineStr">
        <is>
          <t>Svart taggsvamp</t>
        </is>
      </c>
      <c r="S398">
        <f>HYPERLINK("https://klasma.github.io/Logging_1980/artfynd/A 23444-2024 artfynd.xlsx", "A 23444-2024")</f>
        <v/>
      </c>
      <c r="T398">
        <f>HYPERLINK("https://klasma.github.io/Logging_1980/kartor/A 23444-2024 karta.png", "A 23444-2024")</f>
        <v/>
      </c>
      <c r="V398">
        <f>HYPERLINK("https://klasma.github.io/Logging_1980/klagomål/A 23444-2024 FSC-klagomål.docx", "A 23444-2024")</f>
        <v/>
      </c>
      <c r="W398">
        <f>HYPERLINK("https://klasma.github.io/Logging_1980/klagomålsmail/A 23444-2024 FSC-klagomål mail.docx", "A 23444-2024")</f>
        <v/>
      </c>
      <c r="X398">
        <f>HYPERLINK("https://klasma.github.io/Logging_1980/tillsyn/A 23444-2024 tillsynsbegäran.docx", "A 23444-2024")</f>
        <v/>
      </c>
      <c r="Y398">
        <f>HYPERLINK("https://klasma.github.io/Logging_1980/tillsynsmail/A 23444-2024 tillsynsbegäran mail.docx", "A 23444-2024")</f>
        <v/>
      </c>
    </row>
    <row r="399" ht="15" customHeight="1">
      <c r="A399" t="inlineStr">
        <is>
          <t>A 24133-2024</t>
        </is>
      </c>
      <c r="B399" s="1" t="n">
        <v>45456</v>
      </c>
      <c r="C399" s="1" t="n">
        <v>45757</v>
      </c>
      <c r="D399" t="inlineStr">
        <is>
          <t>VÄSTMANLANDS LÄN</t>
        </is>
      </c>
      <c r="E399" t="inlineStr">
        <is>
          <t>SKINNSKATTEBERG</t>
        </is>
      </c>
      <c r="F399" t="inlineStr">
        <is>
          <t>Sveaskog</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HYPERLINK("https://klasma.github.io/Logging_1904/artfynd/A 24133-2024 artfynd.xlsx", "A 24133-2024")</f>
        <v/>
      </c>
      <c r="T399">
        <f>HYPERLINK("https://klasma.github.io/Logging_1904/kartor/A 24133-2024 karta.png", "A 24133-2024")</f>
        <v/>
      </c>
      <c r="V399">
        <f>HYPERLINK("https://klasma.github.io/Logging_1904/klagomål/A 24133-2024 FSC-klagomål.docx", "A 24133-2024")</f>
        <v/>
      </c>
      <c r="W399">
        <f>HYPERLINK("https://klasma.github.io/Logging_1904/klagomålsmail/A 24133-2024 FSC-klagomål mail.docx", "A 24133-2024")</f>
        <v/>
      </c>
      <c r="X399">
        <f>HYPERLINK("https://klasma.github.io/Logging_1904/tillsyn/A 24133-2024 tillsynsbegäran.docx", "A 24133-2024")</f>
        <v/>
      </c>
      <c r="Y399">
        <f>HYPERLINK("https://klasma.github.io/Logging_1904/tillsynsmail/A 24133-2024 tillsynsbegäran mail.docx", "A 24133-2024")</f>
        <v/>
      </c>
      <c r="Z399">
        <f>HYPERLINK("https://klasma.github.io/Logging_1904/fåglar/A 24133-2024 prioriterade fågelarter.docx", "A 24133-2024")</f>
        <v/>
      </c>
    </row>
    <row r="400" ht="15" customHeight="1">
      <c r="A400" t="inlineStr">
        <is>
          <t>A 25583-2024</t>
        </is>
      </c>
      <c r="B400" s="1" t="n">
        <v>45463</v>
      </c>
      <c r="C400" s="1" t="n">
        <v>45757</v>
      </c>
      <c r="D400" t="inlineStr">
        <is>
          <t>VÄSTMANLANDS LÄN</t>
        </is>
      </c>
      <c r="E400" t="inlineStr">
        <is>
          <t>SURAHAMMAR</t>
        </is>
      </c>
      <c r="F400" t="inlineStr">
        <is>
          <t>Bergvik skog väst AB</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HYPERLINK("https://klasma.github.io/Logging_1907/artfynd/A 25583-2024 artfynd.xlsx", "A 25583-2024")</f>
        <v/>
      </c>
      <c r="T400">
        <f>HYPERLINK("https://klasma.github.io/Logging_1907/kartor/A 25583-2024 karta.png", "A 25583-2024")</f>
        <v/>
      </c>
      <c r="V400">
        <f>HYPERLINK("https://klasma.github.io/Logging_1907/klagomål/A 25583-2024 FSC-klagomål.docx", "A 25583-2024")</f>
        <v/>
      </c>
      <c r="W400">
        <f>HYPERLINK("https://klasma.github.io/Logging_1907/klagomålsmail/A 25583-2024 FSC-klagomål mail.docx", "A 25583-2024")</f>
        <v/>
      </c>
      <c r="X400">
        <f>HYPERLINK("https://klasma.github.io/Logging_1907/tillsyn/A 25583-2024 tillsynsbegäran.docx", "A 25583-2024")</f>
        <v/>
      </c>
      <c r="Y400">
        <f>HYPERLINK("https://klasma.github.io/Logging_1907/tillsynsmail/A 25583-2024 tillsynsbegäran mail.docx", "A 25583-2024")</f>
        <v/>
      </c>
    </row>
    <row r="401" ht="15" customHeight="1">
      <c r="A401" t="inlineStr">
        <is>
          <t>A 27591-2024</t>
        </is>
      </c>
      <c r="B401" s="1" t="n">
        <v>45474</v>
      </c>
      <c r="C401" s="1" t="n">
        <v>45757</v>
      </c>
      <c r="D401" t="inlineStr">
        <is>
          <t>VÄSTMANLANDS LÄN</t>
        </is>
      </c>
      <c r="E401" t="inlineStr">
        <is>
          <t>SALA</t>
        </is>
      </c>
      <c r="G401" t="n">
        <v>5.1</v>
      </c>
      <c r="H401" t="n">
        <v>1</v>
      </c>
      <c r="I401" t="n">
        <v>0</v>
      </c>
      <c r="J401" t="n">
        <v>1</v>
      </c>
      <c r="K401" t="n">
        <v>0</v>
      </c>
      <c r="L401" t="n">
        <v>0</v>
      </c>
      <c r="M401" t="n">
        <v>0</v>
      </c>
      <c r="N401" t="n">
        <v>0</v>
      </c>
      <c r="O401" t="n">
        <v>1</v>
      </c>
      <c r="P401" t="n">
        <v>0</v>
      </c>
      <c r="Q401" t="n">
        <v>1</v>
      </c>
      <c r="R401" s="2" t="inlineStr">
        <is>
          <t>Spillkråka</t>
        </is>
      </c>
      <c r="S401">
        <f>HYPERLINK("https://klasma.github.io/Logging_1981/artfynd/A 27591-2024 artfynd.xlsx", "A 27591-2024")</f>
        <v/>
      </c>
      <c r="T401">
        <f>HYPERLINK("https://klasma.github.io/Logging_1981/kartor/A 27591-2024 karta.png", "A 27591-2024")</f>
        <v/>
      </c>
      <c r="V401">
        <f>HYPERLINK("https://klasma.github.io/Logging_1981/klagomål/A 27591-2024 FSC-klagomål.docx", "A 27591-2024")</f>
        <v/>
      </c>
      <c r="W401">
        <f>HYPERLINK("https://klasma.github.io/Logging_1981/klagomålsmail/A 27591-2024 FSC-klagomål mail.docx", "A 27591-2024")</f>
        <v/>
      </c>
      <c r="X401">
        <f>HYPERLINK("https://klasma.github.io/Logging_1981/tillsyn/A 27591-2024 tillsynsbegäran.docx", "A 27591-2024")</f>
        <v/>
      </c>
      <c r="Y401">
        <f>HYPERLINK("https://klasma.github.io/Logging_1981/tillsynsmail/A 27591-2024 tillsynsbegäran mail.docx", "A 27591-2024")</f>
        <v/>
      </c>
      <c r="Z401">
        <f>HYPERLINK("https://klasma.github.io/Logging_1981/fåglar/A 27591-2024 prioriterade fågelarter.docx", "A 27591-2024")</f>
        <v/>
      </c>
    </row>
    <row r="402" ht="15" customHeight="1">
      <c r="A402" t="inlineStr">
        <is>
          <t>A 27957-2024</t>
        </is>
      </c>
      <c r="B402" s="1" t="n">
        <v>45476</v>
      </c>
      <c r="C402" s="1" t="n">
        <v>45757</v>
      </c>
      <c r="D402" t="inlineStr">
        <is>
          <t>VÄSTMANLANDS LÄN</t>
        </is>
      </c>
      <c r="E402" t="inlineStr">
        <is>
          <t>SURAHAMMAR</t>
        </is>
      </c>
      <c r="F402" t="inlineStr">
        <is>
          <t>Sveaskog</t>
        </is>
      </c>
      <c r="G402" t="n">
        <v>14.4</v>
      </c>
      <c r="H402" t="n">
        <v>1</v>
      </c>
      <c r="I402" t="n">
        <v>0</v>
      </c>
      <c r="J402" t="n">
        <v>0</v>
      </c>
      <c r="K402" t="n">
        <v>0</v>
      </c>
      <c r="L402" t="n">
        <v>0</v>
      </c>
      <c r="M402" t="n">
        <v>0</v>
      </c>
      <c r="N402" t="n">
        <v>0</v>
      </c>
      <c r="O402" t="n">
        <v>0</v>
      </c>
      <c r="P402" t="n">
        <v>0</v>
      </c>
      <c r="Q402" t="n">
        <v>1</v>
      </c>
      <c r="R402" s="2" t="inlineStr">
        <is>
          <t>Fläcknycklar</t>
        </is>
      </c>
      <c r="S402">
        <f>HYPERLINK("https://klasma.github.io/Logging_1907/artfynd/A 27957-2024 artfynd.xlsx", "A 27957-2024")</f>
        <v/>
      </c>
      <c r="T402">
        <f>HYPERLINK("https://klasma.github.io/Logging_1907/kartor/A 27957-2024 karta.png", "A 27957-2024")</f>
        <v/>
      </c>
      <c r="V402">
        <f>HYPERLINK("https://klasma.github.io/Logging_1907/klagomål/A 27957-2024 FSC-klagomål.docx", "A 27957-2024")</f>
        <v/>
      </c>
      <c r="W402">
        <f>HYPERLINK("https://klasma.github.io/Logging_1907/klagomålsmail/A 27957-2024 FSC-klagomål mail.docx", "A 27957-2024")</f>
        <v/>
      </c>
      <c r="X402">
        <f>HYPERLINK("https://klasma.github.io/Logging_1907/tillsyn/A 27957-2024 tillsynsbegäran.docx", "A 27957-2024")</f>
        <v/>
      </c>
      <c r="Y402">
        <f>HYPERLINK("https://klasma.github.io/Logging_1907/tillsynsmail/A 27957-2024 tillsynsbegäran mail.docx", "A 27957-2024")</f>
        <v/>
      </c>
    </row>
    <row r="403" ht="15" customHeight="1">
      <c r="A403" t="inlineStr">
        <is>
          <t>A 29156-2024</t>
        </is>
      </c>
      <c r="B403" s="1" t="n">
        <v>45482</v>
      </c>
      <c r="C403" s="1" t="n">
        <v>45757</v>
      </c>
      <c r="D403" t="inlineStr">
        <is>
          <t>VÄSTMANLANDS LÄN</t>
        </is>
      </c>
      <c r="E403" t="inlineStr">
        <is>
          <t>SURAHAMMAR</t>
        </is>
      </c>
      <c r="F403" t="inlineStr">
        <is>
          <t>Sveaskog</t>
        </is>
      </c>
      <c r="G403" t="n">
        <v>2.6</v>
      </c>
      <c r="H403" t="n">
        <v>0</v>
      </c>
      <c r="I403" t="n">
        <v>1</v>
      </c>
      <c r="J403" t="n">
        <v>0</v>
      </c>
      <c r="K403" t="n">
        <v>0</v>
      </c>
      <c r="L403" t="n">
        <v>0</v>
      </c>
      <c r="M403" t="n">
        <v>0</v>
      </c>
      <c r="N403" t="n">
        <v>0</v>
      </c>
      <c r="O403" t="n">
        <v>0</v>
      </c>
      <c r="P403" t="n">
        <v>0</v>
      </c>
      <c r="Q403" t="n">
        <v>1</v>
      </c>
      <c r="R403" s="2" t="inlineStr">
        <is>
          <t>Fjällig taggsvamp s.str.</t>
        </is>
      </c>
      <c r="S403">
        <f>HYPERLINK("https://klasma.github.io/Logging_1907/artfynd/A 29156-2024 artfynd.xlsx", "A 29156-2024")</f>
        <v/>
      </c>
      <c r="T403">
        <f>HYPERLINK("https://klasma.github.io/Logging_1907/kartor/A 29156-2024 karta.png", "A 29156-2024")</f>
        <v/>
      </c>
      <c r="V403">
        <f>HYPERLINK("https://klasma.github.io/Logging_1907/klagomål/A 29156-2024 FSC-klagomål.docx", "A 29156-2024")</f>
        <v/>
      </c>
      <c r="W403">
        <f>HYPERLINK("https://klasma.github.io/Logging_1907/klagomålsmail/A 29156-2024 FSC-klagomål mail.docx", "A 29156-2024")</f>
        <v/>
      </c>
      <c r="X403">
        <f>HYPERLINK("https://klasma.github.io/Logging_1907/tillsyn/A 29156-2024 tillsynsbegäran.docx", "A 29156-2024")</f>
        <v/>
      </c>
      <c r="Y403">
        <f>HYPERLINK("https://klasma.github.io/Logging_1907/tillsynsmail/A 29156-2024 tillsynsbegäran mail.docx", "A 29156-2024")</f>
        <v/>
      </c>
    </row>
    <row r="404" ht="15" customHeight="1">
      <c r="A404" t="inlineStr">
        <is>
          <t>A 31176-2024</t>
        </is>
      </c>
      <c r="B404" s="1" t="n">
        <v>45503</v>
      </c>
      <c r="C404" s="1" t="n">
        <v>45757</v>
      </c>
      <c r="D404" t="inlineStr">
        <is>
          <t>VÄSTMANLANDS LÄN</t>
        </is>
      </c>
      <c r="E404" t="inlineStr">
        <is>
          <t>SURAHAMMAR</t>
        </is>
      </c>
      <c r="F404" t="inlineStr">
        <is>
          <t>Allmännings- och besparingsskogar</t>
        </is>
      </c>
      <c r="G404" t="n">
        <v>10.7</v>
      </c>
      <c r="H404" t="n">
        <v>0</v>
      </c>
      <c r="I404" t="n">
        <v>0</v>
      </c>
      <c r="J404" t="n">
        <v>1</v>
      </c>
      <c r="K404" t="n">
        <v>0</v>
      </c>
      <c r="L404" t="n">
        <v>0</v>
      </c>
      <c r="M404" t="n">
        <v>0</v>
      </c>
      <c r="N404" t="n">
        <v>0</v>
      </c>
      <c r="O404" t="n">
        <v>1</v>
      </c>
      <c r="P404" t="n">
        <v>0</v>
      </c>
      <c r="Q404" t="n">
        <v>1</v>
      </c>
      <c r="R404" s="2" t="inlineStr">
        <is>
          <t>Doftskinn</t>
        </is>
      </c>
      <c r="S404">
        <f>HYPERLINK("https://klasma.github.io/Logging_1907/artfynd/A 31176-2024 artfynd.xlsx", "A 31176-2024")</f>
        <v/>
      </c>
      <c r="T404">
        <f>HYPERLINK("https://klasma.github.io/Logging_1907/kartor/A 31176-2024 karta.png", "A 31176-2024")</f>
        <v/>
      </c>
      <c r="V404">
        <f>HYPERLINK("https://klasma.github.io/Logging_1907/klagomål/A 31176-2024 FSC-klagomål.docx", "A 31176-2024")</f>
        <v/>
      </c>
      <c r="W404">
        <f>HYPERLINK("https://klasma.github.io/Logging_1907/klagomålsmail/A 31176-2024 FSC-klagomål mail.docx", "A 31176-2024")</f>
        <v/>
      </c>
      <c r="X404">
        <f>HYPERLINK("https://klasma.github.io/Logging_1907/tillsyn/A 31176-2024 tillsynsbegäran.docx", "A 31176-2024")</f>
        <v/>
      </c>
      <c r="Y404">
        <f>HYPERLINK("https://klasma.github.io/Logging_1907/tillsynsmail/A 31176-2024 tillsynsbegäran mail.docx", "A 31176-2024")</f>
        <v/>
      </c>
    </row>
    <row r="405" ht="15" customHeight="1">
      <c r="A405" t="inlineStr">
        <is>
          <t>A 31263-2024</t>
        </is>
      </c>
      <c r="B405" s="1" t="n">
        <v>45503</v>
      </c>
      <c r="C405" s="1" t="n">
        <v>45757</v>
      </c>
      <c r="D405" t="inlineStr">
        <is>
          <t>VÄSTMANLANDS LÄN</t>
        </is>
      </c>
      <c r="E405" t="inlineStr">
        <is>
          <t>KÖPING</t>
        </is>
      </c>
      <c r="G405" t="n">
        <v>12.4</v>
      </c>
      <c r="H405" t="n">
        <v>0</v>
      </c>
      <c r="I405" t="n">
        <v>0</v>
      </c>
      <c r="J405" t="n">
        <v>1</v>
      </c>
      <c r="K405" t="n">
        <v>0</v>
      </c>
      <c r="L405" t="n">
        <v>0</v>
      </c>
      <c r="M405" t="n">
        <v>0</v>
      </c>
      <c r="N405" t="n">
        <v>0</v>
      </c>
      <c r="O405" t="n">
        <v>1</v>
      </c>
      <c r="P405" t="n">
        <v>0</v>
      </c>
      <c r="Q405" t="n">
        <v>1</v>
      </c>
      <c r="R405" s="2" t="inlineStr">
        <is>
          <t>Mindre bastardsvärmare</t>
        </is>
      </c>
      <c r="S405">
        <f>HYPERLINK("https://klasma.github.io/Logging_1983/artfynd/A 31263-2024 artfynd.xlsx", "A 31263-2024")</f>
        <v/>
      </c>
      <c r="T405">
        <f>HYPERLINK("https://klasma.github.io/Logging_1983/kartor/A 31263-2024 karta.png", "A 31263-2024")</f>
        <v/>
      </c>
      <c r="V405">
        <f>HYPERLINK("https://klasma.github.io/Logging_1983/klagomål/A 31263-2024 FSC-klagomål.docx", "A 31263-2024")</f>
        <v/>
      </c>
      <c r="W405">
        <f>HYPERLINK("https://klasma.github.io/Logging_1983/klagomålsmail/A 31263-2024 FSC-klagomål mail.docx", "A 31263-2024")</f>
        <v/>
      </c>
      <c r="X405">
        <f>HYPERLINK("https://klasma.github.io/Logging_1983/tillsyn/A 31263-2024 tillsynsbegäran.docx", "A 31263-2024")</f>
        <v/>
      </c>
      <c r="Y405">
        <f>HYPERLINK("https://klasma.github.io/Logging_1983/tillsynsmail/A 31263-2024 tillsynsbegäran mail.docx", "A 31263-2024")</f>
        <v/>
      </c>
    </row>
    <row r="406" ht="15" customHeight="1">
      <c r="A406" t="inlineStr">
        <is>
          <t>A 36596-2024</t>
        </is>
      </c>
      <c r="B406" s="1" t="n">
        <v>45537</v>
      </c>
      <c r="C406" s="1" t="n">
        <v>45757</v>
      </c>
      <c r="D406" t="inlineStr">
        <is>
          <t>VÄSTMANLANDS LÄN</t>
        </is>
      </c>
      <c r="E406" t="inlineStr">
        <is>
          <t>SKINNSKATTEBERG</t>
        </is>
      </c>
      <c r="F406" t="inlineStr">
        <is>
          <t>Sveaskog</t>
        </is>
      </c>
      <c r="G406" t="n">
        <v>0.8</v>
      </c>
      <c r="H406" t="n">
        <v>0</v>
      </c>
      <c r="I406" t="n">
        <v>0</v>
      </c>
      <c r="J406" t="n">
        <v>0</v>
      </c>
      <c r="K406" t="n">
        <v>1</v>
      </c>
      <c r="L406" t="n">
        <v>0</v>
      </c>
      <c r="M406" t="n">
        <v>0</v>
      </c>
      <c r="N406" t="n">
        <v>0</v>
      </c>
      <c r="O406" t="n">
        <v>1</v>
      </c>
      <c r="P406" t="n">
        <v>1</v>
      </c>
      <c r="Q406" t="n">
        <v>1</v>
      </c>
      <c r="R406" s="2" t="inlineStr">
        <is>
          <t>Lakritsmusseron</t>
        </is>
      </c>
      <c r="S406">
        <f>HYPERLINK("https://klasma.github.io/Logging_1904/artfynd/A 36596-2024 artfynd.xlsx", "A 36596-2024")</f>
        <v/>
      </c>
      <c r="T406">
        <f>HYPERLINK("https://klasma.github.io/Logging_1904/kartor/A 36596-2024 karta.png", "A 36596-2024")</f>
        <v/>
      </c>
      <c r="V406">
        <f>HYPERLINK("https://klasma.github.io/Logging_1904/klagomål/A 36596-2024 FSC-klagomål.docx", "A 36596-2024")</f>
        <v/>
      </c>
      <c r="W406">
        <f>HYPERLINK("https://klasma.github.io/Logging_1904/klagomålsmail/A 36596-2024 FSC-klagomål mail.docx", "A 36596-2024")</f>
        <v/>
      </c>
      <c r="X406">
        <f>HYPERLINK("https://klasma.github.io/Logging_1904/tillsyn/A 36596-2024 tillsynsbegäran.docx", "A 36596-2024")</f>
        <v/>
      </c>
      <c r="Y406">
        <f>HYPERLINK("https://klasma.github.io/Logging_1904/tillsynsmail/A 36596-2024 tillsynsbegäran mail.docx", "A 36596-2024")</f>
        <v/>
      </c>
    </row>
    <row r="407" ht="15" customHeight="1">
      <c r="A407" t="inlineStr">
        <is>
          <t>A 36595-2024</t>
        </is>
      </c>
      <c r="B407" s="1" t="n">
        <v>45537</v>
      </c>
      <c r="C407" s="1" t="n">
        <v>45757</v>
      </c>
      <c r="D407" t="inlineStr">
        <is>
          <t>VÄSTMANLANDS LÄN</t>
        </is>
      </c>
      <c r="E407" t="inlineStr">
        <is>
          <t>SKINNSKATTEBERG</t>
        </is>
      </c>
      <c r="F407" t="inlineStr">
        <is>
          <t>Sveaskog</t>
        </is>
      </c>
      <c r="G407" t="n">
        <v>1</v>
      </c>
      <c r="H407" t="n">
        <v>0</v>
      </c>
      <c r="I407" t="n">
        <v>0</v>
      </c>
      <c r="J407" t="n">
        <v>0</v>
      </c>
      <c r="K407" t="n">
        <v>1</v>
      </c>
      <c r="L407" t="n">
        <v>0</v>
      </c>
      <c r="M407" t="n">
        <v>0</v>
      </c>
      <c r="N407" t="n">
        <v>0</v>
      </c>
      <c r="O407" t="n">
        <v>1</v>
      </c>
      <c r="P407" t="n">
        <v>1</v>
      </c>
      <c r="Q407" t="n">
        <v>1</v>
      </c>
      <c r="R407" s="2" t="inlineStr">
        <is>
          <t>Lammticka</t>
        </is>
      </c>
      <c r="S407">
        <f>HYPERLINK("https://klasma.github.io/Logging_1904/artfynd/A 36595-2024 artfynd.xlsx", "A 36595-2024")</f>
        <v/>
      </c>
      <c r="T407">
        <f>HYPERLINK("https://klasma.github.io/Logging_1904/kartor/A 36595-2024 karta.png", "A 36595-2024")</f>
        <v/>
      </c>
      <c r="U407">
        <f>HYPERLINK("https://klasma.github.io/Logging_1904/knärot/A 36595-2024 karta knärot.png", "A 36595-2024")</f>
        <v/>
      </c>
      <c r="V407">
        <f>HYPERLINK("https://klasma.github.io/Logging_1904/klagomål/A 36595-2024 FSC-klagomål.docx", "A 36595-2024")</f>
        <v/>
      </c>
      <c r="W407">
        <f>HYPERLINK("https://klasma.github.io/Logging_1904/klagomålsmail/A 36595-2024 FSC-klagomål mail.docx", "A 36595-2024")</f>
        <v/>
      </c>
      <c r="X407">
        <f>HYPERLINK("https://klasma.github.io/Logging_1904/tillsyn/A 36595-2024 tillsynsbegäran.docx", "A 36595-2024")</f>
        <v/>
      </c>
      <c r="Y407">
        <f>HYPERLINK("https://klasma.github.io/Logging_1904/tillsynsmail/A 36595-2024 tillsynsbegäran mail.docx", "A 36595-2024")</f>
        <v/>
      </c>
    </row>
    <row r="408" ht="15" customHeight="1">
      <c r="A408" t="inlineStr">
        <is>
          <t>A 37166-2024</t>
        </is>
      </c>
      <c r="B408" s="1" t="n">
        <v>45539</v>
      </c>
      <c r="C408" s="1" t="n">
        <v>45757</v>
      </c>
      <c r="D408" t="inlineStr">
        <is>
          <t>VÄSTMANLANDS LÄN</t>
        </is>
      </c>
      <c r="E408" t="inlineStr">
        <is>
          <t>SALA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HYPERLINK("https://klasma.github.io/Logging_1981/artfynd/A 37166-2024 artfynd.xlsx", "A 37166-2024")</f>
        <v/>
      </c>
      <c r="T408">
        <f>HYPERLINK("https://klasma.github.io/Logging_1981/kartor/A 37166-2024 karta.png", "A 37166-2024")</f>
        <v/>
      </c>
      <c r="U408">
        <f>HYPERLINK("https://klasma.github.io/Logging_1981/knärot/A 37166-2024 karta knärot.png", "A 37166-2024")</f>
        <v/>
      </c>
      <c r="V408">
        <f>HYPERLINK("https://klasma.github.io/Logging_1981/klagomål/A 37166-2024 FSC-klagomål.docx", "A 37166-2024")</f>
        <v/>
      </c>
      <c r="W408">
        <f>HYPERLINK("https://klasma.github.io/Logging_1981/klagomålsmail/A 37166-2024 FSC-klagomål mail.docx", "A 37166-2024")</f>
        <v/>
      </c>
      <c r="X408">
        <f>HYPERLINK("https://klasma.github.io/Logging_1981/tillsyn/A 37166-2024 tillsynsbegäran.docx", "A 37166-2024")</f>
        <v/>
      </c>
      <c r="Y408">
        <f>HYPERLINK("https://klasma.github.io/Logging_1981/tillsynsmail/A 37166-2024 tillsynsbegäran mail.docx", "A 37166-2024")</f>
        <v/>
      </c>
    </row>
    <row r="409" ht="15" customHeight="1">
      <c r="A409" t="inlineStr">
        <is>
          <t>A 39292-2024</t>
        </is>
      </c>
      <c r="B409" s="1" t="n">
        <v>45551</v>
      </c>
      <c r="C409" s="1" t="n">
        <v>45757</v>
      </c>
      <c r="D409" t="inlineStr">
        <is>
          <t>VÄSTMANLANDS LÄN</t>
        </is>
      </c>
      <c r="E409" t="inlineStr">
        <is>
          <t>KÖPING</t>
        </is>
      </c>
      <c r="G409" t="n">
        <v>4</v>
      </c>
      <c r="H409" t="n">
        <v>1</v>
      </c>
      <c r="I409" t="n">
        <v>0</v>
      </c>
      <c r="J409" t="n">
        <v>0</v>
      </c>
      <c r="K409" t="n">
        <v>1</v>
      </c>
      <c r="L409" t="n">
        <v>0</v>
      </c>
      <c r="M409" t="n">
        <v>0</v>
      </c>
      <c r="N409" t="n">
        <v>0</v>
      </c>
      <c r="O409" t="n">
        <v>1</v>
      </c>
      <c r="P409" t="n">
        <v>1</v>
      </c>
      <c r="Q409" t="n">
        <v>1</v>
      </c>
      <c r="R409" s="2" t="inlineStr">
        <is>
          <t>Knärot</t>
        </is>
      </c>
      <c r="S409">
        <f>HYPERLINK("https://klasma.github.io/Logging_1983/artfynd/A 39292-2024 artfynd.xlsx", "A 39292-2024")</f>
        <v/>
      </c>
      <c r="T409">
        <f>HYPERLINK("https://klasma.github.io/Logging_1983/kartor/A 39292-2024 karta.png", "A 39292-2024")</f>
        <v/>
      </c>
      <c r="U409">
        <f>HYPERLINK("https://klasma.github.io/Logging_1983/knärot/A 39292-2024 karta knärot.png", "A 39292-2024")</f>
        <v/>
      </c>
      <c r="V409">
        <f>HYPERLINK("https://klasma.github.io/Logging_1983/klagomål/A 39292-2024 FSC-klagomål.docx", "A 39292-2024")</f>
        <v/>
      </c>
      <c r="W409">
        <f>HYPERLINK("https://klasma.github.io/Logging_1983/klagomålsmail/A 39292-2024 FSC-klagomål mail.docx", "A 39292-2024")</f>
        <v/>
      </c>
      <c r="X409">
        <f>HYPERLINK("https://klasma.github.io/Logging_1983/tillsyn/A 39292-2024 tillsynsbegäran.docx", "A 39292-2024")</f>
        <v/>
      </c>
      <c r="Y409">
        <f>HYPERLINK("https://klasma.github.io/Logging_1983/tillsynsmail/A 39292-2024 tillsynsbegäran mail.docx", "A 39292-2024")</f>
        <v/>
      </c>
    </row>
    <row r="410" ht="15" customHeight="1">
      <c r="A410" t="inlineStr">
        <is>
          <t>A 41270-2024</t>
        </is>
      </c>
      <c r="B410" s="1" t="n">
        <v>45559</v>
      </c>
      <c r="C410" s="1" t="n">
        <v>45757</v>
      </c>
      <c r="D410" t="inlineStr">
        <is>
          <t>VÄSTMANLANDS LÄN</t>
        </is>
      </c>
      <c r="E410" t="inlineStr">
        <is>
          <t>SALA</t>
        </is>
      </c>
      <c r="G410" t="n">
        <v>15.2</v>
      </c>
      <c r="H410" t="n">
        <v>1</v>
      </c>
      <c r="I410" t="n">
        <v>0</v>
      </c>
      <c r="J410" t="n">
        <v>1</v>
      </c>
      <c r="K410" t="n">
        <v>0</v>
      </c>
      <c r="L410" t="n">
        <v>0</v>
      </c>
      <c r="M410" t="n">
        <v>0</v>
      </c>
      <c r="N410" t="n">
        <v>0</v>
      </c>
      <c r="O410" t="n">
        <v>1</v>
      </c>
      <c r="P410" t="n">
        <v>0</v>
      </c>
      <c r="Q410" t="n">
        <v>1</v>
      </c>
      <c r="R410" s="2" t="inlineStr">
        <is>
          <t>Havsörn</t>
        </is>
      </c>
      <c r="S410">
        <f>HYPERLINK("https://klasma.github.io/Logging_1981/artfynd/A 41270-2024 artfynd.xlsx", "A 41270-2024")</f>
        <v/>
      </c>
      <c r="T410">
        <f>HYPERLINK("https://klasma.github.io/Logging_1981/kartor/A 41270-2024 karta.png", "A 41270-2024")</f>
        <v/>
      </c>
      <c r="V410">
        <f>HYPERLINK("https://klasma.github.io/Logging_1981/klagomål/A 41270-2024 FSC-klagomål.docx", "A 41270-2024")</f>
        <v/>
      </c>
      <c r="W410">
        <f>HYPERLINK("https://klasma.github.io/Logging_1981/klagomålsmail/A 41270-2024 FSC-klagomål mail.docx", "A 41270-2024")</f>
        <v/>
      </c>
      <c r="X410">
        <f>HYPERLINK("https://klasma.github.io/Logging_1981/tillsyn/A 41270-2024 tillsynsbegäran.docx", "A 41270-2024")</f>
        <v/>
      </c>
      <c r="Y410">
        <f>HYPERLINK("https://klasma.github.io/Logging_1981/tillsynsmail/A 41270-2024 tillsynsbegäran mail.docx", "A 41270-2024")</f>
        <v/>
      </c>
      <c r="Z410">
        <f>HYPERLINK("https://klasma.github.io/Logging_1981/fåglar/A 41270-2024 prioriterade fågelarter.docx", "A 41270-2024")</f>
        <v/>
      </c>
    </row>
    <row r="411" ht="15" customHeight="1">
      <c r="A411" t="inlineStr">
        <is>
          <t>A 41468-2024</t>
        </is>
      </c>
      <c r="B411" s="1" t="n">
        <v>45560</v>
      </c>
      <c r="C411" s="1" t="n">
        <v>45757</v>
      </c>
      <c r="D411" t="inlineStr">
        <is>
          <t>VÄSTMANLANDS LÄN</t>
        </is>
      </c>
      <c r="E411" t="inlineStr">
        <is>
          <t>NORBERG</t>
        </is>
      </c>
      <c r="F411" t="inlineStr">
        <is>
          <t>Bergvik skog väst AB</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HYPERLINK("https://klasma.github.io/Logging_1962/artfynd/A 41468-2024 artfynd.xlsx", "A 41468-2024")</f>
        <v/>
      </c>
      <c r="T411">
        <f>HYPERLINK("https://klasma.github.io/Logging_1962/kartor/A 41468-2024 karta.png", "A 41468-2024")</f>
        <v/>
      </c>
      <c r="U411">
        <f>HYPERLINK("https://klasma.github.io/Logging_1962/knärot/A 41468-2024 karta knärot.png", "A 41468-2024")</f>
        <v/>
      </c>
      <c r="V411">
        <f>HYPERLINK("https://klasma.github.io/Logging_1962/klagomål/A 41468-2024 FSC-klagomål.docx", "A 41468-2024")</f>
        <v/>
      </c>
      <c r="W411">
        <f>HYPERLINK("https://klasma.github.io/Logging_1962/klagomålsmail/A 41468-2024 FSC-klagomål mail.docx", "A 41468-2024")</f>
        <v/>
      </c>
      <c r="X411">
        <f>HYPERLINK("https://klasma.github.io/Logging_1962/tillsyn/A 41468-2024 tillsynsbegäran.docx", "A 41468-2024")</f>
        <v/>
      </c>
      <c r="Y411">
        <f>HYPERLINK("https://klasma.github.io/Logging_1962/tillsynsmail/A 41468-2024 tillsynsbegäran mail.docx", "A 41468-2024")</f>
        <v/>
      </c>
    </row>
    <row r="412" ht="15" customHeight="1">
      <c r="A412" t="inlineStr">
        <is>
          <t>A 43068-2024</t>
        </is>
      </c>
      <c r="B412" s="1" t="n">
        <v>45567</v>
      </c>
      <c r="C412" s="1" t="n">
        <v>45757</v>
      </c>
      <c r="D412" t="inlineStr">
        <is>
          <t>VÄSTMANLANDS LÄN</t>
        </is>
      </c>
      <c r="E412" t="inlineStr">
        <is>
          <t>SALA</t>
        </is>
      </c>
      <c r="G412" t="n">
        <v>1.1</v>
      </c>
      <c r="H412" t="n">
        <v>0</v>
      </c>
      <c r="I412" t="n">
        <v>1</v>
      </c>
      <c r="J412" t="n">
        <v>0</v>
      </c>
      <c r="K412" t="n">
        <v>0</v>
      </c>
      <c r="L412" t="n">
        <v>0</v>
      </c>
      <c r="M412" t="n">
        <v>0</v>
      </c>
      <c r="N412" t="n">
        <v>0</v>
      </c>
      <c r="O412" t="n">
        <v>0</v>
      </c>
      <c r="P412" t="n">
        <v>0</v>
      </c>
      <c r="Q412" t="n">
        <v>1</v>
      </c>
      <c r="R412" s="2" t="inlineStr">
        <is>
          <t>Vedticka</t>
        </is>
      </c>
      <c r="S412">
        <f>HYPERLINK("https://klasma.github.io/Logging_1981/artfynd/A 43068-2024 artfynd.xlsx", "A 43068-2024")</f>
        <v/>
      </c>
      <c r="T412">
        <f>HYPERLINK("https://klasma.github.io/Logging_1981/kartor/A 43068-2024 karta.png", "A 43068-2024")</f>
        <v/>
      </c>
      <c r="V412">
        <f>HYPERLINK("https://klasma.github.io/Logging_1981/klagomål/A 43068-2024 FSC-klagomål.docx", "A 43068-2024")</f>
        <v/>
      </c>
      <c r="W412">
        <f>HYPERLINK("https://klasma.github.io/Logging_1981/klagomålsmail/A 43068-2024 FSC-klagomål mail.docx", "A 43068-2024")</f>
        <v/>
      </c>
      <c r="X412">
        <f>HYPERLINK("https://klasma.github.io/Logging_1981/tillsyn/A 43068-2024 tillsynsbegäran.docx", "A 43068-2024")</f>
        <v/>
      </c>
      <c r="Y412">
        <f>HYPERLINK("https://klasma.github.io/Logging_1981/tillsynsmail/A 43068-2024 tillsynsbegäran mail.docx", "A 43068-2024")</f>
        <v/>
      </c>
    </row>
    <row r="413" ht="15" customHeight="1">
      <c r="A413" t="inlineStr">
        <is>
          <t>A 43451-2024</t>
        </is>
      </c>
      <c r="B413" s="1" t="n">
        <v>45568</v>
      </c>
      <c r="C413" s="1" t="n">
        <v>45757</v>
      </c>
      <c r="D413" t="inlineStr">
        <is>
          <t>VÄSTMANLANDS LÄN</t>
        </is>
      </c>
      <c r="E413" t="inlineStr">
        <is>
          <t>SURAHAMMAR</t>
        </is>
      </c>
      <c r="F413" t="inlineStr">
        <is>
          <t>Bergvik skog väst AB</t>
        </is>
      </c>
      <c r="G413" t="n">
        <v>2.9</v>
      </c>
      <c r="H413" t="n">
        <v>0</v>
      </c>
      <c r="I413" t="n">
        <v>0</v>
      </c>
      <c r="J413" t="n">
        <v>1</v>
      </c>
      <c r="K413" t="n">
        <v>0</v>
      </c>
      <c r="L413" t="n">
        <v>0</v>
      </c>
      <c r="M413" t="n">
        <v>0</v>
      </c>
      <c r="N413" t="n">
        <v>0</v>
      </c>
      <c r="O413" t="n">
        <v>1</v>
      </c>
      <c r="P413" t="n">
        <v>0</v>
      </c>
      <c r="Q413" t="n">
        <v>1</v>
      </c>
      <c r="R413" s="2" t="inlineStr">
        <is>
          <t>Ullticka</t>
        </is>
      </c>
      <c r="S413">
        <f>HYPERLINK("https://klasma.github.io/Logging_1907/artfynd/A 43451-2024 artfynd.xlsx", "A 43451-2024")</f>
        <v/>
      </c>
      <c r="T413">
        <f>HYPERLINK("https://klasma.github.io/Logging_1907/kartor/A 43451-2024 karta.png", "A 43451-2024")</f>
        <v/>
      </c>
      <c r="V413">
        <f>HYPERLINK("https://klasma.github.io/Logging_1907/klagomål/A 43451-2024 FSC-klagomål.docx", "A 43451-2024")</f>
        <v/>
      </c>
      <c r="W413">
        <f>HYPERLINK("https://klasma.github.io/Logging_1907/klagomålsmail/A 43451-2024 FSC-klagomål mail.docx", "A 43451-2024")</f>
        <v/>
      </c>
      <c r="X413">
        <f>HYPERLINK("https://klasma.github.io/Logging_1907/tillsyn/A 43451-2024 tillsynsbegäran.docx", "A 43451-2024")</f>
        <v/>
      </c>
      <c r="Y413">
        <f>HYPERLINK("https://klasma.github.io/Logging_1907/tillsynsmail/A 43451-2024 tillsynsbegäran mail.docx", "A 43451-2024")</f>
        <v/>
      </c>
    </row>
    <row r="414" ht="15" customHeight="1">
      <c r="A414" t="inlineStr">
        <is>
          <t>A 43413-2024</t>
        </is>
      </c>
      <c r="B414" s="1" t="n">
        <v>45568</v>
      </c>
      <c r="C414" s="1" t="n">
        <v>45757</v>
      </c>
      <c r="D414" t="inlineStr">
        <is>
          <t>VÄSTMANLANDS LÄN</t>
        </is>
      </c>
      <c r="E414" t="inlineStr">
        <is>
          <t>SKINNSKATTEBERG</t>
        </is>
      </c>
      <c r="F414" t="inlineStr">
        <is>
          <t>Sveaskog</t>
        </is>
      </c>
      <c r="G414" t="n">
        <v>1.9</v>
      </c>
      <c r="H414" t="n">
        <v>0</v>
      </c>
      <c r="I414" t="n">
        <v>0</v>
      </c>
      <c r="J414" t="n">
        <v>1</v>
      </c>
      <c r="K414" t="n">
        <v>0</v>
      </c>
      <c r="L414" t="n">
        <v>0</v>
      </c>
      <c r="M414" t="n">
        <v>0</v>
      </c>
      <c r="N414" t="n">
        <v>0</v>
      </c>
      <c r="O414" t="n">
        <v>1</v>
      </c>
      <c r="P414" t="n">
        <v>0</v>
      </c>
      <c r="Q414" t="n">
        <v>1</v>
      </c>
      <c r="R414" s="2" t="inlineStr">
        <is>
          <t>Orange taggsvamp</t>
        </is>
      </c>
      <c r="S414">
        <f>HYPERLINK("https://klasma.github.io/Logging_1904/artfynd/A 43413-2024 artfynd.xlsx", "A 43413-2024")</f>
        <v/>
      </c>
      <c r="T414">
        <f>HYPERLINK("https://klasma.github.io/Logging_1904/kartor/A 43413-2024 karta.png", "A 43413-2024")</f>
        <v/>
      </c>
      <c r="V414">
        <f>HYPERLINK("https://klasma.github.io/Logging_1904/klagomål/A 43413-2024 FSC-klagomål.docx", "A 43413-2024")</f>
        <v/>
      </c>
      <c r="W414">
        <f>HYPERLINK("https://klasma.github.io/Logging_1904/klagomålsmail/A 43413-2024 FSC-klagomål mail.docx", "A 43413-2024")</f>
        <v/>
      </c>
      <c r="X414">
        <f>HYPERLINK("https://klasma.github.io/Logging_1904/tillsyn/A 43413-2024 tillsynsbegäran.docx", "A 43413-2024")</f>
        <v/>
      </c>
      <c r="Y414">
        <f>HYPERLINK("https://klasma.github.io/Logging_1904/tillsynsmail/A 43413-2024 tillsynsbegäran mail.docx", "A 43413-2024")</f>
        <v/>
      </c>
    </row>
    <row r="415" ht="15" customHeight="1">
      <c r="A415" t="inlineStr">
        <is>
          <t>A 44356-2024</t>
        </is>
      </c>
      <c r="B415" s="1" t="n">
        <v>45573</v>
      </c>
      <c r="C415" s="1" t="n">
        <v>45757</v>
      </c>
      <c r="D415" t="inlineStr">
        <is>
          <t>VÄSTMANLANDS LÄN</t>
        </is>
      </c>
      <c r="E415" t="inlineStr">
        <is>
          <t>SURAHAMMAR</t>
        </is>
      </c>
      <c r="F415" t="inlineStr">
        <is>
          <t>Sveaskog</t>
        </is>
      </c>
      <c r="G415" t="n">
        <v>0.7</v>
      </c>
      <c r="H415" t="n">
        <v>1</v>
      </c>
      <c r="I415" t="n">
        <v>0</v>
      </c>
      <c r="J415" t="n">
        <v>0</v>
      </c>
      <c r="K415" t="n">
        <v>0</v>
      </c>
      <c r="L415" t="n">
        <v>0</v>
      </c>
      <c r="M415" t="n">
        <v>0</v>
      </c>
      <c r="N415" t="n">
        <v>0</v>
      </c>
      <c r="O415" t="n">
        <v>0</v>
      </c>
      <c r="P415" t="n">
        <v>0</v>
      </c>
      <c r="Q415" t="n">
        <v>1</v>
      </c>
      <c r="R415" s="2" t="inlineStr">
        <is>
          <t>Revlummer</t>
        </is>
      </c>
      <c r="S415">
        <f>HYPERLINK("https://klasma.github.io/Logging_1907/artfynd/A 44356-2024 artfynd.xlsx", "A 44356-2024")</f>
        <v/>
      </c>
      <c r="T415">
        <f>HYPERLINK("https://klasma.github.io/Logging_1907/kartor/A 44356-2024 karta.png", "A 44356-2024")</f>
        <v/>
      </c>
      <c r="V415">
        <f>HYPERLINK("https://klasma.github.io/Logging_1907/klagomål/A 44356-2024 FSC-klagomål.docx", "A 44356-2024")</f>
        <v/>
      </c>
      <c r="W415">
        <f>HYPERLINK("https://klasma.github.io/Logging_1907/klagomålsmail/A 44356-2024 FSC-klagomål mail.docx", "A 44356-2024")</f>
        <v/>
      </c>
      <c r="X415">
        <f>HYPERLINK("https://klasma.github.io/Logging_1907/tillsyn/A 44356-2024 tillsynsbegäran.docx", "A 44356-2024")</f>
        <v/>
      </c>
      <c r="Y415">
        <f>HYPERLINK("https://klasma.github.io/Logging_1907/tillsynsmail/A 44356-2024 tillsynsbegäran mail.docx", "A 44356-2024")</f>
        <v/>
      </c>
    </row>
    <row r="416" ht="15" customHeight="1">
      <c r="A416" t="inlineStr">
        <is>
          <t>A 44355-2024</t>
        </is>
      </c>
      <c r="B416" s="1" t="n">
        <v>45573</v>
      </c>
      <c r="C416" s="1" t="n">
        <v>45757</v>
      </c>
      <c r="D416" t="inlineStr">
        <is>
          <t>VÄSTMANLANDS LÄN</t>
        </is>
      </c>
      <c r="E416" t="inlineStr">
        <is>
          <t>SURAHAMMAR</t>
        </is>
      </c>
      <c r="F416" t="inlineStr">
        <is>
          <t>Sveaskog</t>
        </is>
      </c>
      <c r="G416" t="n">
        <v>3.5</v>
      </c>
      <c r="H416" t="n">
        <v>1</v>
      </c>
      <c r="I416" t="n">
        <v>0</v>
      </c>
      <c r="J416" t="n">
        <v>0</v>
      </c>
      <c r="K416" t="n">
        <v>0</v>
      </c>
      <c r="L416" t="n">
        <v>0</v>
      </c>
      <c r="M416" t="n">
        <v>0</v>
      </c>
      <c r="N416" t="n">
        <v>0</v>
      </c>
      <c r="O416" t="n">
        <v>0</v>
      </c>
      <c r="P416" t="n">
        <v>0</v>
      </c>
      <c r="Q416" t="n">
        <v>1</v>
      </c>
      <c r="R416" s="2" t="inlineStr">
        <is>
          <t>Revlummer</t>
        </is>
      </c>
      <c r="S416">
        <f>HYPERLINK("https://klasma.github.io/Logging_1907/artfynd/A 44355-2024 artfynd.xlsx", "A 44355-2024")</f>
        <v/>
      </c>
      <c r="T416">
        <f>HYPERLINK("https://klasma.github.io/Logging_1907/kartor/A 44355-2024 karta.png", "A 44355-2024")</f>
        <v/>
      </c>
      <c r="V416">
        <f>HYPERLINK("https://klasma.github.io/Logging_1907/klagomål/A 44355-2024 FSC-klagomål.docx", "A 44355-2024")</f>
        <v/>
      </c>
      <c r="W416">
        <f>HYPERLINK("https://klasma.github.io/Logging_1907/klagomålsmail/A 44355-2024 FSC-klagomål mail.docx", "A 44355-2024")</f>
        <v/>
      </c>
      <c r="X416">
        <f>HYPERLINK("https://klasma.github.io/Logging_1907/tillsyn/A 44355-2024 tillsynsbegäran.docx", "A 44355-2024")</f>
        <v/>
      </c>
      <c r="Y416">
        <f>HYPERLINK("https://klasma.github.io/Logging_1907/tillsynsmail/A 44355-2024 tillsynsbegäran mail.docx", "A 44355-2024")</f>
        <v/>
      </c>
    </row>
    <row r="417" ht="15" customHeight="1">
      <c r="A417" t="inlineStr">
        <is>
          <t>A 45735-2024</t>
        </is>
      </c>
      <c r="B417" s="1" t="n">
        <v>45579</v>
      </c>
      <c r="C417" s="1" t="n">
        <v>45757</v>
      </c>
      <c r="D417" t="inlineStr">
        <is>
          <t>VÄSTMANLANDS LÄN</t>
        </is>
      </c>
      <c r="E417" t="inlineStr">
        <is>
          <t>SURAHAMMAR</t>
        </is>
      </c>
      <c r="F417" t="inlineStr">
        <is>
          <t>Sveaskog</t>
        </is>
      </c>
      <c r="G417" t="n">
        <v>13.5</v>
      </c>
      <c r="H417" t="n">
        <v>1</v>
      </c>
      <c r="I417" t="n">
        <v>0</v>
      </c>
      <c r="J417" t="n">
        <v>0</v>
      </c>
      <c r="K417" t="n">
        <v>0</v>
      </c>
      <c r="L417" t="n">
        <v>0</v>
      </c>
      <c r="M417" t="n">
        <v>0</v>
      </c>
      <c r="N417" t="n">
        <v>0</v>
      </c>
      <c r="O417" t="n">
        <v>0</v>
      </c>
      <c r="P417" t="n">
        <v>0</v>
      </c>
      <c r="Q417" t="n">
        <v>1</v>
      </c>
      <c r="R417" s="2" t="inlineStr">
        <is>
          <t>Revlummer</t>
        </is>
      </c>
      <c r="S417">
        <f>HYPERLINK("https://klasma.github.io/Logging_1907/artfynd/A 45735-2024 artfynd.xlsx", "A 45735-2024")</f>
        <v/>
      </c>
      <c r="T417">
        <f>HYPERLINK("https://klasma.github.io/Logging_1907/kartor/A 45735-2024 karta.png", "A 45735-2024")</f>
        <v/>
      </c>
      <c r="V417">
        <f>HYPERLINK("https://klasma.github.io/Logging_1907/klagomål/A 45735-2024 FSC-klagomål.docx", "A 45735-2024")</f>
        <v/>
      </c>
      <c r="W417">
        <f>HYPERLINK("https://klasma.github.io/Logging_1907/klagomålsmail/A 45735-2024 FSC-klagomål mail.docx", "A 45735-2024")</f>
        <v/>
      </c>
      <c r="X417">
        <f>HYPERLINK("https://klasma.github.io/Logging_1907/tillsyn/A 45735-2024 tillsynsbegäran.docx", "A 45735-2024")</f>
        <v/>
      </c>
      <c r="Y417">
        <f>HYPERLINK("https://klasma.github.io/Logging_1907/tillsynsmail/A 45735-2024 tillsynsbegäran mail.docx", "A 45735-2024")</f>
        <v/>
      </c>
    </row>
    <row r="418" ht="15" customHeight="1">
      <c r="A418" t="inlineStr">
        <is>
          <t>A 47139-2024</t>
        </is>
      </c>
      <c r="B418" s="1" t="n">
        <v>45586</v>
      </c>
      <c r="C418" s="1" t="n">
        <v>45757</v>
      </c>
      <c r="D418" t="inlineStr">
        <is>
          <t>VÄSTMANLANDS LÄN</t>
        </is>
      </c>
      <c r="E418" t="inlineStr">
        <is>
          <t>NORBERG</t>
        </is>
      </c>
      <c r="F418" t="inlineStr">
        <is>
          <t>Sveaskog</t>
        </is>
      </c>
      <c r="G418" t="n">
        <v>5</v>
      </c>
      <c r="H418" t="n">
        <v>1</v>
      </c>
      <c r="I418" t="n">
        <v>1</v>
      </c>
      <c r="J418" t="n">
        <v>0</v>
      </c>
      <c r="K418" t="n">
        <v>0</v>
      </c>
      <c r="L418" t="n">
        <v>0</v>
      </c>
      <c r="M418" t="n">
        <v>0</v>
      </c>
      <c r="N418" t="n">
        <v>0</v>
      </c>
      <c r="O418" t="n">
        <v>0</v>
      </c>
      <c r="P418" t="n">
        <v>0</v>
      </c>
      <c r="Q418" t="n">
        <v>1</v>
      </c>
      <c r="R418" s="2" t="inlineStr">
        <is>
          <t>Skogsknipprot</t>
        </is>
      </c>
      <c r="S418">
        <f>HYPERLINK("https://klasma.github.io/Logging_1962/artfynd/A 47139-2024 artfynd.xlsx", "A 47139-2024")</f>
        <v/>
      </c>
      <c r="T418">
        <f>HYPERLINK("https://klasma.github.io/Logging_1962/kartor/A 47139-2024 karta.png", "A 47139-2024")</f>
        <v/>
      </c>
      <c r="V418">
        <f>HYPERLINK("https://klasma.github.io/Logging_1962/klagomål/A 47139-2024 FSC-klagomål.docx", "A 47139-2024")</f>
        <v/>
      </c>
      <c r="W418">
        <f>HYPERLINK("https://klasma.github.io/Logging_1962/klagomålsmail/A 47139-2024 FSC-klagomål mail.docx", "A 47139-2024")</f>
        <v/>
      </c>
      <c r="X418">
        <f>HYPERLINK("https://klasma.github.io/Logging_1962/tillsyn/A 47139-2024 tillsynsbegäran.docx", "A 47139-2024")</f>
        <v/>
      </c>
      <c r="Y418">
        <f>HYPERLINK("https://klasma.github.io/Logging_1962/tillsynsmail/A 47139-2024 tillsynsbegäran mail.docx", "A 47139-2024")</f>
        <v/>
      </c>
    </row>
    <row r="419" ht="15" customHeight="1">
      <c r="A419" t="inlineStr">
        <is>
          <t>A 47549-2024</t>
        </is>
      </c>
      <c r="B419" s="1" t="n">
        <v>45587</v>
      </c>
      <c r="C419" s="1" t="n">
        <v>45757</v>
      </c>
      <c r="D419" t="inlineStr">
        <is>
          <t>VÄSTMANLANDS LÄN</t>
        </is>
      </c>
      <c r="E419" t="inlineStr">
        <is>
          <t>KUNGSÖR</t>
        </is>
      </c>
      <c r="G419" t="n">
        <v>1.9</v>
      </c>
      <c r="H419" t="n">
        <v>0</v>
      </c>
      <c r="I419" t="n">
        <v>0</v>
      </c>
      <c r="J419" t="n">
        <v>1</v>
      </c>
      <c r="K419" t="n">
        <v>0</v>
      </c>
      <c r="L419" t="n">
        <v>0</v>
      </c>
      <c r="M419" t="n">
        <v>0</v>
      </c>
      <c r="N419" t="n">
        <v>0</v>
      </c>
      <c r="O419" t="n">
        <v>1</v>
      </c>
      <c r="P419" t="n">
        <v>0</v>
      </c>
      <c r="Q419" t="n">
        <v>1</v>
      </c>
      <c r="R419" s="2" t="inlineStr">
        <is>
          <t>Ullticka</t>
        </is>
      </c>
      <c r="S419">
        <f>HYPERLINK("https://klasma.github.io/Logging_1960/artfynd/A 47549-2024 artfynd.xlsx", "A 47549-2024")</f>
        <v/>
      </c>
      <c r="T419">
        <f>HYPERLINK("https://klasma.github.io/Logging_1960/kartor/A 47549-2024 karta.png", "A 47549-2024")</f>
        <v/>
      </c>
      <c r="V419">
        <f>HYPERLINK("https://klasma.github.io/Logging_1960/klagomål/A 47549-2024 FSC-klagomål.docx", "A 47549-2024")</f>
        <v/>
      </c>
      <c r="W419">
        <f>HYPERLINK("https://klasma.github.io/Logging_1960/klagomålsmail/A 47549-2024 FSC-klagomål mail.docx", "A 47549-2024")</f>
        <v/>
      </c>
      <c r="X419">
        <f>HYPERLINK("https://klasma.github.io/Logging_1960/tillsyn/A 47549-2024 tillsynsbegäran.docx", "A 47549-2024")</f>
        <v/>
      </c>
      <c r="Y419">
        <f>HYPERLINK("https://klasma.github.io/Logging_1960/tillsynsmail/A 47549-2024 tillsynsbegäran mail.docx", "A 47549-2024")</f>
        <v/>
      </c>
    </row>
    <row r="420" ht="15" customHeight="1">
      <c r="A420" t="inlineStr">
        <is>
          <t>A 47453-2024</t>
        </is>
      </c>
      <c r="B420" s="1" t="n">
        <v>45587</v>
      </c>
      <c r="C420" s="1" t="n">
        <v>45757</v>
      </c>
      <c r="D420" t="inlineStr">
        <is>
          <t>VÄSTMANLANDS LÄN</t>
        </is>
      </c>
      <c r="E420" t="inlineStr">
        <is>
          <t>SURAHAMMAR</t>
        </is>
      </c>
      <c r="G420" t="n">
        <v>5.1</v>
      </c>
      <c r="H420" t="n">
        <v>1</v>
      </c>
      <c r="I420" t="n">
        <v>0</v>
      </c>
      <c r="J420" t="n">
        <v>0</v>
      </c>
      <c r="K420" t="n">
        <v>0</v>
      </c>
      <c r="L420" t="n">
        <v>0</v>
      </c>
      <c r="M420" t="n">
        <v>0</v>
      </c>
      <c r="N420" t="n">
        <v>0</v>
      </c>
      <c r="O420" t="n">
        <v>0</v>
      </c>
      <c r="P420" t="n">
        <v>0</v>
      </c>
      <c r="Q420" t="n">
        <v>1</v>
      </c>
      <c r="R420" s="2" t="inlineStr">
        <is>
          <t>Göktyta</t>
        </is>
      </c>
      <c r="S420">
        <f>HYPERLINK("https://klasma.github.io/Logging_1907/artfynd/A 47453-2024 artfynd.xlsx", "A 47453-2024")</f>
        <v/>
      </c>
      <c r="T420">
        <f>HYPERLINK("https://klasma.github.io/Logging_1907/kartor/A 47453-2024 karta.png", "A 47453-2024")</f>
        <v/>
      </c>
      <c r="V420">
        <f>HYPERLINK("https://klasma.github.io/Logging_1907/klagomål/A 47453-2024 FSC-klagomål.docx", "A 47453-2024")</f>
        <v/>
      </c>
      <c r="W420">
        <f>HYPERLINK("https://klasma.github.io/Logging_1907/klagomålsmail/A 47453-2024 FSC-klagomål mail.docx", "A 47453-2024")</f>
        <v/>
      </c>
      <c r="X420">
        <f>HYPERLINK("https://klasma.github.io/Logging_1907/tillsyn/A 47453-2024 tillsynsbegäran.docx", "A 47453-2024")</f>
        <v/>
      </c>
      <c r="Y420">
        <f>HYPERLINK("https://klasma.github.io/Logging_1907/tillsynsmail/A 47453-2024 tillsynsbegäran mail.docx", "A 47453-2024")</f>
        <v/>
      </c>
      <c r="Z420">
        <f>HYPERLINK("https://klasma.github.io/Logging_1907/fåglar/A 47453-2024 prioriterade fågelarter.docx", "A 47453-2024")</f>
        <v/>
      </c>
    </row>
    <row r="421" ht="15" customHeight="1">
      <c r="A421" t="inlineStr">
        <is>
          <t>A 49630-2024</t>
        </is>
      </c>
      <c r="B421" s="1" t="n">
        <v>45596</v>
      </c>
      <c r="C421" s="1" t="n">
        <v>45757</v>
      </c>
      <c r="D421" t="inlineStr">
        <is>
          <t>VÄSTMANLANDS LÄN</t>
        </is>
      </c>
      <c r="E421" t="inlineStr">
        <is>
          <t>SKINNSKATTEBERG</t>
        </is>
      </c>
      <c r="F421" t="inlineStr">
        <is>
          <t>Sveaskog</t>
        </is>
      </c>
      <c r="G421" t="n">
        <v>7.3</v>
      </c>
      <c r="H421" t="n">
        <v>1</v>
      </c>
      <c r="I421" t="n">
        <v>0</v>
      </c>
      <c r="J421" t="n">
        <v>0</v>
      </c>
      <c r="K421" t="n">
        <v>0</v>
      </c>
      <c r="L421" t="n">
        <v>0</v>
      </c>
      <c r="M421" t="n">
        <v>0</v>
      </c>
      <c r="N421" t="n">
        <v>0</v>
      </c>
      <c r="O421" t="n">
        <v>0</v>
      </c>
      <c r="P421" t="n">
        <v>0</v>
      </c>
      <c r="Q421" t="n">
        <v>1</v>
      </c>
      <c r="R421" s="2" t="inlineStr">
        <is>
          <t>Fläcknycklar</t>
        </is>
      </c>
      <c r="S421">
        <f>HYPERLINK("https://klasma.github.io/Logging_1904/artfynd/A 49630-2024 artfynd.xlsx", "A 49630-2024")</f>
        <v/>
      </c>
      <c r="T421">
        <f>HYPERLINK("https://klasma.github.io/Logging_1904/kartor/A 49630-2024 karta.png", "A 49630-2024")</f>
        <v/>
      </c>
      <c r="V421">
        <f>HYPERLINK("https://klasma.github.io/Logging_1904/klagomål/A 49630-2024 FSC-klagomål.docx", "A 49630-2024")</f>
        <v/>
      </c>
      <c r="W421">
        <f>HYPERLINK("https://klasma.github.io/Logging_1904/klagomålsmail/A 49630-2024 FSC-klagomål mail.docx", "A 49630-2024")</f>
        <v/>
      </c>
      <c r="X421">
        <f>HYPERLINK("https://klasma.github.io/Logging_1904/tillsyn/A 49630-2024 tillsynsbegäran.docx", "A 49630-2024")</f>
        <v/>
      </c>
      <c r="Y421">
        <f>HYPERLINK("https://klasma.github.io/Logging_1904/tillsynsmail/A 49630-2024 tillsynsbegäran mail.docx", "A 49630-2024")</f>
        <v/>
      </c>
    </row>
    <row r="422" ht="15" customHeight="1">
      <c r="A422" t="inlineStr">
        <is>
          <t>A 51122-2024</t>
        </is>
      </c>
      <c r="B422" s="1" t="n">
        <v>45603</v>
      </c>
      <c r="C422" s="1" t="n">
        <v>45757</v>
      </c>
      <c r="D422" t="inlineStr">
        <is>
          <t>VÄSTMANLANDS LÄN</t>
        </is>
      </c>
      <c r="E422" t="inlineStr">
        <is>
          <t>FAGERSTA</t>
        </is>
      </c>
      <c r="F422" t="inlineStr">
        <is>
          <t>Sveaskog</t>
        </is>
      </c>
      <c r="G422" t="n">
        <v>8</v>
      </c>
      <c r="H422" t="n">
        <v>0</v>
      </c>
      <c r="I422" t="n">
        <v>0</v>
      </c>
      <c r="J422" t="n">
        <v>1</v>
      </c>
      <c r="K422" t="n">
        <v>0</v>
      </c>
      <c r="L422" t="n">
        <v>0</v>
      </c>
      <c r="M422" t="n">
        <v>0</v>
      </c>
      <c r="N422" t="n">
        <v>0</v>
      </c>
      <c r="O422" t="n">
        <v>1</v>
      </c>
      <c r="P422" t="n">
        <v>0</v>
      </c>
      <c r="Q422" t="n">
        <v>1</v>
      </c>
      <c r="R422" s="2" t="inlineStr">
        <is>
          <t>Brunklöver</t>
        </is>
      </c>
      <c r="S422">
        <f>HYPERLINK("https://klasma.github.io/Logging_1982/artfynd/A 51122-2024 artfynd.xlsx", "A 51122-2024")</f>
        <v/>
      </c>
      <c r="T422">
        <f>HYPERLINK("https://klasma.github.io/Logging_1982/kartor/A 51122-2024 karta.png", "A 51122-2024")</f>
        <v/>
      </c>
      <c r="V422">
        <f>HYPERLINK("https://klasma.github.io/Logging_1982/klagomål/A 51122-2024 FSC-klagomål.docx", "A 51122-2024")</f>
        <v/>
      </c>
      <c r="W422">
        <f>HYPERLINK("https://klasma.github.io/Logging_1982/klagomålsmail/A 51122-2024 FSC-klagomål mail.docx", "A 51122-2024")</f>
        <v/>
      </c>
      <c r="X422">
        <f>HYPERLINK("https://klasma.github.io/Logging_1982/tillsyn/A 51122-2024 tillsynsbegäran.docx", "A 51122-2024")</f>
        <v/>
      </c>
      <c r="Y422">
        <f>HYPERLINK("https://klasma.github.io/Logging_1982/tillsynsmail/A 51122-2024 tillsynsbegäran mail.docx", "A 51122-2024")</f>
        <v/>
      </c>
    </row>
    <row r="423" ht="15" customHeight="1">
      <c r="A423" t="inlineStr">
        <is>
          <t>A 51947-2024</t>
        </is>
      </c>
      <c r="B423" s="1" t="n">
        <v>45607</v>
      </c>
      <c r="C423" s="1" t="n">
        <v>45757</v>
      </c>
      <c r="D423" t="inlineStr">
        <is>
          <t>VÄSTMANLANDS LÄN</t>
        </is>
      </c>
      <c r="E423" t="inlineStr">
        <is>
          <t>ARBOGA</t>
        </is>
      </c>
      <c r="F423" t="inlineStr">
        <is>
          <t>Sveaskog</t>
        </is>
      </c>
      <c r="G423" t="n">
        <v>2.3</v>
      </c>
      <c r="H423" t="n">
        <v>0</v>
      </c>
      <c r="I423" t="n">
        <v>0</v>
      </c>
      <c r="J423" t="n">
        <v>1</v>
      </c>
      <c r="K423" t="n">
        <v>0</v>
      </c>
      <c r="L423" t="n">
        <v>0</v>
      </c>
      <c r="M423" t="n">
        <v>0</v>
      </c>
      <c r="N423" t="n">
        <v>0</v>
      </c>
      <c r="O423" t="n">
        <v>1</v>
      </c>
      <c r="P423" t="n">
        <v>0</v>
      </c>
      <c r="Q423" t="n">
        <v>1</v>
      </c>
      <c r="R423" s="2" t="inlineStr">
        <is>
          <t>Ullticka</t>
        </is>
      </c>
      <c r="S423">
        <f>HYPERLINK("https://klasma.github.io/Logging_1984/artfynd/A 51947-2024 artfynd.xlsx", "A 51947-2024")</f>
        <v/>
      </c>
      <c r="T423">
        <f>HYPERLINK("https://klasma.github.io/Logging_1984/kartor/A 51947-2024 karta.png", "A 51947-2024")</f>
        <v/>
      </c>
      <c r="V423">
        <f>HYPERLINK("https://klasma.github.io/Logging_1984/klagomål/A 51947-2024 FSC-klagomål.docx", "A 51947-2024")</f>
        <v/>
      </c>
      <c r="W423">
        <f>HYPERLINK("https://klasma.github.io/Logging_1984/klagomålsmail/A 51947-2024 FSC-klagomål mail.docx", "A 51947-2024")</f>
        <v/>
      </c>
      <c r="X423">
        <f>HYPERLINK("https://klasma.github.io/Logging_1984/tillsyn/A 51947-2024 tillsynsbegäran.docx", "A 51947-2024")</f>
        <v/>
      </c>
      <c r="Y423">
        <f>HYPERLINK("https://klasma.github.io/Logging_1984/tillsynsmail/A 51947-2024 tillsynsbegäran mail.docx", "A 51947-2024")</f>
        <v/>
      </c>
    </row>
    <row r="424" ht="15" customHeight="1">
      <c r="A424" t="inlineStr">
        <is>
          <t>A 51912-2024</t>
        </is>
      </c>
      <c r="B424" s="1" t="n">
        <v>45607</v>
      </c>
      <c r="C424" s="1" t="n">
        <v>45757</v>
      </c>
      <c r="D424" t="inlineStr">
        <is>
          <t>VÄSTMANLANDS LÄN</t>
        </is>
      </c>
      <c r="E424" t="inlineStr">
        <is>
          <t>VÄSTERÅS</t>
        </is>
      </c>
      <c r="G424" t="n">
        <v>13.2</v>
      </c>
      <c r="H424" t="n">
        <v>0</v>
      </c>
      <c r="I424" t="n">
        <v>0</v>
      </c>
      <c r="J424" t="n">
        <v>1</v>
      </c>
      <c r="K424" t="n">
        <v>0</v>
      </c>
      <c r="L424" t="n">
        <v>0</v>
      </c>
      <c r="M424" t="n">
        <v>0</v>
      </c>
      <c r="N424" t="n">
        <v>0</v>
      </c>
      <c r="O424" t="n">
        <v>1</v>
      </c>
      <c r="P424" t="n">
        <v>0</v>
      </c>
      <c r="Q424" t="n">
        <v>1</v>
      </c>
      <c r="R424" s="2" t="inlineStr">
        <is>
          <t>Tallticka</t>
        </is>
      </c>
      <c r="S424">
        <f>HYPERLINK("https://klasma.github.io/Logging_1980/artfynd/A 51912-2024 artfynd.xlsx", "A 51912-2024")</f>
        <v/>
      </c>
      <c r="T424">
        <f>HYPERLINK("https://klasma.github.io/Logging_1980/kartor/A 51912-2024 karta.png", "A 51912-2024")</f>
        <v/>
      </c>
      <c r="V424">
        <f>HYPERLINK("https://klasma.github.io/Logging_1980/klagomål/A 51912-2024 FSC-klagomål.docx", "A 51912-2024")</f>
        <v/>
      </c>
      <c r="W424">
        <f>HYPERLINK("https://klasma.github.io/Logging_1980/klagomålsmail/A 51912-2024 FSC-klagomål mail.docx", "A 51912-2024")</f>
        <v/>
      </c>
      <c r="X424">
        <f>HYPERLINK("https://klasma.github.io/Logging_1980/tillsyn/A 51912-2024 tillsynsbegäran.docx", "A 51912-2024")</f>
        <v/>
      </c>
      <c r="Y424">
        <f>HYPERLINK("https://klasma.github.io/Logging_1980/tillsynsmail/A 51912-2024 tillsynsbegäran mail.docx", "A 51912-2024")</f>
        <v/>
      </c>
    </row>
    <row r="425" ht="15" customHeight="1">
      <c r="A425" t="inlineStr">
        <is>
          <t>A 54868-2024</t>
        </is>
      </c>
      <c r="B425" s="1" t="n">
        <v>45618</v>
      </c>
      <c r="C425" s="1" t="n">
        <v>45757</v>
      </c>
      <c r="D425" t="inlineStr">
        <is>
          <t>VÄSTMANLANDS LÄN</t>
        </is>
      </c>
      <c r="E425" t="inlineStr">
        <is>
          <t>KÖPING</t>
        </is>
      </c>
      <c r="F425" t="inlineStr">
        <is>
          <t>Sveaskog</t>
        </is>
      </c>
      <c r="G425" t="n">
        <v>6.4</v>
      </c>
      <c r="H425" t="n">
        <v>0</v>
      </c>
      <c r="I425" t="n">
        <v>0</v>
      </c>
      <c r="J425" t="n">
        <v>1</v>
      </c>
      <c r="K425" t="n">
        <v>0</v>
      </c>
      <c r="L425" t="n">
        <v>0</v>
      </c>
      <c r="M425" t="n">
        <v>0</v>
      </c>
      <c r="N425" t="n">
        <v>0</v>
      </c>
      <c r="O425" t="n">
        <v>1</v>
      </c>
      <c r="P425" t="n">
        <v>0</v>
      </c>
      <c r="Q425" t="n">
        <v>1</v>
      </c>
      <c r="R425" s="2" t="inlineStr">
        <is>
          <t>Skogsklocka</t>
        </is>
      </c>
      <c r="S425">
        <f>HYPERLINK("https://klasma.github.io/Logging_1983/artfynd/A 54868-2024 artfynd.xlsx", "A 54868-2024")</f>
        <v/>
      </c>
      <c r="T425">
        <f>HYPERLINK("https://klasma.github.io/Logging_1983/kartor/A 54868-2024 karta.png", "A 54868-2024")</f>
        <v/>
      </c>
      <c r="V425">
        <f>HYPERLINK("https://klasma.github.io/Logging_1983/klagomål/A 54868-2024 FSC-klagomål.docx", "A 54868-2024")</f>
        <v/>
      </c>
      <c r="W425">
        <f>HYPERLINK("https://klasma.github.io/Logging_1983/klagomålsmail/A 54868-2024 FSC-klagomål mail.docx", "A 54868-2024")</f>
        <v/>
      </c>
      <c r="X425">
        <f>HYPERLINK("https://klasma.github.io/Logging_1983/tillsyn/A 54868-2024 tillsynsbegäran.docx", "A 54868-2024")</f>
        <v/>
      </c>
      <c r="Y425">
        <f>HYPERLINK("https://klasma.github.io/Logging_1983/tillsynsmail/A 54868-2024 tillsynsbegäran mail.docx", "A 54868-2024")</f>
        <v/>
      </c>
    </row>
    <row r="426" ht="15" customHeight="1">
      <c r="A426" t="inlineStr">
        <is>
          <t>A 55711-2024</t>
        </is>
      </c>
      <c r="B426" s="1" t="n">
        <v>45622</v>
      </c>
      <c r="C426" s="1" t="n">
        <v>45757</v>
      </c>
      <c r="D426" t="inlineStr">
        <is>
          <t>VÄSTMANLANDS LÄN</t>
        </is>
      </c>
      <c r="E426" t="inlineStr">
        <is>
          <t>NORBERG</t>
        </is>
      </c>
      <c r="G426" t="n">
        <v>2.5</v>
      </c>
      <c r="H426" t="n">
        <v>1</v>
      </c>
      <c r="I426" t="n">
        <v>1</v>
      </c>
      <c r="J426" t="n">
        <v>0</v>
      </c>
      <c r="K426" t="n">
        <v>0</v>
      </c>
      <c r="L426" t="n">
        <v>0</v>
      </c>
      <c r="M426" t="n">
        <v>0</v>
      </c>
      <c r="N426" t="n">
        <v>0</v>
      </c>
      <c r="O426" t="n">
        <v>0</v>
      </c>
      <c r="P426" t="n">
        <v>0</v>
      </c>
      <c r="Q426" t="n">
        <v>1</v>
      </c>
      <c r="R426" s="2" t="inlineStr">
        <is>
          <t>Skogsknipprot</t>
        </is>
      </c>
      <c r="S426">
        <f>HYPERLINK("https://klasma.github.io/Logging_1962/artfynd/A 55711-2024 artfynd.xlsx", "A 55711-2024")</f>
        <v/>
      </c>
      <c r="T426">
        <f>HYPERLINK("https://klasma.github.io/Logging_1962/kartor/A 55711-2024 karta.png", "A 55711-2024")</f>
        <v/>
      </c>
      <c r="V426">
        <f>HYPERLINK("https://klasma.github.io/Logging_1962/klagomål/A 55711-2024 FSC-klagomål.docx", "A 55711-2024")</f>
        <v/>
      </c>
      <c r="W426">
        <f>HYPERLINK("https://klasma.github.io/Logging_1962/klagomålsmail/A 55711-2024 FSC-klagomål mail.docx", "A 55711-2024")</f>
        <v/>
      </c>
      <c r="X426">
        <f>HYPERLINK("https://klasma.github.io/Logging_1962/tillsyn/A 55711-2024 tillsynsbegäran.docx", "A 55711-2024")</f>
        <v/>
      </c>
      <c r="Y426">
        <f>HYPERLINK("https://klasma.github.io/Logging_1962/tillsynsmail/A 55711-2024 tillsynsbegäran mail.docx", "A 55711-2024")</f>
        <v/>
      </c>
    </row>
    <row r="427" ht="15" customHeight="1">
      <c r="A427" t="inlineStr">
        <is>
          <t>A 58307-2024</t>
        </is>
      </c>
      <c r="B427" s="1" t="n">
        <v>45632</v>
      </c>
      <c r="C427" s="1" t="n">
        <v>45757</v>
      </c>
      <c r="D427" t="inlineStr">
        <is>
          <t>VÄSTMANLANDS LÄN</t>
        </is>
      </c>
      <c r="E427" t="inlineStr">
        <is>
          <t>FAGERSTA</t>
        </is>
      </c>
      <c r="G427" t="n">
        <v>1</v>
      </c>
      <c r="H427" t="n">
        <v>0</v>
      </c>
      <c r="I427" t="n">
        <v>1</v>
      </c>
      <c r="J427" t="n">
        <v>0</v>
      </c>
      <c r="K427" t="n">
        <v>0</v>
      </c>
      <c r="L427" t="n">
        <v>0</v>
      </c>
      <c r="M427" t="n">
        <v>0</v>
      </c>
      <c r="N427" t="n">
        <v>0</v>
      </c>
      <c r="O427" t="n">
        <v>0</v>
      </c>
      <c r="P427" t="n">
        <v>0</v>
      </c>
      <c r="Q427" t="n">
        <v>1</v>
      </c>
      <c r="R427" s="2" t="inlineStr">
        <is>
          <t>Mindre märgborre</t>
        </is>
      </c>
      <c r="S427">
        <f>HYPERLINK("https://klasma.github.io/Logging_1982/artfynd/A 58307-2024 artfynd.xlsx", "A 58307-2024")</f>
        <v/>
      </c>
      <c r="T427">
        <f>HYPERLINK("https://klasma.github.io/Logging_1982/kartor/A 58307-2024 karta.png", "A 58307-2024")</f>
        <v/>
      </c>
      <c r="V427">
        <f>HYPERLINK("https://klasma.github.io/Logging_1982/klagomål/A 58307-2024 FSC-klagomål.docx", "A 58307-2024")</f>
        <v/>
      </c>
      <c r="W427">
        <f>HYPERLINK("https://klasma.github.io/Logging_1982/klagomålsmail/A 58307-2024 FSC-klagomål mail.docx", "A 58307-2024")</f>
        <v/>
      </c>
      <c r="X427">
        <f>HYPERLINK("https://klasma.github.io/Logging_1982/tillsyn/A 58307-2024 tillsynsbegäran.docx", "A 58307-2024")</f>
        <v/>
      </c>
      <c r="Y427">
        <f>HYPERLINK("https://klasma.github.io/Logging_1982/tillsynsmail/A 58307-2024 tillsynsbegäran mail.docx", "A 58307-2024")</f>
        <v/>
      </c>
    </row>
    <row r="428" ht="15" customHeight="1">
      <c r="A428" t="inlineStr">
        <is>
          <t>A 58122-2024</t>
        </is>
      </c>
      <c r="B428" s="1" t="n">
        <v>45632</v>
      </c>
      <c r="C428" s="1" t="n">
        <v>45757</v>
      </c>
      <c r="D428" t="inlineStr">
        <is>
          <t>VÄSTMANLANDS LÄN</t>
        </is>
      </c>
      <c r="E428" t="inlineStr">
        <is>
          <t>KÖPING</t>
        </is>
      </c>
      <c r="G428" t="n">
        <v>5.7</v>
      </c>
      <c r="H428" t="n">
        <v>1</v>
      </c>
      <c r="I428" t="n">
        <v>0</v>
      </c>
      <c r="J428" t="n">
        <v>0</v>
      </c>
      <c r="K428" t="n">
        <v>0</v>
      </c>
      <c r="L428" t="n">
        <v>0</v>
      </c>
      <c r="M428" t="n">
        <v>0</v>
      </c>
      <c r="N428" t="n">
        <v>0</v>
      </c>
      <c r="O428" t="n">
        <v>0</v>
      </c>
      <c r="P428" t="n">
        <v>0</v>
      </c>
      <c r="Q428" t="n">
        <v>1</v>
      </c>
      <c r="R428" s="2" t="inlineStr">
        <is>
          <t>Vanlig groda</t>
        </is>
      </c>
      <c r="S428">
        <f>HYPERLINK("https://klasma.github.io/Logging_1983/artfynd/A 58122-2024 artfynd.xlsx", "A 58122-2024")</f>
        <v/>
      </c>
      <c r="T428">
        <f>HYPERLINK("https://klasma.github.io/Logging_1983/kartor/A 58122-2024 karta.png", "A 58122-2024")</f>
        <v/>
      </c>
      <c r="V428">
        <f>HYPERLINK("https://klasma.github.io/Logging_1983/klagomål/A 58122-2024 FSC-klagomål.docx", "A 58122-2024")</f>
        <v/>
      </c>
      <c r="W428">
        <f>HYPERLINK("https://klasma.github.io/Logging_1983/klagomålsmail/A 58122-2024 FSC-klagomål mail.docx", "A 58122-2024")</f>
        <v/>
      </c>
      <c r="X428">
        <f>HYPERLINK("https://klasma.github.io/Logging_1983/tillsyn/A 58122-2024 tillsynsbegäran.docx", "A 58122-2024")</f>
        <v/>
      </c>
      <c r="Y428">
        <f>HYPERLINK("https://klasma.github.io/Logging_1983/tillsynsmail/A 58122-2024 tillsynsbegäran mail.docx", "A 58122-2024")</f>
        <v/>
      </c>
    </row>
    <row r="429" ht="15" customHeight="1">
      <c r="A429" t="inlineStr">
        <is>
          <t>A 58711-2024</t>
        </is>
      </c>
      <c r="B429" s="1" t="n">
        <v>45635</v>
      </c>
      <c r="C429" s="1" t="n">
        <v>45757</v>
      </c>
      <c r="D429" t="inlineStr">
        <is>
          <t>VÄSTMANLANDS LÄN</t>
        </is>
      </c>
      <c r="E429" t="inlineStr">
        <is>
          <t>SALA</t>
        </is>
      </c>
      <c r="G429" t="n">
        <v>1.5</v>
      </c>
      <c r="H429" t="n">
        <v>1</v>
      </c>
      <c r="I429" t="n">
        <v>0</v>
      </c>
      <c r="J429" t="n">
        <v>0</v>
      </c>
      <c r="K429" t="n">
        <v>0</v>
      </c>
      <c r="L429" t="n">
        <v>0</v>
      </c>
      <c r="M429" t="n">
        <v>0</v>
      </c>
      <c r="N429" t="n">
        <v>0</v>
      </c>
      <c r="O429" t="n">
        <v>0</v>
      </c>
      <c r="P429" t="n">
        <v>0</v>
      </c>
      <c r="Q429" t="n">
        <v>1</v>
      </c>
      <c r="R429" s="2" t="inlineStr">
        <is>
          <t>Gröngöling</t>
        </is>
      </c>
      <c r="S429">
        <f>HYPERLINK("https://klasma.github.io/Logging_1981/artfynd/A 58711-2024 artfynd.xlsx", "A 58711-2024")</f>
        <v/>
      </c>
      <c r="T429">
        <f>HYPERLINK("https://klasma.github.io/Logging_1981/kartor/A 58711-2024 karta.png", "A 58711-2024")</f>
        <v/>
      </c>
      <c r="V429">
        <f>HYPERLINK("https://klasma.github.io/Logging_1981/klagomål/A 58711-2024 FSC-klagomål.docx", "A 58711-2024")</f>
        <v/>
      </c>
      <c r="W429">
        <f>HYPERLINK("https://klasma.github.io/Logging_1981/klagomålsmail/A 58711-2024 FSC-klagomål mail.docx", "A 58711-2024")</f>
        <v/>
      </c>
      <c r="X429">
        <f>HYPERLINK("https://klasma.github.io/Logging_1981/tillsyn/A 58711-2024 tillsynsbegäran.docx", "A 58711-2024")</f>
        <v/>
      </c>
      <c r="Y429">
        <f>HYPERLINK("https://klasma.github.io/Logging_1981/tillsynsmail/A 58711-2024 tillsynsbegäran mail.docx", "A 58711-2024")</f>
        <v/>
      </c>
      <c r="Z429">
        <f>HYPERLINK("https://klasma.github.io/Logging_1981/fåglar/A 58711-2024 prioriterade fågelarter.docx", "A 58711-2024")</f>
        <v/>
      </c>
    </row>
    <row r="430" ht="15" customHeight="1">
      <c r="A430" t="inlineStr">
        <is>
          <t>A 60218-2024</t>
        </is>
      </c>
      <c r="B430" s="1" t="n">
        <v>45642</v>
      </c>
      <c r="C430" s="1" t="n">
        <v>45757</v>
      </c>
      <c r="D430" t="inlineStr">
        <is>
          <t>VÄSTMANLANDS LÄN</t>
        </is>
      </c>
      <c r="E430" t="inlineStr">
        <is>
          <t>VÄSTERÅS</t>
        </is>
      </c>
      <c r="G430" t="n">
        <v>7.3</v>
      </c>
      <c r="H430" t="n">
        <v>1</v>
      </c>
      <c r="I430" t="n">
        <v>0</v>
      </c>
      <c r="J430" t="n">
        <v>0</v>
      </c>
      <c r="K430" t="n">
        <v>0</v>
      </c>
      <c r="L430" t="n">
        <v>0</v>
      </c>
      <c r="M430" t="n">
        <v>0</v>
      </c>
      <c r="N430" t="n">
        <v>0</v>
      </c>
      <c r="O430" t="n">
        <v>0</v>
      </c>
      <c r="P430" t="n">
        <v>0</v>
      </c>
      <c r="Q430" t="n">
        <v>1</v>
      </c>
      <c r="R430" s="2" t="inlineStr">
        <is>
          <t>Mindre vattensalamander</t>
        </is>
      </c>
      <c r="S430">
        <f>HYPERLINK("https://klasma.github.io/Logging_1980/artfynd/A 60218-2024 artfynd.xlsx", "A 60218-2024")</f>
        <v/>
      </c>
      <c r="T430">
        <f>HYPERLINK("https://klasma.github.io/Logging_1980/kartor/A 60218-2024 karta.png", "A 60218-2024")</f>
        <v/>
      </c>
      <c r="V430">
        <f>HYPERLINK("https://klasma.github.io/Logging_1980/klagomål/A 60218-2024 FSC-klagomål.docx", "A 60218-2024")</f>
        <v/>
      </c>
      <c r="W430">
        <f>HYPERLINK("https://klasma.github.io/Logging_1980/klagomålsmail/A 60218-2024 FSC-klagomål mail.docx", "A 60218-2024")</f>
        <v/>
      </c>
      <c r="X430">
        <f>HYPERLINK("https://klasma.github.io/Logging_1980/tillsyn/A 60218-2024 tillsynsbegäran.docx", "A 60218-2024")</f>
        <v/>
      </c>
      <c r="Y430">
        <f>HYPERLINK("https://klasma.github.io/Logging_1980/tillsynsmail/A 60218-2024 tillsynsbegäran mail.docx", "A 60218-2024")</f>
        <v/>
      </c>
    </row>
    <row r="431" ht="15" customHeight="1">
      <c r="A431" t="inlineStr">
        <is>
          <t>A 61099-2024</t>
        </is>
      </c>
      <c r="B431" s="1" t="n">
        <v>45644</v>
      </c>
      <c r="C431" s="1" t="n">
        <v>45757</v>
      </c>
      <c r="D431" t="inlineStr">
        <is>
          <t>VÄSTMANLANDS LÄN</t>
        </is>
      </c>
      <c r="E431" t="inlineStr">
        <is>
          <t>NORBERG</t>
        </is>
      </c>
      <c r="G431" t="n">
        <v>0.4</v>
      </c>
      <c r="H431" t="n">
        <v>1</v>
      </c>
      <c r="I431" t="n">
        <v>0</v>
      </c>
      <c r="J431" t="n">
        <v>0</v>
      </c>
      <c r="K431" t="n">
        <v>0</v>
      </c>
      <c r="L431" t="n">
        <v>0</v>
      </c>
      <c r="M431" t="n">
        <v>0</v>
      </c>
      <c r="N431" t="n">
        <v>0</v>
      </c>
      <c r="O431" t="n">
        <v>0</v>
      </c>
      <c r="P431" t="n">
        <v>0</v>
      </c>
      <c r="Q431" t="n">
        <v>1</v>
      </c>
      <c r="R431" s="2" t="inlineStr">
        <is>
          <t>Blåsippa</t>
        </is>
      </c>
      <c r="S431">
        <f>HYPERLINK("https://klasma.github.io/Logging_1962/artfynd/A 61099-2024 artfynd.xlsx", "A 61099-2024")</f>
        <v/>
      </c>
      <c r="T431">
        <f>HYPERLINK("https://klasma.github.io/Logging_1962/kartor/A 61099-2024 karta.png", "A 61099-2024")</f>
        <v/>
      </c>
      <c r="V431">
        <f>HYPERLINK("https://klasma.github.io/Logging_1962/klagomål/A 61099-2024 FSC-klagomål.docx", "A 61099-2024")</f>
        <v/>
      </c>
      <c r="W431">
        <f>HYPERLINK("https://klasma.github.io/Logging_1962/klagomålsmail/A 61099-2024 FSC-klagomål mail.docx", "A 61099-2024")</f>
        <v/>
      </c>
      <c r="X431">
        <f>HYPERLINK("https://klasma.github.io/Logging_1962/tillsyn/A 61099-2024 tillsynsbegäran.docx", "A 61099-2024")</f>
        <v/>
      </c>
      <c r="Y431">
        <f>HYPERLINK("https://klasma.github.io/Logging_1962/tillsynsmail/A 61099-2024 tillsynsbegäran mail.docx", "A 61099-2024")</f>
        <v/>
      </c>
    </row>
    <row r="432" ht="15" customHeight="1">
      <c r="A432" t="inlineStr">
        <is>
          <t>A 61036-2024</t>
        </is>
      </c>
      <c r="B432" s="1" t="n">
        <v>45645</v>
      </c>
      <c r="C432" s="1" t="n">
        <v>45757</v>
      </c>
      <c r="D432" t="inlineStr">
        <is>
          <t>VÄSTMANLANDS LÄN</t>
        </is>
      </c>
      <c r="E432" t="inlineStr">
        <is>
          <t>VÄSTERÅS</t>
        </is>
      </c>
      <c r="G432" t="n">
        <v>3.7</v>
      </c>
      <c r="H432" t="n">
        <v>1</v>
      </c>
      <c r="I432" t="n">
        <v>0</v>
      </c>
      <c r="J432" t="n">
        <v>0</v>
      </c>
      <c r="K432" t="n">
        <v>0</v>
      </c>
      <c r="L432" t="n">
        <v>0</v>
      </c>
      <c r="M432" t="n">
        <v>0</v>
      </c>
      <c r="N432" t="n">
        <v>0</v>
      </c>
      <c r="O432" t="n">
        <v>0</v>
      </c>
      <c r="P432" t="n">
        <v>0</v>
      </c>
      <c r="Q432" t="n">
        <v>1</v>
      </c>
      <c r="R432" s="2" t="inlineStr">
        <is>
          <t>Revlummer</t>
        </is>
      </c>
      <c r="S432">
        <f>HYPERLINK("https://klasma.github.io/Logging_1980/artfynd/A 61036-2024 artfynd.xlsx", "A 61036-2024")</f>
        <v/>
      </c>
      <c r="T432">
        <f>HYPERLINK("https://klasma.github.io/Logging_1980/kartor/A 61036-2024 karta.png", "A 61036-2024")</f>
        <v/>
      </c>
      <c r="V432">
        <f>HYPERLINK("https://klasma.github.io/Logging_1980/klagomål/A 61036-2024 FSC-klagomål.docx", "A 61036-2024")</f>
        <v/>
      </c>
      <c r="W432">
        <f>HYPERLINK("https://klasma.github.io/Logging_1980/klagomålsmail/A 61036-2024 FSC-klagomål mail.docx", "A 61036-2024")</f>
        <v/>
      </c>
      <c r="X432">
        <f>HYPERLINK("https://klasma.github.io/Logging_1980/tillsyn/A 61036-2024 tillsynsbegäran.docx", "A 61036-2024")</f>
        <v/>
      </c>
      <c r="Y432">
        <f>HYPERLINK("https://klasma.github.io/Logging_1980/tillsynsmail/A 61036-2024 tillsynsbegäran mail.docx", "A 61036-2024")</f>
        <v/>
      </c>
    </row>
    <row r="433" ht="15" customHeight="1">
      <c r="A433" t="inlineStr">
        <is>
          <t>A 61577-2024</t>
        </is>
      </c>
      <c r="B433" s="1" t="n">
        <v>45646</v>
      </c>
      <c r="C433" s="1" t="n">
        <v>45757</v>
      </c>
      <c r="D433" t="inlineStr">
        <is>
          <t>VÄSTMANLANDS LÄN</t>
        </is>
      </c>
      <c r="E433" t="inlineStr">
        <is>
          <t>KÖPING</t>
        </is>
      </c>
      <c r="G433" t="n">
        <v>5.6</v>
      </c>
      <c r="H433" t="n">
        <v>1</v>
      </c>
      <c r="I433" t="n">
        <v>0</v>
      </c>
      <c r="J433" t="n">
        <v>0</v>
      </c>
      <c r="K433" t="n">
        <v>0</v>
      </c>
      <c r="L433" t="n">
        <v>0</v>
      </c>
      <c r="M433" t="n">
        <v>0</v>
      </c>
      <c r="N433" t="n">
        <v>0</v>
      </c>
      <c r="O433" t="n">
        <v>0</v>
      </c>
      <c r="P433" t="n">
        <v>0</v>
      </c>
      <c r="Q433" t="n">
        <v>1</v>
      </c>
      <c r="R433" s="2" t="inlineStr">
        <is>
          <t>Skogsödla</t>
        </is>
      </c>
      <c r="S433">
        <f>HYPERLINK("https://klasma.github.io/Logging_1983/artfynd/A 61577-2024 artfynd.xlsx", "A 61577-2024")</f>
        <v/>
      </c>
      <c r="T433">
        <f>HYPERLINK("https://klasma.github.io/Logging_1983/kartor/A 61577-2024 karta.png", "A 61577-2024")</f>
        <v/>
      </c>
      <c r="V433">
        <f>HYPERLINK("https://klasma.github.io/Logging_1983/klagomål/A 61577-2024 FSC-klagomål.docx", "A 61577-2024")</f>
        <v/>
      </c>
      <c r="W433">
        <f>HYPERLINK("https://klasma.github.io/Logging_1983/klagomålsmail/A 61577-2024 FSC-klagomål mail.docx", "A 61577-2024")</f>
        <v/>
      </c>
      <c r="X433">
        <f>HYPERLINK("https://klasma.github.io/Logging_1983/tillsyn/A 61577-2024 tillsynsbegäran.docx", "A 61577-2024")</f>
        <v/>
      </c>
      <c r="Y433">
        <f>HYPERLINK("https://klasma.github.io/Logging_1983/tillsynsmail/A 61577-2024 tillsynsbegäran mail.docx", "A 61577-2024")</f>
        <v/>
      </c>
    </row>
    <row r="434" ht="15" customHeight="1">
      <c r="A434" t="inlineStr">
        <is>
          <t>A 62097-2024</t>
        </is>
      </c>
      <c r="B434" s="1" t="n">
        <v>45646</v>
      </c>
      <c r="C434" s="1" t="n">
        <v>45757</v>
      </c>
      <c r="D434" t="inlineStr">
        <is>
          <t>VÄSTMANLANDS LÄN</t>
        </is>
      </c>
      <c r="E434" t="inlineStr">
        <is>
          <t>SURAHAMMAR</t>
        </is>
      </c>
      <c r="F434" t="inlineStr">
        <is>
          <t>Bergvik skog väst AB</t>
        </is>
      </c>
      <c r="G434" t="n">
        <v>21.7</v>
      </c>
      <c r="H434" t="n">
        <v>1</v>
      </c>
      <c r="I434" t="n">
        <v>0</v>
      </c>
      <c r="J434" t="n">
        <v>0</v>
      </c>
      <c r="K434" t="n">
        <v>0</v>
      </c>
      <c r="L434" t="n">
        <v>0</v>
      </c>
      <c r="M434" t="n">
        <v>0</v>
      </c>
      <c r="N434" t="n">
        <v>0</v>
      </c>
      <c r="O434" t="n">
        <v>0</v>
      </c>
      <c r="P434" t="n">
        <v>0</v>
      </c>
      <c r="Q434" t="n">
        <v>1</v>
      </c>
      <c r="R434" s="2" t="inlineStr">
        <is>
          <t>Revlummer</t>
        </is>
      </c>
      <c r="S434">
        <f>HYPERLINK("https://klasma.github.io/Logging_1907/artfynd/A 62097-2024 artfynd.xlsx", "A 62097-2024")</f>
        <v/>
      </c>
      <c r="T434">
        <f>HYPERLINK("https://klasma.github.io/Logging_1907/kartor/A 62097-2024 karta.png", "A 62097-2024")</f>
        <v/>
      </c>
      <c r="V434">
        <f>HYPERLINK("https://klasma.github.io/Logging_1907/klagomål/A 62097-2024 FSC-klagomål.docx", "A 62097-2024")</f>
        <v/>
      </c>
      <c r="W434">
        <f>HYPERLINK("https://klasma.github.io/Logging_1907/klagomålsmail/A 62097-2024 FSC-klagomål mail.docx", "A 62097-2024")</f>
        <v/>
      </c>
      <c r="X434">
        <f>HYPERLINK("https://klasma.github.io/Logging_1907/tillsyn/A 62097-2024 tillsynsbegäran.docx", "A 62097-2024")</f>
        <v/>
      </c>
      <c r="Y434">
        <f>HYPERLINK("https://klasma.github.io/Logging_1907/tillsynsmail/A 62097-2024 tillsynsbegäran mail.docx", "A 62097-2024")</f>
        <v/>
      </c>
    </row>
    <row r="435" ht="15" customHeight="1">
      <c r="A435" t="inlineStr">
        <is>
          <t>A 62156-2024</t>
        </is>
      </c>
      <c r="B435" s="1" t="n">
        <v>45656</v>
      </c>
      <c r="C435" s="1" t="n">
        <v>45757</v>
      </c>
      <c r="D435" t="inlineStr">
        <is>
          <t>VÄSTMANLANDS LÄN</t>
        </is>
      </c>
      <c r="E435" t="inlineStr">
        <is>
          <t>SKINNSKATTEBERG</t>
        </is>
      </c>
      <c r="G435" t="n">
        <v>11.5</v>
      </c>
      <c r="H435" t="n">
        <v>0</v>
      </c>
      <c r="I435" t="n">
        <v>1</v>
      </c>
      <c r="J435" t="n">
        <v>0</v>
      </c>
      <c r="K435" t="n">
        <v>0</v>
      </c>
      <c r="L435" t="n">
        <v>0</v>
      </c>
      <c r="M435" t="n">
        <v>0</v>
      </c>
      <c r="N435" t="n">
        <v>0</v>
      </c>
      <c r="O435" t="n">
        <v>0</v>
      </c>
      <c r="P435" t="n">
        <v>0</v>
      </c>
      <c r="Q435" t="n">
        <v>1</v>
      </c>
      <c r="R435" s="2" t="inlineStr">
        <is>
          <t>Vedticka</t>
        </is>
      </c>
      <c r="S435">
        <f>HYPERLINK("https://klasma.github.io/Logging_1904/artfynd/A 62156-2024 artfynd.xlsx", "A 62156-2024")</f>
        <v/>
      </c>
      <c r="T435">
        <f>HYPERLINK("https://klasma.github.io/Logging_1904/kartor/A 62156-2024 karta.png", "A 62156-2024")</f>
        <v/>
      </c>
      <c r="V435">
        <f>HYPERLINK("https://klasma.github.io/Logging_1904/klagomål/A 62156-2024 FSC-klagomål.docx", "A 62156-2024")</f>
        <v/>
      </c>
      <c r="W435">
        <f>HYPERLINK("https://klasma.github.io/Logging_1904/klagomålsmail/A 62156-2024 FSC-klagomål mail.docx", "A 62156-2024")</f>
        <v/>
      </c>
      <c r="X435">
        <f>HYPERLINK("https://klasma.github.io/Logging_1904/tillsyn/A 62156-2024 tillsynsbegäran.docx", "A 62156-2024")</f>
        <v/>
      </c>
      <c r="Y435">
        <f>HYPERLINK("https://klasma.github.io/Logging_1904/tillsynsmail/A 62156-2024 tillsynsbegäran mail.docx", "A 62156-2024")</f>
        <v/>
      </c>
    </row>
    <row r="436" ht="15" customHeight="1">
      <c r="A436" t="inlineStr">
        <is>
          <t>A 1043-2025</t>
        </is>
      </c>
      <c r="B436" s="1" t="n">
        <v>45666</v>
      </c>
      <c r="C436" s="1" t="n">
        <v>45757</v>
      </c>
      <c r="D436" t="inlineStr">
        <is>
          <t>VÄSTMANLANDS LÄN</t>
        </is>
      </c>
      <c r="E436" t="inlineStr">
        <is>
          <t>KUNGSÖR</t>
        </is>
      </c>
      <c r="G436" t="n">
        <v>2.5</v>
      </c>
      <c r="H436" t="n">
        <v>1</v>
      </c>
      <c r="I436" t="n">
        <v>0</v>
      </c>
      <c r="J436" t="n">
        <v>0</v>
      </c>
      <c r="K436" t="n">
        <v>1</v>
      </c>
      <c r="L436" t="n">
        <v>0</v>
      </c>
      <c r="M436" t="n">
        <v>0</v>
      </c>
      <c r="N436" t="n">
        <v>0</v>
      </c>
      <c r="O436" t="n">
        <v>1</v>
      </c>
      <c r="P436" t="n">
        <v>1</v>
      </c>
      <c r="Q436" t="n">
        <v>1</v>
      </c>
      <c r="R436" s="2" t="inlineStr">
        <is>
          <t>Knärot</t>
        </is>
      </c>
      <c r="S436">
        <f>HYPERLINK("https://klasma.github.io/Logging_1960/artfynd/A 1043-2025 artfynd.xlsx", "A 1043-2025")</f>
        <v/>
      </c>
      <c r="T436">
        <f>HYPERLINK("https://klasma.github.io/Logging_1960/kartor/A 1043-2025 karta.png", "A 1043-2025")</f>
        <v/>
      </c>
      <c r="U436">
        <f>HYPERLINK("https://klasma.github.io/Logging_1960/knärot/A 1043-2025 karta knärot.png", "A 1043-2025")</f>
        <v/>
      </c>
      <c r="V436">
        <f>HYPERLINK("https://klasma.github.io/Logging_1960/klagomål/A 1043-2025 FSC-klagomål.docx", "A 1043-2025")</f>
        <v/>
      </c>
      <c r="W436">
        <f>HYPERLINK("https://klasma.github.io/Logging_1960/klagomålsmail/A 1043-2025 FSC-klagomål mail.docx", "A 1043-2025")</f>
        <v/>
      </c>
      <c r="X436">
        <f>HYPERLINK("https://klasma.github.io/Logging_1960/tillsyn/A 1043-2025 tillsynsbegäran.docx", "A 1043-2025")</f>
        <v/>
      </c>
      <c r="Y436">
        <f>HYPERLINK("https://klasma.github.io/Logging_1960/tillsynsmail/A 1043-2025 tillsynsbegäran mail.docx", "A 1043-2025")</f>
        <v/>
      </c>
    </row>
    <row r="437" ht="15" customHeight="1">
      <c r="A437" t="inlineStr">
        <is>
          <t>A 6603-2025</t>
        </is>
      </c>
      <c r="B437" s="1" t="n">
        <v>45700</v>
      </c>
      <c r="C437" s="1" t="n">
        <v>45757</v>
      </c>
      <c r="D437" t="inlineStr">
        <is>
          <t>VÄSTMANLANDS LÄN</t>
        </is>
      </c>
      <c r="E437" t="inlineStr">
        <is>
          <t>KÖPING</t>
        </is>
      </c>
      <c r="G437" t="n">
        <v>12.1</v>
      </c>
      <c r="H437" t="n">
        <v>0</v>
      </c>
      <c r="I437" t="n">
        <v>0</v>
      </c>
      <c r="J437" t="n">
        <v>1</v>
      </c>
      <c r="K437" t="n">
        <v>0</v>
      </c>
      <c r="L437" t="n">
        <v>0</v>
      </c>
      <c r="M437" t="n">
        <v>0</v>
      </c>
      <c r="N437" t="n">
        <v>0</v>
      </c>
      <c r="O437" t="n">
        <v>1</v>
      </c>
      <c r="P437" t="n">
        <v>0</v>
      </c>
      <c r="Q437" t="n">
        <v>1</v>
      </c>
      <c r="R437" s="2" t="inlineStr">
        <is>
          <t>Motaggsvamp</t>
        </is>
      </c>
      <c r="S437">
        <f>HYPERLINK("https://klasma.github.io/Logging_1983/artfynd/A 6603-2025 artfynd.xlsx", "A 6603-2025")</f>
        <v/>
      </c>
      <c r="T437">
        <f>HYPERLINK("https://klasma.github.io/Logging_1983/kartor/A 6603-2025 karta.png", "A 6603-2025")</f>
        <v/>
      </c>
      <c r="V437">
        <f>HYPERLINK("https://klasma.github.io/Logging_1983/klagomål/A 6603-2025 FSC-klagomål.docx", "A 6603-2025")</f>
        <v/>
      </c>
      <c r="W437">
        <f>HYPERLINK("https://klasma.github.io/Logging_1983/klagomålsmail/A 6603-2025 FSC-klagomål mail.docx", "A 6603-2025")</f>
        <v/>
      </c>
      <c r="X437">
        <f>HYPERLINK("https://klasma.github.io/Logging_1983/tillsyn/A 6603-2025 tillsynsbegäran.docx", "A 6603-2025")</f>
        <v/>
      </c>
      <c r="Y437">
        <f>HYPERLINK("https://klasma.github.io/Logging_1983/tillsynsmail/A 6603-2025 tillsynsbegäran mail.docx", "A 6603-2025")</f>
        <v/>
      </c>
    </row>
    <row r="438" ht="15" customHeight="1">
      <c r="A438" t="inlineStr">
        <is>
          <t>A 9803-2025</t>
        </is>
      </c>
      <c r="B438" s="1" t="n">
        <v>45716</v>
      </c>
      <c r="C438" s="1" t="n">
        <v>45757</v>
      </c>
      <c r="D438" t="inlineStr">
        <is>
          <t>VÄSTMANLANDS LÄN</t>
        </is>
      </c>
      <c r="E438" t="inlineStr">
        <is>
          <t>FAGERSTA</t>
        </is>
      </c>
      <c r="F438" t="inlineStr">
        <is>
          <t>Sveaskog</t>
        </is>
      </c>
      <c r="G438" t="n">
        <v>4.5</v>
      </c>
      <c r="H438" t="n">
        <v>1</v>
      </c>
      <c r="I438" t="n">
        <v>0</v>
      </c>
      <c r="J438" t="n">
        <v>0</v>
      </c>
      <c r="K438" t="n">
        <v>1</v>
      </c>
      <c r="L438" t="n">
        <v>0</v>
      </c>
      <c r="M438" t="n">
        <v>0</v>
      </c>
      <c r="N438" t="n">
        <v>0</v>
      </c>
      <c r="O438" t="n">
        <v>1</v>
      </c>
      <c r="P438" t="n">
        <v>1</v>
      </c>
      <c r="Q438" t="n">
        <v>1</v>
      </c>
      <c r="R438" s="2" t="inlineStr">
        <is>
          <t>Tallbit</t>
        </is>
      </c>
      <c r="S438">
        <f>HYPERLINK("https://klasma.github.io/Logging_191982/artfynd/A 9803-2025 artfynd.xlsx", "A 9803-2025")</f>
        <v/>
      </c>
      <c r="T438">
        <f>HYPERLINK("https://klasma.github.io/Logging_191982/kartor/A 9803-2025 karta.png", "A 9803-2025")</f>
        <v/>
      </c>
      <c r="V438">
        <f>HYPERLINK("https://klasma.github.io/Logging_191982/klagomål/A 9803-2025 FSC-klagomål.docx", "A 9803-2025")</f>
        <v/>
      </c>
      <c r="W438">
        <f>HYPERLINK("https://klasma.github.io/Logging_191982/klagomålsmail/A 9803-2025 FSC-klagomål mail.docx", "A 9803-2025")</f>
        <v/>
      </c>
      <c r="X438">
        <f>HYPERLINK("https://klasma.github.io/Logging_191982/tillsyn/A 9803-2025 tillsynsbegäran.docx", "A 9803-2025")</f>
        <v/>
      </c>
      <c r="Y438">
        <f>HYPERLINK("https://klasma.github.io/Logging_191982/tillsynsmail/A 9803-2025 tillsynsbegäran mail.docx", "A 9803-2025")</f>
        <v/>
      </c>
      <c r="Z438">
        <f>HYPERLINK("https://klasma.github.io/Logging_191982/fåglar/A 9803-2025 prioriterade fågelarter.docx", "A 9803-2025")</f>
        <v/>
      </c>
    </row>
    <row r="439" ht="15" customHeight="1">
      <c r="A439" t="inlineStr">
        <is>
          <t>A 10373-2025</t>
        </is>
      </c>
      <c r="B439" s="1" t="n">
        <v>45720</v>
      </c>
      <c r="C439" s="1" t="n">
        <v>45757</v>
      </c>
      <c r="D439" t="inlineStr">
        <is>
          <t>VÄSTMANLANDS LÄN</t>
        </is>
      </c>
      <c r="E439" t="inlineStr">
        <is>
          <t>FAGERSTA</t>
        </is>
      </c>
      <c r="G439" t="n">
        <v>3</v>
      </c>
      <c r="H439" t="n">
        <v>1</v>
      </c>
      <c r="I439" t="n">
        <v>1</v>
      </c>
      <c r="J439" t="n">
        <v>0</v>
      </c>
      <c r="K439" t="n">
        <v>0</v>
      </c>
      <c r="L439" t="n">
        <v>0</v>
      </c>
      <c r="M439" t="n">
        <v>0</v>
      </c>
      <c r="N439" t="n">
        <v>0</v>
      </c>
      <c r="O439" t="n">
        <v>0</v>
      </c>
      <c r="P439" t="n">
        <v>0</v>
      </c>
      <c r="Q439" t="n">
        <v>1</v>
      </c>
      <c r="R439" s="2" t="inlineStr">
        <is>
          <t>Plattlummer</t>
        </is>
      </c>
      <c r="S439">
        <f>HYPERLINK("https://klasma.github.io/Logging_191982/artfynd/A 10373-2025 artfynd.xlsx", "A 10373-2025")</f>
        <v/>
      </c>
      <c r="T439">
        <f>HYPERLINK("https://klasma.github.io/Logging_191982/kartor/A 10373-2025 karta.png", "A 10373-2025")</f>
        <v/>
      </c>
      <c r="V439">
        <f>HYPERLINK("https://klasma.github.io/Logging_191982/klagomål/A 10373-2025 FSC-klagomål.docx", "A 10373-2025")</f>
        <v/>
      </c>
      <c r="W439">
        <f>HYPERLINK("https://klasma.github.io/Logging_191982/klagomålsmail/A 10373-2025 FSC-klagomål mail.docx", "A 10373-2025")</f>
        <v/>
      </c>
      <c r="X439">
        <f>HYPERLINK("https://klasma.github.io/Logging_191982/tillsyn/A 10373-2025 tillsynsbegäran.docx", "A 10373-2025")</f>
        <v/>
      </c>
      <c r="Y439">
        <f>HYPERLINK("https://klasma.github.io/Logging_191982/tillsynsmail/A 10373-2025 tillsynsbegäran mail.docx", "A 10373-2025")</f>
        <v/>
      </c>
    </row>
    <row r="440" ht="15" customHeight="1">
      <c r="A440" t="inlineStr">
        <is>
          <t>A 13066-2025</t>
        </is>
      </c>
      <c r="B440" s="1" t="n">
        <v>45734</v>
      </c>
      <c r="C440" s="1" t="n">
        <v>45757</v>
      </c>
      <c r="D440" t="inlineStr">
        <is>
          <t>VÄSTMANLANDS LÄN</t>
        </is>
      </c>
      <c r="E440" t="inlineStr">
        <is>
          <t>KÖPING</t>
        </is>
      </c>
      <c r="F440" t="inlineStr">
        <is>
          <t>Sveaskog</t>
        </is>
      </c>
      <c r="G440" t="n">
        <v>0.7</v>
      </c>
      <c r="H440" t="n">
        <v>1</v>
      </c>
      <c r="I440" t="n">
        <v>0</v>
      </c>
      <c r="J440" t="n">
        <v>0</v>
      </c>
      <c r="K440" t="n">
        <v>0</v>
      </c>
      <c r="L440" t="n">
        <v>0</v>
      </c>
      <c r="M440" t="n">
        <v>0</v>
      </c>
      <c r="N440" t="n">
        <v>0</v>
      </c>
      <c r="O440" t="n">
        <v>0</v>
      </c>
      <c r="P440" t="n">
        <v>0</v>
      </c>
      <c r="Q440" t="n">
        <v>1</v>
      </c>
      <c r="R440" s="2" t="inlineStr">
        <is>
          <t>Revlummer</t>
        </is>
      </c>
      <c r="S440">
        <f>HYPERLINK("https://klasma.github.io/Logging_191983/artfynd/A 13066-2025 artfynd.xlsx", "A 13066-2025")</f>
        <v/>
      </c>
      <c r="T440">
        <f>HYPERLINK("https://klasma.github.io/Logging_191983/kartor/A 13066-2025 karta.png", "A 13066-2025")</f>
        <v/>
      </c>
      <c r="V440">
        <f>HYPERLINK("https://klasma.github.io/Logging_191983/klagomål/A 13066-2025 FSC-klagomål.docx", "A 13066-2025")</f>
        <v/>
      </c>
      <c r="W440">
        <f>HYPERLINK("https://klasma.github.io/Logging_191983/klagomålsmail/A 13066-2025 FSC-klagomål mail.docx", "A 13066-2025")</f>
        <v/>
      </c>
      <c r="X440">
        <f>HYPERLINK("https://klasma.github.io/Logging_191983/tillsyn/A 13066-2025 tillsynsbegäran.docx", "A 13066-2025")</f>
        <v/>
      </c>
      <c r="Y440">
        <f>HYPERLINK("https://klasma.github.io/Logging_191983/tillsynsmail/A 13066-2025 tillsynsbegäran mail.docx", "A 13066-2025")</f>
        <v/>
      </c>
    </row>
    <row r="441" ht="15" customHeight="1">
      <c r="A441" t="inlineStr">
        <is>
          <t>A 13788-2025</t>
        </is>
      </c>
      <c r="B441" s="1" t="n">
        <v>45737</v>
      </c>
      <c r="C441" s="1" t="n">
        <v>45757</v>
      </c>
      <c r="D441" t="inlineStr">
        <is>
          <t>VÄSTMANLANDS LÄN</t>
        </is>
      </c>
      <c r="E441" t="inlineStr">
        <is>
          <t>SURAHAMMAR</t>
        </is>
      </c>
      <c r="G441" t="n">
        <v>9.699999999999999</v>
      </c>
      <c r="H441" t="n">
        <v>1</v>
      </c>
      <c r="I441" t="n">
        <v>0</v>
      </c>
      <c r="J441" t="n">
        <v>0</v>
      </c>
      <c r="K441" t="n">
        <v>0</v>
      </c>
      <c r="L441" t="n">
        <v>0</v>
      </c>
      <c r="M441" t="n">
        <v>0</v>
      </c>
      <c r="N441" t="n">
        <v>0</v>
      </c>
      <c r="O441" t="n">
        <v>0</v>
      </c>
      <c r="P441" t="n">
        <v>0</v>
      </c>
      <c r="Q441" t="n">
        <v>1</v>
      </c>
      <c r="R441" s="2" t="inlineStr">
        <is>
          <t>Sparvuggla</t>
        </is>
      </c>
      <c r="S441">
        <f>HYPERLINK("https://klasma.github.io/Logging_191907/artfynd/A 13788-2025 artfynd.xlsx", "A 13788-2025")</f>
        <v/>
      </c>
      <c r="T441">
        <f>HYPERLINK("https://klasma.github.io/Logging_191907/kartor/A 13788-2025 karta.png", "A 13788-2025")</f>
        <v/>
      </c>
      <c r="V441">
        <f>HYPERLINK("https://klasma.github.io/Logging_191907/klagomål/A 13788-2025 FSC-klagomål.docx", "A 13788-2025")</f>
        <v/>
      </c>
      <c r="W441">
        <f>HYPERLINK("https://klasma.github.io/Logging_191907/klagomålsmail/A 13788-2025 FSC-klagomål mail.docx", "A 13788-2025")</f>
        <v/>
      </c>
      <c r="X441">
        <f>HYPERLINK("https://klasma.github.io/Logging_191907/tillsyn/A 13788-2025 tillsynsbegäran.docx", "A 13788-2025")</f>
        <v/>
      </c>
      <c r="Y441">
        <f>HYPERLINK("https://klasma.github.io/Logging_191907/tillsynsmail/A 13788-2025 tillsynsbegäran mail.docx", "A 13788-2025")</f>
        <v/>
      </c>
      <c r="Z441">
        <f>HYPERLINK("https://klasma.github.io/Logging_191907/fåglar/A 13788-2025 prioriterade fågelarter.docx", "A 13788-2025")</f>
        <v/>
      </c>
    </row>
    <row r="442" ht="15" customHeight="1">
      <c r="A442" t="inlineStr">
        <is>
          <t>A 15107-2025</t>
        </is>
      </c>
      <c r="B442" s="1" t="n">
        <v>45744</v>
      </c>
      <c r="C442" s="1" t="n">
        <v>45757</v>
      </c>
      <c r="D442" t="inlineStr">
        <is>
          <t>VÄSTMANLANDS LÄN</t>
        </is>
      </c>
      <c r="E442" t="inlineStr">
        <is>
          <t>NORBERG</t>
        </is>
      </c>
      <c r="F442" t="inlineStr">
        <is>
          <t>Sveaskog</t>
        </is>
      </c>
      <c r="G442" t="n">
        <v>0.9</v>
      </c>
      <c r="H442" t="n">
        <v>1</v>
      </c>
      <c r="I442" t="n">
        <v>0</v>
      </c>
      <c r="J442" t="n">
        <v>0</v>
      </c>
      <c r="K442" t="n">
        <v>0</v>
      </c>
      <c r="L442" t="n">
        <v>0</v>
      </c>
      <c r="M442" t="n">
        <v>0</v>
      </c>
      <c r="N442" t="n">
        <v>0</v>
      </c>
      <c r="O442" t="n">
        <v>0</v>
      </c>
      <c r="P442" t="n">
        <v>0</v>
      </c>
      <c r="Q442" t="n">
        <v>1</v>
      </c>
      <c r="R442" s="2" t="inlineStr">
        <is>
          <t>Blåsippa</t>
        </is>
      </c>
      <c r="S442">
        <f>HYPERLINK("https://klasma.github.io/Logging_191962/artfynd/A 15107-2025 artfynd.xlsx", "A 15107-2025")</f>
        <v/>
      </c>
      <c r="T442">
        <f>HYPERLINK("https://klasma.github.io/Logging_191962/kartor/A 15107-2025 karta.png", "A 15107-2025")</f>
        <v/>
      </c>
      <c r="V442">
        <f>HYPERLINK("https://klasma.github.io/Logging_191962/klagomål/A 15107-2025 FSC-klagomål.docx", "A 15107-2025")</f>
        <v/>
      </c>
      <c r="W442">
        <f>HYPERLINK("https://klasma.github.io/Logging_191962/klagomålsmail/A 15107-2025 FSC-klagomål mail.docx", "A 15107-2025")</f>
        <v/>
      </c>
      <c r="X442">
        <f>HYPERLINK("https://klasma.github.io/Logging_191962/tillsyn/A 15107-2025 tillsynsbegäran.docx", "A 15107-2025")</f>
        <v/>
      </c>
      <c r="Y442">
        <f>HYPERLINK("https://klasma.github.io/Logging_191962/tillsynsmail/A 15107-2025 tillsynsbegäran mail.docx", "A 15107-2025")</f>
        <v/>
      </c>
    </row>
    <row r="443" ht="15" customHeight="1">
      <c r="A443" t="inlineStr">
        <is>
          <t>A 17298-2025</t>
        </is>
      </c>
      <c r="B443" s="1" t="n">
        <v>45756</v>
      </c>
      <c r="C443" s="1" t="n">
        <v>45757</v>
      </c>
      <c r="D443" t="inlineStr">
        <is>
          <t>VÄSTMANLANDS LÄN</t>
        </is>
      </c>
      <c r="E443" t="inlineStr">
        <is>
          <t>SKINNSKATTEBERG</t>
        </is>
      </c>
      <c r="F443" t="inlineStr">
        <is>
          <t>Sveaskog</t>
        </is>
      </c>
      <c r="G443" t="n">
        <v>6</v>
      </c>
      <c r="H443" t="n">
        <v>0</v>
      </c>
      <c r="I443" t="n">
        <v>1</v>
      </c>
      <c r="J443" t="n">
        <v>0</v>
      </c>
      <c r="K443" t="n">
        <v>0</v>
      </c>
      <c r="L443" t="n">
        <v>0</v>
      </c>
      <c r="M443" t="n">
        <v>0</v>
      </c>
      <c r="N443" t="n">
        <v>0</v>
      </c>
      <c r="O443" t="n">
        <v>0</v>
      </c>
      <c r="P443" t="n">
        <v>0</v>
      </c>
      <c r="Q443" t="n">
        <v>1</v>
      </c>
      <c r="R443" s="2" t="inlineStr">
        <is>
          <t>Toppvaxing</t>
        </is>
      </c>
      <c r="S443">
        <f>HYPERLINK("https://klasma.github.io/Logging_191904/artfynd/A 17298-2025 artfynd.xlsx", "A 17298-2025")</f>
        <v/>
      </c>
      <c r="T443">
        <f>HYPERLINK("https://klasma.github.io/Logging_191904/kartor/A 17298-2025 karta.png", "A 17298-2025")</f>
        <v/>
      </c>
      <c r="V443">
        <f>HYPERLINK("https://klasma.github.io/Logging_191904/klagomål/A 17298-2025 FSC-klagomål.docx", "A 17298-2025")</f>
        <v/>
      </c>
      <c r="W443">
        <f>HYPERLINK("https://klasma.github.io/Logging_191904/klagomålsmail/A 17298-2025 FSC-klagomål mail.docx", "A 17298-2025")</f>
        <v/>
      </c>
      <c r="X443">
        <f>HYPERLINK("https://klasma.github.io/Logging_191904/tillsyn/A 17298-2025 tillsynsbegäran.docx", "A 17298-2025")</f>
        <v/>
      </c>
      <c r="Y443">
        <f>HYPERLINK("https://klasma.github.io/Logging_191904/tillsynsmail/A 17298-2025 tillsynsbegäran mail.docx", "A 17298-2025")</f>
        <v/>
      </c>
    </row>
    <row r="444" ht="15" customHeight="1">
      <c r="A444" t="inlineStr">
        <is>
          <t>A 17915-2019</t>
        </is>
      </c>
      <c r="B444" s="1" t="n">
        <v>43557</v>
      </c>
      <c r="C444" s="1" t="n">
        <v>45757</v>
      </c>
      <c r="D444" t="inlineStr">
        <is>
          <t>VÄSTMANLANDS LÄN</t>
        </is>
      </c>
      <c r="E444" t="inlineStr">
        <is>
          <t>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17946-2019</t>
        </is>
      </c>
      <c r="B445" s="1" t="n">
        <v>43557</v>
      </c>
      <c r="C445" s="1" t="n">
        <v>45757</v>
      </c>
      <c r="D445" t="inlineStr">
        <is>
          <t>VÄSTMANLANDS LÄN</t>
        </is>
      </c>
      <c r="E445" t="inlineStr">
        <is>
          <t>SURAHAMMAR</t>
        </is>
      </c>
      <c r="G445" t="n">
        <v>9.9</v>
      </c>
      <c r="H445" t="n">
        <v>0</v>
      </c>
      <c r="I445" t="n">
        <v>0</v>
      </c>
      <c r="J445" t="n">
        <v>0</v>
      </c>
      <c r="K445" t="n">
        <v>0</v>
      </c>
      <c r="L445" t="n">
        <v>0</v>
      </c>
      <c r="M445" t="n">
        <v>0</v>
      </c>
      <c r="N445" t="n">
        <v>0</v>
      </c>
      <c r="O445" t="n">
        <v>0</v>
      </c>
      <c r="P445" t="n">
        <v>0</v>
      </c>
      <c r="Q445" t="n">
        <v>0</v>
      </c>
      <c r="R445" s="2" t="inlineStr"/>
    </row>
    <row r="446" ht="15" customHeight="1">
      <c r="A446" t="inlineStr">
        <is>
          <t>A 18255-2019</t>
        </is>
      </c>
      <c r="B446" s="1" t="n">
        <v>43558</v>
      </c>
      <c r="C446" s="1" t="n">
        <v>45757</v>
      </c>
      <c r="D446" t="inlineStr">
        <is>
          <t>VÄSTMANLANDS LÄN</t>
        </is>
      </c>
      <c r="E446" t="inlineStr">
        <is>
          <t>SALA</t>
        </is>
      </c>
      <c r="F446" t="inlineStr">
        <is>
          <t>Kommuner</t>
        </is>
      </c>
      <c r="G446" t="n">
        <v>2.2</v>
      </c>
      <c r="H446" t="n">
        <v>0</v>
      </c>
      <c r="I446" t="n">
        <v>0</v>
      </c>
      <c r="J446" t="n">
        <v>0</v>
      </c>
      <c r="K446" t="n">
        <v>0</v>
      </c>
      <c r="L446" t="n">
        <v>0</v>
      </c>
      <c r="M446" t="n">
        <v>0</v>
      </c>
      <c r="N446" t="n">
        <v>0</v>
      </c>
      <c r="O446" t="n">
        <v>0</v>
      </c>
      <c r="P446" t="n">
        <v>0</v>
      </c>
      <c r="Q446" t="n">
        <v>0</v>
      </c>
      <c r="R446" s="2" t="inlineStr"/>
    </row>
    <row r="447" ht="15" customHeight="1">
      <c r="A447" t="inlineStr">
        <is>
          <t>A 18352-2019</t>
        </is>
      </c>
      <c r="B447" s="1" t="n">
        <v>43559</v>
      </c>
      <c r="C447" s="1" t="n">
        <v>45757</v>
      </c>
      <c r="D447" t="inlineStr">
        <is>
          <t>VÄSTMANLANDS LÄN</t>
        </is>
      </c>
      <c r="E447" t="inlineStr">
        <is>
          <t>SALA</t>
        </is>
      </c>
      <c r="F447" t="inlineStr">
        <is>
          <t>Kommuner</t>
        </is>
      </c>
      <c r="G447" t="n">
        <v>1.7</v>
      </c>
      <c r="H447" t="n">
        <v>0</v>
      </c>
      <c r="I447" t="n">
        <v>0</v>
      </c>
      <c r="J447" t="n">
        <v>0</v>
      </c>
      <c r="K447" t="n">
        <v>0</v>
      </c>
      <c r="L447" t="n">
        <v>0</v>
      </c>
      <c r="M447" t="n">
        <v>0</v>
      </c>
      <c r="N447" t="n">
        <v>0</v>
      </c>
      <c r="O447" t="n">
        <v>0</v>
      </c>
      <c r="P447" t="n">
        <v>0</v>
      </c>
      <c r="Q447" t="n">
        <v>0</v>
      </c>
      <c r="R447" s="2" t="inlineStr"/>
    </row>
    <row r="448" ht="15" customHeight="1">
      <c r="A448" t="inlineStr">
        <is>
          <t>A 18469-2019</t>
        </is>
      </c>
      <c r="B448" s="1" t="n">
        <v>43559</v>
      </c>
      <c r="C448" s="1" t="n">
        <v>45757</v>
      </c>
      <c r="D448" t="inlineStr">
        <is>
          <t>VÄSTMANLANDS LÄN</t>
        </is>
      </c>
      <c r="E448" t="inlineStr">
        <is>
          <t>HALLSTAHAMMAR</t>
        </is>
      </c>
      <c r="F448" t="inlineStr">
        <is>
          <t>Kyrkan</t>
        </is>
      </c>
      <c r="G448" t="n">
        <v>6.8</v>
      </c>
      <c r="H448" t="n">
        <v>0</v>
      </c>
      <c r="I448" t="n">
        <v>0</v>
      </c>
      <c r="J448" t="n">
        <v>0</v>
      </c>
      <c r="K448" t="n">
        <v>0</v>
      </c>
      <c r="L448" t="n">
        <v>0</v>
      </c>
      <c r="M448" t="n">
        <v>0</v>
      </c>
      <c r="N448" t="n">
        <v>0</v>
      </c>
      <c r="O448" t="n">
        <v>0</v>
      </c>
      <c r="P448" t="n">
        <v>0</v>
      </c>
      <c r="Q448" t="n">
        <v>0</v>
      </c>
      <c r="R448" s="2" t="inlineStr"/>
    </row>
    <row r="449" ht="15" customHeight="1">
      <c r="A449" t="inlineStr">
        <is>
          <t>A 18641-2019</t>
        </is>
      </c>
      <c r="B449" s="1" t="n">
        <v>43560</v>
      </c>
      <c r="C449" s="1" t="n">
        <v>45757</v>
      </c>
      <c r="D449" t="inlineStr">
        <is>
          <t>VÄSTMANLANDS LÄN</t>
        </is>
      </c>
      <c r="E449" t="inlineStr">
        <is>
          <t>VÄSTERÅS</t>
        </is>
      </c>
      <c r="G449" t="n">
        <v>1.4</v>
      </c>
      <c r="H449" t="n">
        <v>0</v>
      </c>
      <c r="I449" t="n">
        <v>0</v>
      </c>
      <c r="J449" t="n">
        <v>0</v>
      </c>
      <c r="K449" t="n">
        <v>0</v>
      </c>
      <c r="L449" t="n">
        <v>0</v>
      </c>
      <c r="M449" t="n">
        <v>0</v>
      </c>
      <c r="N449" t="n">
        <v>0</v>
      </c>
      <c r="O449" t="n">
        <v>0</v>
      </c>
      <c r="P449" t="n">
        <v>0</v>
      </c>
      <c r="Q449" t="n">
        <v>0</v>
      </c>
      <c r="R449" s="2" t="inlineStr"/>
    </row>
    <row r="450" ht="15" customHeight="1">
      <c r="A450" t="inlineStr">
        <is>
          <t>A 18765-2019</t>
        </is>
      </c>
      <c r="B450" s="1" t="n">
        <v>43560</v>
      </c>
      <c r="C450" s="1" t="n">
        <v>45757</v>
      </c>
      <c r="D450" t="inlineStr">
        <is>
          <t>VÄSTMANLANDS LÄN</t>
        </is>
      </c>
      <c r="E450" t="inlineStr">
        <is>
          <t>VÄSTERÅS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18791-2019</t>
        </is>
      </c>
      <c r="B451" s="1" t="n">
        <v>43562</v>
      </c>
      <c r="C451" s="1" t="n">
        <v>45757</v>
      </c>
      <c r="D451" t="inlineStr">
        <is>
          <t>VÄSTMANLANDS LÄN</t>
        </is>
      </c>
      <c r="E451" t="inlineStr">
        <is>
          <t>SALA</t>
        </is>
      </c>
      <c r="G451" t="n">
        <v>3.4</v>
      </c>
      <c r="H451" t="n">
        <v>0</v>
      </c>
      <c r="I451" t="n">
        <v>0</v>
      </c>
      <c r="J451" t="n">
        <v>0</v>
      </c>
      <c r="K451" t="n">
        <v>0</v>
      </c>
      <c r="L451" t="n">
        <v>0</v>
      </c>
      <c r="M451" t="n">
        <v>0</v>
      </c>
      <c r="N451" t="n">
        <v>0</v>
      </c>
      <c r="O451" t="n">
        <v>0</v>
      </c>
      <c r="P451" t="n">
        <v>0</v>
      </c>
      <c r="Q451" t="n">
        <v>0</v>
      </c>
      <c r="R451" s="2" t="inlineStr"/>
    </row>
    <row r="452" ht="15" customHeight="1">
      <c r="A452" t="inlineStr">
        <is>
          <t>A 18953-2019</t>
        </is>
      </c>
      <c r="B452" s="1" t="n">
        <v>43563</v>
      </c>
      <c r="C452" s="1" t="n">
        <v>45757</v>
      </c>
      <c r="D452" t="inlineStr">
        <is>
          <t>VÄSTMANLANDS LÄN</t>
        </is>
      </c>
      <c r="E452" t="inlineStr">
        <is>
          <t>SURAHAMMAR</t>
        </is>
      </c>
      <c r="F452" t="inlineStr">
        <is>
          <t>Övriga Aktiebolag</t>
        </is>
      </c>
      <c r="G452" t="n">
        <v>2.2</v>
      </c>
      <c r="H452" t="n">
        <v>0</v>
      </c>
      <c r="I452" t="n">
        <v>0</v>
      </c>
      <c r="J452" t="n">
        <v>0</v>
      </c>
      <c r="K452" t="n">
        <v>0</v>
      </c>
      <c r="L452" t="n">
        <v>0</v>
      </c>
      <c r="M452" t="n">
        <v>0</v>
      </c>
      <c r="N452" t="n">
        <v>0</v>
      </c>
      <c r="O452" t="n">
        <v>0</v>
      </c>
      <c r="P452" t="n">
        <v>0</v>
      </c>
      <c r="Q452" t="n">
        <v>0</v>
      </c>
      <c r="R452" s="2" t="inlineStr"/>
    </row>
    <row r="453" ht="15" customHeight="1">
      <c r="A453" t="inlineStr">
        <is>
          <t>A 18960-2019</t>
        </is>
      </c>
      <c r="B453" s="1" t="n">
        <v>43563</v>
      </c>
      <c r="C453" s="1" t="n">
        <v>45757</v>
      </c>
      <c r="D453" t="inlineStr">
        <is>
          <t>VÄSTMANLANDS LÄN</t>
        </is>
      </c>
      <c r="E453" t="inlineStr">
        <is>
          <t>SURAHAMMAR</t>
        </is>
      </c>
      <c r="F453" t="inlineStr">
        <is>
          <t>Övriga Aktiebolag</t>
        </is>
      </c>
      <c r="G453" t="n">
        <v>4.1</v>
      </c>
      <c r="H453" t="n">
        <v>0</v>
      </c>
      <c r="I453" t="n">
        <v>0</v>
      </c>
      <c r="J453" t="n">
        <v>0</v>
      </c>
      <c r="K453" t="n">
        <v>0</v>
      </c>
      <c r="L453" t="n">
        <v>0</v>
      </c>
      <c r="M453" t="n">
        <v>0</v>
      </c>
      <c r="N453" t="n">
        <v>0</v>
      </c>
      <c r="O453" t="n">
        <v>0</v>
      </c>
      <c r="P453" t="n">
        <v>0</v>
      </c>
      <c r="Q453" t="n">
        <v>0</v>
      </c>
      <c r="R453" s="2" t="inlineStr"/>
    </row>
    <row r="454" ht="15" customHeight="1">
      <c r="A454" t="inlineStr">
        <is>
          <t>A 18961-2019</t>
        </is>
      </c>
      <c r="B454" s="1" t="n">
        <v>43563</v>
      </c>
      <c r="C454" s="1" t="n">
        <v>45757</v>
      </c>
      <c r="D454" t="inlineStr">
        <is>
          <t>VÄSTMANLANDS LÄN</t>
        </is>
      </c>
      <c r="E454" t="inlineStr">
        <is>
          <t>SALA</t>
        </is>
      </c>
      <c r="F454" t="inlineStr">
        <is>
          <t>Kommuner</t>
        </is>
      </c>
      <c r="G454" t="n">
        <v>1.5</v>
      </c>
      <c r="H454" t="n">
        <v>0</v>
      </c>
      <c r="I454" t="n">
        <v>0</v>
      </c>
      <c r="J454" t="n">
        <v>0</v>
      </c>
      <c r="K454" t="n">
        <v>0</v>
      </c>
      <c r="L454" t="n">
        <v>0</v>
      </c>
      <c r="M454" t="n">
        <v>0</v>
      </c>
      <c r="N454" t="n">
        <v>0</v>
      </c>
      <c r="O454" t="n">
        <v>0</v>
      </c>
      <c r="P454" t="n">
        <v>0</v>
      </c>
      <c r="Q454" t="n">
        <v>0</v>
      </c>
      <c r="R454" s="2" t="inlineStr"/>
    </row>
    <row r="455" ht="15" customHeight="1">
      <c r="A455" t="inlineStr">
        <is>
          <t>A 19127-2019</t>
        </is>
      </c>
      <c r="B455" s="1" t="n">
        <v>43564</v>
      </c>
      <c r="C455" s="1" t="n">
        <v>45757</v>
      </c>
      <c r="D455" t="inlineStr">
        <is>
          <t>VÄSTMANLANDS LÄN</t>
        </is>
      </c>
      <c r="E455" t="inlineStr">
        <is>
          <t>FAGERSTA</t>
        </is>
      </c>
      <c r="G455" t="n">
        <v>2</v>
      </c>
      <c r="H455" t="n">
        <v>0</v>
      </c>
      <c r="I455" t="n">
        <v>0</v>
      </c>
      <c r="J455" t="n">
        <v>0</v>
      </c>
      <c r="K455" t="n">
        <v>0</v>
      </c>
      <c r="L455" t="n">
        <v>0</v>
      </c>
      <c r="M455" t="n">
        <v>0</v>
      </c>
      <c r="N455" t="n">
        <v>0</v>
      </c>
      <c r="O455" t="n">
        <v>0</v>
      </c>
      <c r="P455" t="n">
        <v>0</v>
      </c>
      <c r="Q455" t="n">
        <v>0</v>
      </c>
      <c r="R455" s="2" t="inlineStr"/>
    </row>
    <row r="456" ht="15" customHeight="1">
      <c r="A456" t="inlineStr">
        <is>
          <t>A 19312-2019</t>
        </is>
      </c>
      <c r="B456" s="1" t="n">
        <v>43565</v>
      </c>
      <c r="C456" s="1" t="n">
        <v>45757</v>
      </c>
      <c r="D456" t="inlineStr">
        <is>
          <t>VÄSTMANLANDS LÄN</t>
        </is>
      </c>
      <c r="E456" t="inlineStr">
        <is>
          <t>VÄSTERÅS</t>
        </is>
      </c>
      <c r="G456" t="n">
        <v>5.3</v>
      </c>
      <c r="H456" t="n">
        <v>0</v>
      </c>
      <c r="I456" t="n">
        <v>0</v>
      </c>
      <c r="J456" t="n">
        <v>0</v>
      </c>
      <c r="K456" t="n">
        <v>0</v>
      </c>
      <c r="L456" t="n">
        <v>0</v>
      </c>
      <c r="M456" t="n">
        <v>0</v>
      </c>
      <c r="N456" t="n">
        <v>0</v>
      </c>
      <c r="O456" t="n">
        <v>0</v>
      </c>
      <c r="P456" t="n">
        <v>0</v>
      </c>
      <c r="Q456" t="n">
        <v>0</v>
      </c>
      <c r="R456" s="2" t="inlineStr"/>
    </row>
    <row r="457" ht="15" customHeight="1">
      <c r="A457" t="inlineStr">
        <is>
          <t>A 19318-2019</t>
        </is>
      </c>
      <c r="B457" s="1" t="n">
        <v>43565</v>
      </c>
      <c r="C457" s="1" t="n">
        <v>45757</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19659-2019</t>
        </is>
      </c>
      <c r="B458" s="1" t="n">
        <v>43566</v>
      </c>
      <c r="C458" s="1" t="n">
        <v>45757</v>
      </c>
      <c r="D458" t="inlineStr">
        <is>
          <t>VÄSTMANLANDS LÄN</t>
        </is>
      </c>
      <c r="E458" t="inlineStr">
        <is>
          <t>SURAHAMMAR</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19482-2019</t>
        </is>
      </c>
      <c r="B459" s="1" t="n">
        <v>43567</v>
      </c>
      <c r="C459" s="1" t="n">
        <v>45757</v>
      </c>
      <c r="D459" t="inlineStr">
        <is>
          <t>VÄSTMANLANDS LÄN</t>
        </is>
      </c>
      <c r="E459" t="inlineStr">
        <is>
          <t>HALLSTAHAMMAR</t>
        </is>
      </c>
      <c r="G459" t="n">
        <v>6</v>
      </c>
      <c r="H459" t="n">
        <v>0</v>
      </c>
      <c r="I459" t="n">
        <v>0</v>
      </c>
      <c r="J459" t="n">
        <v>0</v>
      </c>
      <c r="K459" t="n">
        <v>0</v>
      </c>
      <c r="L459" t="n">
        <v>0</v>
      </c>
      <c r="M459" t="n">
        <v>0</v>
      </c>
      <c r="N459" t="n">
        <v>0</v>
      </c>
      <c r="O459" t="n">
        <v>0</v>
      </c>
      <c r="P459" t="n">
        <v>0</v>
      </c>
      <c r="Q459" t="n">
        <v>0</v>
      </c>
      <c r="R459" s="2" t="inlineStr"/>
    </row>
    <row r="460" ht="15" customHeight="1">
      <c r="A460" t="inlineStr">
        <is>
          <t>A 19869-2019</t>
        </is>
      </c>
      <c r="B460" s="1" t="n">
        <v>43567</v>
      </c>
      <c r="C460" s="1" t="n">
        <v>45757</v>
      </c>
      <c r="D460" t="inlineStr">
        <is>
          <t>VÄSTMANLANDS LÄN</t>
        </is>
      </c>
      <c r="E460" t="inlineStr">
        <is>
          <t>SALA</t>
        </is>
      </c>
      <c r="G460" t="n">
        <v>1.6</v>
      </c>
      <c r="H460" t="n">
        <v>0</v>
      </c>
      <c r="I460" t="n">
        <v>0</v>
      </c>
      <c r="J460" t="n">
        <v>0</v>
      </c>
      <c r="K460" t="n">
        <v>0</v>
      </c>
      <c r="L460" t="n">
        <v>0</v>
      </c>
      <c r="M460" t="n">
        <v>0</v>
      </c>
      <c r="N460" t="n">
        <v>0</v>
      </c>
      <c r="O460" t="n">
        <v>0</v>
      </c>
      <c r="P460" t="n">
        <v>0</v>
      </c>
      <c r="Q460" t="n">
        <v>0</v>
      </c>
      <c r="R460" s="2" t="inlineStr"/>
    </row>
    <row r="461" ht="15" customHeight="1">
      <c r="A461" t="inlineStr">
        <is>
          <t>A 19950-2019</t>
        </is>
      </c>
      <c r="B461" s="1" t="n">
        <v>43569</v>
      </c>
      <c r="C461" s="1" t="n">
        <v>45757</v>
      </c>
      <c r="D461" t="inlineStr">
        <is>
          <t>VÄSTMANLANDS LÄN</t>
        </is>
      </c>
      <c r="E461" t="inlineStr">
        <is>
          <t>KUNGSÖR</t>
        </is>
      </c>
      <c r="G461" t="n">
        <v>0.9</v>
      </c>
      <c r="H461" t="n">
        <v>0</v>
      </c>
      <c r="I461" t="n">
        <v>0</v>
      </c>
      <c r="J461" t="n">
        <v>0</v>
      </c>
      <c r="K461" t="n">
        <v>0</v>
      </c>
      <c r="L461" t="n">
        <v>0</v>
      </c>
      <c r="M461" t="n">
        <v>0</v>
      </c>
      <c r="N461" t="n">
        <v>0</v>
      </c>
      <c r="O461" t="n">
        <v>0</v>
      </c>
      <c r="P461" t="n">
        <v>0</v>
      </c>
      <c r="Q461" t="n">
        <v>0</v>
      </c>
      <c r="R461" s="2" t="inlineStr"/>
    </row>
    <row r="462" ht="15" customHeight="1">
      <c r="A462" t="inlineStr">
        <is>
          <t>A 20057-2019</t>
        </is>
      </c>
      <c r="B462" s="1" t="n">
        <v>43570</v>
      </c>
      <c r="C462" s="1" t="n">
        <v>45757</v>
      </c>
      <c r="D462" t="inlineStr">
        <is>
          <t>VÄSTMANLANDS LÄN</t>
        </is>
      </c>
      <c r="E462" t="inlineStr">
        <is>
          <t>ARBOGA</t>
        </is>
      </c>
      <c r="G462" t="n">
        <v>1.2</v>
      </c>
      <c r="H462" t="n">
        <v>0</v>
      </c>
      <c r="I462" t="n">
        <v>0</v>
      </c>
      <c r="J462" t="n">
        <v>0</v>
      </c>
      <c r="K462" t="n">
        <v>0</v>
      </c>
      <c r="L462" t="n">
        <v>0</v>
      </c>
      <c r="M462" t="n">
        <v>0</v>
      </c>
      <c r="N462" t="n">
        <v>0</v>
      </c>
      <c r="O462" t="n">
        <v>0</v>
      </c>
      <c r="P462" t="n">
        <v>0</v>
      </c>
      <c r="Q462" t="n">
        <v>0</v>
      </c>
      <c r="R462" s="2" t="inlineStr"/>
    </row>
    <row r="463" ht="15" customHeight="1">
      <c r="A463" t="inlineStr">
        <is>
          <t>A 20171-2019</t>
        </is>
      </c>
      <c r="B463" s="1" t="n">
        <v>43570</v>
      </c>
      <c r="C463" s="1" t="n">
        <v>45757</v>
      </c>
      <c r="D463" t="inlineStr">
        <is>
          <t>VÄSTMANLANDS LÄN</t>
        </is>
      </c>
      <c r="E463" t="inlineStr">
        <is>
          <t>ARBOGA</t>
        </is>
      </c>
      <c r="G463" t="n">
        <v>3.1</v>
      </c>
      <c r="H463" t="n">
        <v>0</v>
      </c>
      <c r="I463" t="n">
        <v>0</v>
      </c>
      <c r="J463" t="n">
        <v>0</v>
      </c>
      <c r="K463" t="n">
        <v>0</v>
      </c>
      <c r="L463" t="n">
        <v>0</v>
      </c>
      <c r="M463" t="n">
        <v>0</v>
      </c>
      <c r="N463" t="n">
        <v>0</v>
      </c>
      <c r="O463" t="n">
        <v>0</v>
      </c>
      <c r="P463" t="n">
        <v>0</v>
      </c>
      <c r="Q463" t="n">
        <v>0</v>
      </c>
      <c r="R463" s="2" t="inlineStr"/>
    </row>
    <row r="464" ht="15" customHeight="1">
      <c r="A464" t="inlineStr">
        <is>
          <t>A 20096-2019</t>
        </is>
      </c>
      <c r="B464" s="1" t="n">
        <v>43570</v>
      </c>
      <c r="C464" s="1" t="n">
        <v>45757</v>
      </c>
      <c r="D464" t="inlineStr">
        <is>
          <t>VÄSTMANLANDS LÄN</t>
        </is>
      </c>
      <c r="E464" t="inlineStr">
        <is>
          <t>NORBERG</t>
        </is>
      </c>
      <c r="G464" t="n">
        <v>0.9</v>
      </c>
      <c r="H464" t="n">
        <v>0</v>
      </c>
      <c r="I464" t="n">
        <v>0</v>
      </c>
      <c r="J464" t="n">
        <v>0</v>
      </c>
      <c r="K464" t="n">
        <v>0</v>
      </c>
      <c r="L464" t="n">
        <v>0</v>
      </c>
      <c r="M464" t="n">
        <v>0</v>
      </c>
      <c r="N464" t="n">
        <v>0</v>
      </c>
      <c r="O464" t="n">
        <v>0</v>
      </c>
      <c r="P464" t="n">
        <v>0</v>
      </c>
      <c r="Q464" t="n">
        <v>0</v>
      </c>
      <c r="R464" s="2" t="inlineStr"/>
    </row>
    <row r="465" ht="15" customHeight="1">
      <c r="A465" t="inlineStr">
        <is>
          <t>A 20127-2019</t>
        </is>
      </c>
      <c r="B465" s="1" t="n">
        <v>43570</v>
      </c>
      <c r="C465" s="1" t="n">
        <v>45757</v>
      </c>
      <c r="D465" t="inlineStr">
        <is>
          <t>VÄSTMANLANDS LÄN</t>
        </is>
      </c>
      <c r="E465" t="inlineStr">
        <is>
          <t>SURAHAMMAR</t>
        </is>
      </c>
      <c r="G465" t="n">
        <v>2.6</v>
      </c>
      <c r="H465" t="n">
        <v>0</v>
      </c>
      <c r="I465" t="n">
        <v>0</v>
      </c>
      <c r="J465" t="n">
        <v>0</v>
      </c>
      <c r="K465" t="n">
        <v>0</v>
      </c>
      <c r="L465" t="n">
        <v>0</v>
      </c>
      <c r="M465" t="n">
        <v>0</v>
      </c>
      <c r="N465" t="n">
        <v>0</v>
      </c>
      <c r="O465" t="n">
        <v>0</v>
      </c>
      <c r="P465" t="n">
        <v>0</v>
      </c>
      <c r="Q465" t="n">
        <v>0</v>
      </c>
      <c r="R465" s="2" t="inlineStr"/>
    </row>
    <row r="466" ht="15" customHeight="1">
      <c r="A466" t="inlineStr">
        <is>
          <t>A 20151-2019</t>
        </is>
      </c>
      <c r="B466" s="1" t="n">
        <v>43570</v>
      </c>
      <c r="C466" s="1" t="n">
        <v>45757</v>
      </c>
      <c r="D466" t="inlineStr">
        <is>
          <t>VÄSTMANLANDS LÄN</t>
        </is>
      </c>
      <c r="E466" t="inlineStr">
        <is>
          <t>ARBOGA</t>
        </is>
      </c>
      <c r="G466" t="n">
        <v>3.3</v>
      </c>
      <c r="H466" t="n">
        <v>0</v>
      </c>
      <c r="I466" t="n">
        <v>0</v>
      </c>
      <c r="J466" t="n">
        <v>0</v>
      </c>
      <c r="K466" t="n">
        <v>0</v>
      </c>
      <c r="L466" t="n">
        <v>0</v>
      </c>
      <c r="M466" t="n">
        <v>0</v>
      </c>
      <c r="N466" t="n">
        <v>0</v>
      </c>
      <c r="O466" t="n">
        <v>0</v>
      </c>
      <c r="P466" t="n">
        <v>0</v>
      </c>
      <c r="Q466" t="n">
        <v>0</v>
      </c>
      <c r="R466" s="2" t="inlineStr"/>
    </row>
    <row r="467" ht="15" customHeight="1">
      <c r="A467" t="inlineStr">
        <is>
          <t>A 20412-2019</t>
        </is>
      </c>
      <c r="B467" s="1" t="n">
        <v>43571</v>
      </c>
      <c r="C467" s="1" t="n">
        <v>45757</v>
      </c>
      <c r="D467" t="inlineStr">
        <is>
          <t>VÄSTMANLANDS LÄN</t>
        </is>
      </c>
      <c r="E467" t="inlineStr">
        <is>
          <t>FAGERSTA</t>
        </is>
      </c>
      <c r="G467" t="n">
        <v>6.8</v>
      </c>
      <c r="H467" t="n">
        <v>0</v>
      </c>
      <c r="I467" t="n">
        <v>0</v>
      </c>
      <c r="J467" t="n">
        <v>0</v>
      </c>
      <c r="K467" t="n">
        <v>0</v>
      </c>
      <c r="L467" t="n">
        <v>0</v>
      </c>
      <c r="M467" t="n">
        <v>0</v>
      </c>
      <c r="N467" t="n">
        <v>0</v>
      </c>
      <c r="O467" t="n">
        <v>0</v>
      </c>
      <c r="P467" t="n">
        <v>0</v>
      </c>
      <c r="Q467" t="n">
        <v>0</v>
      </c>
      <c r="R467" s="2" t="inlineStr"/>
    </row>
    <row r="468" ht="15" customHeight="1">
      <c r="A468" t="inlineStr">
        <is>
          <t>A 20254-2019</t>
        </is>
      </c>
      <c r="B468" s="1" t="n">
        <v>43571</v>
      </c>
      <c r="C468" s="1" t="n">
        <v>45757</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20474-2019</t>
        </is>
      </c>
      <c r="B469" s="1" t="n">
        <v>43572</v>
      </c>
      <c r="C469" s="1" t="n">
        <v>45757</v>
      </c>
      <c r="D469" t="inlineStr">
        <is>
          <t>VÄSTMANLANDS LÄN</t>
        </is>
      </c>
      <c r="E469" t="inlineStr">
        <is>
          <t>ARBOGA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20627-2019</t>
        </is>
      </c>
      <c r="B470" s="1" t="n">
        <v>43572</v>
      </c>
      <c r="C470" s="1" t="n">
        <v>45757</v>
      </c>
      <c r="D470" t="inlineStr">
        <is>
          <t>VÄSTMANLANDS LÄN</t>
        </is>
      </c>
      <c r="E470" t="inlineStr">
        <is>
          <t>ARBOGA</t>
        </is>
      </c>
      <c r="G470" t="n">
        <v>9.9</v>
      </c>
      <c r="H470" t="n">
        <v>0</v>
      </c>
      <c r="I470" t="n">
        <v>0</v>
      </c>
      <c r="J470" t="n">
        <v>0</v>
      </c>
      <c r="K470" t="n">
        <v>0</v>
      </c>
      <c r="L470" t="n">
        <v>0</v>
      </c>
      <c r="M470" t="n">
        <v>0</v>
      </c>
      <c r="N470" t="n">
        <v>0</v>
      </c>
      <c r="O470" t="n">
        <v>0</v>
      </c>
      <c r="P470" t="n">
        <v>0</v>
      </c>
      <c r="Q470" t="n">
        <v>0</v>
      </c>
      <c r="R470" s="2" t="inlineStr"/>
    </row>
    <row r="471" ht="15" customHeight="1">
      <c r="A471" t="inlineStr">
        <is>
          <t>A 20721-2019</t>
        </is>
      </c>
      <c r="B471" s="1" t="n">
        <v>43573</v>
      </c>
      <c r="C471" s="1" t="n">
        <v>45757</v>
      </c>
      <c r="D471" t="inlineStr">
        <is>
          <t>VÄSTMANLANDS LÄN</t>
        </is>
      </c>
      <c r="E471" t="inlineStr">
        <is>
          <t>ARBOGA</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20834-2019</t>
        </is>
      </c>
      <c r="B472" s="1" t="n">
        <v>43575</v>
      </c>
      <c r="C472" s="1" t="n">
        <v>45757</v>
      </c>
      <c r="D472" t="inlineStr">
        <is>
          <t>VÄSTMANLANDS LÄN</t>
        </is>
      </c>
      <c r="E472" t="inlineStr">
        <is>
          <t>ARBOGA</t>
        </is>
      </c>
      <c r="F472" t="inlineStr">
        <is>
          <t>Allmännings- och besparingsskogar</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20849-2019</t>
        </is>
      </c>
      <c r="B473" s="1" t="n">
        <v>43577</v>
      </c>
      <c r="C473" s="1" t="n">
        <v>45757</v>
      </c>
      <c r="D473" t="inlineStr">
        <is>
          <t>VÄSTMANLANDS LÄN</t>
        </is>
      </c>
      <c r="E473" t="inlineStr">
        <is>
          <t>ARBOGA</t>
        </is>
      </c>
      <c r="F473" t="inlineStr">
        <is>
          <t>Allmännings- och besparingsskogar</t>
        </is>
      </c>
      <c r="G473" t="n">
        <v>20.6</v>
      </c>
      <c r="H473" t="n">
        <v>0</v>
      </c>
      <c r="I473" t="n">
        <v>0</v>
      </c>
      <c r="J473" t="n">
        <v>0</v>
      </c>
      <c r="K473" t="n">
        <v>0</v>
      </c>
      <c r="L473" t="n">
        <v>0</v>
      </c>
      <c r="M473" t="n">
        <v>0</v>
      </c>
      <c r="N473" t="n">
        <v>0</v>
      </c>
      <c r="O473" t="n">
        <v>0</v>
      </c>
      <c r="P473" t="n">
        <v>0</v>
      </c>
      <c r="Q473" t="n">
        <v>0</v>
      </c>
      <c r="R473" s="2" t="inlineStr"/>
    </row>
    <row r="474" ht="15" customHeight="1">
      <c r="A474" t="inlineStr">
        <is>
          <t>A 20904-2019</t>
        </is>
      </c>
      <c r="B474" s="1" t="n">
        <v>43578</v>
      </c>
      <c r="C474" s="1" t="n">
        <v>45757</v>
      </c>
      <c r="D474" t="inlineStr">
        <is>
          <t>VÄSTMANLANDS LÄN</t>
        </is>
      </c>
      <c r="E474" t="inlineStr">
        <is>
          <t>SURAHAMMAR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20879-2019</t>
        </is>
      </c>
      <c r="B475" s="1" t="n">
        <v>43578</v>
      </c>
      <c r="C475" s="1" t="n">
        <v>45757</v>
      </c>
      <c r="D475" t="inlineStr">
        <is>
          <t>VÄSTMANLANDS LÄN</t>
        </is>
      </c>
      <c r="E475" t="inlineStr">
        <is>
          <t>ARBOGA</t>
        </is>
      </c>
      <c r="F475" t="inlineStr">
        <is>
          <t>Sveaskog</t>
        </is>
      </c>
      <c r="G475" t="n">
        <v>3</v>
      </c>
      <c r="H475" t="n">
        <v>0</v>
      </c>
      <c r="I475" t="n">
        <v>0</v>
      </c>
      <c r="J475" t="n">
        <v>0</v>
      </c>
      <c r="K475" t="n">
        <v>0</v>
      </c>
      <c r="L475" t="n">
        <v>0</v>
      </c>
      <c r="M475" t="n">
        <v>0</v>
      </c>
      <c r="N475" t="n">
        <v>0</v>
      </c>
      <c r="O475" t="n">
        <v>0</v>
      </c>
      <c r="P475" t="n">
        <v>0</v>
      </c>
      <c r="Q475" t="n">
        <v>0</v>
      </c>
      <c r="R475" s="2" t="inlineStr"/>
    </row>
    <row r="476" ht="15" customHeight="1">
      <c r="A476" t="inlineStr">
        <is>
          <t>A 21205-2019</t>
        </is>
      </c>
      <c r="B476" s="1" t="n">
        <v>43579</v>
      </c>
      <c r="C476" s="1" t="n">
        <v>45757</v>
      </c>
      <c r="D476" t="inlineStr">
        <is>
          <t>VÄSTMANLANDS LÄN</t>
        </is>
      </c>
      <c r="E476" t="inlineStr">
        <is>
          <t>ARBOGA</t>
        </is>
      </c>
      <c r="G476" t="n">
        <v>3.8</v>
      </c>
      <c r="H476" t="n">
        <v>0</v>
      </c>
      <c r="I476" t="n">
        <v>0</v>
      </c>
      <c r="J476" t="n">
        <v>0</v>
      </c>
      <c r="K476" t="n">
        <v>0</v>
      </c>
      <c r="L476" t="n">
        <v>0</v>
      </c>
      <c r="M476" t="n">
        <v>0</v>
      </c>
      <c r="N476" t="n">
        <v>0</v>
      </c>
      <c r="O476" t="n">
        <v>0</v>
      </c>
      <c r="P476" t="n">
        <v>0</v>
      </c>
      <c r="Q476" t="n">
        <v>0</v>
      </c>
      <c r="R476" s="2" t="inlineStr"/>
    </row>
    <row r="477" ht="15" customHeight="1">
      <c r="A477" t="inlineStr">
        <is>
          <t>A 21396-2019</t>
        </is>
      </c>
      <c r="B477" s="1" t="n">
        <v>43580</v>
      </c>
      <c r="C477" s="1" t="n">
        <v>45757</v>
      </c>
      <c r="D477" t="inlineStr">
        <is>
          <t>VÄSTMANLANDS LÄN</t>
        </is>
      </c>
      <c r="E477" t="inlineStr">
        <is>
          <t>NORBERG</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21397-2019</t>
        </is>
      </c>
      <c r="B478" s="1" t="n">
        <v>43580</v>
      </c>
      <c r="C478" s="1" t="n">
        <v>45757</v>
      </c>
      <c r="D478" t="inlineStr">
        <is>
          <t>VÄSTMANLANDS LÄN</t>
        </is>
      </c>
      <c r="E478" t="inlineStr">
        <is>
          <t>VÄSTERÅS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21392-2019</t>
        </is>
      </c>
      <c r="B479" s="1" t="n">
        <v>43580</v>
      </c>
      <c r="C479" s="1" t="n">
        <v>45757</v>
      </c>
      <c r="D479" t="inlineStr">
        <is>
          <t>VÄSTMANLANDS LÄN</t>
        </is>
      </c>
      <c r="E479" t="inlineStr">
        <is>
          <t>NORBERG</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21768-2019</t>
        </is>
      </c>
      <c r="B480" s="1" t="n">
        <v>43581</v>
      </c>
      <c r="C480" s="1" t="n">
        <v>45757</v>
      </c>
      <c r="D480" t="inlineStr">
        <is>
          <t>VÄSTMANLANDS LÄN</t>
        </is>
      </c>
      <c r="E480" t="inlineStr">
        <is>
          <t>VÄSTERÅS</t>
        </is>
      </c>
      <c r="G480" t="n">
        <v>3.5</v>
      </c>
      <c r="H480" t="n">
        <v>0</v>
      </c>
      <c r="I480" t="n">
        <v>0</v>
      </c>
      <c r="J480" t="n">
        <v>0</v>
      </c>
      <c r="K480" t="n">
        <v>0</v>
      </c>
      <c r="L480" t="n">
        <v>0</v>
      </c>
      <c r="M480" t="n">
        <v>0</v>
      </c>
      <c r="N480" t="n">
        <v>0</v>
      </c>
      <c r="O480" t="n">
        <v>0</v>
      </c>
      <c r="P480" t="n">
        <v>0</v>
      </c>
      <c r="Q480" t="n">
        <v>0</v>
      </c>
      <c r="R480" s="2" t="inlineStr"/>
    </row>
    <row r="481" ht="15" customHeight="1">
      <c r="A481" t="inlineStr">
        <is>
          <t>A 21642-2019</t>
        </is>
      </c>
      <c r="B481" s="1" t="n">
        <v>43581</v>
      </c>
      <c r="C481" s="1" t="n">
        <v>45757</v>
      </c>
      <c r="D481" t="inlineStr">
        <is>
          <t>VÄSTMANLANDS LÄN</t>
        </is>
      </c>
      <c r="E481" t="inlineStr">
        <is>
          <t>KUNGSÖR</t>
        </is>
      </c>
      <c r="G481" t="n">
        <v>2.7</v>
      </c>
      <c r="H481" t="n">
        <v>0</v>
      </c>
      <c r="I481" t="n">
        <v>0</v>
      </c>
      <c r="J481" t="n">
        <v>0</v>
      </c>
      <c r="K481" t="n">
        <v>0</v>
      </c>
      <c r="L481" t="n">
        <v>0</v>
      </c>
      <c r="M481" t="n">
        <v>0</v>
      </c>
      <c r="N481" t="n">
        <v>0</v>
      </c>
      <c r="O481" t="n">
        <v>0</v>
      </c>
      <c r="P481" t="n">
        <v>0</v>
      </c>
      <c r="Q481" t="n">
        <v>0</v>
      </c>
      <c r="R481" s="2" t="inlineStr"/>
    </row>
    <row r="482" ht="15" customHeight="1">
      <c r="A482" t="inlineStr">
        <is>
          <t>A 21859-2019</t>
        </is>
      </c>
      <c r="B482" s="1" t="n">
        <v>43584</v>
      </c>
      <c r="C482" s="1" t="n">
        <v>45757</v>
      </c>
      <c r="D482" t="inlineStr">
        <is>
          <t>VÄSTMANLANDS LÄN</t>
        </is>
      </c>
      <c r="E482" t="inlineStr">
        <is>
          <t>NORBERG</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21985-2019</t>
        </is>
      </c>
      <c r="B483" s="1" t="n">
        <v>43584</v>
      </c>
      <c r="C483" s="1" t="n">
        <v>45757</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21997-2019</t>
        </is>
      </c>
      <c r="B484" s="1" t="n">
        <v>43584</v>
      </c>
      <c r="C484" s="1" t="n">
        <v>45757</v>
      </c>
      <c r="D484" t="inlineStr">
        <is>
          <t>VÄSTMANLANDS LÄN</t>
        </is>
      </c>
      <c r="E484" t="inlineStr">
        <is>
          <t>SKINNSKATTEBERG</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22249-2019</t>
        </is>
      </c>
      <c r="B485" s="1" t="n">
        <v>43585</v>
      </c>
      <c r="C485" s="1" t="n">
        <v>45757</v>
      </c>
      <c r="D485" t="inlineStr">
        <is>
          <t>VÄSTMANLANDS LÄN</t>
        </is>
      </c>
      <c r="E485" t="inlineStr">
        <is>
          <t>SALA</t>
        </is>
      </c>
      <c r="F485" t="inlineStr">
        <is>
          <t>Kommuner</t>
        </is>
      </c>
      <c r="G485" t="n">
        <v>0.8</v>
      </c>
      <c r="H485" t="n">
        <v>0</v>
      </c>
      <c r="I485" t="n">
        <v>0</v>
      </c>
      <c r="J485" t="n">
        <v>0</v>
      </c>
      <c r="K485" t="n">
        <v>0</v>
      </c>
      <c r="L485" t="n">
        <v>0</v>
      </c>
      <c r="M485" t="n">
        <v>0</v>
      </c>
      <c r="N485" t="n">
        <v>0</v>
      </c>
      <c r="O485" t="n">
        <v>0</v>
      </c>
      <c r="P485" t="n">
        <v>0</v>
      </c>
      <c r="Q485" t="n">
        <v>0</v>
      </c>
      <c r="R485" s="2" t="inlineStr"/>
    </row>
    <row r="486" ht="15" customHeight="1">
      <c r="A486" t="inlineStr">
        <is>
          <t>A 22221-2019</t>
        </is>
      </c>
      <c r="B486" s="1" t="n">
        <v>43585</v>
      </c>
      <c r="C486" s="1" t="n">
        <v>45757</v>
      </c>
      <c r="D486" t="inlineStr">
        <is>
          <t>VÄSTMANLANDS LÄN</t>
        </is>
      </c>
      <c r="E486" t="inlineStr">
        <is>
          <t>VÄSTERÅS</t>
        </is>
      </c>
      <c r="G486" t="n">
        <v>5.9</v>
      </c>
      <c r="H486" t="n">
        <v>0</v>
      </c>
      <c r="I486" t="n">
        <v>0</v>
      </c>
      <c r="J486" t="n">
        <v>0</v>
      </c>
      <c r="K486" t="n">
        <v>0</v>
      </c>
      <c r="L486" t="n">
        <v>0</v>
      </c>
      <c r="M486" t="n">
        <v>0</v>
      </c>
      <c r="N486" t="n">
        <v>0</v>
      </c>
      <c r="O486" t="n">
        <v>0</v>
      </c>
      <c r="P486" t="n">
        <v>0</v>
      </c>
      <c r="Q486" t="n">
        <v>0</v>
      </c>
      <c r="R486" s="2" t="inlineStr"/>
    </row>
    <row r="487" ht="15" customHeight="1">
      <c r="A487" t="inlineStr">
        <is>
          <t>A 23153-2019</t>
        </is>
      </c>
      <c r="B487" s="1" t="n">
        <v>43588</v>
      </c>
      <c r="C487" s="1" t="n">
        <v>45757</v>
      </c>
      <c r="D487" t="inlineStr">
        <is>
          <t>VÄSTMANLANDS LÄN</t>
        </is>
      </c>
      <c r="E487" t="inlineStr">
        <is>
          <t>NORBERG</t>
        </is>
      </c>
      <c r="G487" t="n">
        <v>1.1</v>
      </c>
      <c r="H487" t="n">
        <v>0</v>
      </c>
      <c r="I487" t="n">
        <v>0</v>
      </c>
      <c r="J487" t="n">
        <v>0</v>
      </c>
      <c r="K487" t="n">
        <v>0</v>
      </c>
      <c r="L487" t="n">
        <v>0</v>
      </c>
      <c r="M487" t="n">
        <v>0</v>
      </c>
      <c r="N487" t="n">
        <v>0</v>
      </c>
      <c r="O487" t="n">
        <v>0</v>
      </c>
      <c r="P487" t="n">
        <v>0</v>
      </c>
      <c r="Q487" t="n">
        <v>0</v>
      </c>
      <c r="R487" s="2" t="inlineStr"/>
    </row>
    <row r="488" ht="15" customHeight="1">
      <c r="A488" t="inlineStr">
        <is>
          <t>A 22947-2019</t>
        </is>
      </c>
      <c r="B488" s="1" t="n">
        <v>43591</v>
      </c>
      <c r="C488" s="1" t="n">
        <v>45757</v>
      </c>
      <c r="D488" t="inlineStr">
        <is>
          <t>VÄSTMANLANDS LÄN</t>
        </is>
      </c>
      <c r="E488" t="inlineStr">
        <is>
          <t>NORBERG</t>
        </is>
      </c>
      <c r="G488" t="n">
        <v>5.4</v>
      </c>
      <c r="H488" t="n">
        <v>0</v>
      </c>
      <c r="I488" t="n">
        <v>0</v>
      </c>
      <c r="J488" t="n">
        <v>0</v>
      </c>
      <c r="K488" t="n">
        <v>0</v>
      </c>
      <c r="L488" t="n">
        <v>0</v>
      </c>
      <c r="M488" t="n">
        <v>0</v>
      </c>
      <c r="N488" t="n">
        <v>0</v>
      </c>
      <c r="O488" t="n">
        <v>0</v>
      </c>
      <c r="P488" t="n">
        <v>0</v>
      </c>
      <c r="Q488" t="n">
        <v>0</v>
      </c>
      <c r="R488" s="2" t="inlineStr"/>
    </row>
    <row r="489" ht="15" customHeight="1">
      <c r="A489" t="inlineStr">
        <is>
          <t>A 22834-2019</t>
        </is>
      </c>
      <c r="B489" s="1" t="n">
        <v>43591</v>
      </c>
      <c r="C489" s="1" t="n">
        <v>45757</v>
      </c>
      <c r="D489" t="inlineStr">
        <is>
          <t>VÄSTMANLANDS LÄN</t>
        </is>
      </c>
      <c r="E489" t="inlineStr">
        <is>
          <t>SURAHAMMAR</t>
        </is>
      </c>
      <c r="F489" t="inlineStr">
        <is>
          <t>Sveaskog</t>
        </is>
      </c>
      <c r="G489" t="n">
        <v>0.2</v>
      </c>
      <c r="H489" t="n">
        <v>0</v>
      </c>
      <c r="I489" t="n">
        <v>0</v>
      </c>
      <c r="J489" t="n">
        <v>0</v>
      </c>
      <c r="K489" t="n">
        <v>0</v>
      </c>
      <c r="L489" t="n">
        <v>0</v>
      </c>
      <c r="M489" t="n">
        <v>0</v>
      </c>
      <c r="N489" t="n">
        <v>0</v>
      </c>
      <c r="O489" t="n">
        <v>0</v>
      </c>
      <c r="P489" t="n">
        <v>0</v>
      </c>
      <c r="Q489" t="n">
        <v>0</v>
      </c>
      <c r="R489" s="2" t="inlineStr"/>
    </row>
    <row r="490" ht="15" customHeight="1">
      <c r="A490" t="inlineStr">
        <is>
          <t>A 22953-2019</t>
        </is>
      </c>
      <c r="B490" s="1" t="n">
        <v>43591</v>
      </c>
      <c r="C490" s="1" t="n">
        <v>45757</v>
      </c>
      <c r="D490" t="inlineStr">
        <is>
          <t>VÄSTMANLANDS LÄN</t>
        </is>
      </c>
      <c r="E490" t="inlineStr">
        <is>
          <t>NORBERG</t>
        </is>
      </c>
      <c r="G490" t="n">
        <v>1.9</v>
      </c>
      <c r="H490" t="n">
        <v>0</v>
      </c>
      <c r="I490" t="n">
        <v>0</v>
      </c>
      <c r="J490" t="n">
        <v>0</v>
      </c>
      <c r="K490" t="n">
        <v>0</v>
      </c>
      <c r="L490" t="n">
        <v>0</v>
      </c>
      <c r="M490" t="n">
        <v>0</v>
      </c>
      <c r="N490" t="n">
        <v>0</v>
      </c>
      <c r="O490" t="n">
        <v>0</v>
      </c>
      <c r="P490" t="n">
        <v>0</v>
      </c>
      <c r="Q490" t="n">
        <v>0</v>
      </c>
      <c r="R490" s="2" t="inlineStr"/>
    </row>
    <row r="491" ht="15" customHeight="1">
      <c r="A491" t="inlineStr">
        <is>
          <t>A 22972-2019</t>
        </is>
      </c>
      <c r="B491" s="1" t="n">
        <v>43591</v>
      </c>
      <c r="C491" s="1" t="n">
        <v>45757</v>
      </c>
      <c r="D491" t="inlineStr">
        <is>
          <t>VÄSTMANLANDS LÄN</t>
        </is>
      </c>
      <c r="E491" t="inlineStr">
        <is>
          <t>ARBOGA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22833-2019</t>
        </is>
      </c>
      <c r="B492" s="1" t="n">
        <v>43591</v>
      </c>
      <c r="C492" s="1" t="n">
        <v>45757</v>
      </c>
      <c r="D492" t="inlineStr">
        <is>
          <t>VÄSTMANLANDS LÄN</t>
        </is>
      </c>
      <c r="E492" t="inlineStr">
        <is>
          <t>SALA</t>
        </is>
      </c>
      <c r="F492" t="inlineStr">
        <is>
          <t>Sveaskog</t>
        </is>
      </c>
      <c r="G492" t="n">
        <v>0.2</v>
      </c>
      <c r="H492" t="n">
        <v>0</v>
      </c>
      <c r="I492" t="n">
        <v>0</v>
      </c>
      <c r="J492" t="n">
        <v>0</v>
      </c>
      <c r="K492" t="n">
        <v>0</v>
      </c>
      <c r="L492" t="n">
        <v>0</v>
      </c>
      <c r="M492" t="n">
        <v>0</v>
      </c>
      <c r="N492" t="n">
        <v>0</v>
      </c>
      <c r="O492" t="n">
        <v>0</v>
      </c>
      <c r="P492" t="n">
        <v>0</v>
      </c>
      <c r="Q492" t="n">
        <v>0</v>
      </c>
      <c r="R492" s="2" t="inlineStr"/>
    </row>
    <row r="493" ht="15" customHeight="1">
      <c r="A493" t="inlineStr">
        <is>
          <t>A 23090-2019</t>
        </is>
      </c>
      <c r="B493" s="1" t="n">
        <v>43592</v>
      </c>
      <c r="C493" s="1" t="n">
        <v>45757</v>
      </c>
      <c r="D493" t="inlineStr">
        <is>
          <t>VÄSTMANLANDS LÄN</t>
        </is>
      </c>
      <c r="E493" t="inlineStr">
        <is>
          <t>SKINNSKATTEBERG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23433-2019</t>
        </is>
      </c>
      <c r="B494" s="1" t="n">
        <v>43593</v>
      </c>
      <c r="C494" s="1" t="n">
        <v>45757</v>
      </c>
      <c r="D494" t="inlineStr">
        <is>
          <t>VÄSTMANLANDS LÄN</t>
        </is>
      </c>
      <c r="E494" t="inlineStr">
        <is>
          <t>SKINNSKATTEBERG</t>
        </is>
      </c>
      <c r="G494" t="n">
        <v>1.2</v>
      </c>
      <c r="H494" t="n">
        <v>0</v>
      </c>
      <c r="I494" t="n">
        <v>0</v>
      </c>
      <c r="J494" t="n">
        <v>0</v>
      </c>
      <c r="K494" t="n">
        <v>0</v>
      </c>
      <c r="L494" t="n">
        <v>0</v>
      </c>
      <c r="M494" t="n">
        <v>0</v>
      </c>
      <c r="N494" t="n">
        <v>0</v>
      </c>
      <c r="O494" t="n">
        <v>0</v>
      </c>
      <c r="P494" t="n">
        <v>0</v>
      </c>
      <c r="Q494" t="n">
        <v>0</v>
      </c>
      <c r="R494" s="2" t="inlineStr"/>
    </row>
    <row r="495" ht="15" customHeight="1">
      <c r="A495" t="inlineStr">
        <is>
          <t>A 23592-2019</t>
        </is>
      </c>
      <c r="B495" s="1" t="n">
        <v>43593</v>
      </c>
      <c r="C495" s="1" t="n">
        <v>45757</v>
      </c>
      <c r="D495" t="inlineStr">
        <is>
          <t>VÄSTMANLANDS LÄN</t>
        </is>
      </c>
      <c r="E495" t="inlineStr">
        <is>
          <t>NORBERG</t>
        </is>
      </c>
      <c r="G495" t="n">
        <v>2.7</v>
      </c>
      <c r="H495" t="n">
        <v>0</v>
      </c>
      <c r="I495" t="n">
        <v>0</v>
      </c>
      <c r="J495" t="n">
        <v>0</v>
      </c>
      <c r="K495" t="n">
        <v>0</v>
      </c>
      <c r="L495" t="n">
        <v>0</v>
      </c>
      <c r="M495" t="n">
        <v>0</v>
      </c>
      <c r="N495" t="n">
        <v>0</v>
      </c>
      <c r="O495" t="n">
        <v>0</v>
      </c>
      <c r="P495" t="n">
        <v>0</v>
      </c>
      <c r="Q495" t="n">
        <v>0</v>
      </c>
      <c r="R495" s="2" t="inlineStr"/>
    </row>
    <row r="496" ht="15" customHeight="1">
      <c r="A496" t="inlineStr">
        <is>
          <t>A 24107-2019</t>
        </is>
      </c>
      <c r="B496" s="1" t="n">
        <v>43595</v>
      </c>
      <c r="C496" s="1" t="n">
        <v>45757</v>
      </c>
      <c r="D496" t="inlineStr">
        <is>
          <t>VÄSTMANLANDS LÄN</t>
        </is>
      </c>
      <c r="E496" t="inlineStr">
        <is>
          <t>KÖPING</t>
        </is>
      </c>
      <c r="G496" t="n">
        <v>5.6</v>
      </c>
      <c r="H496" t="n">
        <v>0</v>
      </c>
      <c r="I496" t="n">
        <v>0</v>
      </c>
      <c r="J496" t="n">
        <v>0</v>
      </c>
      <c r="K496" t="n">
        <v>0</v>
      </c>
      <c r="L496" t="n">
        <v>0</v>
      </c>
      <c r="M496" t="n">
        <v>0</v>
      </c>
      <c r="N496" t="n">
        <v>0</v>
      </c>
      <c r="O496" t="n">
        <v>0</v>
      </c>
      <c r="P496" t="n">
        <v>0</v>
      </c>
      <c r="Q496" t="n">
        <v>0</v>
      </c>
      <c r="R496" s="2" t="inlineStr"/>
    </row>
    <row r="497" ht="15" customHeight="1">
      <c r="A497" t="inlineStr">
        <is>
          <t>A 23890-2019</t>
        </is>
      </c>
      <c r="B497" s="1" t="n">
        <v>43595</v>
      </c>
      <c r="C497" s="1" t="n">
        <v>45757</v>
      </c>
      <c r="D497" t="inlineStr">
        <is>
          <t>VÄSTMANLANDS LÄN</t>
        </is>
      </c>
      <c r="E497" t="inlineStr">
        <is>
          <t>FAGERSTA</t>
        </is>
      </c>
      <c r="F497" t="inlineStr">
        <is>
          <t>Sveaskog</t>
        </is>
      </c>
      <c r="G497" t="n">
        <v>5</v>
      </c>
      <c r="H497" t="n">
        <v>0</v>
      </c>
      <c r="I497" t="n">
        <v>0</v>
      </c>
      <c r="J497" t="n">
        <v>0</v>
      </c>
      <c r="K497" t="n">
        <v>0</v>
      </c>
      <c r="L497" t="n">
        <v>0</v>
      </c>
      <c r="M497" t="n">
        <v>0</v>
      </c>
      <c r="N497" t="n">
        <v>0</v>
      </c>
      <c r="O497" t="n">
        <v>0</v>
      </c>
      <c r="P497" t="n">
        <v>0</v>
      </c>
      <c r="Q497" t="n">
        <v>0</v>
      </c>
      <c r="R497" s="2" t="inlineStr"/>
    </row>
    <row r="498" ht="15" customHeight="1">
      <c r="A498" t="inlineStr">
        <is>
          <t>A 24147-2019</t>
        </is>
      </c>
      <c r="B498" s="1" t="n">
        <v>43598</v>
      </c>
      <c r="C498" s="1" t="n">
        <v>45757</v>
      </c>
      <c r="D498" t="inlineStr">
        <is>
          <t>VÄSTMANLANDS LÄN</t>
        </is>
      </c>
      <c r="E498" t="inlineStr">
        <is>
          <t>KUNGSÖR</t>
        </is>
      </c>
      <c r="G498" t="n">
        <v>0.4</v>
      </c>
      <c r="H498" t="n">
        <v>0</v>
      </c>
      <c r="I498" t="n">
        <v>0</v>
      </c>
      <c r="J498" t="n">
        <v>0</v>
      </c>
      <c r="K498" t="n">
        <v>0</v>
      </c>
      <c r="L498" t="n">
        <v>0</v>
      </c>
      <c r="M498" t="n">
        <v>0</v>
      </c>
      <c r="N498" t="n">
        <v>0</v>
      </c>
      <c r="O498" t="n">
        <v>0</v>
      </c>
      <c r="P498" t="n">
        <v>0</v>
      </c>
      <c r="Q498" t="n">
        <v>0</v>
      </c>
      <c r="R498" s="2" t="inlineStr"/>
    </row>
    <row r="499" ht="15" customHeight="1">
      <c r="A499" t="inlineStr">
        <is>
          <t>A 24071-2019</t>
        </is>
      </c>
      <c r="B499" s="1" t="n">
        <v>43598</v>
      </c>
      <c r="C499" s="1" t="n">
        <v>45757</v>
      </c>
      <c r="D499" t="inlineStr">
        <is>
          <t>VÄSTMANLANDS LÄN</t>
        </is>
      </c>
      <c r="E499" t="inlineStr">
        <is>
          <t>ARBOGA</t>
        </is>
      </c>
      <c r="G499" t="n">
        <v>1.4</v>
      </c>
      <c r="H499" t="n">
        <v>0</v>
      </c>
      <c r="I499" t="n">
        <v>0</v>
      </c>
      <c r="J499" t="n">
        <v>0</v>
      </c>
      <c r="K499" t="n">
        <v>0</v>
      </c>
      <c r="L499" t="n">
        <v>0</v>
      </c>
      <c r="M499" t="n">
        <v>0</v>
      </c>
      <c r="N499" t="n">
        <v>0</v>
      </c>
      <c r="O499" t="n">
        <v>0</v>
      </c>
      <c r="P499" t="n">
        <v>0</v>
      </c>
      <c r="Q499" t="n">
        <v>0</v>
      </c>
      <c r="R499" s="2" t="inlineStr"/>
    </row>
    <row r="500" ht="15" customHeight="1">
      <c r="A500" t="inlineStr">
        <is>
          <t>A 24017-2019</t>
        </is>
      </c>
      <c r="B500" s="1" t="n">
        <v>43598</v>
      </c>
      <c r="C500" s="1" t="n">
        <v>45757</v>
      </c>
      <c r="D500" t="inlineStr">
        <is>
          <t>VÄSTMANLANDS LÄN</t>
        </is>
      </c>
      <c r="E500" t="inlineStr">
        <is>
          <t>KÖPING</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24383-2019</t>
        </is>
      </c>
      <c r="B501" s="1" t="n">
        <v>43599</v>
      </c>
      <c r="C501" s="1" t="n">
        <v>45757</v>
      </c>
      <c r="D501" t="inlineStr">
        <is>
          <t>VÄSTMANLANDS LÄN</t>
        </is>
      </c>
      <c r="E501" t="inlineStr">
        <is>
          <t>SKINNSKATTEBERG</t>
        </is>
      </c>
      <c r="G501" t="n">
        <v>3.7</v>
      </c>
      <c r="H501" t="n">
        <v>0</v>
      </c>
      <c r="I501" t="n">
        <v>0</v>
      </c>
      <c r="J501" t="n">
        <v>0</v>
      </c>
      <c r="K501" t="n">
        <v>0</v>
      </c>
      <c r="L501" t="n">
        <v>0</v>
      </c>
      <c r="M501" t="n">
        <v>0</v>
      </c>
      <c r="N501" t="n">
        <v>0</v>
      </c>
      <c r="O501" t="n">
        <v>0</v>
      </c>
      <c r="P501" t="n">
        <v>0</v>
      </c>
      <c r="Q501" t="n">
        <v>0</v>
      </c>
      <c r="R501" s="2" t="inlineStr"/>
    </row>
    <row r="502" ht="15" customHeight="1">
      <c r="A502" t="inlineStr">
        <is>
          <t>A 24417-2019</t>
        </is>
      </c>
      <c r="B502" s="1" t="n">
        <v>43600</v>
      </c>
      <c r="C502" s="1" t="n">
        <v>45757</v>
      </c>
      <c r="D502" t="inlineStr">
        <is>
          <t>VÄSTMANLANDS LÄN</t>
        </is>
      </c>
      <c r="E502" t="inlineStr">
        <is>
          <t>KÖPING</t>
        </is>
      </c>
      <c r="G502" t="n">
        <v>2.8</v>
      </c>
      <c r="H502" t="n">
        <v>0</v>
      </c>
      <c r="I502" t="n">
        <v>0</v>
      </c>
      <c r="J502" t="n">
        <v>0</v>
      </c>
      <c r="K502" t="n">
        <v>0</v>
      </c>
      <c r="L502" t="n">
        <v>0</v>
      </c>
      <c r="M502" t="n">
        <v>0</v>
      </c>
      <c r="N502" t="n">
        <v>0</v>
      </c>
      <c r="O502" t="n">
        <v>0</v>
      </c>
      <c r="P502" t="n">
        <v>0</v>
      </c>
      <c r="Q502" t="n">
        <v>0</v>
      </c>
      <c r="R502" s="2" t="inlineStr"/>
    </row>
    <row r="503" ht="15" customHeight="1">
      <c r="A503" t="inlineStr">
        <is>
          <t>A 24539-2019</t>
        </is>
      </c>
      <c r="B503" s="1" t="n">
        <v>43600</v>
      </c>
      <c r="C503" s="1" t="n">
        <v>45757</v>
      </c>
      <c r="D503" t="inlineStr">
        <is>
          <t>VÄSTMANLANDS LÄN</t>
        </is>
      </c>
      <c r="E503" t="inlineStr">
        <is>
          <t>SKINNSKATTEBERG</t>
        </is>
      </c>
      <c r="G503" t="n">
        <v>1.6</v>
      </c>
      <c r="H503" t="n">
        <v>0</v>
      </c>
      <c r="I503" t="n">
        <v>0</v>
      </c>
      <c r="J503" t="n">
        <v>0</v>
      </c>
      <c r="K503" t="n">
        <v>0</v>
      </c>
      <c r="L503" t="n">
        <v>0</v>
      </c>
      <c r="M503" t="n">
        <v>0</v>
      </c>
      <c r="N503" t="n">
        <v>0</v>
      </c>
      <c r="O503" t="n">
        <v>0</v>
      </c>
      <c r="P503" t="n">
        <v>0</v>
      </c>
      <c r="Q503" t="n">
        <v>0</v>
      </c>
      <c r="R503" s="2" t="inlineStr"/>
    </row>
    <row r="504" ht="15" customHeight="1">
      <c r="A504" t="inlineStr">
        <is>
          <t>A 24985-2019</t>
        </is>
      </c>
      <c r="B504" s="1" t="n">
        <v>43602</v>
      </c>
      <c r="C504" s="1" t="n">
        <v>45757</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24909-2019</t>
        </is>
      </c>
      <c r="B505" s="1" t="n">
        <v>43602</v>
      </c>
      <c r="C505" s="1" t="n">
        <v>45757</v>
      </c>
      <c r="D505" t="inlineStr">
        <is>
          <t>VÄSTMANLANDS LÄN</t>
        </is>
      </c>
      <c r="E505" t="inlineStr">
        <is>
          <t>KÖPING</t>
        </is>
      </c>
      <c r="G505" t="n">
        <v>6.2</v>
      </c>
      <c r="H505" t="n">
        <v>0</v>
      </c>
      <c r="I505" t="n">
        <v>0</v>
      </c>
      <c r="J505" t="n">
        <v>0</v>
      </c>
      <c r="K505" t="n">
        <v>0</v>
      </c>
      <c r="L505" t="n">
        <v>0</v>
      </c>
      <c r="M505" t="n">
        <v>0</v>
      </c>
      <c r="N505" t="n">
        <v>0</v>
      </c>
      <c r="O505" t="n">
        <v>0</v>
      </c>
      <c r="P505" t="n">
        <v>0</v>
      </c>
      <c r="Q505" t="n">
        <v>0</v>
      </c>
      <c r="R505" s="2" t="inlineStr"/>
    </row>
    <row r="506" ht="15" customHeight="1">
      <c r="A506" t="inlineStr">
        <is>
          <t>A 24978-2019</t>
        </is>
      </c>
      <c r="B506" s="1" t="n">
        <v>43602</v>
      </c>
      <c r="C506" s="1" t="n">
        <v>45757</v>
      </c>
      <c r="D506" t="inlineStr">
        <is>
          <t>VÄSTMANLANDS LÄN</t>
        </is>
      </c>
      <c r="E506" t="inlineStr">
        <is>
          <t>SKINNSKATTEBERG</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24882-2019</t>
        </is>
      </c>
      <c r="B507" s="1" t="n">
        <v>43602</v>
      </c>
      <c r="C507" s="1" t="n">
        <v>45757</v>
      </c>
      <c r="D507" t="inlineStr">
        <is>
          <t>VÄSTMANLANDS LÄN</t>
        </is>
      </c>
      <c r="E507" t="inlineStr">
        <is>
          <t>SKINNSKATTEBERG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24892-2019</t>
        </is>
      </c>
      <c r="B508" s="1" t="n">
        <v>43602</v>
      </c>
      <c r="C508" s="1" t="n">
        <v>45757</v>
      </c>
      <c r="D508" t="inlineStr">
        <is>
          <t>VÄSTMANLANDS LÄN</t>
        </is>
      </c>
      <c r="E508" t="inlineStr">
        <is>
          <t>SKINNSKATTEBERG</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25005-2019</t>
        </is>
      </c>
      <c r="B509" s="1" t="n">
        <v>43602</v>
      </c>
      <c r="C509" s="1" t="n">
        <v>45757</v>
      </c>
      <c r="D509" t="inlineStr">
        <is>
          <t>VÄSTMANLANDS LÄN</t>
        </is>
      </c>
      <c r="E509" t="inlineStr">
        <is>
          <t>SALA</t>
        </is>
      </c>
      <c r="F509" t="inlineStr">
        <is>
          <t>Kommuner</t>
        </is>
      </c>
      <c r="G509" t="n">
        <v>4.3</v>
      </c>
      <c r="H509" t="n">
        <v>0</v>
      </c>
      <c r="I509" t="n">
        <v>0</v>
      </c>
      <c r="J509" t="n">
        <v>0</v>
      </c>
      <c r="K509" t="n">
        <v>0</v>
      </c>
      <c r="L509" t="n">
        <v>0</v>
      </c>
      <c r="M509" t="n">
        <v>0</v>
      </c>
      <c r="N509" t="n">
        <v>0</v>
      </c>
      <c r="O509" t="n">
        <v>0</v>
      </c>
      <c r="P509" t="n">
        <v>0</v>
      </c>
      <c r="Q509" t="n">
        <v>0</v>
      </c>
      <c r="R509" s="2" t="inlineStr"/>
    </row>
    <row r="510" ht="15" customHeight="1">
      <c r="A510" t="inlineStr">
        <is>
          <t>A 25324-2019</t>
        </is>
      </c>
      <c r="B510" s="1" t="n">
        <v>43606</v>
      </c>
      <c r="C510" s="1" t="n">
        <v>45757</v>
      </c>
      <c r="D510" t="inlineStr">
        <is>
          <t>VÄSTMANLANDS LÄN</t>
        </is>
      </c>
      <c r="E510" t="inlineStr">
        <is>
          <t>SKINNSKATTEBERG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25741-2019</t>
        </is>
      </c>
      <c r="B511" s="1" t="n">
        <v>43608</v>
      </c>
      <c r="C511" s="1" t="n">
        <v>45757</v>
      </c>
      <c r="D511" t="inlineStr">
        <is>
          <t>VÄSTMANLANDS LÄN</t>
        </is>
      </c>
      <c r="E511" t="inlineStr">
        <is>
          <t>KÖPING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25743-2019</t>
        </is>
      </c>
      <c r="B512" s="1" t="n">
        <v>43608</v>
      </c>
      <c r="C512" s="1" t="n">
        <v>45757</v>
      </c>
      <c r="D512" t="inlineStr">
        <is>
          <t>VÄSTMANLANDS LÄN</t>
        </is>
      </c>
      <c r="E512" t="inlineStr">
        <is>
          <t>SKINNSKATTEBERG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25882-2019</t>
        </is>
      </c>
      <c r="B513" s="1" t="n">
        <v>43608</v>
      </c>
      <c r="C513" s="1" t="n">
        <v>45757</v>
      </c>
      <c r="D513" t="inlineStr">
        <is>
          <t>VÄSTMANLANDS LÄN</t>
        </is>
      </c>
      <c r="E513" t="inlineStr">
        <is>
          <t>ARBOGA</t>
        </is>
      </c>
      <c r="G513" t="n">
        <v>0.7</v>
      </c>
      <c r="H513" t="n">
        <v>0</v>
      </c>
      <c r="I513" t="n">
        <v>0</v>
      </c>
      <c r="J513" t="n">
        <v>0</v>
      </c>
      <c r="K513" t="n">
        <v>0</v>
      </c>
      <c r="L513" t="n">
        <v>0</v>
      </c>
      <c r="M513" t="n">
        <v>0</v>
      </c>
      <c r="N513" t="n">
        <v>0</v>
      </c>
      <c r="O513" t="n">
        <v>0</v>
      </c>
      <c r="P513" t="n">
        <v>0</v>
      </c>
      <c r="Q513" t="n">
        <v>0</v>
      </c>
      <c r="R513" s="2" t="inlineStr"/>
    </row>
    <row r="514" ht="15" customHeight="1">
      <c r="A514" t="inlineStr">
        <is>
          <t>A 25814-2019</t>
        </is>
      </c>
      <c r="B514" s="1" t="n">
        <v>43608</v>
      </c>
      <c r="C514" s="1" t="n">
        <v>45757</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26467-2019</t>
        </is>
      </c>
      <c r="B515" s="1" t="n">
        <v>43612</v>
      </c>
      <c r="C515" s="1" t="n">
        <v>45757</v>
      </c>
      <c r="D515" t="inlineStr">
        <is>
          <t>VÄSTMANLANDS LÄN</t>
        </is>
      </c>
      <c r="E515" t="inlineStr">
        <is>
          <t>SKINNSKATTEBERG</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26472-2019</t>
        </is>
      </c>
      <c r="B516" s="1" t="n">
        <v>43612</v>
      </c>
      <c r="C516" s="1" t="n">
        <v>45757</v>
      </c>
      <c r="D516" t="inlineStr">
        <is>
          <t>VÄSTMANLANDS LÄN</t>
        </is>
      </c>
      <c r="E516" t="inlineStr">
        <is>
          <t>SKINNSKATTEBERG</t>
        </is>
      </c>
      <c r="F516" t="inlineStr">
        <is>
          <t>Sveaskog</t>
        </is>
      </c>
      <c r="G516" t="n">
        <v>3.6</v>
      </c>
      <c r="H516" t="n">
        <v>0</v>
      </c>
      <c r="I516" t="n">
        <v>0</v>
      </c>
      <c r="J516" t="n">
        <v>0</v>
      </c>
      <c r="K516" t="n">
        <v>0</v>
      </c>
      <c r="L516" t="n">
        <v>0</v>
      </c>
      <c r="M516" t="n">
        <v>0</v>
      </c>
      <c r="N516" t="n">
        <v>0</v>
      </c>
      <c r="O516" t="n">
        <v>0</v>
      </c>
      <c r="P516" t="n">
        <v>0</v>
      </c>
      <c r="Q516" t="n">
        <v>0</v>
      </c>
      <c r="R516" s="2" t="inlineStr"/>
    </row>
    <row r="517" ht="15" customHeight="1">
      <c r="A517" t="inlineStr">
        <is>
          <t>A 26614-2019</t>
        </is>
      </c>
      <c r="B517" s="1" t="n">
        <v>43612</v>
      </c>
      <c r="C517" s="1" t="n">
        <v>45757</v>
      </c>
      <c r="D517" t="inlineStr">
        <is>
          <t>VÄSTMANLANDS LÄN</t>
        </is>
      </c>
      <c r="E517" t="inlineStr">
        <is>
          <t>VÄSTERÅS</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26414-2019</t>
        </is>
      </c>
      <c r="B518" s="1" t="n">
        <v>43612</v>
      </c>
      <c r="C518" s="1" t="n">
        <v>45757</v>
      </c>
      <c r="D518" t="inlineStr">
        <is>
          <t>VÄSTMANLANDS LÄN</t>
        </is>
      </c>
      <c r="E518" t="inlineStr">
        <is>
          <t>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26593-2019</t>
        </is>
      </c>
      <c r="B519" s="1" t="n">
        <v>43612</v>
      </c>
      <c r="C519" s="1" t="n">
        <v>45757</v>
      </c>
      <c r="D519" t="inlineStr">
        <is>
          <t>VÄSTMANLANDS LÄN</t>
        </is>
      </c>
      <c r="E519" t="inlineStr">
        <is>
          <t>ARBOGA</t>
        </is>
      </c>
      <c r="G519" t="n">
        <v>1.7</v>
      </c>
      <c r="H519" t="n">
        <v>0</v>
      </c>
      <c r="I519" t="n">
        <v>0</v>
      </c>
      <c r="J519" t="n">
        <v>0</v>
      </c>
      <c r="K519" t="n">
        <v>0</v>
      </c>
      <c r="L519" t="n">
        <v>0</v>
      </c>
      <c r="M519" t="n">
        <v>0</v>
      </c>
      <c r="N519" t="n">
        <v>0</v>
      </c>
      <c r="O519" t="n">
        <v>0</v>
      </c>
      <c r="P519" t="n">
        <v>0</v>
      </c>
      <c r="Q519" t="n">
        <v>0</v>
      </c>
      <c r="R519" s="2" t="inlineStr"/>
    </row>
    <row r="520" ht="15" customHeight="1">
      <c r="A520" t="inlineStr">
        <is>
          <t>A 26861-2019</t>
        </is>
      </c>
      <c r="B520" s="1" t="n">
        <v>43613</v>
      </c>
      <c r="C520" s="1" t="n">
        <v>45757</v>
      </c>
      <c r="D520" t="inlineStr">
        <is>
          <t>VÄSTMANLANDS LÄN</t>
        </is>
      </c>
      <c r="E520" t="inlineStr">
        <is>
          <t>SALA</t>
        </is>
      </c>
      <c r="G520" t="n">
        <v>1.2</v>
      </c>
      <c r="H520" t="n">
        <v>0</v>
      </c>
      <c r="I520" t="n">
        <v>0</v>
      </c>
      <c r="J520" t="n">
        <v>0</v>
      </c>
      <c r="K520" t="n">
        <v>0</v>
      </c>
      <c r="L520" t="n">
        <v>0</v>
      </c>
      <c r="M520" t="n">
        <v>0</v>
      </c>
      <c r="N520" t="n">
        <v>0</v>
      </c>
      <c r="O520" t="n">
        <v>0</v>
      </c>
      <c r="P520" t="n">
        <v>0</v>
      </c>
      <c r="Q520" t="n">
        <v>0</v>
      </c>
      <c r="R520" s="2" t="inlineStr"/>
    </row>
    <row r="521" ht="15" customHeight="1">
      <c r="A521" t="inlineStr">
        <is>
          <t>A 26656-2019</t>
        </is>
      </c>
      <c r="B521" s="1" t="n">
        <v>43613</v>
      </c>
      <c r="C521" s="1" t="n">
        <v>45757</v>
      </c>
      <c r="D521" t="inlineStr">
        <is>
          <t>VÄSTMANLANDS LÄN</t>
        </is>
      </c>
      <c r="E521" t="inlineStr">
        <is>
          <t>ARBOGA</t>
        </is>
      </c>
      <c r="F521" t="inlineStr">
        <is>
          <t>Allmännings- och besparingsskogar</t>
        </is>
      </c>
      <c r="G521" t="n">
        <v>2.9</v>
      </c>
      <c r="H521" t="n">
        <v>0</v>
      </c>
      <c r="I521" t="n">
        <v>0</v>
      </c>
      <c r="J521" t="n">
        <v>0</v>
      </c>
      <c r="K521" t="n">
        <v>0</v>
      </c>
      <c r="L521" t="n">
        <v>0</v>
      </c>
      <c r="M521" t="n">
        <v>0</v>
      </c>
      <c r="N521" t="n">
        <v>0</v>
      </c>
      <c r="O521" t="n">
        <v>0</v>
      </c>
      <c r="P521" t="n">
        <v>0</v>
      </c>
      <c r="Q521" t="n">
        <v>0</v>
      </c>
      <c r="R521" s="2" t="inlineStr"/>
    </row>
    <row r="522" ht="15" customHeight="1">
      <c r="A522" t="inlineStr">
        <is>
          <t>A 27164-2019</t>
        </is>
      </c>
      <c r="B522" s="1" t="n">
        <v>43614</v>
      </c>
      <c r="C522" s="1" t="n">
        <v>45757</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27182-2019</t>
        </is>
      </c>
      <c r="B523" s="1" t="n">
        <v>43614</v>
      </c>
      <c r="C523" s="1" t="n">
        <v>45757</v>
      </c>
      <c r="D523" t="inlineStr">
        <is>
          <t>VÄSTMANLANDS LÄN</t>
        </is>
      </c>
      <c r="E523" t="inlineStr">
        <is>
          <t>KÖPING</t>
        </is>
      </c>
      <c r="G523" t="n">
        <v>6</v>
      </c>
      <c r="H523" t="n">
        <v>0</v>
      </c>
      <c r="I523" t="n">
        <v>0</v>
      </c>
      <c r="J523" t="n">
        <v>0</v>
      </c>
      <c r="K523" t="n">
        <v>0</v>
      </c>
      <c r="L523" t="n">
        <v>0</v>
      </c>
      <c r="M523" t="n">
        <v>0</v>
      </c>
      <c r="N523" t="n">
        <v>0</v>
      </c>
      <c r="O523" t="n">
        <v>0</v>
      </c>
      <c r="P523" t="n">
        <v>0</v>
      </c>
      <c r="Q523" t="n">
        <v>0</v>
      </c>
      <c r="R523" s="2" t="inlineStr"/>
    </row>
    <row r="524" ht="15" customHeight="1">
      <c r="A524" t="inlineStr">
        <is>
          <t>A 27040-2019</t>
        </is>
      </c>
      <c r="B524" s="1" t="n">
        <v>43614</v>
      </c>
      <c r="C524" s="1" t="n">
        <v>45757</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27181-2019</t>
        </is>
      </c>
      <c r="B525" s="1" t="n">
        <v>43614</v>
      </c>
      <c r="C525" s="1" t="n">
        <v>45757</v>
      </c>
      <c r="D525" t="inlineStr">
        <is>
          <t>VÄSTMANLANDS LÄN</t>
        </is>
      </c>
      <c r="E525" t="inlineStr">
        <is>
          <t>VÄSTERÅS</t>
        </is>
      </c>
      <c r="G525" t="n">
        <v>12.5</v>
      </c>
      <c r="H525" t="n">
        <v>0</v>
      </c>
      <c r="I525" t="n">
        <v>0</v>
      </c>
      <c r="J525" t="n">
        <v>0</v>
      </c>
      <c r="K525" t="n">
        <v>0</v>
      </c>
      <c r="L525" t="n">
        <v>0</v>
      </c>
      <c r="M525" t="n">
        <v>0</v>
      </c>
      <c r="N525" t="n">
        <v>0</v>
      </c>
      <c r="O525" t="n">
        <v>0</v>
      </c>
      <c r="P525" t="n">
        <v>0</v>
      </c>
      <c r="Q525" t="n">
        <v>0</v>
      </c>
      <c r="R525" s="2" t="inlineStr"/>
    </row>
    <row r="526" ht="15" customHeight="1">
      <c r="A526" t="inlineStr">
        <is>
          <t>A 27093-2019</t>
        </is>
      </c>
      <c r="B526" s="1" t="n">
        <v>43614</v>
      </c>
      <c r="C526" s="1" t="n">
        <v>45757</v>
      </c>
      <c r="D526" t="inlineStr">
        <is>
          <t>VÄSTMANLANDS LÄN</t>
        </is>
      </c>
      <c r="E526" t="inlineStr">
        <is>
          <t>SKINNSKATTEBERG</t>
        </is>
      </c>
      <c r="G526" t="n">
        <v>5.6</v>
      </c>
      <c r="H526" t="n">
        <v>0</v>
      </c>
      <c r="I526" t="n">
        <v>0</v>
      </c>
      <c r="J526" t="n">
        <v>0</v>
      </c>
      <c r="K526" t="n">
        <v>0</v>
      </c>
      <c r="L526" t="n">
        <v>0</v>
      </c>
      <c r="M526" t="n">
        <v>0</v>
      </c>
      <c r="N526" t="n">
        <v>0</v>
      </c>
      <c r="O526" t="n">
        <v>0</v>
      </c>
      <c r="P526" t="n">
        <v>0</v>
      </c>
      <c r="Q526" t="n">
        <v>0</v>
      </c>
      <c r="R526" s="2" t="inlineStr"/>
    </row>
    <row r="527" ht="15" customHeight="1">
      <c r="A527" t="inlineStr">
        <is>
          <t>A 27381-2019</t>
        </is>
      </c>
      <c r="B527" s="1" t="n">
        <v>43616</v>
      </c>
      <c r="C527" s="1" t="n">
        <v>45757</v>
      </c>
      <c r="D527" t="inlineStr">
        <is>
          <t>VÄSTMANLANDS LÄN</t>
        </is>
      </c>
      <c r="E527" t="inlineStr">
        <is>
          <t>KÖPING</t>
        </is>
      </c>
      <c r="G527" t="n">
        <v>3.3</v>
      </c>
      <c r="H527" t="n">
        <v>0</v>
      </c>
      <c r="I527" t="n">
        <v>0</v>
      </c>
      <c r="J527" t="n">
        <v>0</v>
      </c>
      <c r="K527" t="n">
        <v>0</v>
      </c>
      <c r="L527" t="n">
        <v>0</v>
      </c>
      <c r="M527" t="n">
        <v>0</v>
      </c>
      <c r="N527" t="n">
        <v>0</v>
      </c>
      <c r="O527" t="n">
        <v>0</v>
      </c>
      <c r="P527" t="n">
        <v>0</v>
      </c>
      <c r="Q527" t="n">
        <v>0</v>
      </c>
      <c r="R527" s="2" t="inlineStr"/>
    </row>
    <row r="528" ht="15" customHeight="1">
      <c r="A528" t="inlineStr">
        <is>
          <t>A 27391-2019</t>
        </is>
      </c>
      <c r="B528" s="1" t="n">
        <v>43616</v>
      </c>
      <c r="C528" s="1" t="n">
        <v>45757</v>
      </c>
      <c r="D528" t="inlineStr">
        <is>
          <t>VÄSTMANLANDS LÄN</t>
        </is>
      </c>
      <c r="E528" t="inlineStr">
        <is>
          <t>KÖPING</t>
        </is>
      </c>
      <c r="G528" t="n">
        <v>2.1</v>
      </c>
      <c r="H528" t="n">
        <v>0</v>
      </c>
      <c r="I528" t="n">
        <v>0</v>
      </c>
      <c r="J528" t="n">
        <v>0</v>
      </c>
      <c r="K528" t="n">
        <v>0</v>
      </c>
      <c r="L528" t="n">
        <v>0</v>
      </c>
      <c r="M528" t="n">
        <v>0</v>
      </c>
      <c r="N528" t="n">
        <v>0</v>
      </c>
      <c r="O528" t="n">
        <v>0</v>
      </c>
      <c r="P528" t="n">
        <v>0</v>
      </c>
      <c r="Q528" t="n">
        <v>0</v>
      </c>
      <c r="R528" s="2" t="inlineStr"/>
    </row>
    <row r="529" ht="15" customHeight="1">
      <c r="A529" t="inlineStr">
        <is>
          <t>A 27472-2019</t>
        </is>
      </c>
      <c r="B529" s="1" t="n">
        <v>43619</v>
      </c>
      <c r="C529" s="1" t="n">
        <v>45757</v>
      </c>
      <c r="D529" t="inlineStr">
        <is>
          <t>VÄSTMANLANDS LÄN</t>
        </is>
      </c>
      <c r="E529" t="inlineStr">
        <is>
          <t>SKINNSKATTEBERG</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27914-2019</t>
        </is>
      </c>
      <c r="B530" s="1" t="n">
        <v>43620</v>
      </c>
      <c r="C530" s="1" t="n">
        <v>45757</v>
      </c>
      <c r="D530" t="inlineStr">
        <is>
          <t>VÄSTMANLANDS LÄN</t>
        </is>
      </c>
      <c r="E530" t="inlineStr">
        <is>
          <t>KÖPING</t>
        </is>
      </c>
      <c r="G530" t="n">
        <v>7.6</v>
      </c>
      <c r="H530" t="n">
        <v>0</v>
      </c>
      <c r="I530" t="n">
        <v>0</v>
      </c>
      <c r="J530" t="n">
        <v>0</v>
      </c>
      <c r="K530" t="n">
        <v>0</v>
      </c>
      <c r="L530" t="n">
        <v>0</v>
      </c>
      <c r="M530" t="n">
        <v>0</v>
      </c>
      <c r="N530" t="n">
        <v>0</v>
      </c>
      <c r="O530" t="n">
        <v>0</v>
      </c>
      <c r="P530" t="n">
        <v>0</v>
      </c>
      <c r="Q530" t="n">
        <v>0</v>
      </c>
      <c r="R530" s="2" t="inlineStr"/>
    </row>
    <row r="531" ht="15" customHeight="1">
      <c r="A531" t="inlineStr">
        <is>
          <t>A 27947-2019</t>
        </is>
      </c>
      <c r="B531" s="1" t="n">
        <v>43620</v>
      </c>
      <c r="C531" s="1" t="n">
        <v>45757</v>
      </c>
      <c r="D531" t="inlineStr">
        <is>
          <t>VÄSTMANLANDS LÄN</t>
        </is>
      </c>
      <c r="E531" t="inlineStr">
        <is>
          <t>HALLSTAHAMMAR</t>
        </is>
      </c>
      <c r="G531" t="n">
        <v>5.1</v>
      </c>
      <c r="H531" t="n">
        <v>0</v>
      </c>
      <c r="I531" t="n">
        <v>0</v>
      </c>
      <c r="J531" t="n">
        <v>0</v>
      </c>
      <c r="K531" t="n">
        <v>0</v>
      </c>
      <c r="L531" t="n">
        <v>0</v>
      </c>
      <c r="M531" t="n">
        <v>0</v>
      </c>
      <c r="N531" t="n">
        <v>0</v>
      </c>
      <c r="O531" t="n">
        <v>0</v>
      </c>
      <c r="P531" t="n">
        <v>0</v>
      </c>
      <c r="Q531" t="n">
        <v>0</v>
      </c>
      <c r="R531" s="2" t="inlineStr"/>
    </row>
    <row r="532" ht="15" customHeight="1">
      <c r="A532" t="inlineStr">
        <is>
          <t>A 27832-2019</t>
        </is>
      </c>
      <c r="B532" s="1" t="n">
        <v>43620</v>
      </c>
      <c r="C532" s="1" t="n">
        <v>45757</v>
      </c>
      <c r="D532" t="inlineStr">
        <is>
          <t>VÄSTMANLANDS LÄN</t>
        </is>
      </c>
      <c r="E532" t="inlineStr">
        <is>
          <t>SKINNSKATTEBERG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28148-2019</t>
        </is>
      </c>
      <c r="B533" s="1" t="n">
        <v>43621</v>
      </c>
      <c r="C533" s="1" t="n">
        <v>45757</v>
      </c>
      <c r="D533" t="inlineStr">
        <is>
          <t>VÄSTMANLANDS LÄN</t>
        </is>
      </c>
      <c r="E533" t="inlineStr">
        <is>
          <t>HALLSTAHAMMAR</t>
        </is>
      </c>
      <c r="F533" t="inlineStr">
        <is>
          <t>Allmännings- och besparingsskogar</t>
        </is>
      </c>
      <c r="G533" t="n">
        <v>0.6</v>
      </c>
      <c r="H533" t="n">
        <v>0</v>
      </c>
      <c r="I533" t="n">
        <v>0</v>
      </c>
      <c r="J533" t="n">
        <v>0</v>
      </c>
      <c r="K533" t="n">
        <v>0</v>
      </c>
      <c r="L533" t="n">
        <v>0</v>
      </c>
      <c r="M533" t="n">
        <v>0</v>
      </c>
      <c r="N533" t="n">
        <v>0</v>
      </c>
      <c r="O533" t="n">
        <v>0</v>
      </c>
      <c r="P533" t="n">
        <v>0</v>
      </c>
      <c r="Q533" t="n">
        <v>0</v>
      </c>
      <c r="R533" s="2" t="inlineStr"/>
    </row>
    <row r="534" ht="15" customHeight="1">
      <c r="A534" t="inlineStr">
        <is>
          <t>A 28170-2019</t>
        </is>
      </c>
      <c r="B534" s="1" t="n">
        <v>43621</v>
      </c>
      <c r="C534" s="1" t="n">
        <v>45757</v>
      </c>
      <c r="D534" t="inlineStr">
        <is>
          <t>VÄSTMANLANDS LÄN</t>
        </is>
      </c>
      <c r="E534" t="inlineStr">
        <is>
          <t>NORBERG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28132-2019</t>
        </is>
      </c>
      <c r="B535" s="1" t="n">
        <v>43621</v>
      </c>
      <c r="C535" s="1" t="n">
        <v>45757</v>
      </c>
      <c r="D535" t="inlineStr">
        <is>
          <t>VÄSTMANLANDS LÄN</t>
        </is>
      </c>
      <c r="E535" t="inlineStr">
        <is>
          <t>SALA</t>
        </is>
      </c>
      <c r="G535" t="n">
        <v>2.4</v>
      </c>
      <c r="H535" t="n">
        <v>0</v>
      </c>
      <c r="I535" t="n">
        <v>0</v>
      </c>
      <c r="J535" t="n">
        <v>0</v>
      </c>
      <c r="K535" t="n">
        <v>0</v>
      </c>
      <c r="L535" t="n">
        <v>0</v>
      </c>
      <c r="M535" t="n">
        <v>0</v>
      </c>
      <c r="N535" t="n">
        <v>0</v>
      </c>
      <c r="O535" t="n">
        <v>0</v>
      </c>
      <c r="P535" t="n">
        <v>0</v>
      </c>
      <c r="Q535" t="n">
        <v>0</v>
      </c>
      <c r="R535" s="2" t="inlineStr"/>
    </row>
    <row r="536" ht="15" customHeight="1">
      <c r="A536" t="inlineStr">
        <is>
          <t>A 28143-2019</t>
        </is>
      </c>
      <c r="B536" s="1" t="n">
        <v>43621</v>
      </c>
      <c r="C536" s="1" t="n">
        <v>45757</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28162-2019</t>
        </is>
      </c>
      <c r="B537" s="1" t="n">
        <v>43621</v>
      </c>
      <c r="C537" s="1" t="n">
        <v>45757</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28189-2019</t>
        </is>
      </c>
      <c r="B538" s="1" t="n">
        <v>43621</v>
      </c>
      <c r="C538" s="1" t="n">
        <v>45757</v>
      </c>
      <c r="D538" t="inlineStr">
        <is>
          <t>VÄSTMANLANDS LÄN</t>
        </is>
      </c>
      <c r="E538" t="inlineStr">
        <is>
          <t>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28136-2019</t>
        </is>
      </c>
      <c r="B539" s="1" t="n">
        <v>43621</v>
      </c>
      <c r="C539" s="1" t="n">
        <v>45757</v>
      </c>
      <c r="D539" t="inlineStr">
        <is>
          <t>VÄSTMANLANDS LÄN</t>
        </is>
      </c>
      <c r="E539" t="inlineStr">
        <is>
          <t>NORBERG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28297-2019</t>
        </is>
      </c>
      <c r="B540" s="1" t="n">
        <v>43623</v>
      </c>
      <c r="C540" s="1" t="n">
        <v>45757</v>
      </c>
      <c r="D540" t="inlineStr">
        <is>
          <t>VÄSTMANLANDS LÄN</t>
        </is>
      </c>
      <c r="E540" t="inlineStr">
        <is>
          <t>HALLSTAHAMMAR</t>
        </is>
      </c>
      <c r="F540" t="inlineStr">
        <is>
          <t>Allmännings- och besparingsskogar</t>
        </is>
      </c>
      <c r="G540" t="n">
        <v>7.5</v>
      </c>
      <c r="H540" t="n">
        <v>0</v>
      </c>
      <c r="I540" t="n">
        <v>0</v>
      </c>
      <c r="J540" t="n">
        <v>0</v>
      </c>
      <c r="K540" t="n">
        <v>0</v>
      </c>
      <c r="L540" t="n">
        <v>0</v>
      </c>
      <c r="M540" t="n">
        <v>0</v>
      </c>
      <c r="N540" t="n">
        <v>0</v>
      </c>
      <c r="O540" t="n">
        <v>0</v>
      </c>
      <c r="P540" t="n">
        <v>0</v>
      </c>
      <c r="Q540" t="n">
        <v>0</v>
      </c>
      <c r="R540" s="2" t="inlineStr"/>
    </row>
    <row r="541" ht="15" customHeight="1">
      <c r="A541" t="inlineStr">
        <is>
          <t>A 28274-2019</t>
        </is>
      </c>
      <c r="B541" s="1" t="n">
        <v>43623</v>
      </c>
      <c r="C541" s="1" t="n">
        <v>45757</v>
      </c>
      <c r="D541" t="inlineStr">
        <is>
          <t>VÄSTMANLANDS LÄN</t>
        </is>
      </c>
      <c r="E541" t="inlineStr">
        <is>
          <t>SURAHAMMAR</t>
        </is>
      </c>
      <c r="F541" t="inlineStr">
        <is>
          <t>Allmännings- och besparingsskogar</t>
        </is>
      </c>
      <c r="G541" t="n">
        <v>0.7</v>
      </c>
      <c r="H541" t="n">
        <v>0</v>
      </c>
      <c r="I541" t="n">
        <v>0</v>
      </c>
      <c r="J541" t="n">
        <v>0</v>
      </c>
      <c r="K541" t="n">
        <v>0</v>
      </c>
      <c r="L541" t="n">
        <v>0</v>
      </c>
      <c r="M541" t="n">
        <v>0</v>
      </c>
      <c r="N541" t="n">
        <v>0</v>
      </c>
      <c r="O541" t="n">
        <v>0</v>
      </c>
      <c r="P541" t="n">
        <v>0</v>
      </c>
      <c r="Q541" t="n">
        <v>0</v>
      </c>
      <c r="R541" s="2" t="inlineStr"/>
    </row>
    <row r="542" ht="15" customHeight="1">
      <c r="A542" t="inlineStr">
        <is>
          <t>A 28365-2019</t>
        </is>
      </c>
      <c r="B542" s="1" t="n">
        <v>43625</v>
      </c>
      <c r="C542" s="1" t="n">
        <v>45757</v>
      </c>
      <c r="D542" t="inlineStr">
        <is>
          <t>VÄSTMANLANDS LÄN</t>
        </is>
      </c>
      <c r="E542" t="inlineStr">
        <is>
          <t>ARBOGA</t>
        </is>
      </c>
      <c r="G542" t="n">
        <v>2.7</v>
      </c>
      <c r="H542" t="n">
        <v>0</v>
      </c>
      <c r="I542" t="n">
        <v>0</v>
      </c>
      <c r="J542" t="n">
        <v>0</v>
      </c>
      <c r="K542" t="n">
        <v>0</v>
      </c>
      <c r="L542" t="n">
        <v>0</v>
      </c>
      <c r="M542" t="n">
        <v>0</v>
      </c>
      <c r="N542" t="n">
        <v>0</v>
      </c>
      <c r="O542" t="n">
        <v>0</v>
      </c>
      <c r="P542" t="n">
        <v>0</v>
      </c>
      <c r="Q542" t="n">
        <v>0</v>
      </c>
      <c r="R542" s="2" t="inlineStr"/>
    </row>
    <row r="543" ht="15" customHeight="1">
      <c r="A543" t="inlineStr">
        <is>
          <t>A 28359-2019</t>
        </is>
      </c>
      <c r="B543" s="1" t="n">
        <v>43625</v>
      </c>
      <c r="C543" s="1" t="n">
        <v>45757</v>
      </c>
      <c r="D543" t="inlineStr">
        <is>
          <t>VÄSTMANLANDS LÄN</t>
        </is>
      </c>
      <c r="E543" t="inlineStr">
        <is>
          <t>KÖPING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29023-2019</t>
        </is>
      </c>
      <c r="B544" s="1" t="n">
        <v>43628</v>
      </c>
      <c r="C544" s="1" t="n">
        <v>45757</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29402-2019</t>
        </is>
      </c>
      <c r="B545" s="1" t="n">
        <v>43629</v>
      </c>
      <c r="C545" s="1" t="n">
        <v>45757</v>
      </c>
      <c r="D545" t="inlineStr">
        <is>
          <t>VÄSTMANLANDS LÄN</t>
        </is>
      </c>
      <c r="E545" t="inlineStr">
        <is>
          <t>HALLSTAHAMMAR</t>
        </is>
      </c>
      <c r="F545" t="inlineStr">
        <is>
          <t>Kommuner</t>
        </is>
      </c>
      <c r="G545" t="n">
        <v>4.6</v>
      </c>
      <c r="H545" t="n">
        <v>0</v>
      </c>
      <c r="I545" t="n">
        <v>0</v>
      </c>
      <c r="J545" t="n">
        <v>0</v>
      </c>
      <c r="K545" t="n">
        <v>0</v>
      </c>
      <c r="L545" t="n">
        <v>0</v>
      </c>
      <c r="M545" t="n">
        <v>0</v>
      </c>
      <c r="N545" t="n">
        <v>0</v>
      </c>
      <c r="O545" t="n">
        <v>0</v>
      </c>
      <c r="P545" t="n">
        <v>0</v>
      </c>
      <c r="Q545" t="n">
        <v>0</v>
      </c>
      <c r="R545" s="2" t="inlineStr"/>
    </row>
    <row r="546" ht="15" customHeight="1">
      <c r="A546" t="inlineStr">
        <is>
          <t>A 29418-2019</t>
        </is>
      </c>
      <c r="B546" s="1" t="n">
        <v>43629</v>
      </c>
      <c r="C546" s="1" t="n">
        <v>45757</v>
      </c>
      <c r="D546" t="inlineStr">
        <is>
          <t>VÄSTMANLANDS LÄN</t>
        </is>
      </c>
      <c r="E546" t="inlineStr">
        <is>
          <t>SKINNSKATTEBERG</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29832-2019</t>
        </is>
      </c>
      <c r="B547" s="1" t="n">
        <v>43629</v>
      </c>
      <c r="C547" s="1" t="n">
        <v>45757</v>
      </c>
      <c r="D547" t="inlineStr">
        <is>
          <t>VÄSTMANLANDS LÄN</t>
        </is>
      </c>
      <c r="E547" t="inlineStr">
        <is>
          <t>NORBERG</t>
        </is>
      </c>
      <c r="G547" t="n">
        <v>1.5</v>
      </c>
      <c r="H547" t="n">
        <v>0</v>
      </c>
      <c r="I547" t="n">
        <v>0</v>
      </c>
      <c r="J547" t="n">
        <v>0</v>
      </c>
      <c r="K547" t="n">
        <v>0</v>
      </c>
      <c r="L547" t="n">
        <v>0</v>
      </c>
      <c r="M547" t="n">
        <v>0</v>
      </c>
      <c r="N547" t="n">
        <v>0</v>
      </c>
      <c r="O547" t="n">
        <v>0</v>
      </c>
      <c r="P547" t="n">
        <v>0</v>
      </c>
      <c r="Q547" t="n">
        <v>0</v>
      </c>
      <c r="R547" s="2" t="inlineStr"/>
    </row>
    <row r="548" ht="15" customHeight="1">
      <c r="A548" t="inlineStr">
        <is>
          <t>A 29331-2019</t>
        </is>
      </c>
      <c r="B548" s="1" t="n">
        <v>43629</v>
      </c>
      <c r="C548" s="1" t="n">
        <v>45757</v>
      </c>
      <c r="D548" t="inlineStr">
        <is>
          <t>VÄSTMANLANDS LÄN</t>
        </is>
      </c>
      <c r="E548" t="inlineStr">
        <is>
          <t>SALA</t>
        </is>
      </c>
      <c r="G548" t="n">
        <v>5</v>
      </c>
      <c r="H548" t="n">
        <v>0</v>
      </c>
      <c r="I548" t="n">
        <v>0</v>
      </c>
      <c r="J548" t="n">
        <v>0</v>
      </c>
      <c r="K548" t="n">
        <v>0</v>
      </c>
      <c r="L548" t="n">
        <v>0</v>
      </c>
      <c r="M548" t="n">
        <v>0</v>
      </c>
      <c r="N548" t="n">
        <v>0</v>
      </c>
      <c r="O548" t="n">
        <v>0</v>
      </c>
      <c r="P548" t="n">
        <v>0</v>
      </c>
      <c r="Q548" t="n">
        <v>0</v>
      </c>
      <c r="R548" s="2" t="inlineStr"/>
    </row>
    <row r="549" ht="15" customHeight="1">
      <c r="A549" t="inlineStr">
        <is>
          <t>A 29523-2019</t>
        </is>
      </c>
      <c r="B549" s="1" t="n">
        <v>43630</v>
      </c>
      <c r="C549" s="1" t="n">
        <v>45757</v>
      </c>
      <c r="D549" t="inlineStr">
        <is>
          <t>VÄSTMANLANDS LÄN</t>
        </is>
      </c>
      <c r="E549" t="inlineStr">
        <is>
          <t>SURAHAMMAR</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29961-2019</t>
        </is>
      </c>
      <c r="B550" s="1" t="n">
        <v>43633</v>
      </c>
      <c r="C550" s="1" t="n">
        <v>45757</v>
      </c>
      <c r="D550" t="inlineStr">
        <is>
          <t>VÄSTMANLANDS LÄN</t>
        </is>
      </c>
      <c r="E550" t="inlineStr">
        <is>
          <t>NORBERG</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30161-2019</t>
        </is>
      </c>
      <c r="B551" s="1" t="n">
        <v>43634</v>
      </c>
      <c r="C551" s="1" t="n">
        <v>45757</v>
      </c>
      <c r="D551" t="inlineStr">
        <is>
          <t>VÄSTMANLANDS LÄN</t>
        </is>
      </c>
      <c r="E551" t="inlineStr">
        <is>
          <t>SKINNSKATTEBERG</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31225-2019</t>
        </is>
      </c>
      <c r="B552" s="1" t="n">
        <v>43635</v>
      </c>
      <c r="C552" s="1" t="n">
        <v>45757</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31029-2019</t>
        </is>
      </c>
      <c r="B553" s="1" t="n">
        <v>43635</v>
      </c>
      <c r="C553" s="1" t="n">
        <v>45757</v>
      </c>
      <c r="D553" t="inlineStr">
        <is>
          <t>VÄSTMANLANDS LÄN</t>
        </is>
      </c>
      <c r="E553" t="inlineStr">
        <is>
          <t>NORBERG</t>
        </is>
      </c>
      <c r="G553" t="n">
        <v>0.5</v>
      </c>
      <c r="H553" t="n">
        <v>0</v>
      </c>
      <c r="I553" t="n">
        <v>0</v>
      </c>
      <c r="J553" t="n">
        <v>0</v>
      </c>
      <c r="K553" t="n">
        <v>0</v>
      </c>
      <c r="L553" t="n">
        <v>0</v>
      </c>
      <c r="M553" t="n">
        <v>0</v>
      </c>
      <c r="N553" t="n">
        <v>0</v>
      </c>
      <c r="O553" t="n">
        <v>0</v>
      </c>
      <c r="P553" t="n">
        <v>0</v>
      </c>
      <c r="Q553" t="n">
        <v>0</v>
      </c>
      <c r="R553" s="2" t="inlineStr"/>
    </row>
    <row r="554" ht="15" customHeight="1">
      <c r="A554" t="inlineStr">
        <is>
          <t>A 30745-2019</t>
        </is>
      </c>
      <c r="B554" s="1" t="n">
        <v>43636</v>
      </c>
      <c r="C554" s="1" t="n">
        <v>45757</v>
      </c>
      <c r="D554" t="inlineStr">
        <is>
          <t>VÄSTMANLANDS LÄN</t>
        </is>
      </c>
      <c r="E554" t="inlineStr">
        <is>
          <t>VÄSTERÅS</t>
        </is>
      </c>
      <c r="G554" t="n">
        <v>13.6</v>
      </c>
      <c r="H554" t="n">
        <v>0</v>
      </c>
      <c r="I554" t="n">
        <v>0</v>
      </c>
      <c r="J554" t="n">
        <v>0</v>
      </c>
      <c r="K554" t="n">
        <v>0</v>
      </c>
      <c r="L554" t="n">
        <v>0</v>
      </c>
      <c r="M554" t="n">
        <v>0</v>
      </c>
      <c r="N554" t="n">
        <v>0</v>
      </c>
      <c r="O554" t="n">
        <v>0</v>
      </c>
      <c r="P554" t="n">
        <v>0</v>
      </c>
      <c r="Q554" t="n">
        <v>0</v>
      </c>
      <c r="R554" s="2" t="inlineStr"/>
    </row>
    <row r="555" ht="15" customHeight="1">
      <c r="A555" t="inlineStr">
        <is>
          <t>A 30826-2019</t>
        </is>
      </c>
      <c r="B555" s="1" t="n">
        <v>43636</v>
      </c>
      <c r="C555" s="1" t="n">
        <v>45757</v>
      </c>
      <c r="D555" t="inlineStr">
        <is>
          <t>VÄSTMANLANDS LÄN</t>
        </is>
      </c>
      <c r="E555" t="inlineStr">
        <is>
          <t>VÄSTERÅS</t>
        </is>
      </c>
      <c r="G555" t="n">
        <v>1.8</v>
      </c>
      <c r="H555" t="n">
        <v>0</v>
      </c>
      <c r="I555" t="n">
        <v>0</v>
      </c>
      <c r="J555" t="n">
        <v>0</v>
      </c>
      <c r="K555" t="n">
        <v>0</v>
      </c>
      <c r="L555" t="n">
        <v>0</v>
      </c>
      <c r="M555" t="n">
        <v>0</v>
      </c>
      <c r="N555" t="n">
        <v>0</v>
      </c>
      <c r="O555" t="n">
        <v>0</v>
      </c>
      <c r="P555" t="n">
        <v>0</v>
      </c>
      <c r="Q555" t="n">
        <v>0</v>
      </c>
      <c r="R555" s="2" t="inlineStr"/>
    </row>
    <row r="556" ht="15" customHeight="1">
      <c r="A556" t="inlineStr">
        <is>
          <t>A 30974-2019</t>
        </is>
      </c>
      <c r="B556" s="1" t="n">
        <v>43639</v>
      </c>
      <c r="C556" s="1" t="n">
        <v>45757</v>
      </c>
      <c r="D556" t="inlineStr">
        <is>
          <t>VÄSTMANLANDS LÄN</t>
        </is>
      </c>
      <c r="E556" t="inlineStr">
        <is>
          <t>SALA</t>
        </is>
      </c>
      <c r="G556" t="n">
        <v>3.1</v>
      </c>
      <c r="H556" t="n">
        <v>0</v>
      </c>
      <c r="I556" t="n">
        <v>0</v>
      </c>
      <c r="J556" t="n">
        <v>0</v>
      </c>
      <c r="K556" t="n">
        <v>0</v>
      </c>
      <c r="L556" t="n">
        <v>0</v>
      </c>
      <c r="M556" t="n">
        <v>0</v>
      </c>
      <c r="N556" t="n">
        <v>0</v>
      </c>
      <c r="O556" t="n">
        <v>0</v>
      </c>
      <c r="P556" t="n">
        <v>0</v>
      </c>
      <c r="Q556" t="n">
        <v>0</v>
      </c>
      <c r="R556" s="2" t="inlineStr"/>
    </row>
    <row r="557" ht="15" customHeight="1">
      <c r="A557" t="inlineStr">
        <is>
          <t>A 31008-2019</t>
        </is>
      </c>
      <c r="B557" s="1" t="n">
        <v>43640</v>
      </c>
      <c r="C557" s="1" t="n">
        <v>45757</v>
      </c>
      <c r="D557" t="inlineStr">
        <is>
          <t>VÄSTMANLANDS LÄN</t>
        </is>
      </c>
      <c r="E557" t="inlineStr">
        <is>
          <t>SURAHAMMAR</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31641-2019</t>
        </is>
      </c>
      <c r="B558" s="1" t="n">
        <v>43640</v>
      </c>
      <c r="C558" s="1" t="n">
        <v>45757</v>
      </c>
      <c r="D558" t="inlineStr">
        <is>
          <t>VÄSTMANLANDS LÄN</t>
        </is>
      </c>
      <c r="E558" t="inlineStr">
        <is>
          <t>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31725-2019</t>
        </is>
      </c>
      <c r="B559" s="1" t="n">
        <v>43642</v>
      </c>
      <c r="C559" s="1" t="n">
        <v>45757</v>
      </c>
      <c r="D559" t="inlineStr">
        <is>
          <t>VÄSTMANLANDS LÄN</t>
        </is>
      </c>
      <c r="E559" t="inlineStr">
        <is>
          <t>SKINNSKATTEBERG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31721-2019</t>
        </is>
      </c>
      <c r="B560" s="1" t="n">
        <v>43642</v>
      </c>
      <c r="C560" s="1" t="n">
        <v>45757</v>
      </c>
      <c r="D560" t="inlineStr">
        <is>
          <t>VÄSTMANLANDS LÄN</t>
        </is>
      </c>
      <c r="E560" t="inlineStr">
        <is>
          <t>SKINNSKATTEBERG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31748-2019</t>
        </is>
      </c>
      <c r="B561" s="1" t="n">
        <v>43642</v>
      </c>
      <c r="C561" s="1" t="n">
        <v>45757</v>
      </c>
      <c r="D561" t="inlineStr">
        <is>
          <t>VÄSTMANLANDS LÄN</t>
        </is>
      </c>
      <c r="E561" t="inlineStr">
        <is>
          <t>NORBERG</t>
        </is>
      </c>
      <c r="F561" t="inlineStr">
        <is>
          <t>Sveaskog</t>
        </is>
      </c>
      <c r="G561" t="n">
        <v>4</v>
      </c>
      <c r="H561" t="n">
        <v>0</v>
      </c>
      <c r="I561" t="n">
        <v>0</v>
      </c>
      <c r="J561" t="n">
        <v>0</v>
      </c>
      <c r="K561" t="n">
        <v>0</v>
      </c>
      <c r="L561" t="n">
        <v>0</v>
      </c>
      <c r="M561" t="n">
        <v>0</v>
      </c>
      <c r="N561" t="n">
        <v>0</v>
      </c>
      <c r="O561" t="n">
        <v>0</v>
      </c>
      <c r="P561" t="n">
        <v>0</v>
      </c>
      <c r="Q561" t="n">
        <v>0</v>
      </c>
      <c r="R561" s="2" t="inlineStr"/>
    </row>
    <row r="562" ht="15" customHeight="1">
      <c r="A562" t="inlineStr">
        <is>
          <t>A 31643-2019</t>
        </is>
      </c>
      <c r="B562" s="1" t="n">
        <v>43642</v>
      </c>
      <c r="C562" s="1" t="n">
        <v>45757</v>
      </c>
      <c r="D562" t="inlineStr">
        <is>
          <t>VÄSTMANLANDS LÄN</t>
        </is>
      </c>
      <c r="E562" t="inlineStr">
        <is>
          <t>SKINNSKATTEBERG</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32245-2019</t>
        </is>
      </c>
      <c r="B563" s="1" t="n">
        <v>43643</v>
      </c>
      <c r="C563" s="1" t="n">
        <v>45757</v>
      </c>
      <c r="D563" t="inlineStr">
        <is>
          <t>VÄSTMANLANDS LÄN</t>
        </is>
      </c>
      <c r="E563" t="inlineStr">
        <is>
          <t>NORBERG</t>
        </is>
      </c>
      <c r="G563" t="n">
        <v>2.6</v>
      </c>
      <c r="H563" t="n">
        <v>0</v>
      </c>
      <c r="I563" t="n">
        <v>0</v>
      </c>
      <c r="J563" t="n">
        <v>0</v>
      </c>
      <c r="K563" t="n">
        <v>0</v>
      </c>
      <c r="L563" t="n">
        <v>0</v>
      </c>
      <c r="M563" t="n">
        <v>0</v>
      </c>
      <c r="N563" t="n">
        <v>0</v>
      </c>
      <c r="O563" t="n">
        <v>0</v>
      </c>
      <c r="P563" t="n">
        <v>0</v>
      </c>
      <c r="Q563" t="n">
        <v>0</v>
      </c>
      <c r="R563" s="2" t="inlineStr"/>
    </row>
    <row r="564" ht="15" customHeight="1">
      <c r="A564" t="inlineStr">
        <is>
          <t>A 32448-2019</t>
        </is>
      </c>
      <c r="B564" s="1" t="n">
        <v>43644</v>
      </c>
      <c r="C564" s="1" t="n">
        <v>45757</v>
      </c>
      <c r="D564" t="inlineStr">
        <is>
          <t>VÄSTMANLANDS LÄN</t>
        </is>
      </c>
      <c r="E564" t="inlineStr">
        <is>
          <t>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32430-2019</t>
        </is>
      </c>
      <c r="B565" s="1" t="n">
        <v>43644</v>
      </c>
      <c r="C565" s="1" t="n">
        <v>45757</v>
      </c>
      <c r="D565" t="inlineStr">
        <is>
          <t>VÄSTMANLANDS LÄN</t>
        </is>
      </c>
      <c r="E565" t="inlineStr">
        <is>
          <t>SKINNSKATTEBERG</t>
        </is>
      </c>
      <c r="F565" t="inlineStr">
        <is>
          <t>Sveaskog</t>
        </is>
      </c>
      <c r="G565" t="n">
        <v>3.2</v>
      </c>
      <c r="H565" t="n">
        <v>0</v>
      </c>
      <c r="I565" t="n">
        <v>0</v>
      </c>
      <c r="J565" t="n">
        <v>0</v>
      </c>
      <c r="K565" t="n">
        <v>0</v>
      </c>
      <c r="L565" t="n">
        <v>0</v>
      </c>
      <c r="M565" t="n">
        <v>0</v>
      </c>
      <c r="N565" t="n">
        <v>0</v>
      </c>
      <c r="O565" t="n">
        <v>0</v>
      </c>
      <c r="P565" t="n">
        <v>0</v>
      </c>
      <c r="Q565" t="n">
        <v>0</v>
      </c>
      <c r="R565" s="2" t="inlineStr"/>
    </row>
    <row r="566" ht="15" customHeight="1">
      <c r="A566" t="inlineStr">
        <is>
          <t>A 34565-2019</t>
        </is>
      </c>
      <c r="B566" s="1" t="n">
        <v>43647</v>
      </c>
      <c r="C566" s="1" t="n">
        <v>45757</v>
      </c>
      <c r="D566" t="inlineStr">
        <is>
          <t>VÄSTMANLANDS LÄN</t>
        </is>
      </c>
      <c r="E566" t="inlineStr">
        <is>
          <t>SKINNSKATTEBERG</t>
        </is>
      </c>
      <c r="G566" t="n">
        <v>5.3</v>
      </c>
      <c r="H566" t="n">
        <v>0</v>
      </c>
      <c r="I566" t="n">
        <v>0</v>
      </c>
      <c r="J566" t="n">
        <v>0</v>
      </c>
      <c r="K566" t="n">
        <v>0</v>
      </c>
      <c r="L566" t="n">
        <v>0</v>
      </c>
      <c r="M566" t="n">
        <v>0</v>
      </c>
      <c r="N566" t="n">
        <v>0</v>
      </c>
      <c r="O566" t="n">
        <v>0</v>
      </c>
      <c r="P566" t="n">
        <v>0</v>
      </c>
      <c r="Q566" t="n">
        <v>0</v>
      </c>
      <c r="R566" s="2" t="inlineStr"/>
    </row>
    <row r="567" ht="15" customHeight="1">
      <c r="A567" t="inlineStr">
        <is>
          <t>A 32850-2019</t>
        </is>
      </c>
      <c r="B567" s="1" t="n">
        <v>43648</v>
      </c>
      <c r="C567" s="1" t="n">
        <v>45757</v>
      </c>
      <c r="D567" t="inlineStr">
        <is>
          <t>VÄSTMANLANDS LÄN</t>
        </is>
      </c>
      <c r="E567" t="inlineStr">
        <is>
          <t>SKINNSKATTEBERG</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32856-2019</t>
        </is>
      </c>
      <c r="B568" s="1" t="n">
        <v>43648</v>
      </c>
      <c r="C568" s="1" t="n">
        <v>45757</v>
      </c>
      <c r="D568" t="inlineStr">
        <is>
          <t>VÄSTMANLANDS LÄN</t>
        </is>
      </c>
      <c r="E568" t="inlineStr">
        <is>
          <t>SKINNSKATTEBERG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34709-2019</t>
        </is>
      </c>
      <c r="B569" s="1" t="n">
        <v>43648</v>
      </c>
      <c r="C569" s="1" t="n">
        <v>45757</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33440-2019</t>
        </is>
      </c>
      <c r="B570" s="1" t="n">
        <v>43650</v>
      </c>
      <c r="C570" s="1" t="n">
        <v>45757</v>
      </c>
      <c r="D570" t="inlineStr">
        <is>
          <t>VÄSTMANLANDS LÄN</t>
        </is>
      </c>
      <c r="E570" t="inlineStr">
        <is>
          <t>FAGERSTA</t>
        </is>
      </c>
      <c r="G570" t="n">
        <v>4.4</v>
      </c>
      <c r="H570" t="n">
        <v>0</v>
      </c>
      <c r="I570" t="n">
        <v>0</v>
      </c>
      <c r="J570" t="n">
        <v>0</v>
      </c>
      <c r="K570" t="n">
        <v>0</v>
      </c>
      <c r="L570" t="n">
        <v>0</v>
      </c>
      <c r="M570" t="n">
        <v>0</v>
      </c>
      <c r="N570" t="n">
        <v>0</v>
      </c>
      <c r="O570" t="n">
        <v>0</v>
      </c>
      <c r="P570" t="n">
        <v>0</v>
      </c>
      <c r="Q570" t="n">
        <v>0</v>
      </c>
      <c r="R570" s="2" t="inlineStr"/>
    </row>
    <row r="571" ht="15" customHeight="1">
      <c r="A571" t="inlineStr">
        <is>
          <t>A 33647-2019</t>
        </is>
      </c>
      <c r="B571" s="1" t="n">
        <v>43651</v>
      </c>
      <c r="C571" s="1" t="n">
        <v>45757</v>
      </c>
      <c r="D571" t="inlineStr">
        <is>
          <t>VÄSTMANLANDS LÄN</t>
        </is>
      </c>
      <c r="E571" t="inlineStr">
        <is>
          <t>SKINNSKATTEBERG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33758-2019</t>
        </is>
      </c>
      <c r="B572" s="1" t="n">
        <v>43651</v>
      </c>
      <c r="C572" s="1" t="n">
        <v>45757</v>
      </c>
      <c r="D572" t="inlineStr">
        <is>
          <t>VÄSTMANLANDS LÄN</t>
        </is>
      </c>
      <c r="E572" t="inlineStr">
        <is>
          <t>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33782-2019</t>
        </is>
      </c>
      <c r="B573" s="1" t="n">
        <v>43651</v>
      </c>
      <c r="C573" s="1" t="n">
        <v>45757</v>
      </c>
      <c r="D573" t="inlineStr">
        <is>
          <t>VÄSTMANLANDS LÄN</t>
        </is>
      </c>
      <c r="E573" t="inlineStr">
        <is>
          <t>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33581-2019</t>
        </is>
      </c>
      <c r="B574" s="1" t="n">
        <v>43651</v>
      </c>
      <c r="C574" s="1" t="n">
        <v>45757</v>
      </c>
      <c r="D574" t="inlineStr">
        <is>
          <t>VÄSTMANLANDS LÄN</t>
        </is>
      </c>
      <c r="E574" t="inlineStr">
        <is>
          <t>SKINNSKATTEBERG</t>
        </is>
      </c>
      <c r="G574" t="n">
        <v>5.4</v>
      </c>
      <c r="H574" t="n">
        <v>0</v>
      </c>
      <c r="I574" t="n">
        <v>0</v>
      </c>
      <c r="J574" t="n">
        <v>0</v>
      </c>
      <c r="K574" t="n">
        <v>0</v>
      </c>
      <c r="L574" t="n">
        <v>0</v>
      </c>
      <c r="M574" t="n">
        <v>0</v>
      </c>
      <c r="N574" t="n">
        <v>0</v>
      </c>
      <c r="O574" t="n">
        <v>0</v>
      </c>
      <c r="P574" t="n">
        <v>0</v>
      </c>
      <c r="Q574" t="n">
        <v>0</v>
      </c>
      <c r="R574" s="2" t="inlineStr"/>
    </row>
    <row r="575" ht="15" customHeight="1">
      <c r="A575" t="inlineStr">
        <is>
          <t>A 34010-2019</t>
        </is>
      </c>
      <c r="B575" s="1" t="n">
        <v>43654</v>
      </c>
      <c r="C575" s="1" t="n">
        <v>45757</v>
      </c>
      <c r="D575" t="inlineStr">
        <is>
          <t>VÄSTMANLANDS LÄN</t>
        </is>
      </c>
      <c r="E575" t="inlineStr">
        <is>
          <t>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35787-2019</t>
        </is>
      </c>
      <c r="B576" s="1" t="n">
        <v>43656</v>
      </c>
      <c r="C576" s="1" t="n">
        <v>45757</v>
      </c>
      <c r="D576" t="inlineStr">
        <is>
          <t>VÄSTMANLANDS LÄN</t>
        </is>
      </c>
      <c r="E576" t="inlineStr">
        <is>
          <t>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35779-2019</t>
        </is>
      </c>
      <c r="B577" s="1" t="n">
        <v>43656</v>
      </c>
      <c r="C577" s="1" t="n">
        <v>45757</v>
      </c>
      <c r="D577" t="inlineStr">
        <is>
          <t>VÄSTMANLANDS LÄN</t>
        </is>
      </c>
      <c r="E577" t="inlineStr">
        <is>
          <t>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35074-2019</t>
        </is>
      </c>
      <c r="B578" s="1" t="n">
        <v>43661</v>
      </c>
      <c r="C578" s="1" t="n">
        <v>45757</v>
      </c>
      <c r="D578" t="inlineStr">
        <is>
          <t>VÄSTMANLANDS LÄN</t>
        </is>
      </c>
      <c r="E578" t="inlineStr">
        <is>
          <t>NORBERG</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35690-2019</t>
        </is>
      </c>
      <c r="B579" s="1" t="n">
        <v>43664</v>
      </c>
      <c r="C579" s="1" t="n">
        <v>45757</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35939-2019</t>
        </is>
      </c>
      <c r="B580" s="1" t="n">
        <v>43665</v>
      </c>
      <c r="C580" s="1" t="n">
        <v>45757</v>
      </c>
      <c r="D580" t="inlineStr">
        <is>
          <t>VÄSTMANLANDS LÄN</t>
        </is>
      </c>
      <c r="E580" t="inlineStr">
        <is>
          <t>KÖPING</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35801-2019</t>
        </is>
      </c>
      <c r="B581" s="1" t="n">
        <v>43665</v>
      </c>
      <c r="C581" s="1" t="n">
        <v>45757</v>
      </c>
      <c r="D581" t="inlineStr">
        <is>
          <t>VÄSTMANLANDS LÄN</t>
        </is>
      </c>
      <c r="E581" t="inlineStr">
        <is>
          <t>VÄSTERÅS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36142-2019</t>
        </is>
      </c>
      <c r="B582" s="1" t="n">
        <v>43668</v>
      </c>
      <c r="C582" s="1" t="n">
        <v>45757</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36069-2019</t>
        </is>
      </c>
      <c r="B583" s="1" t="n">
        <v>43668</v>
      </c>
      <c r="C583" s="1" t="n">
        <v>45757</v>
      </c>
      <c r="D583" t="inlineStr">
        <is>
          <t>VÄSTMANLANDS LÄN</t>
        </is>
      </c>
      <c r="E583" t="inlineStr">
        <is>
          <t>FAGERSTA</t>
        </is>
      </c>
      <c r="G583" t="n">
        <v>3.6</v>
      </c>
      <c r="H583" t="n">
        <v>0</v>
      </c>
      <c r="I583" t="n">
        <v>0</v>
      </c>
      <c r="J583" t="n">
        <v>0</v>
      </c>
      <c r="K583" t="n">
        <v>0</v>
      </c>
      <c r="L583" t="n">
        <v>0</v>
      </c>
      <c r="M583" t="n">
        <v>0</v>
      </c>
      <c r="N583" t="n">
        <v>0</v>
      </c>
      <c r="O583" t="n">
        <v>0</v>
      </c>
      <c r="P583" t="n">
        <v>0</v>
      </c>
      <c r="Q583" t="n">
        <v>0</v>
      </c>
      <c r="R583" s="2" t="inlineStr"/>
    </row>
    <row r="584" ht="15" customHeight="1">
      <c r="A584" t="inlineStr">
        <is>
          <t>A 36429-2019</t>
        </is>
      </c>
      <c r="B584" s="1" t="n">
        <v>43670</v>
      </c>
      <c r="C584" s="1" t="n">
        <v>45757</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36437-2019</t>
        </is>
      </c>
      <c r="B585" s="1" t="n">
        <v>43670</v>
      </c>
      <c r="C585" s="1" t="n">
        <v>45757</v>
      </c>
      <c r="D585" t="inlineStr">
        <is>
          <t>VÄSTMANLANDS LÄN</t>
        </is>
      </c>
      <c r="E585" t="inlineStr">
        <is>
          <t>VÄSTERÅS</t>
        </is>
      </c>
      <c r="G585" t="n">
        <v>2.7</v>
      </c>
      <c r="H585" t="n">
        <v>0</v>
      </c>
      <c r="I585" t="n">
        <v>0</v>
      </c>
      <c r="J585" t="n">
        <v>0</v>
      </c>
      <c r="K585" t="n">
        <v>0</v>
      </c>
      <c r="L585" t="n">
        <v>0</v>
      </c>
      <c r="M585" t="n">
        <v>0</v>
      </c>
      <c r="N585" t="n">
        <v>0</v>
      </c>
      <c r="O585" t="n">
        <v>0</v>
      </c>
      <c r="P585" t="n">
        <v>0</v>
      </c>
      <c r="Q585" t="n">
        <v>0</v>
      </c>
      <c r="R585" s="2" t="inlineStr"/>
    </row>
    <row r="586" ht="15" customHeight="1">
      <c r="A586" t="inlineStr">
        <is>
          <t>A 36600-2019</t>
        </is>
      </c>
      <c r="B586" s="1" t="n">
        <v>43671</v>
      </c>
      <c r="C586" s="1" t="n">
        <v>45757</v>
      </c>
      <c r="D586" t="inlineStr">
        <is>
          <t>VÄSTMANLANDS LÄN</t>
        </is>
      </c>
      <c r="E586" t="inlineStr">
        <is>
          <t>SALA</t>
        </is>
      </c>
      <c r="F586" t="inlineStr">
        <is>
          <t>Kyrkan</t>
        </is>
      </c>
      <c r="G586" t="n">
        <v>4.3</v>
      </c>
      <c r="H586" t="n">
        <v>0</v>
      </c>
      <c r="I586" t="n">
        <v>0</v>
      </c>
      <c r="J586" t="n">
        <v>0</v>
      </c>
      <c r="K586" t="n">
        <v>0</v>
      </c>
      <c r="L586" t="n">
        <v>0</v>
      </c>
      <c r="M586" t="n">
        <v>0</v>
      </c>
      <c r="N586" t="n">
        <v>0</v>
      </c>
      <c r="O586" t="n">
        <v>0</v>
      </c>
      <c r="P586" t="n">
        <v>0</v>
      </c>
      <c r="Q586" t="n">
        <v>0</v>
      </c>
      <c r="R586" s="2" t="inlineStr"/>
    </row>
    <row r="587" ht="15" customHeight="1">
      <c r="A587" t="inlineStr">
        <is>
          <t>A 36695-2019</t>
        </is>
      </c>
      <c r="B587" s="1" t="n">
        <v>43671</v>
      </c>
      <c r="C587" s="1" t="n">
        <v>45757</v>
      </c>
      <c r="D587" t="inlineStr">
        <is>
          <t>VÄSTMANLANDS LÄN</t>
        </is>
      </c>
      <c r="E587" t="inlineStr">
        <is>
          <t>VÄSTERÅS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36802-2019</t>
        </is>
      </c>
      <c r="B588" s="1" t="n">
        <v>43672</v>
      </c>
      <c r="C588" s="1" t="n">
        <v>45757</v>
      </c>
      <c r="D588" t="inlineStr">
        <is>
          <t>VÄSTMANLANDS LÄN</t>
        </is>
      </c>
      <c r="E588" t="inlineStr">
        <is>
          <t>VÄSTERÅS</t>
        </is>
      </c>
      <c r="G588" t="n">
        <v>3.5</v>
      </c>
      <c r="H588" t="n">
        <v>0</v>
      </c>
      <c r="I588" t="n">
        <v>0</v>
      </c>
      <c r="J588" t="n">
        <v>0</v>
      </c>
      <c r="K588" t="n">
        <v>0</v>
      </c>
      <c r="L588" t="n">
        <v>0</v>
      </c>
      <c r="M588" t="n">
        <v>0</v>
      </c>
      <c r="N588" t="n">
        <v>0</v>
      </c>
      <c r="O588" t="n">
        <v>0</v>
      </c>
      <c r="P588" t="n">
        <v>0</v>
      </c>
      <c r="Q588" t="n">
        <v>0</v>
      </c>
      <c r="R588" s="2" t="inlineStr"/>
    </row>
    <row r="589" ht="15" customHeight="1">
      <c r="A589" t="inlineStr">
        <is>
          <t>A 37186-2019</t>
        </is>
      </c>
      <c r="B589" s="1" t="n">
        <v>43677</v>
      </c>
      <c r="C589" s="1" t="n">
        <v>45757</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37533-2019</t>
        </is>
      </c>
      <c r="B590" s="1" t="n">
        <v>43679</v>
      </c>
      <c r="C590" s="1" t="n">
        <v>45757</v>
      </c>
      <c r="D590" t="inlineStr">
        <is>
          <t>VÄSTMANLANDS LÄN</t>
        </is>
      </c>
      <c r="E590" t="inlineStr">
        <is>
          <t>SALA</t>
        </is>
      </c>
      <c r="G590" t="n">
        <v>7.9</v>
      </c>
      <c r="H590" t="n">
        <v>0</v>
      </c>
      <c r="I590" t="n">
        <v>0</v>
      </c>
      <c r="J590" t="n">
        <v>0</v>
      </c>
      <c r="K590" t="n">
        <v>0</v>
      </c>
      <c r="L590" t="n">
        <v>0</v>
      </c>
      <c r="M590" t="n">
        <v>0</v>
      </c>
      <c r="N590" t="n">
        <v>0</v>
      </c>
      <c r="O590" t="n">
        <v>0</v>
      </c>
      <c r="P590" t="n">
        <v>0</v>
      </c>
      <c r="Q590" t="n">
        <v>0</v>
      </c>
      <c r="R590" s="2" t="inlineStr"/>
    </row>
    <row r="591" ht="15" customHeight="1">
      <c r="A591" t="inlineStr">
        <is>
          <t>A 37524-2019</t>
        </is>
      </c>
      <c r="B591" s="1" t="n">
        <v>43679</v>
      </c>
      <c r="C591" s="1" t="n">
        <v>45757</v>
      </c>
      <c r="D591" t="inlineStr">
        <is>
          <t>VÄSTMANLANDS LÄN</t>
        </is>
      </c>
      <c r="E591" t="inlineStr">
        <is>
          <t>NORBERG</t>
        </is>
      </c>
      <c r="G591" t="n">
        <v>2.4</v>
      </c>
      <c r="H591" t="n">
        <v>0</v>
      </c>
      <c r="I591" t="n">
        <v>0</v>
      </c>
      <c r="J591" t="n">
        <v>0</v>
      </c>
      <c r="K591" t="n">
        <v>0</v>
      </c>
      <c r="L591" t="n">
        <v>0</v>
      </c>
      <c r="M591" t="n">
        <v>0</v>
      </c>
      <c r="N591" t="n">
        <v>0</v>
      </c>
      <c r="O591" t="n">
        <v>0</v>
      </c>
      <c r="P591" t="n">
        <v>0</v>
      </c>
      <c r="Q591" t="n">
        <v>0</v>
      </c>
      <c r="R591" s="2" t="inlineStr"/>
    </row>
    <row r="592" ht="15" customHeight="1">
      <c r="A592" t="inlineStr">
        <is>
          <t>A 38084-2019</t>
        </is>
      </c>
      <c r="B592" s="1" t="n">
        <v>43683</v>
      </c>
      <c r="C592" s="1" t="n">
        <v>45757</v>
      </c>
      <c r="D592" t="inlineStr">
        <is>
          <t>VÄSTMANLANDS LÄN</t>
        </is>
      </c>
      <c r="E592" t="inlineStr">
        <is>
          <t>VÄSTERÅS</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38158-2019</t>
        </is>
      </c>
      <c r="B593" s="1" t="n">
        <v>43683</v>
      </c>
      <c r="C593" s="1" t="n">
        <v>45757</v>
      </c>
      <c r="D593" t="inlineStr">
        <is>
          <t>VÄSTMANLANDS LÄN</t>
        </is>
      </c>
      <c r="E593" t="inlineStr">
        <is>
          <t>SKINNSKATTEBERG</t>
        </is>
      </c>
      <c r="G593" t="n">
        <v>5.4</v>
      </c>
      <c r="H593" t="n">
        <v>0</v>
      </c>
      <c r="I593" t="n">
        <v>0</v>
      </c>
      <c r="J593" t="n">
        <v>0</v>
      </c>
      <c r="K593" t="n">
        <v>0</v>
      </c>
      <c r="L593" t="n">
        <v>0</v>
      </c>
      <c r="M593" t="n">
        <v>0</v>
      </c>
      <c r="N593" t="n">
        <v>0</v>
      </c>
      <c r="O593" t="n">
        <v>0</v>
      </c>
      <c r="P593" t="n">
        <v>0</v>
      </c>
      <c r="Q593" t="n">
        <v>0</v>
      </c>
      <c r="R593" s="2" t="inlineStr"/>
    </row>
    <row r="594" ht="15" customHeight="1">
      <c r="A594" t="inlineStr">
        <is>
          <t>A 38087-2019</t>
        </is>
      </c>
      <c r="B594" s="1" t="n">
        <v>43683</v>
      </c>
      <c r="C594" s="1" t="n">
        <v>45757</v>
      </c>
      <c r="D594" t="inlineStr">
        <is>
          <t>VÄSTMANLANDS LÄN</t>
        </is>
      </c>
      <c r="E594" t="inlineStr">
        <is>
          <t>SKINNSKATTEBERG</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38489-2019</t>
        </is>
      </c>
      <c r="B595" s="1" t="n">
        <v>43685</v>
      </c>
      <c r="C595" s="1" t="n">
        <v>45757</v>
      </c>
      <c r="D595" t="inlineStr">
        <is>
          <t>VÄSTMANLANDS LÄN</t>
        </is>
      </c>
      <c r="E595" t="inlineStr">
        <is>
          <t>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38487-2019</t>
        </is>
      </c>
      <c r="B596" s="1" t="n">
        <v>43685</v>
      </c>
      <c r="C596" s="1" t="n">
        <v>45757</v>
      </c>
      <c r="D596" t="inlineStr">
        <is>
          <t>VÄSTMANLANDS LÄN</t>
        </is>
      </c>
      <c r="E596" t="inlineStr">
        <is>
          <t>KÖPING</t>
        </is>
      </c>
      <c r="G596" t="n">
        <v>4.6</v>
      </c>
      <c r="H596" t="n">
        <v>0</v>
      </c>
      <c r="I596" t="n">
        <v>0</v>
      </c>
      <c r="J596" t="n">
        <v>0</v>
      </c>
      <c r="K596" t="n">
        <v>0</v>
      </c>
      <c r="L596" t="n">
        <v>0</v>
      </c>
      <c r="M596" t="n">
        <v>0</v>
      </c>
      <c r="N596" t="n">
        <v>0</v>
      </c>
      <c r="O596" t="n">
        <v>0</v>
      </c>
      <c r="P596" t="n">
        <v>0</v>
      </c>
      <c r="Q596" t="n">
        <v>0</v>
      </c>
      <c r="R596" s="2" t="inlineStr"/>
    </row>
    <row r="597" ht="15" customHeight="1">
      <c r="A597" t="inlineStr">
        <is>
          <t>A 38387-2019</t>
        </is>
      </c>
      <c r="B597" s="1" t="n">
        <v>43685</v>
      </c>
      <c r="C597" s="1" t="n">
        <v>45757</v>
      </c>
      <c r="D597" t="inlineStr">
        <is>
          <t>VÄSTMANLANDS LÄN</t>
        </is>
      </c>
      <c r="E597" t="inlineStr">
        <is>
          <t>FAGERSTA</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38479-2019</t>
        </is>
      </c>
      <c r="B598" s="1" t="n">
        <v>43685</v>
      </c>
      <c r="C598" s="1" t="n">
        <v>45757</v>
      </c>
      <c r="D598" t="inlineStr">
        <is>
          <t>VÄSTMANLANDS LÄN</t>
        </is>
      </c>
      <c r="E598" t="inlineStr">
        <is>
          <t>ARBOGA</t>
        </is>
      </c>
      <c r="G598" t="n">
        <v>5.6</v>
      </c>
      <c r="H598" t="n">
        <v>0</v>
      </c>
      <c r="I598" t="n">
        <v>0</v>
      </c>
      <c r="J598" t="n">
        <v>0</v>
      </c>
      <c r="K598" t="n">
        <v>0</v>
      </c>
      <c r="L598" t="n">
        <v>0</v>
      </c>
      <c r="M598" t="n">
        <v>0</v>
      </c>
      <c r="N598" t="n">
        <v>0</v>
      </c>
      <c r="O598" t="n">
        <v>0</v>
      </c>
      <c r="P598" t="n">
        <v>0</v>
      </c>
      <c r="Q598" t="n">
        <v>0</v>
      </c>
      <c r="R598" s="2" t="inlineStr"/>
    </row>
    <row r="599" ht="15" customHeight="1">
      <c r="A599" t="inlineStr">
        <is>
          <t>A 39177-2019</t>
        </is>
      </c>
      <c r="B599" s="1" t="n">
        <v>43685</v>
      </c>
      <c r="C599" s="1" t="n">
        <v>45757</v>
      </c>
      <c r="D599" t="inlineStr">
        <is>
          <t>VÄSTMANLANDS LÄN</t>
        </is>
      </c>
      <c r="E599" t="inlineStr">
        <is>
          <t>VÄSTERÅS</t>
        </is>
      </c>
      <c r="G599" t="n">
        <v>0.9</v>
      </c>
      <c r="H599" t="n">
        <v>0</v>
      </c>
      <c r="I599" t="n">
        <v>0</v>
      </c>
      <c r="J599" t="n">
        <v>0</v>
      </c>
      <c r="K599" t="n">
        <v>0</v>
      </c>
      <c r="L599" t="n">
        <v>0</v>
      </c>
      <c r="M599" t="n">
        <v>0</v>
      </c>
      <c r="N599" t="n">
        <v>0</v>
      </c>
      <c r="O599" t="n">
        <v>0</v>
      </c>
      <c r="P599" t="n">
        <v>0</v>
      </c>
      <c r="Q599" t="n">
        <v>0</v>
      </c>
      <c r="R599" s="2" t="inlineStr"/>
    </row>
    <row r="600" ht="15" customHeight="1">
      <c r="A600" t="inlineStr">
        <is>
          <t>A 39198-2019</t>
        </is>
      </c>
      <c r="B600" s="1" t="n">
        <v>43685</v>
      </c>
      <c r="C600" s="1" t="n">
        <v>45757</v>
      </c>
      <c r="D600" t="inlineStr">
        <is>
          <t>VÄSTMANLANDS LÄN</t>
        </is>
      </c>
      <c r="E600" t="inlineStr">
        <is>
          <t>NORBERG</t>
        </is>
      </c>
      <c r="G600" t="n">
        <v>1.4</v>
      </c>
      <c r="H600" t="n">
        <v>0</v>
      </c>
      <c r="I600" t="n">
        <v>0</v>
      </c>
      <c r="J600" t="n">
        <v>0</v>
      </c>
      <c r="K600" t="n">
        <v>0</v>
      </c>
      <c r="L600" t="n">
        <v>0</v>
      </c>
      <c r="M600" t="n">
        <v>0</v>
      </c>
      <c r="N600" t="n">
        <v>0</v>
      </c>
      <c r="O600" t="n">
        <v>0</v>
      </c>
      <c r="P600" t="n">
        <v>0</v>
      </c>
      <c r="Q600" t="n">
        <v>0</v>
      </c>
      <c r="R600" s="2" t="inlineStr"/>
    </row>
    <row r="601" ht="15" customHeight="1">
      <c r="A601" t="inlineStr">
        <is>
          <t>A 39178-2019</t>
        </is>
      </c>
      <c r="B601" s="1" t="n">
        <v>43685</v>
      </c>
      <c r="C601" s="1" t="n">
        <v>45757</v>
      </c>
      <c r="D601" t="inlineStr">
        <is>
          <t>VÄSTMANLANDS LÄN</t>
        </is>
      </c>
      <c r="E601" t="inlineStr">
        <is>
          <t>VÄSTERÅS</t>
        </is>
      </c>
      <c r="G601" t="n">
        <v>4.5</v>
      </c>
      <c r="H601" t="n">
        <v>0</v>
      </c>
      <c r="I601" t="n">
        <v>0</v>
      </c>
      <c r="J601" t="n">
        <v>0</v>
      </c>
      <c r="K601" t="n">
        <v>0</v>
      </c>
      <c r="L601" t="n">
        <v>0</v>
      </c>
      <c r="M601" t="n">
        <v>0</v>
      </c>
      <c r="N601" t="n">
        <v>0</v>
      </c>
      <c r="O601" t="n">
        <v>0</v>
      </c>
      <c r="P601" t="n">
        <v>0</v>
      </c>
      <c r="Q601" t="n">
        <v>0</v>
      </c>
      <c r="R601" s="2" t="inlineStr"/>
    </row>
    <row r="602" ht="15" customHeight="1">
      <c r="A602" t="inlineStr">
        <is>
          <t>A 38645-2019</t>
        </is>
      </c>
      <c r="B602" s="1" t="n">
        <v>43686</v>
      </c>
      <c r="C602" s="1" t="n">
        <v>45757</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38922-2019</t>
        </is>
      </c>
      <c r="B603" s="1" t="n">
        <v>43689</v>
      </c>
      <c r="C603" s="1" t="n">
        <v>45757</v>
      </c>
      <c r="D603" t="inlineStr">
        <is>
          <t>VÄSTMANLANDS LÄN</t>
        </is>
      </c>
      <c r="E603" t="inlineStr">
        <is>
          <t>VÄSTERÅS</t>
        </is>
      </c>
      <c r="G603" t="n">
        <v>6.4</v>
      </c>
      <c r="H603" t="n">
        <v>0</v>
      </c>
      <c r="I603" t="n">
        <v>0</v>
      </c>
      <c r="J603" t="n">
        <v>0</v>
      </c>
      <c r="K603" t="n">
        <v>0</v>
      </c>
      <c r="L603" t="n">
        <v>0</v>
      </c>
      <c r="M603" t="n">
        <v>0</v>
      </c>
      <c r="N603" t="n">
        <v>0</v>
      </c>
      <c r="O603" t="n">
        <v>0</v>
      </c>
      <c r="P603" t="n">
        <v>0</v>
      </c>
      <c r="Q603" t="n">
        <v>0</v>
      </c>
      <c r="R603" s="2" t="inlineStr"/>
    </row>
    <row r="604" ht="15" customHeight="1">
      <c r="A604" t="inlineStr">
        <is>
          <t>A 38986-2019</t>
        </is>
      </c>
      <c r="B604" s="1" t="n">
        <v>43689</v>
      </c>
      <c r="C604" s="1" t="n">
        <v>45757</v>
      </c>
      <c r="D604" t="inlineStr">
        <is>
          <t>VÄSTMANLANDS LÄN</t>
        </is>
      </c>
      <c r="E604" t="inlineStr">
        <is>
          <t>VÄSTERÅS</t>
        </is>
      </c>
      <c r="G604" t="n">
        <v>1.7</v>
      </c>
      <c r="H604" t="n">
        <v>0</v>
      </c>
      <c r="I604" t="n">
        <v>0</v>
      </c>
      <c r="J604" t="n">
        <v>0</v>
      </c>
      <c r="K604" t="n">
        <v>0</v>
      </c>
      <c r="L604" t="n">
        <v>0</v>
      </c>
      <c r="M604" t="n">
        <v>0</v>
      </c>
      <c r="N604" t="n">
        <v>0</v>
      </c>
      <c r="O604" t="n">
        <v>0</v>
      </c>
      <c r="P604" t="n">
        <v>0</v>
      </c>
      <c r="Q604" t="n">
        <v>0</v>
      </c>
      <c r="R604" s="2" t="inlineStr"/>
    </row>
    <row r="605" ht="15" customHeight="1">
      <c r="A605" t="inlineStr">
        <is>
          <t>A 38981-2019</t>
        </is>
      </c>
      <c r="B605" s="1" t="n">
        <v>43689</v>
      </c>
      <c r="C605" s="1" t="n">
        <v>45757</v>
      </c>
      <c r="D605" t="inlineStr">
        <is>
          <t>VÄSTMANLANDS LÄN</t>
        </is>
      </c>
      <c r="E605" t="inlineStr">
        <is>
          <t>VÄSTERÅS</t>
        </is>
      </c>
      <c r="G605" t="n">
        <v>2</v>
      </c>
      <c r="H605" t="n">
        <v>0</v>
      </c>
      <c r="I605" t="n">
        <v>0</v>
      </c>
      <c r="J605" t="n">
        <v>0</v>
      </c>
      <c r="K605" t="n">
        <v>0</v>
      </c>
      <c r="L605" t="n">
        <v>0</v>
      </c>
      <c r="M605" t="n">
        <v>0</v>
      </c>
      <c r="N605" t="n">
        <v>0</v>
      </c>
      <c r="O605" t="n">
        <v>0</v>
      </c>
      <c r="P605" t="n">
        <v>0</v>
      </c>
      <c r="Q605" t="n">
        <v>0</v>
      </c>
      <c r="R605" s="2" t="inlineStr"/>
    </row>
    <row r="606" ht="15" customHeight="1">
      <c r="A606" t="inlineStr">
        <is>
          <t>A 39088-2019</t>
        </is>
      </c>
      <c r="B606" s="1" t="n">
        <v>43689</v>
      </c>
      <c r="C606" s="1" t="n">
        <v>45757</v>
      </c>
      <c r="D606" t="inlineStr">
        <is>
          <t>VÄSTMANLANDS LÄN</t>
        </is>
      </c>
      <c r="E606" t="inlineStr">
        <is>
          <t>ARBOGA</t>
        </is>
      </c>
      <c r="G606" t="n">
        <v>2</v>
      </c>
      <c r="H606" t="n">
        <v>0</v>
      </c>
      <c r="I606" t="n">
        <v>0</v>
      </c>
      <c r="J606" t="n">
        <v>0</v>
      </c>
      <c r="K606" t="n">
        <v>0</v>
      </c>
      <c r="L606" t="n">
        <v>0</v>
      </c>
      <c r="M606" t="n">
        <v>0</v>
      </c>
      <c r="N606" t="n">
        <v>0</v>
      </c>
      <c r="O606" t="n">
        <v>0</v>
      </c>
      <c r="P606" t="n">
        <v>0</v>
      </c>
      <c r="Q606" t="n">
        <v>0</v>
      </c>
      <c r="R606" s="2" t="inlineStr"/>
    </row>
    <row r="607" ht="15" customHeight="1">
      <c r="A607" t="inlineStr">
        <is>
          <t>A 38848-2019</t>
        </is>
      </c>
      <c r="B607" s="1" t="n">
        <v>43689</v>
      </c>
      <c r="C607" s="1" t="n">
        <v>45757</v>
      </c>
      <c r="D607" t="inlineStr">
        <is>
          <t>VÄSTMANLANDS LÄN</t>
        </is>
      </c>
      <c r="E607" t="inlineStr">
        <is>
          <t>VÄSTERÅS</t>
        </is>
      </c>
      <c r="G607" t="n">
        <v>2</v>
      </c>
      <c r="H607" t="n">
        <v>0</v>
      </c>
      <c r="I607" t="n">
        <v>0</v>
      </c>
      <c r="J607" t="n">
        <v>0</v>
      </c>
      <c r="K607" t="n">
        <v>0</v>
      </c>
      <c r="L607" t="n">
        <v>0</v>
      </c>
      <c r="M607" t="n">
        <v>0</v>
      </c>
      <c r="N607" t="n">
        <v>0</v>
      </c>
      <c r="O607" t="n">
        <v>0</v>
      </c>
      <c r="P607" t="n">
        <v>0</v>
      </c>
      <c r="Q607" t="n">
        <v>0</v>
      </c>
      <c r="R607" s="2" t="inlineStr"/>
    </row>
    <row r="608" ht="15" customHeight="1">
      <c r="A608" t="inlineStr">
        <is>
          <t>A 39231-2019</t>
        </is>
      </c>
      <c r="B608" s="1" t="n">
        <v>43690</v>
      </c>
      <c r="C608" s="1" t="n">
        <v>45757</v>
      </c>
      <c r="D608" t="inlineStr">
        <is>
          <t>VÄSTMANLANDS LÄN</t>
        </is>
      </c>
      <c r="E608" t="inlineStr">
        <is>
          <t>ARBOGA</t>
        </is>
      </c>
      <c r="G608" t="n">
        <v>22.7</v>
      </c>
      <c r="H608" t="n">
        <v>0</v>
      </c>
      <c r="I608" t="n">
        <v>0</v>
      </c>
      <c r="J608" t="n">
        <v>0</v>
      </c>
      <c r="K608" t="n">
        <v>0</v>
      </c>
      <c r="L608" t="n">
        <v>0</v>
      </c>
      <c r="M608" t="n">
        <v>0</v>
      </c>
      <c r="N608" t="n">
        <v>0</v>
      </c>
      <c r="O608" t="n">
        <v>0</v>
      </c>
      <c r="P608" t="n">
        <v>0</v>
      </c>
      <c r="Q608" t="n">
        <v>0</v>
      </c>
      <c r="R608" s="2" t="inlineStr"/>
    </row>
    <row r="609" ht="15" customHeight="1">
      <c r="A609" t="inlineStr">
        <is>
          <t>A 39497-2019</t>
        </is>
      </c>
      <c r="B609" s="1" t="n">
        <v>43691</v>
      </c>
      <c r="C609" s="1" t="n">
        <v>45757</v>
      </c>
      <c r="D609" t="inlineStr">
        <is>
          <t>VÄSTMANLANDS LÄN</t>
        </is>
      </c>
      <c r="E609" t="inlineStr">
        <is>
          <t>VÄSTERÅS</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39552-2019</t>
        </is>
      </c>
      <c r="B610" s="1" t="n">
        <v>43691</v>
      </c>
      <c r="C610" s="1" t="n">
        <v>45757</v>
      </c>
      <c r="D610" t="inlineStr">
        <is>
          <t>VÄSTMANLANDS LÄN</t>
        </is>
      </c>
      <c r="E610" t="inlineStr">
        <is>
          <t>SURAHAMMAR</t>
        </is>
      </c>
      <c r="F610" t="inlineStr">
        <is>
          <t>Övriga Aktiebolag</t>
        </is>
      </c>
      <c r="G610" t="n">
        <v>4.4</v>
      </c>
      <c r="H610" t="n">
        <v>0</v>
      </c>
      <c r="I610" t="n">
        <v>0</v>
      </c>
      <c r="J610" t="n">
        <v>0</v>
      </c>
      <c r="K610" t="n">
        <v>0</v>
      </c>
      <c r="L610" t="n">
        <v>0</v>
      </c>
      <c r="M610" t="n">
        <v>0</v>
      </c>
      <c r="N610" t="n">
        <v>0</v>
      </c>
      <c r="O610" t="n">
        <v>0</v>
      </c>
      <c r="P610" t="n">
        <v>0</v>
      </c>
      <c r="Q610" t="n">
        <v>0</v>
      </c>
      <c r="R610" s="2" t="inlineStr"/>
    </row>
    <row r="611" ht="15" customHeight="1">
      <c r="A611" t="inlineStr">
        <is>
          <t>A 39756-2019</t>
        </is>
      </c>
      <c r="B611" s="1" t="n">
        <v>43692</v>
      </c>
      <c r="C611" s="1" t="n">
        <v>45757</v>
      </c>
      <c r="D611" t="inlineStr">
        <is>
          <t>VÄSTMANLANDS LÄN</t>
        </is>
      </c>
      <c r="E611" t="inlineStr">
        <is>
          <t>VÄSTERÅS</t>
        </is>
      </c>
      <c r="F611" t="inlineStr">
        <is>
          <t>Kommuner</t>
        </is>
      </c>
      <c r="G611" t="n">
        <v>8</v>
      </c>
      <c r="H611" t="n">
        <v>0</v>
      </c>
      <c r="I611" t="n">
        <v>0</v>
      </c>
      <c r="J611" t="n">
        <v>0</v>
      </c>
      <c r="K611" t="n">
        <v>0</v>
      </c>
      <c r="L611" t="n">
        <v>0</v>
      </c>
      <c r="M611" t="n">
        <v>0</v>
      </c>
      <c r="N611" t="n">
        <v>0</v>
      </c>
      <c r="O611" t="n">
        <v>0</v>
      </c>
      <c r="P611" t="n">
        <v>0</v>
      </c>
      <c r="Q611" t="n">
        <v>0</v>
      </c>
      <c r="R611" s="2" t="inlineStr"/>
    </row>
    <row r="612" ht="15" customHeight="1">
      <c r="A612" t="inlineStr">
        <is>
          <t>A 39754-2019</t>
        </is>
      </c>
      <c r="B612" s="1" t="n">
        <v>43692</v>
      </c>
      <c r="C612" s="1" t="n">
        <v>45757</v>
      </c>
      <c r="D612" t="inlineStr">
        <is>
          <t>VÄSTMANLANDS LÄN</t>
        </is>
      </c>
      <c r="E612" t="inlineStr">
        <is>
          <t>SURAHAMMAR</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39803-2019</t>
        </is>
      </c>
      <c r="B613" s="1" t="n">
        <v>43692</v>
      </c>
      <c r="C613" s="1" t="n">
        <v>45757</v>
      </c>
      <c r="D613" t="inlineStr">
        <is>
          <t>VÄSTMANLANDS LÄN</t>
        </is>
      </c>
      <c r="E613" t="inlineStr">
        <is>
          <t>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40191-2019</t>
        </is>
      </c>
      <c r="B614" s="1" t="n">
        <v>43693</v>
      </c>
      <c r="C614" s="1" t="n">
        <v>45757</v>
      </c>
      <c r="D614" t="inlineStr">
        <is>
          <t>VÄSTMANLANDS LÄN</t>
        </is>
      </c>
      <c r="E614" t="inlineStr">
        <is>
          <t>SURAHAMMAR</t>
        </is>
      </c>
      <c r="F614" t="inlineStr">
        <is>
          <t>Bergvik skog väst AB</t>
        </is>
      </c>
      <c r="G614" t="n">
        <v>3.5</v>
      </c>
      <c r="H614" t="n">
        <v>0</v>
      </c>
      <c r="I614" t="n">
        <v>0</v>
      </c>
      <c r="J614" t="n">
        <v>0</v>
      </c>
      <c r="K614" t="n">
        <v>0</v>
      </c>
      <c r="L614" t="n">
        <v>0</v>
      </c>
      <c r="M614" t="n">
        <v>0</v>
      </c>
      <c r="N614" t="n">
        <v>0</v>
      </c>
      <c r="O614" t="n">
        <v>0</v>
      </c>
      <c r="P614" t="n">
        <v>0</v>
      </c>
      <c r="Q614" t="n">
        <v>0</v>
      </c>
      <c r="R614" s="2" t="inlineStr"/>
    </row>
    <row r="615" ht="15" customHeight="1">
      <c r="A615" t="inlineStr">
        <is>
          <t>A 40439-2019</t>
        </is>
      </c>
      <c r="B615" s="1" t="n">
        <v>43696</v>
      </c>
      <c r="C615" s="1" t="n">
        <v>45757</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40598-2019</t>
        </is>
      </c>
      <c r="B616" s="1" t="n">
        <v>43696</v>
      </c>
      <c r="C616" s="1" t="n">
        <v>45757</v>
      </c>
      <c r="D616" t="inlineStr">
        <is>
          <t>VÄSTMANLANDS LÄN</t>
        </is>
      </c>
      <c r="E616" t="inlineStr">
        <is>
          <t>SKINNSKATTEBERG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40923-2019</t>
        </is>
      </c>
      <c r="B617" s="1" t="n">
        <v>43697</v>
      </c>
      <c r="C617" s="1" t="n">
        <v>45757</v>
      </c>
      <c r="D617" t="inlineStr">
        <is>
          <t>VÄSTMANLANDS LÄN</t>
        </is>
      </c>
      <c r="E617" t="inlineStr">
        <is>
          <t>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40925-2019</t>
        </is>
      </c>
      <c r="B618" s="1" t="n">
        <v>43697</v>
      </c>
      <c r="C618" s="1" t="n">
        <v>45757</v>
      </c>
      <c r="D618" t="inlineStr">
        <is>
          <t>VÄSTMANLANDS LÄN</t>
        </is>
      </c>
      <c r="E618" t="inlineStr">
        <is>
          <t>KÖPING</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41300-2019</t>
        </is>
      </c>
      <c r="B619" s="1" t="n">
        <v>43698</v>
      </c>
      <c r="C619" s="1" t="n">
        <v>45757</v>
      </c>
      <c r="D619" t="inlineStr">
        <is>
          <t>VÄSTMANLANDS LÄN</t>
        </is>
      </c>
      <c r="E619" t="inlineStr">
        <is>
          <t>SKINNSKATTEBERG</t>
        </is>
      </c>
      <c r="G619" t="n">
        <v>2.2</v>
      </c>
      <c r="H619" t="n">
        <v>0</v>
      </c>
      <c r="I619" t="n">
        <v>0</v>
      </c>
      <c r="J619" t="n">
        <v>0</v>
      </c>
      <c r="K619" t="n">
        <v>0</v>
      </c>
      <c r="L619" t="n">
        <v>0</v>
      </c>
      <c r="M619" t="n">
        <v>0</v>
      </c>
      <c r="N619" t="n">
        <v>0</v>
      </c>
      <c r="O619" t="n">
        <v>0</v>
      </c>
      <c r="P619" t="n">
        <v>0</v>
      </c>
      <c r="Q619" t="n">
        <v>0</v>
      </c>
      <c r="R619" s="2" t="inlineStr"/>
    </row>
    <row r="620" ht="15" customHeight="1">
      <c r="A620" t="inlineStr">
        <is>
          <t>A 41259-2019</t>
        </is>
      </c>
      <c r="B620" s="1" t="n">
        <v>43698</v>
      </c>
      <c r="C620" s="1" t="n">
        <v>45757</v>
      </c>
      <c r="D620" t="inlineStr">
        <is>
          <t>VÄSTMANLANDS LÄN</t>
        </is>
      </c>
      <c r="E620" t="inlineStr">
        <is>
          <t>SALA</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41568-2019</t>
        </is>
      </c>
      <c r="B621" s="1" t="n">
        <v>43699</v>
      </c>
      <c r="C621" s="1" t="n">
        <v>45757</v>
      </c>
      <c r="D621" t="inlineStr">
        <is>
          <t>VÄSTMANLANDS LÄN</t>
        </is>
      </c>
      <c r="E621" t="inlineStr">
        <is>
          <t>KÖPING</t>
        </is>
      </c>
      <c r="G621" t="n">
        <v>7.3</v>
      </c>
      <c r="H621" t="n">
        <v>0</v>
      </c>
      <c r="I621" t="n">
        <v>0</v>
      </c>
      <c r="J621" t="n">
        <v>0</v>
      </c>
      <c r="K621" t="n">
        <v>0</v>
      </c>
      <c r="L621" t="n">
        <v>0</v>
      </c>
      <c r="M621" t="n">
        <v>0</v>
      </c>
      <c r="N621" t="n">
        <v>0</v>
      </c>
      <c r="O621" t="n">
        <v>0</v>
      </c>
      <c r="P621" t="n">
        <v>0</v>
      </c>
      <c r="Q621" t="n">
        <v>0</v>
      </c>
      <c r="R621" s="2" t="inlineStr"/>
    </row>
    <row r="622" ht="15" customHeight="1">
      <c r="A622" t="inlineStr">
        <is>
          <t>A 41630-2019</t>
        </is>
      </c>
      <c r="B622" s="1" t="n">
        <v>43699</v>
      </c>
      <c r="C622" s="1" t="n">
        <v>45757</v>
      </c>
      <c r="D622" t="inlineStr">
        <is>
          <t>VÄSTMANLANDS LÄN</t>
        </is>
      </c>
      <c r="E622" t="inlineStr">
        <is>
          <t>SKINNSKATTEBERG</t>
        </is>
      </c>
      <c r="G622" t="n">
        <v>6.5</v>
      </c>
      <c r="H622" t="n">
        <v>0</v>
      </c>
      <c r="I622" t="n">
        <v>0</v>
      </c>
      <c r="J622" t="n">
        <v>0</v>
      </c>
      <c r="K622" t="n">
        <v>0</v>
      </c>
      <c r="L622" t="n">
        <v>0</v>
      </c>
      <c r="M622" t="n">
        <v>0</v>
      </c>
      <c r="N622" t="n">
        <v>0</v>
      </c>
      <c r="O622" t="n">
        <v>0</v>
      </c>
      <c r="P622" t="n">
        <v>0</v>
      </c>
      <c r="Q622" t="n">
        <v>0</v>
      </c>
      <c r="R622" s="2" t="inlineStr"/>
    </row>
    <row r="623" ht="15" customHeight="1">
      <c r="A623" t="inlineStr">
        <is>
          <t>A 41762-2019</t>
        </is>
      </c>
      <c r="B623" s="1" t="n">
        <v>43699</v>
      </c>
      <c r="C623" s="1" t="n">
        <v>45757</v>
      </c>
      <c r="D623" t="inlineStr">
        <is>
          <t>VÄSTMANLANDS LÄN</t>
        </is>
      </c>
      <c r="E623" t="inlineStr">
        <is>
          <t>VÄSTERÅS</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42003-2019</t>
        </is>
      </c>
      <c r="B624" s="1" t="n">
        <v>43700</v>
      </c>
      <c r="C624" s="1" t="n">
        <v>45757</v>
      </c>
      <c r="D624" t="inlineStr">
        <is>
          <t>VÄSTMANLANDS LÄN</t>
        </is>
      </c>
      <c r="E624" t="inlineStr">
        <is>
          <t>ARBOGA</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42061-2019</t>
        </is>
      </c>
      <c r="B625" s="1" t="n">
        <v>43700</v>
      </c>
      <c r="C625" s="1" t="n">
        <v>45757</v>
      </c>
      <c r="D625" t="inlineStr">
        <is>
          <t>VÄSTMANLANDS LÄN</t>
        </is>
      </c>
      <c r="E625" t="inlineStr">
        <is>
          <t>VÄSTERÅS</t>
        </is>
      </c>
      <c r="G625" t="n">
        <v>4.2</v>
      </c>
      <c r="H625" t="n">
        <v>0</v>
      </c>
      <c r="I625" t="n">
        <v>0</v>
      </c>
      <c r="J625" t="n">
        <v>0</v>
      </c>
      <c r="K625" t="n">
        <v>0</v>
      </c>
      <c r="L625" t="n">
        <v>0</v>
      </c>
      <c r="M625" t="n">
        <v>0</v>
      </c>
      <c r="N625" t="n">
        <v>0</v>
      </c>
      <c r="O625" t="n">
        <v>0</v>
      </c>
      <c r="P625" t="n">
        <v>0</v>
      </c>
      <c r="Q625" t="n">
        <v>0</v>
      </c>
      <c r="R625" s="2" t="inlineStr"/>
    </row>
    <row r="626" ht="15" customHeight="1">
      <c r="A626" t="inlineStr">
        <is>
          <t>A 42058-2019</t>
        </is>
      </c>
      <c r="B626" s="1" t="n">
        <v>43700</v>
      </c>
      <c r="C626" s="1" t="n">
        <v>45757</v>
      </c>
      <c r="D626" t="inlineStr">
        <is>
          <t>VÄSTMANLANDS LÄN</t>
        </is>
      </c>
      <c r="E626" t="inlineStr">
        <is>
          <t>VÄSTERÅS</t>
        </is>
      </c>
      <c r="G626" t="n">
        <v>4.2</v>
      </c>
      <c r="H626" t="n">
        <v>0</v>
      </c>
      <c r="I626" t="n">
        <v>0</v>
      </c>
      <c r="J626" t="n">
        <v>0</v>
      </c>
      <c r="K626" t="n">
        <v>0</v>
      </c>
      <c r="L626" t="n">
        <v>0</v>
      </c>
      <c r="M626" t="n">
        <v>0</v>
      </c>
      <c r="N626" t="n">
        <v>0</v>
      </c>
      <c r="O626" t="n">
        <v>0</v>
      </c>
      <c r="P626" t="n">
        <v>0</v>
      </c>
      <c r="Q626" t="n">
        <v>0</v>
      </c>
      <c r="R626" s="2" t="inlineStr"/>
    </row>
    <row r="627" ht="15" customHeight="1">
      <c r="A627" t="inlineStr">
        <is>
          <t>A 42158-2019</t>
        </is>
      </c>
      <c r="B627" s="1" t="n">
        <v>43703</v>
      </c>
      <c r="C627" s="1" t="n">
        <v>45757</v>
      </c>
      <c r="D627" t="inlineStr">
        <is>
          <t>VÄSTMANLANDS LÄN</t>
        </is>
      </c>
      <c r="E627" t="inlineStr">
        <is>
          <t>VÄSTERÅS</t>
        </is>
      </c>
      <c r="G627" t="n">
        <v>1.1</v>
      </c>
      <c r="H627" t="n">
        <v>0</v>
      </c>
      <c r="I627" t="n">
        <v>0</v>
      </c>
      <c r="J627" t="n">
        <v>0</v>
      </c>
      <c r="K627" t="n">
        <v>0</v>
      </c>
      <c r="L627" t="n">
        <v>0</v>
      </c>
      <c r="M627" t="n">
        <v>0</v>
      </c>
      <c r="N627" t="n">
        <v>0</v>
      </c>
      <c r="O627" t="n">
        <v>0</v>
      </c>
      <c r="P627" t="n">
        <v>0</v>
      </c>
      <c r="Q627" t="n">
        <v>0</v>
      </c>
      <c r="R627" s="2" t="inlineStr"/>
    </row>
    <row r="628" ht="15" customHeight="1">
      <c r="A628" t="inlineStr">
        <is>
          <t>A 42385-2019</t>
        </is>
      </c>
      <c r="B628" s="1" t="n">
        <v>43703</v>
      </c>
      <c r="C628" s="1" t="n">
        <v>45757</v>
      </c>
      <c r="D628" t="inlineStr">
        <is>
          <t>VÄSTMANLANDS LÄN</t>
        </is>
      </c>
      <c r="E628" t="inlineStr">
        <is>
          <t>VÄSTERÅS</t>
        </is>
      </c>
      <c r="G628" t="n">
        <v>2.5</v>
      </c>
      <c r="H628" t="n">
        <v>0</v>
      </c>
      <c r="I628" t="n">
        <v>0</v>
      </c>
      <c r="J628" t="n">
        <v>0</v>
      </c>
      <c r="K628" t="n">
        <v>0</v>
      </c>
      <c r="L628" t="n">
        <v>0</v>
      </c>
      <c r="M628" t="n">
        <v>0</v>
      </c>
      <c r="N628" t="n">
        <v>0</v>
      </c>
      <c r="O628" t="n">
        <v>0</v>
      </c>
      <c r="P628" t="n">
        <v>0</v>
      </c>
      <c r="Q628" t="n">
        <v>0</v>
      </c>
      <c r="R628" s="2" t="inlineStr"/>
    </row>
    <row r="629" ht="15" customHeight="1">
      <c r="A629" t="inlineStr">
        <is>
          <t>A 42438-2019</t>
        </is>
      </c>
      <c r="B629" s="1" t="n">
        <v>43704</v>
      </c>
      <c r="C629" s="1" t="n">
        <v>45757</v>
      </c>
      <c r="D629" t="inlineStr">
        <is>
          <t>VÄSTMANLANDS LÄN</t>
        </is>
      </c>
      <c r="E629" t="inlineStr">
        <is>
          <t>KÖPING</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42437-2019</t>
        </is>
      </c>
      <c r="B630" s="1" t="n">
        <v>43704</v>
      </c>
      <c r="C630" s="1" t="n">
        <v>45757</v>
      </c>
      <c r="D630" t="inlineStr">
        <is>
          <t>VÄSTMANLANDS LÄN</t>
        </is>
      </c>
      <c r="E630" t="inlineStr">
        <is>
          <t>KÖPING</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42480-2019</t>
        </is>
      </c>
      <c r="B631" s="1" t="n">
        <v>43704</v>
      </c>
      <c r="C631" s="1" t="n">
        <v>45757</v>
      </c>
      <c r="D631" t="inlineStr">
        <is>
          <t>VÄSTMANLANDS LÄN</t>
        </is>
      </c>
      <c r="E631" t="inlineStr">
        <is>
          <t>KÖPING</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43235-2019</t>
        </is>
      </c>
      <c r="B632" s="1" t="n">
        <v>43706</v>
      </c>
      <c r="C632" s="1" t="n">
        <v>45757</v>
      </c>
      <c r="D632" t="inlineStr">
        <is>
          <t>VÄSTMANLANDS LÄN</t>
        </is>
      </c>
      <c r="E632" t="inlineStr">
        <is>
          <t>VÄSTERÅS</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43508-2019</t>
        </is>
      </c>
      <c r="B633" s="1" t="n">
        <v>43706</v>
      </c>
      <c r="C633" s="1" t="n">
        <v>45757</v>
      </c>
      <c r="D633" t="inlineStr">
        <is>
          <t>VÄSTMANLANDS LÄN</t>
        </is>
      </c>
      <c r="E633" t="inlineStr">
        <is>
          <t>VÄSTERÅS</t>
        </is>
      </c>
      <c r="G633" t="n">
        <v>2.5</v>
      </c>
      <c r="H633" t="n">
        <v>0</v>
      </c>
      <c r="I633" t="n">
        <v>0</v>
      </c>
      <c r="J633" t="n">
        <v>0</v>
      </c>
      <c r="K633" t="n">
        <v>0</v>
      </c>
      <c r="L633" t="n">
        <v>0</v>
      </c>
      <c r="M633" t="n">
        <v>0</v>
      </c>
      <c r="N633" t="n">
        <v>0</v>
      </c>
      <c r="O633" t="n">
        <v>0</v>
      </c>
      <c r="P633" t="n">
        <v>0</v>
      </c>
      <c r="Q633" t="n">
        <v>0</v>
      </c>
      <c r="R633" s="2" t="inlineStr"/>
    </row>
    <row r="634" ht="15" customHeight="1">
      <c r="A634" t="inlineStr">
        <is>
          <t>A 43724-2019</t>
        </is>
      </c>
      <c r="B634" s="1" t="n">
        <v>43707</v>
      </c>
      <c r="C634" s="1" t="n">
        <v>45757</v>
      </c>
      <c r="D634" t="inlineStr">
        <is>
          <t>VÄSTMANLANDS LÄN</t>
        </is>
      </c>
      <c r="E634" t="inlineStr">
        <is>
          <t>ARBOGA</t>
        </is>
      </c>
      <c r="G634" t="n">
        <v>4.1</v>
      </c>
      <c r="H634" t="n">
        <v>0</v>
      </c>
      <c r="I634" t="n">
        <v>0</v>
      </c>
      <c r="J634" t="n">
        <v>0</v>
      </c>
      <c r="K634" t="n">
        <v>0</v>
      </c>
      <c r="L634" t="n">
        <v>0</v>
      </c>
      <c r="M634" t="n">
        <v>0</v>
      </c>
      <c r="N634" t="n">
        <v>0</v>
      </c>
      <c r="O634" t="n">
        <v>0</v>
      </c>
      <c r="P634" t="n">
        <v>0</v>
      </c>
      <c r="Q634" t="n">
        <v>0</v>
      </c>
      <c r="R634" s="2" t="inlineStr"/>
    </row>
    <row r="635" ht="15" customHeight="1">
      <c r="A635" t="inlineStr">
        <is>
          <t>A 43866-2019</t>
        </is>
      </c>
      <c r="B635" s="1" t="n">
        <v>43707</v>
      </c>
      <c r="C635" s="1" t="n">
        <v>45757</v>
      </c>
      <c r="D635" t="inlineStr">
        <is>
          <t>VÄSTMANLANDS LÄN</t>
        </is>
      </c>
      <c r="E635" t="inlineStr">
        <is>
          <t>SKINNSKATTEBERG</t>
        </is>
      </c>
      <c r="F635" t="inlineStr">
        <is>
          <t>Sveaskog</t>
        </is>
      </c>
      <c r="G635" t="n">
        <v>2.1</v>
      </c>
      <c r="H635" t="n">
        <v>0</v>
      </c>
      <c r="I635" t="n">
        <v>0</v>
      </c>
      <c r="J635" t="n">
        <v>0</v>
      </c>
      <c r="K635" t="n">
        <v>0</v>
      </c>
      <c r="L635" t="n">
        <v>0</v>
      </c>
      <c r="M635" t="n">
        <v>0</v>
      </c>
      <c r="N635" t="n">
        <v>0</v>
      </c>
      <c r="O635" t="n">
        <v>0</v>
      </c>
      <c r="P635" t="n">
        <v>0</v>
      </c>
      <c r="Q635" t="n">
        <v>0</v>
      </c>
      <c r="R635" s="2" t="inlineStr"/>
    </row>
    <row r="636" ht="15" customHeight="1">
      <c r="A636" t="inlineStr">
        <is>
          <t>A 43920-2019</t>
        </is>
      </c>
      <c r="B636" s="1" t="n">
        <v>43707</v>
      </c>
      <c r="C636" s="1" t="n">
        <v>45757</v>
      </c>
      <c r="D636" t="inlineStr">
        <is>
          <t>VÄSTMANLANDS LÄN</t>
        </is>
      </c>
      <c r="E636" t="inlineStr">
        <is>
          <t>KUNGSÖR</t>
        </is>
      </c>
      <c r="G636" t="n">
        <v>4.3</v>
      </c>
      <c r="H636" t="n">
        <v>0</v>
      </c>
      <c r="I636" t="n">
        <v>0</v>
      </c>
      <c r="J636" t="n">
        <v>0</v>
      </c>
      <c r="K636" t="n">
        <v>0</v>
      </c>
      <c r="L636" t="n">
        <v>0</v>
      </c>
      <c r="M636" t="n">
        <v>0</v>
      </c>
      <c r="N636" t="n">
        <v>0</v>
      </c>
      <c r="O636" t="n">
        <v>0</v>
      </c>
      <c r="P636" t="n">
        <v>0</v>
      </c>
      <c r="Q636" t="n">
        <v>0</v>
      </c>
      <c r="R636" s="2" t="inlineStr"/>
    </row>
    <row r="637" ht="15" customHeight="1">
      <c r="A637" t="inlineStr">
        <is>
          <t>A 45302-2019</t>
        </is>
      </c>
      <c r="B637" s="1" t="n">
        <v>43707</v>
      </c>
      <c r="C637" s="1" t="n">
        <v>45757</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43865-2019</t>
        </is>
      </c>
      <c r="B638" s="1" t="n">
        <v>43707</v>
      </c>
      <c r="C638" s="1" t="n">
        <v>45757</v>
      </c>
      <c r="D638" t="inlineStr">
        <is>
          <t>VÄSTMANLANDS LÄN</t>
        </is>
      </c>
      <c r="E638" t="inlineStr">
        <is>
          <t>SKINNSKATTEBERG</t>
        </is>
      </c>
      <c r="F638" t="inlineStr">
        <is>
          <t>Sveaskog</t>
        </is>
      </c>
      <c r="G638" t="n">
        <v>4.2</v>
      </c>
      <c r="H638" t="n">
        <v>0</v>
      </c>
      <c r="I638" t="n">
        <v>0</v>
      </c>
      <c r="J638" t="n">
        <v>0</v>
      </c>
      <c r="K638" t="n">
        <v>0</v>
      </c>
      <c r="L638" t="n">
        <v>0</v>
      </c>
      <c r="M638" t="n">
        <v>0</v>
      </c>
      <c r="N638" t="n">
        <v>0</v>
      </c>
      <c r="O638" t="n">
        <v>0</v>
      </c>
      <c r="P638" t="n">
        <v>0</v>
      </c>
      <c r="Q638" t="n">
        <v>0</v>
      </c>
      <c r="R638" s="2" t="inlineStr"/>
    </row>
    <row r="639" ht="15" customHeight="1">
      <c r="A639" t="inlineStr">
        <is>
          <t>A 44140-2019</t>
        </is>
      </c>
      <c r="B639" s="1" t="n">
        <v>43709</v>
      </c>
      <c r="C639" s="1" t="n">
        <v>45757</v>
      </c>
      <c r="D639" t="inlineStr">
        <is>
          <t>VÄSTMANLANDS LÄN</t>
        </is>
      </c>
      <c r="E639" t="inlineStr">
        <is>
          <t>VÄSTERÅS</t>
        </is>
      </c>
      <c r="G639" t="n">
        <v>4.1</v>
      </c>
      <c r="H639" t="n">
        <v>0</v>
      </c>
      <c r="I639" t="n">
        <v>0</v>
      </c>
      <c r="J639" t="n">
        <v>0</v>
      </c>
      <c r="K639" t="n">
        <v>0</v>
      </c>
      <c r="L639" t="n">
        <v>0</v>
      </c>
      <c r="M639" t="n">
        <v>0</v>
      </c>
      <c r="N639" t="n">
        <v>0</v>
      </c>
      <c r="O639" t="n">
        <v>0</v>
      </c>
      <c r="P639" t="n">
        <v>0</v>
      </c>
      <c r="Q639" t="n">
        <v>0</v>
      </c>
      <c r="R639" s="2" t="inlineStr"/>
    </row>
    <row r="640" ht="15" customHeight="1">
      <c r="A640" t="inlineStr">
        <is>
          <t>A 44131-2019</t>
        </is>
      </c>
      <c r="B640" s="1" t="n">
        <v>43709</v>
      </c>
      <c r="C640" s="1" t="n">
        <v>45757</v>
      </c>
      <c r="D640" t="inlineStr">
        <is>
          <t>VÄSTMANLANDS LÄN</t>
        </is>
      </c>
      <c r="E640" t="inlineStr">
        <is>
          <t>VÄSTERÅS</t>
        </is>
      </c>
      <c r="G640" t="n">
        <v>2.1</v>
      </c>
      <c r="H640" t="n">
        <v>0</v>
      </c>
      <c r="I640" t="n">
        <v>0</v>
      </c>
      <c r="J640" t="n">
        <v>0</v>
      </c>
      <c r="K640" t="n">
        <v>0</v>
      </c>
      <c r="L640" t="n">
        <v>0</v>
      </c>
      <c r="M640" t="n">
        <v>0</v>
      </c>
      <c r="N640" t="n">
        <v>0</v>
      </c>
      <c r="O640" t="n">
        <v>0</v>
      </c>
      <c r="P640" t="n">
        <v>0</v>
      </c>
      <c r="Q640" t="n">
        <v>0</v>
      </c>
      <c r="R640" s="2" t="inlineStr"/>
    </row>
    <row r="641" ht="15" customHeight="1">
      <c r="A641" t="inlineStr">
        <is>
          <t>A 45467-2019</t>
        </is>
      </c>
      <c r="B641" s="1" t="n">
        <v>43710</v>
      </c>
      <c r="C641" s="1" t="n">
        <v>45757</v>
      </c>
      <c r="D641" t="inlineStr">
        <is>
          <t>VÄSTMANLANDS LÄN</t>
        </is>
      </c>
      <c r="E641" t="inlineStr">
        <is>
          <t>NORBERG</t>
        </is>
      </c>
      <c r="G641" t="n">
        <v>3.7</v>
      </c>
      <c r="H641" t="n">
        <v>0</v>
      </c>
      <c r="I641" t="n">
        <v>0</v>
      </c>
      <c r="J641" t="n">
        <v>0</v>
      </c>
      <c r="K641" t="n">
        <v>0</v>
      </c>
      <c r="L641" t="n">
        <v>0</v>
      </c>
      <c r="M641" t="n">
        <v>0</v>
      </c>
      <c r="N641" t="n">
        <v>0</v>
      </c>
      <c r="O641" t="n">
        <v>0</v>
      </c>
      <c r="P641" t="n">
        <v>0</v>
      </c>
      <c r="Q641" t="n">
        <v>0</v>
      </c>
      <c r="R641" s="2" t="inlineStr"/>
    </row>
    <row r="642" ht="15" customHeight="1">
      <c r="A642" t="inlineStr">
        <is>
          <t>A 44694-2019</t>
        </is>
      </c>
      <c r="B642" s="1" t="n">
        <v>43712</v>
      </c>
      <c r="C642" s="1" t="n">
        <v>45757</v>
      </c>
      <c r="D642" t="inlineStr">
        <is>
          <t>VÄSTMANLANDS LÄN</t>
        </is>
      </c>
      <c r="E642" t="inlineStr">
        <is>
          <t>VÄSTERÅS</t>
        </is>
      </c>
      <c r="G642" t="n">
        <v>0.4</v>
      </c>
      <c r="H642" t="n">
        <v>0</v>
      </c>
      <c r="I642" t="n">
        <v>0</v>
      </c>
      <c r="J642" t="n">
        <v>0</v>
      </c>
      <c r="K642" t="n">
        <v>0</v>
      </c>
      <c r="L642" t="n">
        <v>0</v>
      </c>
      <c r="M642" t="n">
        <v>0</v>
      </c>
      <c r="N642" t="n">
        <v>0</v>
      </c>
      <c r="O642" t="n">
        <v>0</v>
      </c>
      <c r="P642" t="n">
        <v>0</v>
      </c>
      <c r="Q642" t="n">
        <v>0</v>
      </c>
      <c r="R642" s="2" t="inlineStr"/>
    </row>
    <row r="643" ht="15" customHeight="1">
      <c r="A643" t="inlineStr">
        <is>
          <t>A 44699-2019</t>
        </is>
      </c>
      <c r="B643" s="1" t="n">
        <v>43712</v>
      </c>
      <c r="C643" s="1" t="n">
        <v>45757</v>
      </c>
      <c r="D643" t="inlineStr">
        <is>
          <t>VÄSTMANLANDS LÄN</t>
        </is>
      </c>
      <c r="E643" t="inlineStr">
        <is>
          <t>KUNGSÖR</t>
        </is>
      </c>
      <c r="G643" t="n">
        <v>2.9</v>
      </c>
      <c r="H643" t="n">
        <v>0</v>
      </c>
      <c r="I643" t="n">
        <v>0</v>
      </c>
      <c r="J643" t="n">
        <v>0</v>
      </c>
      <c r="K643" t="n">
        <v>0</v>
      </c>
      <c r="L643" t="n">
        <v>0</v>
      </c>
      <c r="M643" t="n">
        <v>0</v>
      </c>
      <c r="N643" t="n">
        <v>0</v>
      </c>
      <c r="O643" t="n">
        <v>0</v>
      </c>
      <c r="P643" t="n">
        <v>0</v>
      </c>
      <c r="Q643" t="n">
        <v>0</v>
      </c>
      <c r="R643" s="2" t="inlineStr"/>
    </row>
    <row r="644" ht="15" customHeight="1">
      <c r="A644" t="inlineStr">
        <is>
          <t>A 44715-2019</t>
        </is>
      </c>
      <c r="B644" s="1" t="n">
        <v>43712</v>
      </c>
      <c r="C644" s="1" t="n">
        <v>45757</v>
      </c>
      <c r="D644" t="inlineStr">
        <is>
          <t>VÄSTMANLANDS LÄN</t>
        </is>
      </c>
      <c r="E644" t="inlineStr">
        <is>
          <t>VÄSTERÅS</t>
        </is>
      </c>
      <c r="G644" t="n">
        <v>2.7</v>
      </c>
      <c r="H644" t="n">
        <v>0</v>
      </c>
      <c r="I644" t="n">
        <v>0</v>
      </c>
      <c r="J644" t="n">
        <v>0</v>
      </c>
      <c r="K644" t="n">
        <v>0</v>
      </c>
      <c r="L644" t="n">
        <v>0</v>
      </c>
      <c r="M644" t="n">
        <v>0</v>
      </c>
      <c r="N644" t="n">
        <v>0</v>
      </c>
      <c r="O644" t="n">
        <v>0</v>
      </c>
      <c r="P644" t="n">
        <v>0</v>
      </c>
      <c r="Q644" t="n">
        <v>0</v>
      </c>
      <c r="R644" s="2" t="inlineStr"/>
    </row>
    <row r="645" ht="15" customHeight="1">
      <c r="A645" t="inlineStr">
        <is>
          <t>A 44730-2019</t>
        </is>
      </c>
      <c r="B645" s="1" t="n">
        <v>43712</v>
      </c>
      <c r="C645" s="1" t="n">
        <v>45757</v>
      </c>
      <c r="D645" t="inlineStr">
        <is>
          <t>VÄSTMANLANDS LÄN</t>
        </is>
      </c>
      <c r="E645" t="inlineStr">
        <is>
          <t>VÄSTERÅS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44813-2019</t>
        </is>
      </c>
      <c r="B646" s="1" t="n">
        <v>43712</v>
      </c>
      <c r="C646" s="1" t="n">
        <v>45757</v>
      </c>
      <c r="D646" t="inlineStr">
        <is>
          <t>VÄSTMANLANDS LÄN</t>
        </is>
      </c>
      <c r="E646" t="inlineStr">
        <is>
          <t>VÄSTERÅS</t>
        </is>
      </c>
      <c r="G646" t="n">
        <v>0.4</v>
      </c>
      <c r="H646" t="n">
        <v>0</v>
      </c>
      <c r="I646" t="n">
        <v>0</v>
      </c>
      <c r="J646" t="n">
        <v>0</v>
      </c>
      <c r="K646" t="n">
        <v>0</v>
      </c>
      <c r="L646" t="n">
        <v>0</v>
      </c>
      <c r="M646" t="n">
        <v>0</v>
      </c>
      <c r="N646" t="n">
        <v>0</v>
      </c>
      <c r="O646" t="n">
        <v>0</v>
      </c>
      <c r="P646" t="n">
        <v>0</v>
      </c>
      <c r="Q646" t="n">
        <v>0</v>
      </c>
      <c r="R646" s="2" t="inlineStr"/>
    </row>
    <row r="647" ht="15" customHeight="1">
      <c r="A647" t="inlineStr">
        <is>
          <t>A 44840-2019</t>
        </is>
      </c>
      <c r="B647" s="1" t="n">
        <v>43712</v>
      </c>
      <c r="C647" s="1" t="n">
        <v>45757</v>
      </c>
      <c r="D647" t="inlineStr">
        <is>
          <t>VÄSTMANLANDS LÄN</t>
        </is>
      </c>
      <c r="E647" t="inlineStr">
        <is>
          <t>KUNGSÖR</t>
        </is>
      </c>
      <c r="G647" t="n">
        <v>0.5</v>
      </c>
      <c r="H647" t="n">
        <v>0</v>
      </c>
      <c r="I647" t="n">
        <v>0</v>
      </c>
      <c r="J647" t="n">
        <v>0</v>
      </c>
      <c r="K647" t="n">
        <v>0</v>
      </c>
      <c r="L647" t="n">
        <v>0</v>
      </c>
      <c r="M647" t="n">
        <v>0</v>
      </c>
      <c r="N647" t="n">
        <v>0</v>
      </c>
      <c r="O647" t="n">
        <v>0</v>
      </c>
      <c r="P647" t="n">
        <v>0</v>
      </c>
      <c r="Q647" t="n">
        <v>0</v>
      </c>
      <c r="R647" s="2" t="inlineStr"/>
    </row>
    <row r="648" ht="15" customHeight="1">
      <c r="A648" t="inlineStr">
        <is>
          <t>A 44959-2019</t>
        </is>
      </c>
      <c r="B648" s="1" t="n">
        <v>43713</v>
      </c>
      <c r="C648" s="1" t="n">
        <v>45757</v>
      </c>
      <c r="D648" t="inlineStr">
        <is>
          <t>VÄSTMANLANDS LÄN</t>
        </is>
      </c>
      <c r="E648" t="inlineStr">
        <is>
          <t>VÄSTERÅS</t>
        </is>
      </c>
      <c r="G648" t="n">
        <v>1.3</v>
      </c>
      <c r="H648" t="n">
        <v>0</v>
      </c>
      <c r="I648" t="n">
        <v>0</v>
      </c>
      <c r="J648" t="n">
        <v>0</v>
      </c>
      <c r="K648" t="n">
        <v>0</v>
      </c>
      <c r="L648" t="n">
        <v>0</v>
      </c>
      <c r="M648" t="n">
        <v>0</v>
      </c>
      <c r="N648" t="n">
        <v>0</v>
      </c>
      <c r="O648" t="n">
        <v>0</v>
      </c>
      <c r="P648" t="n">
        <v>0</v>
      </c>
      <c r="Q648" t="n">
        <v>0</v>
      </c>
      <c r="R648" s="2" t="inlineStr"/>
    </row>
    <row r="649" ht="15" customHeight="1">
      <c r="A649" t="inlineStr">
        <is>
          <t>A 45251-2019</t>
        </is>
      </c>
      <c r="B649" s="1" t="n">
        <v>43713</v>
      </c>
      <c r="C649" s="1" t="n">
        <v>45757</v>
      </c>
      <c r="D649" t="inlineStr">
        <is>
          <t>VÄSTMANLANDS LÄN</t>
        </is>
      </c>
      <c r="E649" t="inlineStr">
        <is>
          <t>VÄSTERÅS</t>
        </is>
      </c>
      <c r="G649" t="n">
        <v>34.2</v>
      </c>
      <c r="H649" t="n">
        <v>0</v>
      </c>
      <c r="I649" t="n">
        <v>0</v>
      </c>
      <c r="J649" t="n">
        <v>0</v>
      </c>
      <c r="K649" t="n">
        <v>0</v>
      </c>
      <c r="L649" t="n">
        <v>0</v>
      </c>
      <c r="M649" t="n">
        <v>0</v>
      </c>
      <c r="N649" t="n">
        <v>0</v>
      </c>
      <c r="O649" t="n">
        <v>0</v>
      </c>
      <c r="P649" t="n">
        <v>0</v>
      </c>
      <c r="Q649" t="n">
        <v>0</v>
      </c>
      <c r="R649" s="2" t="inlineStr"/>
    </row>
    <row r="650" ht="15" customHeight="1">
      <c r="A650" t="inlineStr">
        <is>
          <t>A 45494-2019</t>
        </is>
      </c>
      <c r="B650" s="1" t="n">
        <v>43714</v>
      </c>
      <c r="C650" s="1" t="n">
        <v>45757</v>
      </c>
      <c r="D650" t="inlineStr">
        <is>
          <t>VÄSTMANLANDS LÄN</t>
        </is>
      </c>
      <c r="E650" t="inlineStr">
        <is>
          <t>ARBOGA</t>
        </is>
      </c>
      <c r="F650" t="inlineStr">
        <is>
          <t>Allmännings- och besparingsskogar</t>
        </is>
      </c>
      <c r="G650" t="n">
        <v>1.8</v>
      </c>
      <c r="H650" t="n">
        <v>0</v>
      </c>
      <c r="I650" t="n">
        <v>0</v>
      </c>
      <c r="J650" t="n">
        <v>0</v>
      </c>
      <c r="K650" t="n">
        <v>0</v>
      </c>
      <c r="L650" t="n">
        <v>0</v>
      </c>
      <c r="M650" t="n">
        <v>0</v>
      </c>
      <c r="N650" t="n">
        <v>0</v>
      </c>
      <c r="O650" t="n">
        <v>0</v>
      </c>
      <c r="P650" t="n">
        <v>0</v>
      </c>
      <c r="Q650" t="n">
        <v>0</v>
      </c>
      <c r="R650" s="2" t="inlineStr"/>
    </row>
    <row r="651" ht="15" customHeight="1">
      <c r="A651" t="inlineStr">
        <is>
          <t>A 45880-2019</t>
        </is>
      </c>
      <c r="B651" s="1" t="n">
        <v>43717</v>
      </c>
      <c r="C651" s="1" t="n">
        <v>45757</v>
      </c>
      <c r="D651" t="inlineStr">
        <is>
          <t>VÄSTMANLANDS LÄN</t>
        </is>
      </c>
      <c r="E651" t="inlineStr">
        <is>
          <t>ARBOGA</t>
        </is>
      </c>
      <c r="G651" t="n">
        <v>0.6</v>
      </c>
      <c r="H651" t="n">
        <v>0</v>
      </c>
      <c r="I651" t="n">
        <v>0</v>
      </c>
      <c r="J651" t="n">
        <v>0</v>
      </c>
      <c r="K651" t="n">
        <v>0</v>
      </c>
      <c r="L651" t="n">
        <v>0</v>
      </c>
      <c r="M651" t="n">
        <v>0</v>
      </c>
      <c r="N651" t="n">
        <v>0</v>
      </c>
      <c r="O651" t="n">
        <v>0</v>
      </c>
      <c r="P651" t="n">
        <v>0</v>
      </c>
      <c r="Q651" t="n">
        <v>0</v>
      </c>
      <c r="R651" s="2" t="inlineStr"/>
    </row>
    <row r="652" ht="15" customHeight="1">
      <c r="A652" t="inlineStr">
        <is>
          <t>A 46303-2019</t>
        </is>
      </c>
      <c r="B652" s="1" t="n">
        <v>43718</v>
      </c>
      <c r="C652" s="1" t="n">
        <v>45757</v>
      </c>
      <c r="D652" t="inlineStr">
        <is>
          <t>VÄSTMANLANDS LÄN</t>
        </is>
      </c>
      <c r="E652" t="inlineStr">
        <is>
          <t>KÖPING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46306-2019</t>
        </is>
      </c>
      <c r="B653" s="1" t="n">
        <v>43718</v>
      </c>
      <c r="C653" s="1" t="n">
        <v>45757</v>
      </c>
      <c r="D653" t="inlineStr">
        <is>
          <t>VÄSTMANLANDS LÄN</t>
        </is>
      </c>
      <c r="E653" t="inlineStr">
        <is>
          <t>KÖPING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46523-2019</t>
        </is>
      </c>
      <c r="B654" s="1" t="n">
        <v>43719</v>
      </c>
      <c r="C654" s="1" t="n">
        <v>45757</v>
      </c>
      <c r="D654" t="inlineStr">
        <is>
          <t>VÄSTMANLANDS LÄN</t>
        </is>
      </c>
      <c r="E654" t="inlineStr">
        <is>
          <t>SKINNSKATTEBERG</t>
        </is>
      </c>
      <c r="F654" t="inlineStr">
        <is>
          <t>Sveaskog</t>
        </is>
      </c>
      <c r="G654" t="n">
        <v>4.7</v>
      </c>
      <c r="H654" t="n">
        <v>0</v>
      </c>
      <c r="I654" t="n">
        <v>0</v>
      </c>
      <c r="J654" t="n">
        <v>0</v>
      </c>
      <c r="K654" t="n">
        <v>0</v>
      </c>
      <c r="L654" t="n">
        <v>0</v>
      </c>
      <c r="M654" t="n">
        <v>0</v>
      </c>
      <c r="N654" t="n">
        <v>0</v>
      </c>
      <c r="O654" t="n">
        <v>0</v>
      </c>
      <c r="P654" t="n">
        <v>0</v>
      </c>
      <c r="Q654" t="n">
        <v>0</v>
      </c>
      <c r="R654" s="2" t="inlineStr"/>
    </row>
    <row r="655" ht="15" customHeight="1">
      <c r="A655" t="inlineStr">
        <is>
          <t>A 46586-2019</t>
        </is>
      </c>
      <c r="B655" s="1" t="n">
        <v>43719</v>
      </c>
      <c r="C655" s="1" t="n">
        <v>45757</v>
      </c>
      <c r="D655" t="inlineStr">
        <is>
          <t>VÄSTMANLANDS LÄN</t>
        </is>
      </c>
      <c r="E655" t="inlineStr">
        <is>
          <t>SKINNSKATTEBERG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46607-2019</t>
        </is>
      </c>
      <c r="B656" s="1" t="n">
        <v>43719</v>
      </c>
      <c r="C656" s="1" t="n">
        <v>45757</v>
      </c>
      <c r="D656" t="inlineStr">
        <is>
          <t>VÄSTMANLANDS LÄN</t>
        </is>
      </c>
      <c r="E656" t="inlineStr">
        <is>
          <t>ARBOGA</t>
        </is>
      </c>
      <c r="G656" t="n">
        <v>1.5</v>
      </c>
      <c r="H656" t="n">
        <v>0</v>
      </c>
      <c r="I656" t="n">
        <v>0</v>
      </c>
      <c r="J656" t="n">
        <v>0</v>
      </c>
      <c r="K656" t="n">
        <v>0</v>
      </c>
      <c r="L656" t="n">
        <v>0</v>
      </c>
      <c r="M656" t="n">
        <v>0</v>
      </c>
      <c r="N656" t="n">
        <v>0</v>
      </c>
      <c r="O656" t="n">
        <v>0</v>
      </c>
      <c r="P656" t="n">
        <v>0</v>
      </c>
      <c r="Q656" t="n">
        <v>0</v>
      </c>
      <c r="R656" s="2" t="inlineStr"/>
    </row>
    <row r="657" ht="15" customHeight="1">
      <c r="A657" t="inlineStr">
        <is>
          <t>A 46588-2019</t>
        </is>
      </c>
      <c r="B657" s="1" t="n">
        <v>43719</v>
      </c>
      <c r="C657" s="1" t="n">
        <v>45757</v>
      </c>
      <c r="D657" t="inlineStr">
        <is>
          <t>VÄSTMANLANDS LÄN</t>
        </is>
      </c>
      <c r="E657" t="inlineStr">
        <is>
          <t>SKINNSKATTEBERG</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46936-2019</t>
        </is>
      </c>
      <c r="B658" s="1" t="n">
        <v>43719</v>
      </c>
      <c r="C658" s="1" t="n">
        <v>45757</v>
      </c>
      <c r="D658" t="inlineStr">
        <is>
          <t>VÄSTMANLANDS LÄN</t>
        </is>
      </c>
      <c r="E658" t="inlineStr">
        <is>
          <t>SALA</t>
        </is>
      </c>
      <c r="G658" t="n">
        <v>4.6</v>
      </c>
      <c r="H658" t="n">
        <v>0</v>
      </c>
      <c r="I658" t="n">
        <v>0</v>
      </c>
      <c r="J658" t="n">
        <v>0</v>
      </c>
      <c r="K658" t="n">
        <v>0</v>
      </c>
      <c r="L658" t="n">
        <v>0</v>
      </c>
      <c r="M658" t="n">
        <v>0</v>
      </c>
      <c r="N658" t="n">
        <v>0</v>
      </c>
      <c r="O658" t="n">
        <v>0</v>
      </c>
      <c r="P658" t="n">
        <v>0</v>
      </c>
      <c r="Q658" t="n">
        <v>0</v>
      </c>
      <c r="R658" s="2" t="inlineStr"/>
    </row>
    <row r="659" ht="15" customHeight="1">
      <c r="A659" t="inlineStr">
        <is>
          <t>A 46591-2019</t>
        </is>
      </c>
      <c r="B659" s="1" t="n">
        <v>43719</v>
      </c>
      <c r="C659" s="1" t="n">
        <v>45757</v>
      </c>
      <c r="D659" t="inlineStr">
        <is>
          <t>VÄSTMANLANDS LÄN</t>
        </is>
      </c>
      <c r="E659" t="inlineStr">
        <is>
          <t>SKINNSKATTEBERG</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46906-2019</t>
        </is>
      </c>
      <c r="B660" s="1" t="n">
        <v>43720</v>
      </c>
      <c r="C660" s="1" t="n">
        <v>45757</v>
      </c>
      <c r="D660" t="inlineStr">
        <is>
          <t>VÄSTMANLANDS LÄN</t>
        </is>
      </c>
      <c r="E660" t="inlineStr">
        <is>
          <t>ARBOGA</t>
        </is>
      </c>
      <c r="G660" t="n">
        <v>0.9</v>
      </c>
      <c r="H660" t="n">
        <v>0</v>
      </c>
      <c r="I660" t="n">
        <v>0</v>
      </c>
      <c r="J660" t="n">
        <v>0</v>
      </c>
      <c r="K660" t="n">
        <v>0</v>
      </c>
      <c r="L660" t="n">
        <v>0</v>
      </c>
      <c r="M660" t="n">
        <v>0</v>
      </c>
      <c r="N660" t="n">
        <v>0</v>
      </c>
      <c r="O660" t="n">
        <v>0</v>
      </c>
      <c r="P660" t="n">
        <v>0</v>
      </c>
      <c r="Q660" t="n">
        <v>0</v>
      </c>
      <c r="R660" s="2" t="inlineStr"/>
    </row>
    <row r="661" ht="15" customHeight="1">
      <c r="A661" t="inlineStr">
        <is>
          <t>A 47016-2019</t>
        </is>
      </c>
      <c r="B661" s="1" t="n">
        <v>43720</v>
      </c>
      <c r="C661" s="1" t="n">
        <v>45757</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47217-2019</t>
        </is>
      </c>
      <c r="B662" s="1" t="n">
        <v>43720</v>
      </c>
      <c r="C662" s="1" t="n">
        <v>45757</v>
      </c>
      <c r="D662" t="inlineStr">
        <is>
          <t>VÄSTMANLANDS LÄN</t>
        </is>
      </c>
      <c r="E662" t="inlineStr">
        <is>
          <t>NORBERG</t>
        </is>
      </c>
      <c r="G662" t="n">
        <v>2.5</v>
      </c>
      <c r="H662" t="n">
        <v>0</v>
      </c>
      <c r="I662" t="n">
        <v>0</v>
      </c>
      <c r="J662" t="n">
        <v>0</v>
      </c>
      <c r="K662" t="n">
        <v>0</v>
      </c>
      <c r="L662" t="n">
        <v>0</v>
      </c>
      <c r="M662" t="n">
        <v>0</v>
      </c>
      <c r="N662" t="n">
        <v>0</v>
      </c>
      <c r="O662" t="n">
        <v>0</v>
      </c>
      <c r="P662" t="n">
        <v>0</v>
      </c>
      <c r="Q662" t="n">
        <v>0</v>
      </c>
      <c r="R662" s="2" t="inlineStr"/>
    </row>
    <row r="663" ht="15" customHeight="1">
      <c r="A663" t="inlineStr">
        <is>
          <t>A 47049-2019</t>
        </is>
      </c>
      <c r="B663" s="1" t="n">
        <v>43720</v>
      </c>
      <c r="C663" s="1" t="n">
        <v>45757</v>
      </c>
      <c r="D663" t="inlineStr">
        <is>
          <t>VÄSTMANLANDS LÄN</t>
        </is>
      </c>
      <c r="E663" t="inlineStr">
        <is>
          <t>VÄSTERÅS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47197-2019</t>
        </is>
      </c>
      <c r="B664" s="1" t="n">
        <v>43720</v>
      </c>
      <c r="C664" s="1" t="n">
        <v>45757</v>
      </c>
      <c r="D664" t="inlineStr">
        <is>
          <t>VÄSTMANLANDS LÄN</t>
        </is>
      </c>
      <c r="E664" t="inlineStr">
        <is>
          <t>NORBERG</t>
        </is>
      </c>
      <c r="G664" t="n">
        <v>2.7</v>
      </c>
      <c r="H664" t="n">
        <v>0</v>
      </c>
      <c r="I664" t="n">
        <v>0</v>
      </c>
      <c r="J664" t="n">
        <v>0</v>
      </c>
      <c r="K664" t="n">
        <v>0</v>
      </c>
      <c r="L664" t="n">
        <v>0</v>
      </c>
      <c r="M664" t="n">
        <v>0</v>
      </c>
      <c r="N664" t="n">
        <v>0</v>
      </c>
      <c r="O664" t="n">
        <v>0</v>
      </c>
      <c r="P664" t="n">
        <v>0</v>
      </c>
      <c r="Q664" t="n">
        <v>0</v>
      </c>
      <c r="R664" s="2" t="inlineStr"/>
    </row>
    <row r="665" ht="15" customHeight="1">
      <c r="A665" t="inlineStr">
        <is>
          <t>A 47351-2019</t>
        </is>
      </c>
      <c r="B665" s="1" t="n">
        <v>43721</v>
      </c>
      <c r="C665" s="1" t="n">
        <v>45757</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47354-2019</t>
        </is>
      </c>
      <c r="B666" s="1" t="n">
        <v>43721</v>
      </c>
      <c r="C666" s="1" t="n">
        <v>45757</v>
      </c>
      <c r="D666" t="inlineStr">
        <is>
          <t>VÄSTMANLANDS LÄN</t>
        </is>
      </c>
      <c r="E666" t="inlineStr">
        <is>
          <t>SKINNSKATTEBERG</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47465-2019</t>
        </is>
      </c>
      <c r="B667" s="1" t="n">
        <v>43724</v>
      </c>
      <c r="C667" s="1" t="n">
        <v>45757</v>
      </c>
      <c r="D667" t="inlineStr">
        <is>
          <t>VÄSTMANLANDS LÄN</t>
        </is>
      </c>
      <c r="E667" t="inlineStr">
        <is>
          <t>SKINNSKATTEBERG</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47725-2019</t>
        </is>
      </c>
      <c r="B668" s="1" t="n">
        <v>43724</v>
      </c>
      <c r="C668" s="1" t="n">
        <v>45757</v>
      </c>
      <c r="D668" t="inlineStr">
        <is>
          <t>VÄSTMANLANDS LÄN</t>
        </is>
      </c>
      <c r="E668" t="inlineStr">
        <is>
          <t>VÄSTERÅS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47500-2019</t>
        </is>
      </c>
      <c r="B669" s="1" t="n">
        <v>43724</v>
      </c>
      <c r="C669" s="1" t="n">
        <v>45757</v>
      </c>
      <c r="D669" t="inlineStr">
        <is>
          <t>VÄSTMANLANDS LÄN</t>
        </is>
      </c>
      <c r="E669" t="inlineStr">
        <is>
          <t>SKINNSKATTEBERG</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48195-2019</t>
        </is>
      </c>
      <c r="B670" s="1" t="n">
        <v>43726</v>
      </c>
      <c r="C670" s="1" t="n">
        <v>45757</v>
      </c>
      <c r="D670" t="inlineStr">
        <is>
          <t>VÄSTMANLANDS LÄN</t>
        </is>
      </c>
      <c r="E670" t="inlineStr">
        <is>
          <t>VÄSTERÅS</t>
        </is>
      </c>
      <c r="G670" t="n">
        <v>1</v>
      </c>
      <c r="H670" t="n">
        <v>0</v>
      </c>
      <c r="I670" t="n">
        <v>0</v>
      </c>
      <c r="J670" t="n">
        <v>0</v>
      </c>
      <c r="K670" t="n">
        <v>0</v>
      </c>
      <c r="L670" t="n">
        <v>0</v>
      </c>
      <c r="M670" t="n">
        <v>0</v>
      </c>
      <c r="N670" t="n">
        <v>0</v>
      </c>
      <c r="O670" t="n">
        <v>0</v>
      </c>
      <c r="P670" t="n">
        <v>0</v>
      </c>
      <c r="Q670" t="n">
        <v>0</v>
      </c>
      <c r="R670" s="2" t="inlineStr"/>
    </row>
    <row r="671" ht="15" customHeight="1">
      <c r="A671" t="inlineStr">
        <is>
          <t>A 48211-2019</t>
        </is>
      </c>
      <c r="B671" s="1" t="n">
        <v>43726</v>
      </c>
      <c r="C671" s="1" t="n">
        <v>45757</v>
      </c>
      <c r="D671" t="inlineStr">
        <is>
          <t>VÄSTMANLANDS LÄN</t>
        </is>
      </c>
      <c r="E671" t="inlineStr">
        <is>
          <t>FAGERSTA</t>
        </is>
      </c>
      <c r="G671" t="n">
        <v>1.1</v>
      </c>
      <c r="H671" t="n">
        <v>0</v>
      </c>
      <c r="I671" t="n">
        <v>0</v>
      </c>
      <c r="J671" t="n">
        <v>0</v>
      </c>
      <c r="K671" t="n">
        <v>0</v>
      </c>
      <c r="L671" t="n">
        <v>0</v>
      </c>
      <c r="M671" t="n">
        <v>0</v>
      </c>
      <c r="N671" t="n">
        <v>0</v>
      </c>
      <c r="O671" t="n">
        <v>0</v>
      </c>
      <c r="P671" t="n">
        <v>0</v>
      </c>
      <c r="Q671" t="n">
        <v>0</v>
      </c>
      <c r="R671" s="2" t="inlineStr"/>
    </row>
    <row r="672" ht="15" customHeight="1">
      <c r="A672" t="inlineStr">
        <is>
          <t>A 48228-2019</t>
        </is>
      </c>
      <c r="B672" s="1" t="n">
        <v>43726</v>
      </c>
      <c r="C672" s="1" t="n">
        <v>45757</v>
      </c>
      <c r="D672" t="inlineStr">
        <is>
          <t>VÄSTMANLANDS LÄN</t>
        </is>
      </c>
      <c r="E672" t="inlineStr">
        <is>
          <t>VÄSTERÅS</t>
        </is>
      </c>
      <c r="G672" t="n">
        <v>4.2</v>
      </c>
      <c r="H672" t="n">
        <v>0</v>
      </c>
      <c r="I672" t="n">
        <v>0</v>
      </c>
      <c r="J672" t="n">
        <v>0</v>
      </c>
      <c r="K672" t="n">
        <v>0</v>
      </c>
      <c r="L672" t="n">
        <v>0</v>
      </c>
      <c r="M672" t="n">
        <v>0</v>
      </c>
      <c r="N672" t="n">
        <v>0</v>
      </c>
      <c r="O672" t="n">
        <v>0</v>
      </c>
      <c r="P672" t="n">
        <v>0</v>
      </c>
      <c r="Q672" t="n">
        <v>0</v>
      </c>
      <c r="R672" s="2" t="inlineStr"/>
    </row>
    <row r="673" ht="15" customHeight="1">
      <c r="A673" t="inlineStr">
        <is>
          <t>A 48310-2019</t>
        </is>
      </c>
      <c r="B673" s="1" t="n">
        <v>43726</v>
      </c>
      <c r="C673" s="1" t="n">
        <v>45757</v>
      </c>
      <c r="D673" t="inlineStr">
        <is>
          <t>VÄSTMANLANDS LÄN</t>
        </is>
      </c>
      <c r="E673" t="inlineStr">
        <is>
          <t>VÄSTERÅS</t>
        </is>
      </c>
      <c r="G673" t="n">
        <v>4.9</v>
      </c>
      <c r="H673" t="n">
        <v>0</v>
      </c>
      <c r="I673" t="n">
        <v>0</v>
      </c>
      <c r="J673" t="n">
        <v>0</v>
      </c>
      <c r="K673" t="n">
        <v>0</v>
      </c>
      <c r="L673" t="n">
        <v>0</v>
      </c>
      <c r="M673" t="n">
        <v>0</v>
      </c>
      <c r="N673" t="n">
        <v>0</v>
      </c>
      <c r="O673" t="n">
        <v>0</v>
      </c>
      <c r="P673" t="n">
        <v>0</v>
      </c>
      <c r="Q673" t="n">
        <v>0</v>
      </c>
      <c r="R673" s="2" t="inlineStr"/>
    </row>
    <row r="674" ht="15" customHeight="1">
      <c r="A674" t="inlineStr">
        <is>
          <t>A 48451-2019</t>
        </is>
      </c>
      <c r="B674" s="1" t="n">
        <v>43727</v>
      </c>
      <c r="C674" s="1" t="n">
        <v>45757</v>
      </c>
      <c r="D674" t="inlineStr">
        <is>
          <t>VÄSTMANLANDS LÄN</t>
        </is>
      </c>
      <c r="E674" t="inlineStr">
        <is>
          <t>SKINNSKATTEBERG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48461-2019</t>
        </is>
      </c>
      <c r="B675" s="1" t="n">
        <v>43727</v>
      </c>
      <c r="C675" s="1" t="n">
        <v>45757</v>
      </c>
      <c r="D675" t="inlineStr">
        <is>
          <t>VÄSTMANLANDS LÄN</t>
        </is>
      </c>
      <c r="E675" t="inlineStr">
        <is>
          <t>ARBOGA</t>
        </is>
      </c>
      <c r="G675" t="n">
        <v>2.6</v>
      </c>
      <c r="H675" t="n">
        <v>0</v>
      </c>
      <c r="I675" t="n">
        <v>0</v>
      </c>
      <c r="J675" t="n">
        <v>0</v>
      </c>
      <c r="K675" t="n">
        <v>0</v>
      </c>
      <c r="L675" t="n">
        <v>0</v>
      </c>
      <c r="M675" t="n">
        <v>0</v>
      </c>
      <c r="N675" t="n">
        <v>0</v>
      </c>
      <c r="O675" t="n">
        <v>0</v>
      </c>
      <c r="P675" t="n">
        <v>0</v>
      </c>
      <c r="Q675" t="n">
        <v>0</v>
      </c>
      <c r="R675" s="2" t="inlineStr"/>
    </row>
    <row r="676" ht="15" customHeight="1">
      <c r="A676" t="inlineStr">
        <is>
          <t>A 48560-2019</t>
        </is>
      </c>
      <c r="B676" s="1" t="n">
        <v>43727</v>
      </c>
      <c r="C676" s="1" t="n">
        <v>45757</v>
      </c>
      <c r="D676" t="inlineStr">
        <is>
          <t>VÄSTMANLANDS LÄN</t>
        </is>
      </c>
      <c r="E676" t="inlineStr">
        <is>
          <t>VÄSTERÅS</t>
        </is>
      </c>
      <c r="G676" t="n">
        <v>5.4</v>
      </c>
      <c r="H676" t="n">
        <v>0</v>
      </c>
      <c r="I676" t="n">
        <v>0</v>
      </c>
      <c r="J676" t="n">
        <v>0</v>
      </c>
      <c r="K676" t="n">
        <v>0</v>
      </c>
      <c r="L676" t="n">
        <v>0</v>
      </c>
      <c r="M676" t="n">
        <v>0</v>
      </c>
      <c r="N676" t="n">
        <v>0</v>
      </c>
      <c r="O676" t="n">
        <v>0</v>
      </c>
      <c r="P676" t="n">
        <v>0</v>
      </c>
      <c r="Q676" t="n">
        <v>0</v>
      </c>
      <c r="R676" s="2" t="inlineStr"/>
    </row>
    <row r="677" ht="15" customHeight="1">
      <c r="A677" t="inlineStr">
        <is>
          <t>A 48468-2019</t>
        </is>
      </c>
      <c r="B677" s="1" t="n">
        <v>43727</v>
      </c>
      <c r="C677" s="1" t="n">
        <v>45757</v>
      </c>
      <c r="D677" t="inlineStr">
        <is>
          <t>VÄSTMANLANDS LÄN</t>
        </is>
      </c>
      <c r="E677" t="inlineStr">
        <is>
          <t>ARBOGA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48617-2019</t>
        </is>
      </c>
      <c r="B678" s="1" t="n">
        <v>43727</v>
      </c>
      <c r="C678" s="1" t="n">
        <v>45757</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48681-2019</t>
        </is>
      </c>
      <c r="B679" s="1" t="n">
        <v>43728</v>
      </c>
      <c r="C679" s="1" t="n">
        <v>45757</v>
      </c>
      <c r="D679" t="inlineStr">
        <is>
          <t>VÄSTMANLANDS LÄN</t>
        </is>
      </c>
      <c r="E679" t="inlineStr">
        <is>
          <t>SALA</t>
        </is>
      </c>
      <c r="G679" t="n">
        <v>1.9</v>
      </c>
      <c r="H679" t="n">
        <v>0</v>
      </c>
      <c r="I679" t="n">
        <v>0</v>
      </c>
      <c r="J679" t="n">
        <v>0</v>
      </c>
      <c r="K679" t="n">
        <v>0</v>
      </c>
      <c r="L679" t="n">
        <v>0</v>
      </c>
      <c r="M679" t="n">
        <v>0</v>
      </c>
      <c r="N679" t="n">
        <v>0</v>
      </c>
      <c r="O679" t="n">
        <v>0</v>
      </c>
      <c r="P679" t="n">
        <v>0</v>
      </c>
      <c r="Q679" t="n">
        <v>0</v>
      </c>
      <c r="R679" s="2" t="inlineStr"/>
    </row>
    <row r="680" ht="15" customHeight="1">
      <c r="A680" t="inlineStr">
        <is>
          <t>A 49111-2019</t>
        </is>
      </c>
      <c r="B680" s="1" t="n">
        <v>43731</v>
      </c>
      <c r="C680" s="1" t="n">
        <v>45757</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49095-2019</t>
        </is>
      </c>
      <c r="B681" s="1" t="n">
        <v>43731</v>
      </c>
      <c r="C681" s="1" t="n">
        <v>45757</v>
      </c>
      <c r="D681" t="inlineStr">
        <is>
          <t>VÄSTMANLANDS LÄN</t>
        </is>
      </c>
      <c r="E681" t="inlineStr">
        <is>
          <t>ARBOGA</t>
        </is>
      </c>
      <c r="G681" t="n">
        <v>0.8</v>
      </c>
      <c r="H681" t="n">
        <v>0</v>
      </c>
      <c r="I681" t="n">
        <v>0</v>
      </c>
      <c r="J681" t="n">
        <v>0</v>
      </c>
      <c r="K681" t="n">
        <v>0</v>
      </c>
      <c r="L681" t="n">
        <v>0</v>
      </c>
      <c r="M681" t="n">
        <v>0</v>
      </c>
      <c r="N681" t="n">
        <v>0</v>
      </c>
      <c r="O681" t="n">
        <v>0</v>
      </c>
      <c r="P681" t="n">
        <v>0</v>
      </c>
      <c r="Q681" t="n">
        <v>0</v>
      </c>
      <c r="R681" s="2" t="inlineStr"/>
    </row>
    <row r="682" ht="15" customHeight="1">
      <c r="A682" t="inlineStr">
        <is>
          <t>A 49217-2019</t>
        </is>
      </c>
      <c r="B682" s="1" t="n">
        <v>43731</v>
      </c>
      <c r="C682" s="1" t="n">
        <v>45757</v>
      </c>
      <c r="D682" t="inlineStr">
        <is>
          <t>VÄSTMANLANDS LÄN</t>
        </is>
      </c>
      <c r="E682" t="inlineStr">
        <is>
          <t>VÄSTERÅS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49138-2019</t>
        </is>
      </c>
      <c r="B683" s="1" t="n">
        <v>43731</v>
      </c>
      <c r="C683" s="1" t="n">
        <v>45757</v>
      </c>
      <c r="D683" t="inlineStr">
        <is>
          <t>VÄSTMANLANDS LÄN</t>
        </is>
      </c>
      <c r="E683" t="inlineStr">
        <is>
          <t>SKINNSKATTEBERG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49409-2019</t>
        </is>
      </c>
      <c r="B684" s="1" t="n">
        <v>43732</v>
      </c>
      <c r="C684" s="1" t="n">
        <v>45757</v>
      </c>
      <c r="D684" t="inlineStr">
        <is>
          <t>VÄSTMANLANDS LÄN</t>
        </is>
      </c>
      <c r="E684" t="inlineStr">
        <is>
          <t>SKINNSKATTEBERG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49460-2019</t>
        </is>
      </c>
      <c r="B685" s="1" t="n">
        <v>43732</v>
      </c>
      <c r="C685" s="1" t="n">
        <v>45757</v>
      </c>
      <c r="D685" t="inlineStr">
        <is>
          <t>VÄSTMANLANDS LÄN</t>
        </is>
      </c>
      <c r="E685" t="inlineStr">
        <is>
          <t>VÄSTERÅS</t>
        </is>
      </c>
      <c r="G685" t="n">
        <v>2.4</v>
      </c>
      <c r="H685" t="n">
        <v>0</v>
      </c>
      <c r="I685" t="n">
        <v>0</v>
      </c>
      <c r="J685" t="n">
        <v>0</v>
      </c>
      <c r="K685" t="n">
        <v>0</v>
      </c>
      <c r="L685" t="n">
        <v>0</v>
      </c>
      <c r="M685" t="n">
        <v>0</v>
      </c>
      <c r="N685" t="n">
        <v>0</v>
      </c>
      <c r="O685" t="n">
        <v>0</v>
      </c>
      <c r="P685" t="n">
        <v>0</v>
      </c>
      <c r="Q685" t="n">
        <v>0</v>
      </c>
      <c r="R685" s="2" t="inlineStr"/>
    </row>
    <row r="686" ht="15" customHeight="1">
      <c r="A686" t="inlineStr">
        <is>
          <t>A 49411-2019</t>
        </is>
      </c>
      <c r="B686" s="1" t="n">
        <v>43732</v>
      </c>
      <c r="C686" s="1" t="n">
        <v>45757</v>
      </c>
      <c r="D686" t="inlineStr">
        <is>
          <t>VÄSTMANLANDS LÄN</t>
        </is>
      </c>
      <c r="E686" t="inlineStr">
        <is>
          <t>KUNGSÖR</t>
        </is>
      </c>
      <c r="F686" t="inlineStr">
        <is>
          <t>Allmännings- och besparingsskogar</t>
        </is>
      </c>
      <c r="G686" t="n">
        <v>6.3</v>
      </c>
      <c r="H686" t="n">
        <v>0</v>
      </c>
      <c r="I686" t="n">
        <v>0</v>
      </c>
      <c r="J686" t="n">
        <v>0</v>
      </c>
      <c r="K686" t="n">
        <v>0</v>
      </c>
      <c r="L686" t="n">
        <v>0</v>
      </c>
      <c r="M686" t="n">
        <v>0</v>
      </c>
      <c r="N686" t="n">
        <v>0</v>
      </c>
      <c r="O686" t="n">
        <v>0</v>
      </c>
      <c r="P686" t="n">
        <v>0</v>
      </c>
      <c r="Q686" t="n">
        <v>0</v>
      </c>
      <c r="R686" s="2" t="inlineStr"/>
    </row>
    <row r="687" ht="15" customHeight="1">
      <c r="A687" t="inlineStr">
        <is>
          <t>A 49542-2019</t>
        </is>
      </c>
      <c r="B687" s="1" t="n">
        <v>43732</v>
      </c>
      <c r="C687" s="1" t="n">
        <v>45757</v>
      </c>
      <c r="D687" t="inlineStr">
        <is>
          <t>VÄSTMANLANDS LÄN</t>
        </is>
      </c>
      <c r="E687" t="inlineStr">
        <is>
          <t>VÄSTERÅS</t>
        </is>
      </c>
      <c r="G687" t="n">
        <v>1.6</v>
      </c>
      <c r="H687" t="n">
        <v>0</v>
      </c>
      <c r="I687" t="n">
        <v>0</v>
      </c>
      <c r="J687" t="n">
        <v>0</v>
      </c>
      <c r="K687" t="n">
        <v>0</v>
      </c>
      <c r="L687" t="n">
        <v>0</v>
      </c>
      <c r="M687" t="n">
        <v>0</v>
      </c>
      <c r="N687" t="n">
        <v>0</v>
      </c>
      <c r="O687" t="n">
        <v>0</v>
      </c>
      <c r="P687" t="n">
        <v>0</v>
      </c>
      <c r="Q687" t="n">
        <v>0</v>
      </c>
      <c r="R687" s="2" t="inlineStr"/>
    </row>
    <row r="688" ht="15" customHeight="1">
      <c r="A688" t="inlineStr">
        <is>
          <t>A 49849-2019</t>
        </is>
      </c>
      <c r="B688" s="1" t="n">
        <v>43733</v>
      </c>
      <c r="C688" s="1" t="n">
        <v>45757</v>
      </c>
      <c r="D688" t="inlineStr">
        <is>
          <t>VÄSTMANLANDS LÄN</t>
        </is>
      </c>
      <c r="E688" t="inlineStr">
        <is>
          <t>VÄSTERÅS</t>
        </is>
      </c>
      <c r="G688" t="n">
        <v>3.9</v>
      </c>
      <c r="H688" t="n">
        <v>0</v>
      </c>
      <c r="I688" t="n">
        <v>0</v>
      </c>
      <c r="J688" t="n">
        <v>0</v>
      </c>
      <c r="K688" t="n">
        <v>0</v>
      </c>
      <c r="L688" t="n">
        <v>0</v>
      </c>
      <c r="M688" t="n">
        <v>0</v>
      </c>
      <c r="N688" t="n">
        <v>0</v>
      </c>
      <c r="O688" t="n">
        <v>0</v>
      </c>
      <c r="P688" t="n">
        <v>0</v>
      </c>
      <c r="Q688" t="n">
        <v>0</v>
      </c>
      <c r="R688" s="2" t="inlineStr"/>
    </row>
    <row r="689" ht="15" customHeight="1">
      <c r="A689" t="inlineStr">
        <is>
          <t>A 49968-2019</t>
        </is>
      </c>
      <c r="B689" s="1" t="n">
        <v>43733</v>
      </c>
      <c r="C689" s="1" t="n">
        <v>45757</v>
      </c>
      <c r="D689" t="inlineStr">
        <is>
          <t>VÄSTMANLANDS LÄN</t>
        </is>
      </c>
      <c r="E689" t="inlineStr">
        <is>
          <t>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49821-2019</t>
        </is>
      </c>
      <c r="B690" s="1" t="n">
        <v>43733</v>
      </c>
      <c r="C690" s="1" t="n">
        <v>45757</v>
      </c>
      <c r="D690" t="inlineStr">
        <is>
          <t>VÄSTMANLANDS LÄN</t>
        </is>
      </c>
      <c r="E690" t="inlineStr">
        <is>
          <t>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50121-2019</t>
        </is>
      </c>
      <c r="B691" s="1" t="n">
        <v>43734</v>
      </c>
      <c r="C691" s="1" t="n">
        <v>45757</v>
      </c>
      <c r="D691" t="inlineStr">
        <is>
          <t>VÄSTMANLANDS LÄN</t>
        </is>
      </c>
      <c r="E691" t="inlineStr">
        <is>
          <t>VÄSTERÅS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50359-2019</t>
        </is>
      </c>
      <c r="B692" s="1" t="n">
        <v>43735</v>
      </c>
      <c r="C692" s="1" t="n">
        <v>45757</v>
      </c>
      <c r="D692" t="inlineStr">
        <is>
          <t>VÄSTMANLANDS LÄN</t>
        </is>
      </c>
      <c r="E692" t="inlineStr">
        <is>
          <t>NORBERG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50888-2019</t>
        </is>
      </c>
      <c r="B693" s="1" t="n">
        <v>43735</v>
      </c>
      <c r="C693" s="1" t="n">
        <v>45757</v>
      </c>
      <c r="D693" t="inlineStr">
        <is>
          <t>VÄSTMANLANDS LÄN</t>
        </is>
      </c>
      <c r="E693" t="inlineStr">
        <is>
          <t>VÄSTERÅS</t>
        </is>
      </c>
      <c r="G693" t="n">
        <v>0.5</v>
      </c>
      <c r="H693" t="n">
        <v>0</v>
      </c>
      <c r="I693" t="n">
        <v>0</v>
      </c>
      <c r="J693" t="n">
        <v>0</v>
      </c>
      <c r="K693" t="n">
        <v>0</v>
      </c>
      <c r="L693" t="n">
        <v>0</v>
      </c>
      <c r="M693" t="n">
        <v>0</v>
      </c>
      <c r="N693" t="n">
        <v>0</v>
      </c>
      <c r="O693" t="n">
        <v>0</v>
      </c>
      <c r="P693" t="n">
        <v>0</v>
      </c>
      <c r="Q693" t="n">
        <v>0</v>
      </c>
      <c r="R693" s="2" t="inlineStr"/>
    </row>
    <row r="694" ht="15" customHeight="1">
      <c r="A694" t="inlineStr">
        <is>
          <t>A 50664-2019</t>
        </is>
      </c>
      <c r="B694" s="1" t="n">
        <v>43737</v>
      </c>
      <c r="C694" s="1" t="n">
        <v>45757</v>
      </c>
      <c r="D694" t="inlineStr">
        <is>
          <t>VÄSTMANLANDS LÄN</t>
        </is>
      </c>
      <c r="E694" t="inlineStr">
        <is>
          <t>VÄSTERÅS</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50839-2019</t>
        </is>
      </c>
      <c r="B695" s="1" t="n">
        <v>43738</v>
      </c>
      <c r="C695" s="1" t="n">
        <v>45757</v>
      </c>
      <c r="D695" t="inlineStr">
        <is>
          <t>VÄSTMANLANDS LÄN</t>
        </is>
      </c>
      <c r="E695" t="inlineStr">
        <is>
          <t>SKINNSKATTEBERG</t>
        </is>
      </c>
      <c r="F695" t="inlineStr">
        <is>
          <t>Sveaskog</t>
        </is>
      </c>
      <c r="G695" t="n">
        <v>0.5</v>
      </c>
      <c r="H695" t="n">
        <v>0</v>
      </c>
      <c r="I695" t="n">
        <v>0</v>
      </c>
      <c r="J695" t="n">
        <v>0</v>
      </c>
      <c r="K695" t="n">
        <v>0</v>
      </c>
      <c r="L695" t="n">
        <v>0</v>
      </c>
      <c r="M695" t="n">
        <v>0</v>
      </c>
      <c r="N695" t="n">
        <v>0</v>
      </c>
      <c r="O695" t="n">
        <v>0</v>
      </c>
      <c r="P695" t="n">
        <v>0</v>
      </c>
      <c r="Q695" t="n">
        <v>0</v>
      </c>
      <c r="R695" s="2" t="inlineStr"/>
    </row>
    <row r="696" ht="15" customHeight="1">
      <c r="A696" t="inlineStr">
        <is>
          <t>A 50946-2019</t>
        </is>
      </c>
      <c r="B696" s="1" t="n">
        <v>43738</v>
      </c>
      <c r="C696" s="1" t="n">
        <v>45757</v>
      </c>
      <c r="D696" t="inlineStr">
        <is>
          <t>VÄSTMANLANDS LÄN</t>
        </is>
      </c>
      <c r="E696" t="inlineStr">
        <is>
          <t>VÄSTERÅS</t>
        </is>
      </c>
      <c r="G696" t="n">
        <v>2.1</v>
      </c>
      <c r="H696" t="n">
        <v>0</v>
      </c>
      <c r="I696" t="n">
        <v>0</v>
      </c>
      <c r="J696" t="n">
        <v>0</v>
      </c>
      <c r="K696" t="n">
        <v>0</v>
      </c>
      <c r="L696" t="n">
        <v>0</v>
      </c>
      <c r="M696" t="n">
        <v>0</v>
      </c>
      <c r="N696" t="n">
        <v>0</v>
      </c>
      <c r="O696" t="n">
        <v>0</v>
      </c>
      <c r="P696" t="n">
        <v>0</v>
      </c>
      <c r="Q696" t="n">
        <v>0</v>
      </c>
      <c r="R696" s="2" t="inlineStr"/>
    </row>
    <row r="697" ht="15" customHeight="1">
      <c r="A697" t="inlineStr">
        <is>
          <t>A 50877-2019</t>
        </is>
      </c>
      <c r="B697" s="1" t="n">
        <v>43738</v>
      </c>
      <c r="C697" s="1" t="n">
        <v>45757</v>
      </c>
      <c r="D697" t="inlineStr">
        <is>
          <t>VÄSTMANLANDS LÄN</t>
        </is>
      </c>
      <c r="E697" t="inlineStr">
        <is>
          <t>SKINNSKATTEBERG</t>
        </is>
      </c>
      <c r="F697" t="inlineStr">
        <is>
          <t>Sveaskog</t>
        </is>
      </c>
      <c r="G697" t="n">
        <v>3.5</v>
      </c>
      <c r="H697" t="n">
        <v>0</v>
      </c>
      <c r="I697" t="n">
        <v>0</v>
      </c>
      <c r="J697" t="n">
        <v>0</v>
      </c>
      <c r="K697" t="n">
        <v>0</v>
      </c>
      <c r="L697" t="n">
        <v>0</v>
      </c>
      <c r="M697" t="n">
        <v>0</v>
      </c>
      <c r="N697" t="n">
        <v>0</v>
      </c>
      <c r="O697" t="n">
        <v>0</v>
      </c>
      <c r="P697" t="n">
        <v>0</v>
      </c>
      <c r="Q697" t="n">
        <v>0</v>
      </c>
      <c r="R697" s="2" t="inlineStr"/>
    </row>
    <row r="698" ht="15" customHeight="1">
      <c r="A698" t="inlineStr">
        <is>
          <t>A 51129-2019</t>
        </is>
      </c>
      <c r="B698" s="1" t="n">
        <v>43739</v>
      </c>
      <c r="C698" s="1" t="n">
        <v>45757</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51224-2019</t>
        </is>
      </c>
      <c r="B699" s="1" t="n">
        <v>43739</v>
      </c>
      <c r="C699" s="1" t="n">
        <v>45757</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52756-2019</t>
        </is>
      </c>
      <c r="B700" s="1" t="n">
        <v>43739</v>
      </c>
      <c r="C700" s="1" t="n">
        <v>45757</v>
      </c>
      <c r="D700" t="inlineStr">
        <is>
          <t>VÄSTMANLANDS LÄN</t>
        </is>
      </c>
      <c r="E700" t="inlineStr">
        <is>
          <t>SALA</t>
        </is>
      </c>
      <c r="G700" t="n">
        <v>4.2</v>
      </c>
      <c r="H700" t="n">
        <v>0</v>
      </c>
      <c r="I700" t="n">
        <v>0</v>
      </c>
      <c r="J700" t="n">
        <v>0</v>
      </c>
      <c r="K700" t="n">
        <v>0</v>
      </c>
      <c r="L700" t="n">
        <v>0</v>
      </c>
      <c r="M700" t="n">
        <v>0</v>
      </c>
      <c r="N700" t="n">
        <v>0</v>
      </c>
      <c r="O700" t="n">
        <v>0</v>
      </c>
      <c r="P700" t="n">
        <v>0</v>
      </c>
      <c r="Q700" t="n">
        <v>0</v>
      </c>
      <c r="R700" s="2" t="inlineStr"/>
    </row>
    <row r="701" ht="15" customHeight="1">
      <c r="A701" t="inlineStr">
        <is>
          <t>A 52765-2019</t>
        </is>
      </c>
      <c r="B701" s="1" t="n">
        <v>43739</v>
      </c>
      <c r="C701" s="1" t="n">
        <v>45757</v>
      </c>
      <c r="D701" t="inlineStr">
        <is>
          <t>VÄSTMANLANDS LÄN</t>
        </is>
      </c>
      <c r="E701" t="inlineStr">
        <is>
          <t>SKINNSKATTEBERG</t>
        </is>
      </c>
      <c r="G701" t="n">
        <v>0.7</v>
      </c>
      <c r="H701" t="n">
        <v>0</v>
      </c>
      <c r="I701" t="n">
        <v>0</v>
      </c>
      <c r="J701" t="n">
        <v>0</v>
      </c>
      <c r="K701" t="n">
        <v>0</v>
      </c>
      <c r="L701" t="n">
        <v>0</v>
      </c>
      <c r="M701" t="n">
        <v>0</v>
      </c>
      <c r="N701" t="n">
        <v>0</v>
      </c>
      <c r="O701" t="n">
        <v>0</v>
      </c>
      <c r="P701" t="n">
        <v>0</v>
      </c>
      <c r="Q701" t="n">
        <v>0</v>
      </c>
      <c r="R701" s="2" t="inlineStr"/>
    </row>
    <row r="702" ht="15" customHeight="1">
      <c r="A702" t="inlineStr">
        <is>
          <t>A 52788-2019</t>
        </is>
      </c>
      <c r="B702" s="1" t="n">
        <v>43739</v>
      </c>
      <c r="C702" s="1" t="n">
        <v>45757</v>
      </c>
      <c r="D702" t="inlineStr">
        <is>
          <t>VÄSTMANLANDS LÄN</t>
        </is>
      </c>
      <c r="E702" t="inlineStr">
        <is>
          <t>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51403-2019</t>
        </is>
      </c>
      <c r="B703" s="1" t="n">
        <v>43740</v>
      </c>
      <c r="C703" s="1" t="n">
        <v>45757</v>
      </c>
      <c r="D703" t="inlineStr">
        <is>
          <t>VÄSTMANLANDS LÄN</t>
        </is>
      </c>
      <c r="E703" t="inlineStr">
        <is>
          <t>ARBOGA</t>
        </is>
      </c>
      <c r="G703" t="n">
        <v>1.5</v>
      </c>
      <c r="H703" t="n">
        <v>0</v>
      </c>
      <c r="I703" t="n">
        <v>0</v>
      </c>
      <c r="J703" t="n">
        <v>0</v>
      </c>
      <c r="K703" t="n">
        <v>0</v>
      </c>
      <c r="L703" t="n">
        <v>0</v>
      </c>
      <c r="M703" t="n">
        <v>0</v>
      </c>
      <c r="N703" t="n">
        <v>0</v>
      </c>
      <c r="O703" t="n">
        <v>0</v>
      </c>
      <c r="P703" t="n">
        <v>0</v>
      </c>
      <c r="Q703" t="n">
        <v>0</v>
      </c>
      <c r="R703" s="2" t="inlineStr"/>
    </row>
    <row r="704" ht="15" customHeight="1">
      <c r="A704" t="inlineStr">
        <is>
          <t>A 51345-2019</t>
        </is>
      </c>
      <c r="B704" s="1" t="n">
        <v>43740</v>
      </c>
      <c r="C704" s="1" t="n">
        <v>45757</v>
      </c>
      <c r="D704" t="inlineStr">
        <is>
          <t>VÄSTMANLANDS LÄN</t>
        </is>
      </c>
      <c r="E704" t="inlineStr">
        <is>
          <t>SKINNSKATTEBERG</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51647-2019</t>
        </is>
      </c>
      <c r="B705" s="1" t="n">
        <v>43740</v>
      </c>
      <c r="C705" s="1" t="n">
        <v>45757</v>
      </c>
      <c r="D705" t="inlineStr">
        <is>
          <t>VÄSTMANLANDS LÄN</t>
        </is>
      </c>
      <c r="E705" t="inlineStr">
        <is>
          <t>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51505-2019</t>
        </is>
      </c>
      <c r="B706" s="1" t="n">
        <v>43740</v>
      </c>
      <c r="C706" s="1" t="n">
        <v>45757</v>
      </c>
      <c r="D706" t="inlineStr">
        <is>
          <t>VÄSTMANLANDS LÄN</t>
        </is>
      </c>
      <c r="E706" t="inlineStr">
        <is>
          <t>VÄSTERÅS</t>
        </is>
      </c>
      <c r="F706" t="inlineStr">
        <is>
          <t>Kommuner</t>
        </is>
      </c>
      <c r="G706" t="n">
        <v>5.7</v>
      </c>
      <c r="H706" t="n">
        <v>0</v>
      </c>
      <c r="I706" t="n">
        <v>0</v>
      </c>
      <c r="J706" t="n">
        <v>0</v>
      </c>
      <c r="K706" t="n">
        <v>0</v>
      </c>
      <c r="L706" t="n">
        <v>0</v>
      </c>
      <c r="M706" t="n">
        <v>0</v>
      </c>
      <c r="N706" t="n">
        <v>0</v>
      </c>
      <c r="O706" t="n">
        <v>0</v>
      </c>
      <c r="P706" t="n">
        <v>0</v>
      </c>
      <c r="Q706" t="n">
        <v>0</v>
      </c>
      <c r="R706" s="2" t="inlineStr"/>
    </row>
    <row r="707" ht="15" customHeight="1">
      <c r="A707" t="inlineStr">
        <is>
          <t>A 51750-2019</t>
        </is>
      </c>
      <c r="B707" s="1" t="n">
        <v>43741</v>
      </c>
      <c r="C707" s="1" t="n">
        <v>45757</v>
      </c>
      <c r="D707" t="inlineStr">
        <is>
          <t>VÄSTMANLANDS LÄN</t>
        </is>
      </c>
      <c r="E707" t="inlineStr">
        <is>
          <t>KUNGSÖR</t>
        </is>
      </c>
      <c r="G707" t="n">
        <v>2</v>
      </c>
      <c r="H707" t="n">
        <v>0</v>
      </c>
      <c r="I707" t="n">
        <v>0</v>
      </c>
      <c r="J707" t="n">
        <v>0</v>
      </c>
      <c r="K707" t="n">
        <v>0</v>
      </c>
      <c r="L707" t="n">
        <v>0</v>
      </c>
      <c r="M707" t="n">
        <v>0</v>
      </c>
      <c r="N707" t="n">
        <v>0</v>
      </c>
      <c r="O707" t="n">
        <v>0</v>
      </c>
      <c r="P707" t="n">
        <v>0</v>
      </c>
      <c r="Q707" t="n">
        <v>0</v>
      </c>
      <c r="R707" s="2" t="inlineStr"/>
    </row>
    <row r="708" ht="15" customHeight="1">
      <c r="A708" t="inlineStr">
        <is>
          <t>A 51769-2019</t>
        </is>
      </c>
      <c r="B708" s="1" t="n">
        <v>43741</v>
      </c>
      <c r="C708" s="1" t="n">
        <v>45757</v>
      </c>
      <c r="D708" t="inlineStr">
        <is>
          <t>VÄSTMANLANDS LÄN</t>
        </is>
      </c>
      <c r="E708" t="inlineStr">
        <is>
          <t>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51854-2019</t>
        </is>
      </c>
      <c r="B709" s="1" t="n">
        <v>43741</v>
      </c>
      <c r="C709" s="1" t="n">
        <v>45757</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51844-2019</t>
        </is>
      </c>
      <c r="B710" s="1" t="n">
        <v>43741</v>
      </c>
      <c r="C710" s="1" t="n">
        <v>45757</v>
      </c>
      <c r="D710" t="inlineStr">
        <is>
          <t>VÄSTMANLANDS LÄN</t>
        </is>
      </c>
      <c r="E710" t="inlineStr">
        <is>
          <t>KÖPING</t>
        </is>
      </c>
      <c r="G710" t="n">
        <v>1.4</v>
      </c>
      <c r="H710" t="n">
        <v>0</v>
      </c>
      <c r="I710" t="n">
        <v>0</v>
      </c>
      <c r="J710" t="n">
        <v>0</v>
      </c>
      <c r="K710" t="n">
        <v>0</v>
      </c>
      <c r="L710" t="n">
        <v>0</v>
      </c>
      <c r="M710" t="n">
        <v>0</v>
      </c>
      <c r="N710" t="n">
        <v>0</v>
      </c>
      <c r="O710" t="n">
        <v>0</v>
      </c>
      <c r="P710" t="n">
        <v>0</v>
      </c>
      <c r="Q710" t="n">
        <v>0</v>
      </c>
      <c r="R710" s="2" t="inlineStr"/>
    </row>
    <row r="711" ht="15" customHeight="1">
      <c r="A711" t="inlineStr">
        <is>
          <t>A 51884-2019</t>
        </is>
      </c>
      <c r="B711" s="1" t="n">
        <v>43741</v>
      </c>
      <c r="C711" s="1" t="n">
        <v>45757</v>
      </c>
      <c r="D711" t="inlineStr">
        <is>
          <t>VÄSTMANLANDS LÄN</t>
        </is>
      </c>
      <c r="E711" t="inlineStr">
        <is>
          <t>VÄSTERÅS</t>
        </is>
      </c>
      <c r="G711" t="n">
        <v>5</v>
      </c>
      <c r="H711" t="n">
        <v>0</v>
      </c>
      <c r="I711" t="n">
        <v>0</v>
      </c>
      <c r="J711" t="n">
        <v>0</v>
      </c>
      <c r="K711" t="n">
        <v>0</v>
      </c>
      <c r="L711" t="n">
        <v>0</v>
      </c>
      <c r="M711" t="n">
        <v>0</v>
      </c>
      <c r="N711" t="n">
        <v>0</v>
      </c>
      <c r="O711" t="n">
        <v>0</v>
      </c>
      <c r="P711" t="n">
        <v>0</v>
      </c>
      <c r="Q711" t="n">
        <v>0</v>
      </c>
      <c r="R711" s="2" t="inlineStr"/>
    </row>
    <row r="712" ht="15" customHeight="1">
      <c r="A712" t="inlineStr">
        <is>
          <t>A 51749-2019</t>
        </is>
      </c>
      <c r="B712" s="1" t="n">
        <v>43741</v>
      </c>
      <c r="C712" s="1" t="n">
        <v>45757</v>
      </c>
      <c r="D712" t="inlineStr">
        <is>
          <t>VÄSTMANLANDS LÄN</t>
        </is>
      </c>
      <c r="E712" t="inlineStr">
        <is>
          <t>KUNGSÖR</t>
        </is>
      </c>
      <c r="G712" t="n">
        <v>2.5</v>
      </c>
      <c r="H712" t="n">
        <v>0</v>
      </c>
      <c r="I712" t="n">
        <v>0</v>
      </c>
      <c r="J712" t="n">
        <v>0</v>
      </c>
      <c r="K712" t="n">
        <v>0</v>
      </c>
      <c r="L712" t="n">
        <v>0</v>
      </c>
      <c r="M712" t="n">
        <v>0</v>
      </c>
      <c r="N712" t="n">
        <v>0</v>
      </c>
      <c r="O712" t="n">
        <v>0</v>
      </c>
      <c r="P712" t="n">
        <v>0</v>
      </c>
      <c r="Q712" t="n">
        <v>0</v>
      </c>
      <c r="R712" s="2" t="inlineStr"/>
    </row>
    <row r="713" ht="15" customHeight="1">
      <c r="A713" t="inlineStr">
        <is>
          <t>A 52243-2019</t>
        </is>
      </c>
      <c r="B713" s="1" t="n">
        <v>43742</v>
      </c>
      <c r="C713" s="1" t="n">
        <v>45757</v>
      </c>
      <c r="D713" t="inlineStr">
        <is>
          <t>VÄSTMANLANDS LÄN</t>
        </is>
      </c>
      <c r="E713" t="inlineStr">
        <is>
          <t>VÄSTERÅS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52122-2019</t>
        </is>
      </c>
      <c r="B714" s="1" t="n">
        <v>43742</v>
      </c>
      <c r="C714" s="1" t="n">
        <v>45757</v>
      </c>
      <c r="D714" t="inlineStr">
        <is>
          <t>VÄSTMANLANDS LÄN</t>
        </is>
      </c>
      <c r="E714" t="inlineStr">
        <is>
          <t>VÄSTERÅS</t>
        </is>
      </c>
      <c r="G714" t="n">
        <v>5.8</v>
      </c>
      <c r="H714" t="n">
        <v>0</v>
      </c>
      <c r="I714" t="n">
        <v>0</v>
      </c>
      <c r="J714" t="n">
        <v>0</v>
      </c>
      <c r="K714" t="n">
        <v>0</v>
      </c>
      <c r="L714" t="n">
        <v>0</v>
      </c>
      <c r="M714" t="n">
        <v>0</v>
      </c>
      <c r="N714" t="n">
        <v>0</v>
      </c>
      <c r="O714" t="n">
        <v>0</v>
      </c>
      <c r="P714" t="n">
        <v>0</v>
      </c>
      <c r="Q714" t="n">
        <v>0</v>
      </c>
      <c r="R714" s="2" t="inlineStr"/>
    </row>
    <row r="715" ht="15" customHeight="1">
      <c r="A715" t="inlineStr">
        <is>
          <t>A 52242-2019</t>
        </is>
      </c>
      <c r="B715" s="1" t="n">
        <v>43742</v>
      </c>
      <c r="C715" s="1" t="n">
        <v>45757</v>
      </c>
      <c r="D715" t="inlineStr">
        <is>
          <t>VÄSTMANLANDS LÄN</t>
        </is>
      </c>
      <c r="E715" t="inlineStr">
        <is>
          <t>VÄSTERÅS</t>
        </is>
      </c>
      <c r="G715" t="n">
        <v>7.5</v>
      </c>
      <c r="H715" t="n">
        <v>0</v>
      </c>
      <c r="I715" t="n">
        <v>0</v>
      </c>
      <c r="J715" t="n">
        <v>0</v>
      </c>
      <c r="K715" t="n">
        <v>0</v>
      </c>
      <c r="L715" t="n">
        <v>0</v>
      </c>
      <c r="M715" t="n">
        <v>0</v>
      </c>
      <c r="N715" t="n">
        <v>0</v>
      </c>
      <c r="O715" t="n">
        <v>0</v>
      </c>
      <c r="P715" t="n">
        <v>0</v>
      </c>
      <c r="Q715" t="n">
        <v>0</v>
      </c>
      <c r="R715" s="2" t="inlineStr"/>
    </row>
    <row r="716" ht="15" customHeight="1">
      <c r="A716" t="inlineStr">
        <is>
          <t>A 52410-2019</t>
        </is>
      </c>
      <c r="B716" s="1" t="n">
        <v>43745</v>
      </c>
      <c r="C716" s="1" t="n">
        <v>45757</v>
      </c>
      <c r="D716" t="inlineStr">
        <is>
          <t>VÄSTMANLANDS LÄN</t>
        </is>
      </c>
      <c r="E716" t="inlineStr">
        <is>
          <t>VÄSTERÅS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52323-2019</t>
        </is>
      </c>
      <c r="B717" s="1" t="n">
        <v>43745</v>
      </c>
      <c r="C717" s="1" t="n">
        <v>45757</v>
      </c>
      <c r="D717" t="inlineStr">
        <is>
          <t>VÄSTMANLANDS LÄN</t>
        </is>
      </c>
      <c r="E717" t="inlineStr">
        <is>
          <t>FAGERSTA</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52408-2019</t>
        </is>
      </c>
      <c r="B718" s="1" t="n">
        <v>43745</v>
      </c>
      <c r="C718" s="1" t="n">
        <v>45757</v>
      </c>
      <c r="D718" t="inlineStr">
        <is>
          <t>VÄSTMANLANDS LÄN</t>
        </is>
      </c>
      <c r="E718" t="inlineStr">
        <is>
          <t>VÄSTERÅS</t>
        </is>
      </c>
      <c r="G718" t="n">
        <v>1.9</v>
      </c>
      <c r="H718" t="n">
        <v>0</v>
      </c>
      <c r="I718" t="n">
        <v>0</v>
      </c>
      <c r="J718" t="n">
        <v>0</v>
      </c>
      <c r="K718" t="n">
        <v>0</v>
      </c>
      <c r="L718" t="n">
        <v>0</v>
      </c>
      <c r="M718" t="n">
        <v>0</v>
      </c>
      <c r="N718" t="n">
        <v>0</v>
      </c>
      <c r="O718" t="n">
        <v>0</v>
      </c>
      <c r="P718" t="n">
        <v>0</v>
      </c>
      <c r="Q718" t="n">
        <v>0</v>
      </c>
      <c r="R718" s="2" t="inlineStr"/>
    </row>
    <row r="719" ht="15" customHeight="1">
      <c r="A719" t="inlineStr">
        <is>
          <t>A 52669-2019</t>
        </is>
      </c>
      <c r="B719" s="1" t="n">
        <v>43746</v>
      </c>
      <c r="C719" s="1" t="n">
        <v>45757</v>
      </c>
      <c r="D719" t="inlineStr">
        <is>
          <t>VÄSTMANLANDS LÄN</t>
        </is>
      </c>
      <c r="E719" t="inlineStr">
        <is>
          <t>SKINNSKATTEBERG</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54393-2019</t>
        </is>
      </c>
      <c r="B720" s="1" t="n">
        <v>43746</v>
      </c>
      <c r="C720" s="1" t="n">
        <v>45757</v>
      </c>
      <c r="D720" t="inlineStr">
        <is>
          <t>VÄSTMANLANDS LÄN</t>
        </is>
      </c>
      <c r="E720" t="inlineStr">
        <is>
          <t>SALA</t>
        </is>
      </c>
      <c r="G720" t="n">
        <v>3.2</v>
      </c>
      <c r="H720" t="n">
        <v>0</v>
      </c>
      <c r="I720" t="n">
        <v>0</v>
      </c>
      <c r="J720" t="n">
        <v>0</v>
      </c>
      <c r="K720" t="n">
        <v>0</v>
      </c>
      <c r="L720" t="n">
        <v>0</v>
      </c>
      <c r="M720" t="n">
        <v>0</v>
      </c>
      <c r="N720" t="n">
        <v>0</v>
      </c>
      <c r="O720" t="n">
        <v>0</v>
      </c>
      <c r="P720" t="n">
        <v>0</v>
      </c>
      <c r="Q720" t="n">
        <v>0</v>
      </c>
      <c r="R720" s="2" t="inlineStr"/>
    </row>
    <row r="721" ht="15" customHeight="1">
      <c r="A721" t="inlineStr">
        <is>
          <t>A 52931-2019</t>
        </is>
      </c>
      <c r="B721" s="1" t="n">
        <v>43746</v>
      </c>
      <c r="C721" s="1" t="n">
        <v>45757</v>
      </c>
      <c r="D721" t="inlineStr">
        <is>
          <t>VÄSTMANLANDS LÄN</t>
        </is>
      </c>
      <c r="E721" t="inlineStr">
        <is>
          <t>ARBOGA</t>
        </is>
      </c>
      <c r="G721" t="n">
        <v>2.3</v>
      </c>
      <c r="H721" t="n">
        <v>0</v>
      </c>
      <c r="I721" t="n">
        <v>0</v>
      </c>
      <c r="J721" t="n">
        <v>0</v>
      </c>
      <c r="K721" t="n">
        <v>0</v>
      </c>
      <c r="L721" t="n">
        <v>0</v>
      </c>
      <c r="M721" t="n">
        <v>0</v>
      </c>
      <c r="N721" t="n">
        <v>0</v>
      </c>
      <c r="O721" t="n">
        <v>0</v>
      </c>
      <c r="P721" t="n">
        <v>0</v>
      </c>
      <c r="Q721" t="n">
        <v>0</v>
      </c>
      <c r="R721" s="2" t="inlineStr"/>
    </row>
    <row r="722" ht="15" customHeight="1">
      <c r="A722" t="inlineStr">
        <is>
          <t>A 52930-2019</t>
        </is>
      </c>
      <c r="B722" s="1" t="n">
        <v>43746</v>
      </c>
      <c r="C722" s="1" t="n">
        <v>45757</v>
      </c>
      <c r="D722" t="inlineStr">
        <is>
          <t>VÄSTMANLANDS LÄN</t>
        </is>
      </c>
      <c r="E722" t="inlineStr">
        <is>
          <t>ARBOGA</t>
        </is>
      </c>
      <c r="G722" t="n">
        <v>0.7</v>
      </c>
      <c r="H722" t="n">
        <v>0</v>
      </c>
      <c r="I722" t="n">
        <v>0</v>
      </c>
      <c r="J722" t="n">
        <v>0</v>
      </c>
      <c r="K722" t="n">
        <v>0</v>
      </c>
      <c r="L722" t="n">
        <v>0</v>
      </c>
      <c r="M722" t="n">
        <v>0</v>
      </c>
      <c r="N722" t="n">
        <v>0</v>
      </c>
      <c r="O722" t="n">
        <v>0</v>
      </c>
      <c r="P722" t="n">
        <v>0</v>
      </c>
      <c r="Q722" t="n">
        <v>0</v>
      </c>
      <c r="R722" s="2" t="inlineStr"/>
    </row>
    <row r="723" ht="15" customHeight="1">
      <c r="A723" t="inlineStr">
        <is>
          <t>A 53358-2019</t>
        </is>
      </c>
      <c r="B723" s="1" t="n">
        <v>43748</v>
      </c>
      <c r="C723" s="1" t="n">
        <v>45757</v>
      </c>
      <c r="D723" t="inlineStr">
        <is>
          <t>VÄSTMANLANDS LÄN</t>
        </is>
      </c>
      <c r="E723" t="inlineStr">
        <is>
          <t>VÄSTERÅS</t>
        </is>
      </c>
      <c r="G723" t="n">
        <v>0.2</v>
      </c>
      <c r="H723" t="n">
        <v>0</v>
      </c>
      <c r="I723" t="n">
        <v>0</v>
      </c>
      <c r="J723" t="n">
        <v>0</v>
      </c>
      <c r="K723" t="n">
        <v>0</v>
      </c>
      <c r="L723" t="n">
        <v>0</v>
      </c>
      <c r="M723" t="n">
        <v>0</v>
      </c>
      <c r="N723" t="n">
        <v>0</v>
      </c>
      <c r="O723" t="n">
        <v>0</v>
      </c>
      <c r="P723" t="n">
        <v>0</v>
      </c>
      <c r="Q723" t="n">
        <v>0</v>
      </c>
      <c r="R723" s="2" t="inlineStr"/>
    </row>
    <row r="724" ht="15" customHeight="1">
      <c r="A724" t="inlineStr">
        <is>
          <t>A 53250-2019</t>
        </is>
      </c>
      <c r="B724" s="1" t="n">
        <v>43748</v>
      </c>
      <c r="C724" s="1" t="n">
        <v>45757</v>
      </c>
      <c r="D724" t="inlineStr">
        <is>
          <t>VÄSTMANLANDS LÄN</t>
        </is>
      </c>
      <c r="E724" t="inlineStr">
        <is>
          <t>VÄSTERÅS</t>
        </is>
      </c>
      <c r="G724" t="n">
        <v>2</v>
      </c>
      <c r="H724" t="n">
        <v>0</v>
      </c>
      <c r="I724" t="n">
        <v>0</v>
      </c>
      <c r="J724" t="n">
        <v>0</v>
      </c>
      <c r="K724" t="n">
        <v>0</v>
      </c>
      <c r="L724" t="n">
        <v>0</v>
      </c>
      <c r="M724" t="n">
        <v>0</v>
      </c>
      <c r="N724" t="n">
        <v>0</v>
      </c>
      <c r="O724" t="n">
        <v>0</v>
      </c>
      <c r="P724" t="n">
        <v>0</v>
      </c>
      <c r="Q724" t="n">
        <v>0</v>
      </c>
      <c r="R724" s="2" t="inlineStr"/>
    </row>
    <row r="725" ht="15" customHeight="1">
      <c r="A725" t="inlineStr">
        <is>
          <t>A 53246-2019</t>
        </is>
      </c>
      <c r="B725" s="1" t="n">
        <v>43748</v>
      </c>
      <c r="C725" s="1" t="n">
        <v>45757</v>
      </c>
      <c r="D725" t="inlineStr">
        <is>
          <t>VÄSTMANLANDS LÄN</t>
        </is>
      </c>
      <c r="E725" t="inlineStr">
        <is>
          <t>VÄSTERÅS</t>
        </is>
      </c>
      <c r="G725" t="n">
        <v>1.1</v>
      </c>
      <c r="H725" t="n">
        <v>0</v>
      </c>
      <c r="I725" t="n">
        <v>0</v>
      </c>
      <c r="J725" t="n">
        <v>0</v>
      </c>
      <c r="K725" t="n">
        <v>0</v>
      </c>
      <c r="L725" t="n">
        <v>0</v>
      </c>
      <c r="M725" t="n">
        <v>0</v>
      </c>
      <c r="N725" t="n">
        <v>0</v>
      </c>
      <c r="O725" t="n">
        <v>0</v>
      </c>
      <c r="P725" t="n">
        <v>0</v>
      </c>
      <c r="Q725" t="n">
        <v>0</v>
      </c>
      <c r="R725" s="2" t="inlineStr"/>
    </row>
    <row r="726" ht="15" customHeight="1">
      <c r="A726" t="inlineStr">
        <is>
          <t>A 53640-2019</t>
        </is>
      </c>
      <c r="B726" s="1" t="n">
        <v>43749</v>
      </c>
      <c r="C726" s="1" t="n">
        <v>45757</v>
      </c>
      <c r="D726" t="inlineStr">
        <is>
          <t>VÄSTMANLANDS LÄN</t>
        </is>
      </c>
      <c r="E726" t="inlineStr">
        <is>
          <t>SKINNSKATTEBERG</t>
        </is>
      </c>
      <c r="F726" t="inlineStr">
        <is>
          <t>Sveaskog</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53641-2019</t>
        </is>
      </c>
      <c r="B727" s="1" t="n">
        <v>43749</v>
      </c>
      <c r="C727" s="1" t="n">
        <v>45757</v>
      </c>
      <c r="D727" t="inlineStr">
        <is>
          <t>VÄSTMANLANDS LÄN</t>
        </is>
      </c>
      <c r="E727" t="inlineStr">
        <is>
          <t>SKINNSKATTEBERG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53637-2019</t>
        </is>
      </c>
      <c r="B728" s="1" t="n">
        <v>43749</v>
      </c>
      <c r="C728" s="1" t="n">
        <v>45757</v>
      </c>
      <c r="D728" t="inlineStr">
        <is>
          <t>VÄSTMANLANDS LÄN</t>
        </is>
      </c>
      <c r="E728" t="inlineStr">
        <is>
          <t>SKINNSKATTEBERG</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53685-2019</t>
        </is>
      </c>
      <c r="B729" s="1" t="n">
        <v>43749</v>
      </c>
      <c r="C729" s="1" t="n">
        <v>45757</v>
      </c>
      <c r="D729" t="inlineStr">
        <is>
          <t>VÄSTMANLANDS LÄN</t>
        </is>
      </c>
      <c r="E729" t="inlineStr">
        <is>
          <t>VÄSTERÅS</t>
        </is>
      </c>
      <c r="G729" t="n">
        <v>14</v>
      </c>
      <c r="H729" t="n">
        <v>0</v>
      </c>
      <c r="I729" t="n">
        <v>0</v>
      </c>
      <c r="J729" t="n">
        <v>0</v>
      </c>
      <c r="K729" t="n">
        <v>0</v>
      </c>
      <c r="L729" t="n">
        <v>0</v>
      </c>
      <c r="M729" t="n">
        <v>0</v>
      </c>
      <c r="N729" t="n">
        <v>0</v>
      </c>
      <c r="O729" t="n">
        <v>0</v>
      </c>
      <c r="P729" t="n">
        <v>0</v>
      </c>
      <c r="Q729" t="n">
        <v>0</v>
      </c>
      <c r="R729" s="2" t="inlineStr"/>
    </row>
    <row r="730" ht="15" customHeight="1">
      <c r="A730" t="inlineStr">
        <is>
          <t>A 53899-2019</t>
        </is>
      </c>
      <c r="B730" s="1" t="n">
        <v>43752</v>
      </c>
      <c r="C730" s="1" t="n">
        <v>45757</v>
      </c>
      <c r="D730" t="inlineStr">
        <is>
          <t>VÄSTMANLANDS LÄN</t>
        </is>
      </c>
      <c r="E730" t="inlineStr">
        <is>
          <t>ARBOGA</t>
        </is>
      </c>
      <c r="G730" t="n">
        <v>6.8</v>
      </c>
      <c r="H730" t="n">
        <v>0</v>
      </c>
      <c r="I730" t="n">
        <v>0</v>
      </c>
      <c r="J730" t="n">
        <v>0</v>
      </c>
      <c r="K730" t="n">
        <v>0</v>
      </c>
      <c r="L730" t="n">
        <v>0</v>
      </c>
      <c r="M730" t="n">
        <v>0</v>
      </c>
      <c r="N730" t="n">
        <v>0</v>
      </c>
      <c r="O730" t="n">
        <v>0</v>
      </c>
      <c r="P730" t="n">
        <v>0</v>
      </c>
      <c r="Q730" t="n">
        <v>0</v>
      </c>
      <c r="R730" s="2" t="inlineStr"/>
    </row>
    <row r="731" ht="15" customHeight="1">
      <c r="A731" t="inlineStr">
        <is>
          <t>A 53912-2019</t>
        </is>
      </c>
      <c r="B731" s="1" t="n">
        <v>43752</v>
      </c>
      <c r="C731" s="1" t="n">
        <v>45757</v>
      </c>
      <c r="D731" t="inlineStr">
        <is>
          <t>VÄSTMANLANDS LÄN</t>
        </is>
      </c>
      <c r="E731" t="inlineStr">
        <is>
          <t>ARBOGA</t>
        </is>
      </c>
      <c r="G731" t="n">
        <v>7.1</v>
      </c>
      <c r="H731" t="n">
        <v>0</v>
      </c>
      <c r="I731" t="n">
        <v>0</v>
      </c>
      <c r="J731" t="n">
        <v>0</v>
      </c>
      <c r="K731" t="n">
        <v>0</v>
      </c>
      <c r="L731" t="n">
        <v>0</v>
      </c>
      <c r="M731" t="n">
        <v>0</v>
      </c>
      <c r="N731" t="n">
        <v>0</v>
      </c>
      <c r="O731" t="n">
        <v>0</v>
      </c>
      <c r="P731" t="n">
        <v>0</v>
      </c>
      <c r="Q731" t="n">
        <v>0</v>
      </c>
      <c r="R731" s="2" t="inlineStr"/>
    </row>
    <row r="732" ht="15" customHeight="1">
      <c r="A732" t="inlineStr">
        <is>
          <t>A 53891-2019</t>
        </is>
      </c>
      <c r="B732" s="1" t="n">
        <v>43752</v>
      </c>
      <c r="C732" s="1" t="n">
        <v>45757</v>
      </c>
      <c r="D732" t="inlineStr">
        <is>
          <t>VÄSTMANLANDS LÄN</t>
        </is>
      </c>
      <c r="E732" t="inlineStr">
        <is>
          <t>ARBOGA</t>
        </is>
      </c>
      <c r="G732" t="n">
        <v>4.8</v>
      </c>
      <c r="H732" t="n">
        <v>0</v>
      </c>
      <c r="I732" t="n">
        <v>0</v>
      </c>
      <c r="J732" t="n">
        <v>0</v>
      </c>
      <c r="K732" t="n">
        <v>0</v>
      </c>
      <c r="L732" t="n">
        <v>0</v>
      </c>
      <c r="M732" t="n">
        <v>0</v>
      </c>
      <c r="N732" t="n">
        <v>0</v>
      </c>
      <c r="O732" t="n">
        <v>0</v>
      </c>
      <c r="P732" t="n">
        <v>0</v>
      </c>
      <c r="Q732" t="n">
        <v>0</v>
      </c>
      <c r="R732" s="2" t="inlineStr"/>
    </row>
    <row r="733" ht="15" customHeight="1">
      <c r="A733" t="inlineStr">
        <is>
          <t>A 54076-2019</t>
        </is>
      </c>
      <c r="B733" s="1" t="n">
        <v>43752</v>
      </c>
      <c r="C733" s="1" t="n">
        <v>45757</v>
      </c>
      <c r="D733" t="inlineStr">
        <is>
          <t>VÄSTMANLANDS LÄN</t>
        </is>
      </c>
      <c r="E733" t="inlineStr">
        <is>
          <t>SKINNSKATTEBERG</t>
        </is>
      </c>
      <c r="G733" t="n">
        <v>1.4</v>
      </c>
      <c r="H733" t="n">
        <v>0</v>
      </c>
      <c r="I733" t="n">
        <v>0</v>
      </c>
      <c r="J733" t="n">
        <v>0</v>
      </c>
      <c r="K733" t="n">
        <v>0</v>
      </c>
      <c r="L733" t="n">
        <v>0</v>
      </c>
      <c r="M733" t="n">
        <v>0</v>
      </c>
      <c r="N733" t="n">
        <v>0</v>
      </c>
      <c r="O733" t="n">
        <v>0</v>
      </c>
      <c r="P733" t="n">
        <v>0</v>
      </c>
      <c r="Q733" t="n">
        <v>0</v>
      </c>
      <c r="R733" s="2" t="inlineStr"/>
    </row>
    <row r="734" ht="15" customHeight="1">
      <c r="A734" t="inlineStr">
        <is>
          <t>A 54069-2019</t>
        </is>
      </c>
      <c r="B734" s="1" t="n">
        <v>43752</v>
      </c>
      <c r="C734" s="1" t="n">
        <v>45757</v>
      </c>
      <c r="D734" t="inlineStr">
        <is>
          <t>VÄSTMANLANDS LÄN</t>
        </is>
      </c>
      <c r="E734" t="inlineStr">
        <is>
          <t>SALA</t>
        </is>
      </c>
      <c r="G734" t="n">
        <v>3.5</v>
      </c>
      <c r="H734" t="n">
        <v>0</v>
      </c>
      <c r="I734" t="n">
        <v>0</v>
      </c>
      <c r="J734" t="n">
        <v>0</v>
      </c>
      <c r="K734" t="n">
        <v>0</v>
      </c>
      <c r="L734" t="n">
        <v>0</v>
      </c>
      <c r="M734" t="n">
        <v>0</v>
      </c>
      <c r="N734" t="n">
        <v>0</v>
      </c>
      <c r="O734" t="n">
        <v>0</v>
      </c>
      <c r="P734" t="n">
        <v>0</v>
      </c>
      <c r="Q734" t="n">
        <v>0</v>
      </c>
      <c r="R734" s="2" t="inlineStr"/>
    </row>
    <row r="735" ht="15" customHeight="1">
      <c r="A735" t="inlineStr">
        <is>
          <t>A 55079-2019</t>
        </is>
      </c>
      <c r="B735" s="1" t="n">
        <v>43752</v>
      </c>
      <c r="C735" s="1" t="n">
        <v>45757</v>
      </c>
      <c r="D735" t="inlineStr">
        <is>
          <t>VÄSTMANLANDS LÄN</t>
        </is>
      </c>
      <c r="E735" t="inlineStr">
        <is>
          <t>NORBERG</t>
        </is>
      </c>
      <c r="G735" t="n">
        <v>5.4</v>
      </c>
      <c r="H735" t="n">
        <v>0</v>
      </c>
      <c r="I735" t="n">
        <v>0</v>
      </c>
      <c r="J735" t="n">
        <v>0</v>
      </c>
      <c r="K735" t="n">
        <v>0</v>
      </c>
      <c r="L735" t="n">
        <v>0</v>
      </c>
      <c r="M735" t="n">
        <v>0</v>
      </c>
      <c r="N735" t="n">
        <v>0</v>
      </c>
      <c r="O735" t="n">
        <v>0</v>
      </c>
      <c r="P735" t="n">
        <v>0</v>
      </c>
      <c r="Q735" t="n">
        <v>0</v>
      </c>
      <c r="R735" s="2" t="inlineStr"/>
    </row>
    <row r="736" ht="15" customHeight="1">
      <c r="A736" t="inlineStr">
        <is>
          <t>A 54195-2019</t>
        </is>
      </c>
      <c r="B736" s="1" t="n">
        <v>43753</v>
      </c>
      <c r="C736" s="1" t="n">
        <v>45757</v>
      </c>
      <c r="D736" t="inlineStr">
        <is>
          <t>VÄSTMANLANDS LÄN</t>
        </is>
      </c>
      <c r="E736" t="inlineStr">
        <is>
          <t>VÄSTERÅS</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54628-2019</t>
        </is>
      </c>
      <c r="B737" s="1" t="n">
        <v>43754</v>
      </c>
      <c r="C737" s="1" t="n">
        <v>45757</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54846-2019</t>
        </is>
      </c>
      <c r="B738" s="1" t="n">
        <v>43755</v>
      </c>
      <c r="C738" s="1" t="n">
        <v>45757</v>
      </c>
      <c r="D738" t="inlineStr">
        <is>
          <t>VÄSTMANLANDS LÄN</t>
        </is>
      </c>
      <c r="E738" t="inlineStr">
        <is>
          <t>KUNGSÖR</t>
        </is>
      </c>
      <c r="G738" t="n">
        <v>2.7</v>
      </c>
      <c r="H738" t="n">
        <v>0</v>
      </c>
      <c r="I738" t="n">
        <v>0</v>
      </c>
      <c r="J738" t="n">
        <v>0</v>
      </c>
      <c r="K738" t="n">
        <v>0</v>
      </c>
      <c r="L738" t="n">
        <v>0</v>
      </c>
      <c r="M738" t="n">
        <v>0</v>
      </c>
      <c r="N738" t="n">
        <v>0</v>
      </c>
      <c r="O738" t="n">
        <v>0</v>
      </c>
      <c r="P738" t="n">
        <v>0</v>
      </c>
      <c r="Q738" t="n">
        <v>0</v>
      </c>
      <c r="R738" s="2" t="inlineStr"/>
    </row>
    <row r="739" ht="15" customHeight="1">
      <c r="A739" t="inlineStr">
        <is>
          <t>A 55253-2019</t>
        </is>
      </c>
      <c r="B739" s="1" t="n">
        <v>43756</v>
      </c>
      <c r="C739" s="1" t="n">
        <v>45757</v>
      </c>
      <c r="D739" t="inlineStr">
        <is>
          <t>VÄSTMANLANDS LÄN</t>
        </is>
      </c>
      <c r="E739" t="inlineStr">
        <is>
          <t>SKINNSKATTEBERG</t>
        </is>
      </c>
      <c r="F739" t="inlineStr">
        <is>
          <t>Sveaskog</t>
        </is>
      </c>
      <c r="G739" t="n">
        <v>7</v>
      </c>
      <c r="H739" t="n">
        <v>0</v>
      </c>
      <c r="I739" t="n">
        <v>0</v>
      </c>
      <c r="J739" t="n">
        <v>0</v>
      </c>
      <c r="K739" t="n">
        <v>0</v>
      </c>
      <c r="L739" t="n">
        <v>0</v>
      </c>
      <c r="M739" t="n">
        <v>0</v>
      </c>
      <c r="N739" t="n">
        <v>0</v>
      </c>
      <c r="O739" t="n">
        <v>0</v>
      </c>
      <c r="P739" t="n">
        <v>0</v>
      </c>
      <c r="Q739" t="n">
        <v>0</v>
      </c>
      <c r="R739" s="2" t="inlineStr"/>
    </row>
    <row r="740" ht="15" customHeight="1">
      <c r="A740" t="inlineStr">
        <is>
          <t>A 55254-2019</t>
        </is>
      </c>
      <c r="B740" s="1" t="n">
        <v>43756</v>
      </c>
      <c r="C740" s="1" t="n">
        <v>45757</v>
      </c>
      <c r="D740" t="inlineStr">
        <is>
          <t>VÄSTMANLANDS LÄN</t>
        </is>
      </c>
      <c r="E740" t="inlineStr">
        <is>
          <t>SKINNSKATTEBERG</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55400-2019</t>
        </is>
      </c>
      <c r="B741" s="1" t="n">
        <v>43758</v>
      </c>
      <c r="C741" s="1" t="n">
        <v>45757</v>
      </c>
      <c r="D741" t="inlineStr">
        <is>
          <t>VÄSTMANLANDS LÄN</t>
        </is>
      </c>
      <c r="E741" t="inlineStr">
        <is>
          <t>KÖPING</t>
        </is>
      </c>
      <c r="G741" t="n">
        <v>1.7</v>
      </c>
      <c r="H741" t="n">
        <v>0</v>
      </c>
      <c r="I741" t="n">
        <v>0</v>
      </c>
      <c r="J741" t="n">
        <v>0</v>
      </c>
      <c r="K741" t="n">
        <v>0</v>
      </c>
      <c r="L741" t="n">
        <v>0</v>
      </c>
      <c r="M741" t="n">
        <v>0</v>
      </c>
      <c r="N741" t="n">
        <v>0</v>
      </c>
      <c r="O741" t="n">
        <v>0</v>
      </c>
      <c r="P741" t="n">
        <v>0</v>
      </c>
      <c r="Q741" t="n">
        <v>0</v>
      </c>
      <c r="R741" s="2" t="inlineStr"/>
    </row>
    <row r="742" ht="15" customHeight="1">
      <c r="A742" t="inlineStr">
        <is>
          <t>A 55518-2019</t>
        </is>
      </c>
      <c r="B742" s="1" t="n">
        <v>43759</v>
      </c>
      <c r="C742" s="1" t="n">
        <v>45757</v>
      </c>
      <c r="D742" t="inlineStr">
        <is>
          <t>VÄSTMANLANDS LÄN</t>
        </is>
      </c>
      <c r="E742" t="inlineStr">
        <is>
          <t>HALLSTAHAMMAR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55856-2019</t>
        </is>
      </c>
      <c r="B743" s="1" t="n">
        <v>43759</v>
      </c>
      <c r="C743" s="1" t="n">
        <v>45757</v>
      </c>
      <c r="D743" t="inlineStr">
        <is>
          <t>VÄSTMANLANDS LÄN</t>
        </is>
      </c>
      <c r="E743" t="inlineStr">
        <is>
          <t>ARBOGA</t>
        </is>
      </c>
      <c r="G743" t="n">
        <v>1</v>
      </c>
      <c r="H743" t="n">
        <v>0</v>
      </c>
      <c r="I743" t="n">
        <v>0</v>
      </c>
      <c r="J743" t="n">
        <v>0</v>
      </c>
      <c r="K743" t="n">
        <v>0</v>
      </c>
      <c r="L743" t="n">
        <v>0</v>
      </c>
      <c r="M743" t="n">
        <v>0</v>
      </c>
      <c r="N743" t="n">
        <v>0</v>
      </c>
      <c r="O743" t="n">
        <v>0</v>
      </c>
      <c r="P743" t="n">
        <v>0</v>
      </c>
      <c r="Q743" t="n">
        <v>0</v>
      </c>
      <c r="R743" s="2" t="inlineStr"/>
    </row>
    <row r="744" ht="15" customHeight="1">
      <c r="A744" t="inlineStr">
        <is>
          <t>A 56040-2019</t>
        </is>
      </c>
      <c r="B744" s="1" t="n">
        <v>43759</v>
      </c>
      <c r="C744" s="1" t="n">
        <v>45757</v>
      </c>
      <c r="D744" t="inlineStr">
        <is>
          <t>VÄSTMANLANDS LÄN</t>
        </is>
      </c>
      <c r="E744" t="inlineStr">
        <is>
          <t>ARBOGA</t>
        </is>
      </c>
      <c r="G744" t="n">
        <v>1</v>
      </c>
      <c r="H744" t="n">
        <v>0</v>
      </c>
      <c r="I744" t="n">
        <v>0</v>
      </c>
      <c r="J744" t="n">
        <v>0</v>
      </c>
      <c r="K744" t="n">
        <v>0</v>
      </c>
      <c r="L744" t="n">
        <v>0</v>
      </c>
      <c r="M744" t="n">
        <v>0</v>
      </c>
      <c r="N744" t="n">
        <v>0</v>
      </c>
      <c r="O744" t="n">
        <v>0</v>
      </c>
      <c r="P744" t="n">
        <v>0</v>
      </c>
      <c r="Q744" t="n">
        <v>0</v>
      </c>
      <c r="R744" s="2" t="inlineStr"/>
    </row>
    <row r="745" ht="15" customHeight="1">
      <c r="A745" t="inlineStr">
        <is>
          <t>A 55759-2019</t>
        </is>
      </c>
      <c r="B745" s="1" t="n">
        <v>43759</v>
      </c>
      <c r="C745" s="1" t="n">
        <v>45757</v>
      </c>
      <c r="D745" t="inlineStr">
        <is>
          <t>VÄSTMANLANDS LÄN</t>
        </is>
      </c>
      <c r="E745" t="inlineStr">
        <is>
          <t>ARBOGA</t>
        </is>
      </c>
      <c r="G745" t="n">
        <v>1.7</v>
      </c>
      <c r="H745" t="n">
        <v>0</v>
      </c>
      <c r="I745" t="n">
        <v>0</v>
      </c>
      <c r="J745" t="n">
        <v>0</v>
      </c>
      <c r="K745" t="n">
        <v>0</v>
      </c>
      <c r="L745" t="n">
        <v>0</v>
      </c>
      <c r="M745" t="n">
        <v>0</v>
      </c>
      <c r="N745" t="n">
        <v>0</v>
      </c>
      <c r="O745" t="n">
        <v>0</v>
      </c>
      <c r="P745" t="n">
        <v>0</v>
      </c>
      <c r="Q745" t="n">
        <v>0</v>
      </c>
      <c r="R745" s="2" t="inlineStr"/>
    </row>
    <row r="746" ht="15" customHeight="1">
      <c r="A746" t="inlineStr">
        <is>
          <t>A 56038-2019</t>
        </is>
      </c>
      <c r="B746" s="1" t="n">
        <v>43759</v>
      </c>
      <c r="C746" s="1" t="n">
        <v>45757</v>
      </c>
      <c r="D746" t="inlineStr">
        <is>
          <t>VÄSTMANLANDS LÄN</t>
        </is>
      </c>
      <c r="E746" t="inlineStr">
        <is>
          <t>ARBOGA</t>
        </is>
      </c>
      <c r="G746" t="n">
        <v>2.8</v>
      </c>
      <c r="H746" t="n">
        <v>0</v>
      </c>
      <c r="I746" t="n">
        <v>0</v>
      </c>
      <c r="J746" t="n">
        <v>0</v>
      </c>
      <c r="K746" t="n">
        <v>0</v>
      </c>
      <c r="L746" t="n">
        <v>0</v>
      </c>
      <c r="M746" t="n">
        <v>0</v>
      </c>
      <c r="N746" t="n">
        <v>0</v>
      </c>
      <c r="O746" t="n">
        <v>0</v>
      </c>
      <c r="P746" t="n">
        <v>0</v>
      </c>
      <c r="Q746" t="n">
        <v>0</v>
      </c>
      <c r="R746" s="2" t="inlineStr"/>
    </row>
    <row r="747" ht="15" customHeight="1">
      <c r="A747" t="inlineStr">
        <is>
          <t>A 55673-2019</t>
        </is>
      </c>
      <c r="B747" s="1" t="n">
        <v>43760</v>
      </c>
      <c r="C747" s="1" t="n">
        <v>45757</v>
      </c>
      <c r="D747" t="inlineStr">
        <is>
          <t>VÄSTMANLANDS LÄN</t>
        </is>
      </c>
      <c r="E747" t="inlineStr">
        <is>
          <t>ARBOGA</t>
        </is>
      </c>
      <c r="G747" t="n">
        <v>2.2</v>
      </c>
      <c r="H747" t="n">
        <v>0</v>
      </c>
      <c r="I747" t="n">
        <v>0</v>
      </c>
      <c r="J747" t="n">
        <v>0</v>
      </c>
      <c r="K747" t="n">
        <v>0</v>
      </c>
      <c r="L747" t="n">
        <v>0</v>
      </c>
      <c r="M747" t="n">
        <v>0</v>
      </c>
      <c r="N747" t="n">
        <v>0</v>
      </c>
      <c r="O747" t="n">
        <v>0</v>
      </c>
      <c r="P747" t="n">
        <v>0</v>
      </c>
      <c r="Q747" t="n">
        <v>0</v>
      </c>
      <c r="R747" s="2" t="inlineStr"/>
    </row>
    <row r="748" ht="15" customHeight="1">
      <c r="A748" t="inlineStr">
        <is>
          <t>A 55672-2019</t>
        </is>
      </c>
      <c r="B748" s="1" t="n">
        <v>43760</v>
      </c>
      <c r="C748" s="1" t="n">
        <v>45757</v>
      </c>
      <c r="D748" t="inlineStr">
        <is>
          <t>VÄSTMANLANDS LÄN</t>
        </is>
      </c>
      <c r="E748" t="inlineStr">
        <is>
          <t>ARBOGA</t>
        </is>
      </c>
      <c r="G748" t="n">
        <v>4.2</v>
      </c>
      <c r="H748" t="n">
        <v>0</v>
      </c>
      <c r="I748" t="n">
        <v>0</v>
      </c>
      <c r="J748" t="n">
        <v>0</v>
      </c>
      <c r="K748" t="n">
        <v>0</v>
      </c>
      <c r="L748" t="n">
        <v>0</v>
      </c>
      <c r="M748" t="n">
        <v>0</v>
      </c>
      <c r="N748" t="n">
        <v>0</v>
      </c>
      <c r="O748" t="n">
        <v>0</v>
      </c>
      <c r="P748" t="n">
        <v>0</v>
      </c>
      <c r="Q748" t="n">
        <v>0</v>
      </c>
      <c r="R748" s="2" t="inlineStr"/>
    </row>
    <row r="749" ht="15" customHeight="1">
      <c r="A749" t="inlineStr">
        <is>
          <t>A 55659-2019</t>
        </is>
      </c>
      <c r="B749" s="1" t="n">
        <v>43760</v>
      </c>
      <c r="C749" s="1" t="n">
        <v>45757</v>
      </c>
      <c r="D749" t="inlineStr">
        <is>
          <t>VÄSTMANLANDS LÄN</t>
        </is>
      </c>
      <c r="E749" t="inlineStr">
        <is>
          <t>KÖPING</t>
        </is>
      </c>
      <c r="G749" t="n">
        <v>10.7</v>
      </c>
      <c r="H749" t="n">
        <v>0</v>
      </c>
      <c r="I749" t="n">
        <v>0</v>
      </c>
      <c r="J749" t="n">
        <v>0</v>
      </c>
      <c r="K749" t="n">
        <v>0</v>
      </c>
      <c r="L749" t="n">
        <v>0</v>
      </c>
      <c r="M749" t="n">
        <v>0</v>
      </c>
      <c r="N749" t="n">
        <v>0</v>
      </c>
      <c r="O749" t="n">
        <v>0</v>
      </c>
      <c r="P749" t="n">
        <v>0</v>
      </c>
      <c r="Q749" t="n">
        <v>0</v>
      </c>
      <c r="R749" s="2" t="inlineStr"/>
    </row>
    <row r="750" ht="15" customHeight="1">
      <c r="A750" t="inlineStr">
        <is>
          <t>A 56012-2019</t>
        </is>
      </c>
      <c r="B750" s="1" t="n">
        <v>43760</v>
      </c>
      <c r="C750" s="1" t="n">
        <v>45757</v>
      </c>
      <c r="D750" t="inlineStr">
        <is>
          <t>VÄSTMANLANDS LÄN</t>
        </is>
      </c>
      <c r="E750" t="inlineStr">
        <is>
          <t>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56152-2019</t>
        </is>
      </c>
      <c r="B751" s="1" t="n">
        <v>43761</v>
      </c>
      <c r="C751" s="1" t="n">
        <v>45757</v>
      </c>
      <c r="D751" t="inlineStr">
        <is>
          <t>VÄSTMANLANDS LÄN</t>
        </is>
      </c>
      <c r="E751" t="inlineStr">
        <is>
          <t>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55837-2019</t>
        </is>
      </c>
      <c r="B752" s="1" t="n">
        <v>43761</v>
      </c>
      <c r="C752" s="1" t="n">
        <v>45757</v>
      </c>
      <c r="D752" t="inlineStr">
        <is>
          <t>VÄSTMANLANDS LÄN</t>
        </is>
      </c>
      <c r="E752" t="inlineStr">
        <is>
          <t>KÖPING</t>
        </is>
      </c>
      <c r="G752" t="n">
        <v>23.2</v>
      </c>
      <c r="H752" t="n">
        <v>0</v>
      </c>
      <c r="I752" t="n">
        <v>0</v>
      </c>
      <c r="J752" t="n">
        <v>0</v>
      </c>
      <c r="K752" t="n">
        <v>0</v>
      </c>
      <c r="L752" t="n">
        <v>0</v>
      </c>
      <c r="M752" t="n">
        <v>0</v>
      </c>
      <c r="N752" t="n">
        <v>0</v>
      </c>
      <c r="O752" t="n">
        <v>0</v>
      </c>
      <c r="P752" t="n">
        <v>0</v>
      </c>
      <c r="Q752" t="n">
        <v>0</v>
      </c>
      <c r="R752" s="2" t="inlineStr"/>
    </row>
    <row r="753" ht="15" customHeight="1">
      <c r="A753" t="inlineStr">
        <is>
          <t>A 56156-2019</t>
        </is>
      </c>
      <c r="B753" s="1" t="n">
        <v>43761</v>
      </c>
      <c r="C753" s="1" t="n">
        <v>45757</v>
      </c>
      <c r="D753" t="inlineStr">
        <is>
          <t>VÄSTMANLANDS LÄN</t>
        </is>
      </c>
      <c r="E753" t="inlineStr">
        <is>
          <t>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56611-2019</t>
        </is>
      </c>
      <c r="B754" s="1" t="n">
        <v>43762</v>
      </c>
      <c r="C754" s="1" t="n">
        <v>45757</v>
      </c>
      <c r="D754" t="inlineStr">
        <is>
          <t>VÄSTMANLANDS LÄN</t>
        </is>
      </c>
      <c r="E754" t="inlineStr">
        <is>
          <t>VÄSTERÅS</t>
        </is>
      </c>
      <c r="G754" t="n">
        <v>4.1</v>
      </c>
      <c r="H754" t="n">
        <v>0</v>
      </c>
      <c r="I754" t="n">
        <v>0</v>
      </c>
      <c r="J754" t="n">
        <v>0</v>
      </c>
      <c r="K754" t="n">
        <v>0</v>
      </c>
      <c r="L754" t="n">
        <v>0</v>
      </c>
      <c r="M754" t="n">
        <v>0</v>
      </c>
      <c r="N754" t="n">
        <v>0</v>
      </c>
      <c r="O754" t="n">
        <v>0</v>
      </c>
      <c r="P754" t="n">
        <v>0</v>
      </c>
      <c r="Q754" t="n">
        <v>0</v>
      </c>
      <c r="R754" s="2" t="inlineStr"/>
    </row>
    <row r="755" ht="15" customHeight="1">
      <c r="A755" t="inlineStr">
        <is>
          <t>A 56618-2019</t>
        </is>
      </c>
      <c r="B755" s="1" t="n">
        <v>43763</v>
      </c>
      <c r="C755" s="1" t="n">
        <v>45757</v>
      </c>
      <c r="D755" t="inlineStr">
        <is>
          <t>VÄSTMANLANDS LÄN</t>
        </is>
      </c>
      <c r="E755" t="inlineStr">
        <is>
          <t>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56616-2019</t>
        </is>
      </c>
      <c r="B756" s="1" t="n">
        <v>43763</v>
      </c>
      <c r="C756" s="1" t="n">
        <v>45757</v>
      </c>
      <c r="D756" t="inlineStr">
        <is>
          <t>VÄSTMANLANDS LÄN</t>
        </is>
      </c>
      <c r="E756" t="inlineStr">
        <is>
          <t>KÖPING</t>
        </is>
      </c>
      <c r="G756" t="n">
        <v>2.1</v>
      </c>
      <c r="H756" t="n">
        <v>0</v>
      </c>
      <c r="I756" t="n">
        <v>0</v>
      </c>
      <c r="J756" t="n">
        <v>0</v>
      </c>
      <c r="K756" t="n">
        <v>0</v>
      </c>
      <c r="L756" t="n">
        <v>0</v>
      </c>
      <c r="M756" t="n">
        <v>0</v>
      </c>
      <c r="N756" t="n">
        <v>0</v>
      </c>
      <c r="O756" t="n">
        <v>0</v>
      </c>
      <c r="P756" t="n">
        <v>0</v>
      </c>
      <c r="Q756" t="n">
        <v>0</v>
      </c>
      <c r="R756" s="2" t="inlineStr"/>
    </row>
    <row r="757" ht="15" customHeight="1">
      <c r="A757" t="inlineStr">
        <is>
          <t>A 56607-2019</t>
        </is>
      </c>
      <c r="B757" s="1" t="n">
        <v>43763</v>
      </c>
      <c r="C757" s="1" t="n">
        <v>45757</v>
      </c>
      <c r="D757" t="inlineStr">
        <is>
          <t>VÄSTMANLANDS LÄN</t>
        </is>
      </c>
      <c r="E757" t="inlineStr">
        <is>
          <t>KÖPING</t>
        </is>
      </c>
      <c r="G757" t="n">
        <v>1.7</v>
      </c>
      <c r="H757" t="n">
        <v>0</v>
      </c>
      <c r="I757" t="n">
        <v>0</v>
      </c>
      <c r="J757" t="n">
        <v>0</v>
      </c>
      <c r="K757" t="n">
        <v>0</v>
      </c>
      <c r="L757" t="n">
        <v>0</v>
      </c>
      <c r="M757" t="n">
        <v>0</v>
      </c>
      <c r="N757" t="n">
        <v>0</v>
      </c>
      <c r="O757" t="n">
        <v>0</v>
      </c>
      <c r="P757" t="n">
        <v>0</v>
      </c>
      <c r="Q757" t="n">
        <v>0</v>
      </c>
      <c r="R757" s="2" t="inlineStr"/>
    </row>
    <row r="758" ht="15" customHeight="1">
      <c r="A758" t="inlineStr">
        <is>
          <t>A 57078-2019</t>
        </is>
      </c>
      <c r="B758" s="1" t="n">
        <v>43766</v>
      </c>
      <c r="C758" s="1" t="n">
        <v>45757</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58573-2019</t>
        </is>
      </c>
      <c r="B759" s="1" t="n">
        <v>43766</v>
      </c>
      <c r="C759" s="1" t="n">
        <v>45757</v>
      </c>
      <c r="D759" t="inlineStr">
        <is>
          <t>VÄSTMANLANDS LÄN</t>
        </is>
      </c>
      <c r="E759" t="inlineStr">
        <is>
          <t>NORBERG</t>
        </is>
      </c>
      <c r="G759" t="n">
        <v>2.5</v>
      </c>
      <c r="H759" t="n">
        <v>0</v>
      </c>
      <c r="I759" t="n">
        <v>0</v>
      </c>
      <c r="J759" t="n">
        <v>0</v>
      </c>
      <c r="K759" t="n">
        <v>0</v>
      </c>
      <c r="L759" t="n">
        <v>0</v>
      </c>
      <c r="M759" t="n">
        <v>0</v>
      </c>
      <c r="N759" t="n">
        <v>0</v>
      </c>
      <c r="O759" t="n">
        <v>0</v>
      </c>
      <c r="P759" t="n">
        <v>0</v>
      </c>
      <c r="Q759" t="n">
        <v>0</v>
      </c>
      <c r="R759" s="2" t="inlineStr"/>
    </row>
    <row r="760" ht="15" customHeight="1">
      <c r="A760" t="inlineStr">
        <is>
          <t>A 58582-2019</t>
        </is>
      </c>
      <c r="B760" s="1" t="n">
        <v>43766</v>
      </c>
      <c r="C760" s="1" t="n">
        <v>45757</v>
      </c>
      <c r="D760" t="inlineStr">
        <is>
          <t>VÄSTMANLANDS LÄN</t>
        </is>
      </c>
      <c r="E760" t="inlineStr">
        <is>
          <t>NORBERG</t>
        </is>
      </c>
      <c r="G760" t="n">
        <v>11.3</v>
      </c>
      <c r="H760" t="n">
        <v>0</v>
      </c>
      <c r="I760" t="n">
        <v>0</v>
      </c>
      <c r="J760" t="n">
        <v>0</v>
      </c>
      <c r="K760" t="n">
        <v>0</v>
      </c>
      <c r="L760" t="n">
        <v>0</v>
      </c>
      <c r="M760" t="n">
        <v>0</v>
      </c>
      <c r="N760" t="n">
        <v>0</v>
      </c>
      <c r="O760" t="n">
        <v>0</v>
      </c>
      <c r="P760" t="n">
        <v>0</v>
      </c>
      <c r="Q760" t="n">
        <v>0</v>
      </c>
      <c r="R760" s="2" t="inlineStr"/>
    </row>
    <row r="761" ht="15" customHeight="1">
      <c r="A761" t="inlineStr">
        <is>
          <t>A 58555-2019</t>
        </is>
      </c>
      <c r="B761" s="1" t="n">
        <v>43766</v>
      </c>
      <c r="C761" s="1" t="n">
        <v>45757</v>
      </c>
      <c r="D761" t="inlineStr">
        <is>
          <t>VÄSTMANLANDS LÄN</t>
        </is>
      </c>
      <c r="E761" t="inlineStr">
        <is>
          <t>NORBERG</t>
        </is>
      </c>
      <c r="G761" t="n">
        <v>1.8</v>
      </c>
      <c r="H761" t="n">
        <v>0</v>
      </c>
      <c r="I761" t="n">
        <v>0</v>
      </c>
      <c r="J761" t="n">
        <v>0</v>
      </c>
      <c r="K761" t="n">
        <v>0</v>
      </c>
      <c r="L761" t="n">
        <v>0</v>
      </c>
      <c r="M761" t="n">
        <v>0</v>
      </c>
      <c r="N761" t="n">
        <v>0</v>
      </c>
      <c r="O761" t="n">
        <v>0</v>
      </c>
      <c r="P761" t="n">
        <v>0</v>
      </c>
      <c r="Q761" t="n">
        <v>0</v>
      </c>
      <c r="R761" s="2" t="inlineStr"/>
    </row>
    <row r="762" ht="15" customHeight="1">
      <c r="A762" t="inlineStr">
        <is>
          <t>A 58579-2019</t>
        </is>
      </c>
      <c r="B762" s="1" t="n">
        <v>43766</v>
      </c>
      <c r="C762" s="1" t="n">
        <v>45757</v>
      </c>
      <c r="D762" t="inlineStr">
        <is>
          <t>VÄSTMANLANDS LÄN</t>
        </is>
      </c>
      <c r="E762" t="inlineStr">
        <is>
          <t>NORBERG</t>
        </is>
      </c>
      <c r="G762" t="n">
        <v>6.9</v>
      </c>
      <c r="H762" t="n">
        <v>0</v>
      </c>
      <c r="I762" t="n">
        <v>0</v>
      </c>
      <c r="J762" t="n">
        <v>0</v>
      </c>
      <c r="K762" t="n">
        <v>0</v>
      </c>
      <c r="L762" t="n">
        <v>0</v>
      </c>
      <c r="M762" t="n">
        <v>0</v>
      </c>
      <c r="N762" t="n">
        <v>0</v>
      </c>
      <c r="O762" t="n">
        <v>0</v>
      </c>
      <c r="P762" t="n">
        <v>0</v>
      </c>
      <c r="Q762" t="n">
        <v>0</v>
      </c>
      <c r="R762" s="2" t="inlineStr"/>
    </row>
    <row r="763" ht="15" customHeight="1">
      <c r="A763" t="inlineStr">
        <is>
          <t>A 57409-2019</t>
        </is>
      </c>
      <c r="B763" s="1" t="n">
        <v>43767</v>
      </c>
      <c r="C763" s="1" t="n">
        <v>45757</v>
      </c>
      <c r="D763" t="inlineStr">
        <is>
          <t>VÄSTMANLANDS LÄN</t>
        </is>
      </c>
      <c r="E763" t="inlineStr">
        <is>
          <t>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57406-2019</t>
        </is>
      </c>
      <c r="B764" s="1" t="n">
        <v>43767</v>
      </c>
      <c r="C764" s="1" t="n">
        <v>45757</v>
      </c>
      <c r="D764" t="inlineStr">
        <is>
          <t>VÄSTMANLANDS LÄN</t>
        </is>
      </c>
      <c r="E764" t="inlineStr">
        <is>
          <t>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57743-2019</t>
        </is>
      </c>
      <c r="B765" s="1" t="n">
        <v>43768</v>
      </c>
      <c r="C765" s="1" t="n">
        <v>45757</v>
      </c>
      <c r="D765" t="inlineStr">
        <is>
          <t>VÄSTMANLANDS LÄN</t>
        </is>
      </c>
      <c r="E765" t="inlineStr">
        <is>
          <t>SALA</t>
        </is>
      </c>
      <c r="G765" t="n">
        <v>3.8</v>
      </c>
      <c r="H765" t="n">
        <v>0</v>
      </c>
      <c r="I765" t="n">
        <v>0</v>
      </c>
      <c r="J765" t="n">
        <v>0</v>
      </c>
      <c r="K765" t="n">
        <v>0</v>
      </c>
      <c r="L765" t="n">
        <v>0</v>
      </c>
      <c r="M765" t="n">
        <v>0</v>
      </c>
      <c r="N765" t="n">
        <v>0</v>
      </c>
      <c r="O765" t="n">
        <v>0</v>
      </c>
      <c r="P765" t="n">
        <v>0</v>
      </c>
      <c r="Q765" t="n">
        <v>0</v>
      </c>
      <c r="R765" s="2" t="inlineStr"/>
    </row>
    <row r="766" ht="15" customHeight="1">
      <c r="A766" t="inlineStr">
        <is>
          <t>A 57810-2019</t>
        </is>
      </c>
      <c r="B766" s="1" t="n">
        <v>43768</v>
      </c>
      <c r="C766" s="1" t="n">
        <v>45757</v>
      </c>
      <c r="D766" t="inlineStr">
        <is>
          <t>VÄSTMANLANDS LÄN</t>
        </is>
      </c>
      <c r="E766" t="inlineStr">
        <is>
          <t>VÄSTERÅS</t>
        </is>
      </c>
      <c r="G766" t="n">
        <v>1.1</v>
      </c>
      <c r="H766" t="n">
        <v>0</v>
      </c>
      <c r="I766" t="n">
        <v>0</v>
      </c>
      <c r="J766" t="n">
        <v>0</v>
      </c>
      <c r="K766" t="n">
        <v>0</v>
      </c>
      <c r="L766" t="n">
        <v>0</v>
      </c>
      <c r="M766" t="n">
        <v>0</v>
      </c>
      <c r="N766" t="n">
        <v>0</v>
      </c>
      <c r="O766" t="n">
        <v>0</v>
      </c>
      <c r="P766" t="n">
        <v>0</v>
      </c>
      <c r="Q766" t="n">
        <v>0</v>
      </c>
      <c r="R766" s="2" t="inlineStr"/>
    </row>
    <row r="767" ht="15" customHeight="1">
      <c r="A767" t="inlineStr">
        <is>
          <t>A 58003-2019</t>
        </is>
      </c>
      <c r="B767" s="1" t="n">
        <v>43769</v>
      </c>
      <c r="C767" s="1" t="n">
        <v>45757</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58027-2019</t>
        </is>
      </c>
      <c r="B768" s="1" t="n">
        <v>43769</v>
      </c>
      <c r="C768" s="1" t="n">
        <v>45757</v>
      </c>
      <c r="D768" t="inlineStr">
        <is>
          <t>VÄSTMANLANDS LÄN</t>
        </is>
      </c>
      <c r="E768" t="inlineStr">
        <is>
          <t>SALA</t>
        </is>
      </c>
      <c r="G768" t="n">
        <v>2.4</v>
      </c>
      <c r="H768" t="n">
        <v>0</v>
      </c>
      <c r="I768" t="n">
        <v>0</v>
      </c>
      <c r="J768" t="n">
        <v>0</v>
      </c>
      <c r="K768" t="n">
        <v>0</v>
      </c>
      <c r="L768" t="n">
        <v>0</v>
      </c>
      <c r="M768" t="n">
        <v>0</v>
      </c>
      <c r="N768" t="n">
        <v>0</v>
      </c>
      <c r="O768" t="n">
        <v>0</v>
      </c>
      <c r="P768" t="n">
        <v>0</v>
      </c>
      <c r="Q768" t="n">
        <v>0</v>
      </c>
      <c r="R768" s="2" t="inlineStr"/>
    </row>
    <row r="769" ht="15" customHeight="1">
      <c r="A769" t="inlineStr">
        <is>
          <t>A 58138-2019</t>
        </is>
      </c>
      <c r="B769" s="1" t="n">
        <v>43769</v>
      </c>
      <c r="C769" s="1" t="n">
        <v>45757</v>
      </c>
      <c r="D769" t="inlineStr">
        <is>
          <t>VÄSTMANLANDS LÄN</t>
        </is>
      </c>
      <c r="E769" t="inlineStr">
        <is>
          <t>VÄSTERÅS</t>
        </is>
      </c>
      <c r="G769" t="n">
        <v>2.3</v>
      </c>
      <c r="H769" t="n">
        <v>0</v>
      </c>
      <c r="I769" t="n">
        <v>0</v>
      </c>
      <c r="J769" t="n">
        <v>0</v>
      </c>
      <c r="K769" t="n">
        <v>0</v>
      </c>
      <c r="L769" t="n">
        <v>0</v>
      </c>
      <c r="M769" t="n">
        <v>0</v>
      </c>
      <c r="N769" t="n">
        <v>0</v>
      </c>
      <c r="O769" t="n">
        <v>0</v>
      </c>
      <c r="P769" t="n">
        <v>0</v>
      </c>
      <c r="Q769" t="n">
        <v>0</v>
      </c>
      <c r="R769" s="2" t="inlineStr"/>
    </row>
    <row r="770" ht="15" customHeight="1">
      <c r="A770" t="inlineStr">
        <is>
          <t>A 57997-2019</t>
        </is>
      </c>
      <c r="B770" s="1" t="n">
        <v>43769</v>
      </c>
      <c r="C770" s="1" t="n">
        <v>45757</v>
      </c>
      <c r="D770" t="inlineStr">
        <is>
          <t>VÄSTMANLANDS LÄN</t>
        </is>
      </c>
      <c r="E770" t="inlineStr">
        <is>
          <t>NORBERG</t>
        </is>
      </c>
      <c r="G770" t="n">
        <v>1.6</v>
      </c>
      <c r="H770" t="n">
        <v>0</v>
      </c>
      <c r="I770" t="n">
        <v>0</v>
      </c>
      <c r="J770" t="n">
        <v>0</v>
      </c>
      <c r="K770" t="n">
        <v>0</v>
      </c>
      <c r="L770" t="n">
        <v>0</v>
      </c>
      <c r="M770" t="n">
        <v>0</v>
      </c>
      <c r="N770" t="n">
        <v>0</v>
      </c>
      <c r="O770" t="n">
        <v>0</v>
      </c>
      <c r="P770" t="n">
        <v>0</v>
      </c>
      <c r="Q770" t="n">
        <v>0</v>
      </c>
      <c r="R770" s="2" t="inlineStr"/>
    </row>
    <row r="771" ht="15" customHeight="1">
      <c r="A771" t="inlineStr">
        <is>
          <t>A 58455-2019</t>
        </is>
      </c>
      <c r="B771" s="1" t="n">
        <v>43773</v>
      </c>
      <c r="C771" s="1" t="n">
        <v>45757</v>
      </c>
      <c r="D771" t="inlineStr">
        <is>
          <t>VÄSTMANLANDS LÄN</t>
        </is>
      </c>
      <c r="E771" t="inlineStr">
        <is>
          <t>ARBOGA</t>
        </is>
      </c>
      <c r="G771" t="n">
        <v>2.1</v>
      </c>
      <c r="H771" t="n">
        <v>0</v>
      </c>
      <c r="I771" t="n">
        <v>0</v>
      </c>
      <c r="J771" t="n">
        <v>0</v>
      </c>
      <c r="K771" t="n">
        <v>0</v>
      </c>
      <c r="L771" t="n">
        <v>0</v>
      </c>
      <c r="M771" t="n">
        <v>0</v>
      </c>
      <c r="N771" t="n">
        <v>0</v>
      </c>
      <c r="O771" t="n">
        <v>0</v>
      </c>
      <c r="P771" t="n">
        <v>0</v>
      </c>
      <c r="Q771" t="n">
        <v>0</v>
      </c>
      <c r="R771" s="2" t="inlineStr"/>
    </row>
    <row r="772" ht="15" customHeight="1">
      <c r="A772" t="inlineStr">
        <is>
          <t>A 58681-2019</t>
        </is>
      </c>
      <c r="B772" s="1" t="n">
        <v>43773</v>
      </c>
      <c r="C772" s="1" t="n">
        <v>45757</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58917-2019</t>
        </is>
      </c>
      <c r="B773" s="1" t="n">
        <v>43774</v>
      </c>
      <c r="C773" s="1" t="n">
        <v>45757</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59147-2019</t>
        </is>
      </c>
      <c r="B774" s="1" t="n">
        <v>43775</v>
      </c>
      <c r="C774" s="1" t="n">
        <v>45757</v>
      </c>
      <c r="D774" t="inlineStr">
        <is>
          <t>VÄSTMANLANDS LÄN</t>
        </is>
      </c>
      <c r="E774" t="inlineStr">
        <is>
          <t>SALA</t>
        </is>
      </c>
      <c r="F774" t="inlineStr">
        <is>
          <t>Övriga Aktiebolag</t>
        </is>
      </c>
      <c r="G774" t="n">
        <v>69.8</v>
      </c>
      <c r="H774" t="n">
        <v>0</v>
      </c>
      <c r="I774" t="n">
        <v>0</v>
      </c>
      <c r="J774" t="n">
        <v>0</v>
      </c>
      <c r="K774" t="n">
        <v>0</v>
      </c>
      <c r="L774" t="n">
        <v>0</v>
      </c>
      <c r="M774" t="n">
        <v>0</v>
      </c>
      <c r="N774" t="n">
        <v>0</v>
      </c>
      <c r="O774" t="n">
        <v>0</v>
      </c>
      <c r="P774" t="n">
        <v>0</v>
      </c>
      <c r="Q774" t="n">
        <v>0</v>
      </c>
      <c r="R774" s="2" t="inlineStr"/>
    </row>
    <row r="775" ht="15" customHeight="1">
      <c r="A775" t="inlineStr">
        <is>
          <t>A 59327-2019</t>
        </is>
      </c>
      <c r="B775" s="1" t="n">
        <v>43775</v>
      </c>
      <c r="C775" s="1" t="n">
        <v>45757</v>
      </c>
      <c r="D775" t="inlineStr">
        <is>
          <t>VÄSTMANLANDS LÄN</t>
        </is>
      </c>
      <c r="E775" t="inlineStr">
        <is>
          <t>VÄSTERÅS</t>
        </is>
      </c>
      <c r="G775" t="n">
        <v>4.6</v>
      </c>
      <c r="H775" t="n">
        <v>0</v>
      </c>
      <c r="I775" t="n">
        <v>0</v>
      </c>
      <c r="J775" t="n">
        <v>0</v>
      </c>
      <c r="K775" t="n">
        <v>0</v>
      </c>
      <c r="L775" t="n">
        <v>0</v>
      </c>
      <c r="M775" t="n">
        <v>0</v>
      </c>
      <c r="N775" t="n">
        <v>0</v>
      </c>
      <c r="O775" t="n">
        <v>0</v>
      </c>
      <c r="P775" t="n">
        <v>0</v>
      </c>
      <c r="Q775" t="n">
        <v>0</v>
      </c>
      <c r="R775" s="2" t="inlineStr"/>
    </row>
    <row r="776" ht="15" customHeight="1">
      <c r="A776" t="inlineStr">
        <is>
          <t>A 59467-2019</t>
        </is>
      </c>
      <c r="B776" s="1" t="n">
        <v>43775</v>
      </c>
      <c r="C776" s="1" t="n">
        <v>45757</v>
      </c>
      <c r="D776" t="inlineStr">
        <is>
          <t>VÄSTMANLANDS LÄN</t>
        </is>
      </c>
      <c r="E776" t="inlineStr">
        <is>
          <t>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59444-2019</t>
        </is>
      </c>
      <c r="B777" s="1" t="n">
        <v>43776</v>
      </c>
      <c r="C777" s="1" t="n">
        <v>45757</v>
      </c>
      <c r="D777" t="inlineStr">
        <is>
          <t>VÄSTMANLANDS LÄN</t>
        </is>
      </c>
      <c r="E777" t="inlineStr">
        <is>
          <t>SKINNSKATTEBERG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59586-2019</t>
        </is>
      </c>
      <c r="B778" s="1" t="n">
        <v>43776</v>
      </c>
      <c r="C778" s="1" t="n">
        <v>45757</v>
      </c>
      <c r="D778" t="inlineStr">
        <is>
          <t>VÄSTMANLANDS LÄN</t>
        </is>
      </c>
      <c r="E778" t="inlineStr">
        <is>
          <t>VÄSTERÅS</t>
        </is>
      </c>
      <c r="G778" t="n">
        <v>4.7</v>
      </c>
      <c r="H778" t="n">
        <v>0</v>
      </c>
      <c r="I778" t="n">
        <v>0</v>
      </c>
      <c r="J778" t="n">
        <v>0</v>
      </c>
      <c r="K778" t="n">
        <v>0</v>
      </c>
      <c r="L778" t="n">
        <v>0</v>
      </c>
      <c r="M778" t="n">
        <v>0</v>
      </c>
      <c r="N778" t="n">
        <v>0</v>
      </c>
      <c r="O778" t="n">
        <v>0</v>
      </c>
      <c r="P778" t="n">
        <v>0</v>
      </c>
      <c r="Q778" t="n">
        <v>0</v>
      </c>
      <c r="R778" s="2" t="inlineStr"/>
    </row>
    <row r="779" ht="15" customHeight="1">
      <c r="A779" t="inlineStr">
        <is>
          <t>A 59870-2019</t>
        </is>
      </c>
      <c r="B779" s="1" t="n">
        <v>43777</v>
      </c>
      <c r="C779" s="1" t="n">
        <v>45757</v>
      </c>
      <c r="D779" t="inlineStr">
        <is>
          <t>VÄSTMANLANDS LÄN</t>
        </is>
      </c>
      <c r="E779" t="inlineStr">
        <is>
          <t>KUNGSÖR</t>
        </is>
      </c>
      <c r="G779" t="n">
        <v>2.6</v>
      </c>
      <c r="H779" t="n">
        <v>0</v>
      </c>
      <c r="I779" t="n">
        <v>0</v>
      </c>
      <c r="J779" t="n">
        <v>0</v>
      </c>
      <c r="K779" t="n">
        <v>0</v>
      </c>
      <c r="L779" t="n">
        <v>0</v>
      </c>
      <c r="M779" t="n">
        <v>0</v>
      </c>
      <c r="N779" t="n">
        <v>0</v>
      </c>
      <c r="O779" t="n">
        <v>0</v>
      </c>
      <c r="P779" t="n">
        <v>0</v>
      </c>
      <c r="Q779" t="n">
        <v>0</v>
      </c>
      <c r="R779" s="2" t="inlineStr"/>
    </row>
    <row r="780" ht="15" customHeight="1">
      <c r="A780" t="inlineStr">
        <is>
          <t>A 60007-2019</t>
        </is>
      </c>
      <c r="B780" s="1" t="n">
        <v>43777</v>
      </c>
      <c r="C780" s="1" t="n">
        <v>45757</v>
      </c>
      <c r="D780" t="inlineStr">
        <is>
          <t>VÄSTMANLANDS LÄN</t>
        </is>
      </c>
      <c r="E780" t="inlineStr">
        <is>
          <t>SALA</t>
        </is>
      </c>
      <c r="F780" t="inlineStr">
        <is>
          <t>Kyrkan</t>
        </is>
      </c>
      <c r="G780" t="n">
        <v>5.1</v>
      </c>
      <c r="H780" t="n">
        <v>0</v>
      </c>
      <c r="I780" t="n">
        <v>0</v>
      </c>
      <c r="J780" t="n">
        <v>0</v>
      </c>
      <c r="K780" t="n">
        <v>0</v>
      </c>
      <c r="L780" t="n">
        <v>0</v>
      </c>
      <c r="M780" t="n">
        <v>0</v>
      </c>
      <c r="N780" t="n">
        <v>0</v>
      </c>
      <c r="O780" t="n">
        <v>0</v>
      </c>
      <c r="P780" t="n">
        <v>0</v>
      </c>
      <c r="Q780" t="n">
        <v>0</v>
      </c>
      <c r="R780" s="2" t="inlineStr"/>
    </row>
    <row r="781" ht="15" customHeight="1">
      <c r="A781" t="inlineStr">
        <is>
          <t>A 59878-2019</t>
        </is>
      </c>
      <c r="B781" s="1" t="n">
        <v>43777</v>
      </c>
      <c r="C781" s="1" t="n">
        <v>45757</v>
      </c>
      <c r="D781" t="inlineStr">
        <is>
          <t>VÄSTMANLANDS LÄN</t>
        </is>
      </c>
      <c r="E781" t="inlineStr">
        <is>
          <t>SKINNSKATTEBERG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59875-2019</t>
        </is>
      </c>
      <c r="B782" s="1" t="n">
        <v>43777</v>
      </c>
      <c r="C782" s="1" t="n">
        <v>45757</v>
      </c>
      <c r="D782" t="inlineStr">
        <is>
          <t>VÄSTMANLANDS LÄN</t>
        </is>
      </c>
      <c r="E782" t="inlineStr">
        <is>
          <t>SKINNSKATTEBERG</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60012-2019</t>
        </is>
      </c>
      <c r="B783" s="1" t="n">
        <v>43777</v>
      </c>
      <c r="C783" s="1" t="n">
        <v>45757</v>
      </c>
      <c r="D783" t="inlineStr">
        <is>
          <t>VÄSTMANLANDS LÄN</t>
        </is>
      </c>
      <c r="E783" t="inlineStr">
        <is>
          <t>SALA</t>
        </is>
      </c>
      <c r="F783" t="inlineStr">
        <is>
          <t>Kyrkan</t>
        </is>
      </c>
      <c r="G783" t="n">
        <v>1.5</v>
      </c>
      <c r="H783" t="n">
        <v>0</v>
      </c>
      <c r="I783" t="n">
        <v>0</v>
      </c>
      <c r="J783" t="n">
        <v>0</v>
      </c>
      <c r="K783" t="n">
        <v>0</v>
      </c>
      <c r="L783" t="n">
        <v>0</v>
      </c>
      <c r="M783" t="n">
        <v>0</v>
      </c>
      <c r="N783" t="n">
        <v>0</v>
      </c>
      <c r="O783" t="n">
        <v>0</v>
      </c>
      <c r="P783" t="n">
        <v>0</v>
      </c>
      <c r="Q783" t="n">
        <v>0</v>
      </c>
      <c r="R783" s="2" t="inlineStr"/>
    </row>
    <row r="784" ht="15" customHeight="1">
      <c r="A784" t="inlineStr">
        <is>
          <t>A 60343-2019</t>
        </is>
      </c>
      <c r="B784" s="1" t="n">
        <v>43780</v>
      </c>
      <c r="C784" s="1" t="n">
        <v>45757</v>
      </c>
      <c r="D784" t="inlineStr">
        <is>
          <t>VÄSTMANLANDS LÄN</t>
        </is>
      </c>
      <c r="E784" t="inlineStr">
        <is>
          <t>SURAHAMMAR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61102-2019</t>
        </is>
      </c>
      <c r="B785" s="1" t="n">
        <v>43780</v>
      </c>
      <c r="C785" s="1" t="n">
        <v>45757</v>
      </c>
      <c r="D785" t="inlineStr">
        <is>
          <t>VÄSTMANLANDS LÄN</t>
        </is>
      </c>
      <c r="E785" t="inlineStr">
        <is>
          <t>SKINNSKATTEBERG</t>
        </is>
      </c>
      <c r="G785" t="n">
        <v>3.4</v>
      </c>
      <c r="H785" t="n">
        <v>0</v>
      </c>
      <c r="I785" t="n">
        <v>0</v>
      </c>
      <c r="J785" t="n">
        <v>0</v>
      </c>
      <c r="K785" t="n">
        <v>0</v>
      </c>
      <c r="L785" t="n">
        <v>0</v>
      </c>
      <c r="M785" t="n">
        <v>0</v>
      </c>
      <c r="N785" t="n">
        <v>0</v>
      </c>
      <c r="O785" t="n">
        <v>0</v>
      </c>
      <c r="P785" t="n">
        <v>0</v>
      </c>
      <c r="Q785" t="n">
        <v>0</v>
      </c>
      <c r="R785" s="2" t="inlineStr"/>
    </row>
    <row r="786" ht="15" customHeight="1">
      <c r="A786" t="inlineStr">
        <is>
          <t>A 61414-2019</t>
        </is>
      </c>
      <c r="B786" s="1" t="n">
        <v>43780</v>
      </c>
      <c r="C786" s="1" t="n">
        <v>45757</v>
      </c>
      <c r="D786" t="inlineStr">
        <is>
          <t>VÄSTMANLANDS LÄN</t>
        </is>
      </c>
      <c r="E786" t="inlineStr">
        <is>
          <t>SKINNSKATTEBERG</t>
        </is>
      </c>
      <c r="G786" t="n">
        <v>0.5</v>
      </c>
      <c r="H786" t="n">
        <v>0</v>
      </c>
      <c r="I786" t="n">
        <v>0</v>
      </c>
      <c r="J786" t="n">
        <v>0</v>
      </c>
      <c r="K786" t="n">
        <v>0</v>
      </c>
      <c r="L786" t="n">
        <v>0</v>
      </c>
      <c r="M786" t="n">
        <v>0</v>
      </c>
      <c r="N786" t="n">
        <v>0</v>
      </c>
      <c r="O786" t="n">
        <v>0</v>
      </c>
      <c r="P786" t="n">
        <v>0</v>
      </c>
      <c r="Q786" t="n">
        <v>0</v>
      </c>
      <c r="R786" s="2" t="inlineStr"/>
    </row>
    <row r="787" ht="15" customHeight="1">
      <c r="A787" t="inlineStr">
        <is>
          <t>A 60781-2019</t>
        </is>
      </c>
      <c r="B787" s="1" t="n">
        <v>43781</v>
      </c>
      <c r="C787" s="1" t="n">
        <v>45757</v>
      </c>
      <c r="D787" t="inlineStr">
        <is>
          <t>VÄSTMANLANDS LÄN</t>
        </is>
      </c>
      <c r="E787" t="inlineStr">
        <is>
          <t>SKINNSKATTEBERG</t>
        </is>
      </c>
      <c r="G787" t="n">
        <v>1.9</v>
      </c>
      <c r="H787" t="n">
        <v>0</v>
      </c>
      <c r="I787" t="n">
        <v>0</v>
      </c>
      <c r="J787" t="n">
        <v>0</v>
      </c>
      <c r="K787" t="n">
        <v>0</v>
      </c>
      <c r="L787" t="n">
        <v>0</v>
      </c>
      <c r="M787" t="n">
        <v>0</v>
      </c>
      <c r="N787" t="n">
        <v>0</v>
      </c>
      <c r="O787" t="n">
        <v>0</v>
      </c>
      <c r="P787" t="n">
        <v>0</v>
      </c>
      <c r="Q787" t="n">
        <v>0</v>
      </c>
      <c r="R787" s="2" t="inlineStr"/>
    </row>
    <row r="788" ht="15" customHeight="1">
      <c r="A788" t="inlineStr">
        <is>
          <t>A 60963-2019</t>
        </is>
      </c>
      <c r="B788" s="1" t="n">
        <v>43782</v>
      </c>
      <c r="C788" s="1" t="n">
        <v>45757</v>
      </c>
      <c r="D788" t="inlineStr">
        <is>
          <t>VÄSTMANLANDS LÄN</t>
        </is>
      </c>
      <c r="E788" t="inlineStr">
        <is>
          <t>VÄSTERÅS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61016-2019</t>
        </is>
      </c>
      <c r="B789" s="1" t="n">
        <v>43782</v>
      </c>
      <c r="C789" s="1" t="n">
        <v>45757</v>
      </c>
      <c r="D789" t="inlineStr">
        <is>
          <t>VÄSTMANLANDS LÄN</t>
        </is>
      </c>
      <c r="E789" t="inlineStr">
        <is>
          <t>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61081-2019</t>
        </is>
      </c>
      <c r="B790" s="1" t="n">
        <v>43782</v>
      </c>
      <c r="C790" s="1" t="n">
        <v>45757</v>
      </c>
      <c r="D790" t="inlineStr">
        <is>
          <t>VÄSTMANLANDS LÄN</t>
        </is>
      </c>
      <c r="E790" t="inlineStr">
        <is>
          <t>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61155-2019</t>
        </is>
      </c>
      <c r="B791" s="1" t="n">
        <v>43782</v>
      </c>
      <c r="C791" s="1" t="n">
        <v>45757</v>
      </c>
      <c r="D791" t="inlineStr">
        <is>
          <t>VÄSTMANLANDS LÄN</t>
        </is>
      </c>
      <c r="E791" t="inlineStr">
        <is>
          <t>SKINNSKATTEBERG</t>
        </is>
      </c>
      <c r="G791" t="n">
        <v>7.2</v>
      </c>
      <c r="H791" t="n">
        <v>0</v>
      </c>
      <c r="I791" t="n">
        <v>0</v>
      </c>
      <c r="J791" t="n">
        <v>0</v>
      </c>
      <c r="K791" t="n">
        <v>0</v>
      </c>
      <c r="L791" t="n">
        <v>0</v>
      </c>
      <c r="M791" t="n">
        <v>0</v>
      </c>
      <c r="N791" t="n">
        <v>0</v>
      </c>
      <c r="O791" t="n">
        <v>0</v>
      </c>
      <c r="P791" t="n">
        <v>0</v>
      </c>
      <c r="Q791" t="n">
        <v>0</v>
      </c>
      <c r="R791" s="2" t="inlineStr"/>
    </row>
    <row r="792" ht="15" customHeight="1">
      <c r="A792" t="inlineStr">
        <is>
          <t>A 61166-2019</t>
        </is>
      </c>
      <c r="B792" s="1" t="n">
        <v>43782</v>
      </c>
      <c r="C792" s="1" t="n">
        <v>45757</v>
      </c>
      <c r="D792" t="inlineStr">
        <is>
          <t>VÄSTMANLANDS LÄN</t>
        </is>
      </c>
      <c r="E792" t="inlineStr">
        <is>
          <t>SKINNSKATTEBERG</t>
        </is>
      </c>
      <c r="G792" t="n">
        <v>6.9</v>
      </c>
      <c r="H792" t="n">
        <v>0</v>
      </c>
      <c r="I792" t="n">
        <v>0</v>
      </c>
      <c r="J792" t="n">
        <v>0</v>
      </c>
      <c r="K792" t="n">
        <v>0</v>
      </c>
      <c r="L792" t="n">
        <v>0</v>
      </c>
      <c r="M792" t="n">
        <v>0</v>
      </c>
      <c r="N792" t="n">
        <v>0</v>
      </c>
      <c r="O792" t="n">
        <v>0</v>
      </c>
      <c r="P792" t="n">
        <v>0</v>
      </c>
      <c r="Q792" t="n">
        <v>0</v>
      </c>
      <c r="R792" s="2" t="inlineStr"/>
    </row>
    <row r="793" ht="15" customHeight="1">
      <c r="A793" t="inlineStr">
        <is>
          <t>A 61146-2019</t>
        </is>
      </c>
      <c r="B793" s="1" t="n">
        <v>43782</v>
      </c>
      <c r="C793" s="1" t="n">
        <v>45757</v>
      </c>
      <c r="D793" t="inlineStr">
        <is>
          <t>VÄSTMANLANDS LÄN</t>
        </is>
      </c>
      <c r="E793" t="inlineStr">
        <is>
          <t>SKINNSKATTEBERG</t>
        </is>
      </c>
      <c r="G793" t="n">
        <v>6.4</v>
      </c>
      <c r="H793" t="n">
        <v>0</v>
      </c>
      <c r="I793" t="n">
        <v>0</v>
      </c>
      <c r="J793" t="n">
        <v>0</v>
      </c>
      <c r="K793" t="n">
        <v>0</v>
      </c>
      <c r="L793" t="n">
        <v>0</v>
      </c>
      <c r="M793" t="n">
        <v>0</v>
      </c>
      <c r="N793" t="n">
        <v>0</v>
      </c>
      <c r="O793" t="n">
        <v>0</v>
      </c>
      <c r="P793" t="n">
        <v>0</v>
      </c>
      <c r="Q793" t="n">
        <v>0</v>
      </c>
      <c r="R793" s="2" t="inlineStr"/>
    </row>
    <row r="794" ht="15" customHeight="1">
      <c r="A794" t="inlineStr">
        <is>
          <t>A 61034-2019</t>
        </is>
      </c>
      <c r="B794" s="1" t="n">
        <v>43782</v>
      </c>
      <c r="C794" s="1" t="n">
        <v>45757</v>
      </c>
      <c r="D794" t="inlineStr">
        <is>
          <t>VÄSTMANLANDS LÄN</t>
        </is>
      </c>
      <c r="E794" t="inlineStr">
        <is>
          <t>SKINNSKATTEBERG</t>
        </is>
      </c>
      <c r="G794" t="n">
        <v>4.6</v>
      </c>
      <c r="H794" t="n">
        <v>0</v>
      </c>
      <c r="I794" t="n">
        <v>0</v>
      </c>
      <c r="J794" t="n">
        <v>0</v>
      </c>
      <c r="K794" t="n">
        <v>0</v>
      </c>
      <c r="L794" t="n">
        <v>0</v>
      </c>
      <c r="M794" t="n">
        <v>0</v>
      </c>
      <c r="N794" t="n">
        <v>0</v>
      </c>
      <c r="O794" t="n">
        <v>0</v>
      </c>
      <c r="P794" t="n">
        <v>0</v>
      </c>
      <c r="Q794" t="n">
        <v>0</v>
      </c>
      <c r="R794" s="2" t="inlineStr"/>
    </row>
    <row r="795" ht="15" customHeight="1">
      <c r="A795" t="inlineStr">
        <is>
          <t>A 60958-2019</t>
        </is>
      </c>
      <c r="B795" s="1" t="n">
        <v>43782</v>
      </c>
      <c r="C795" s="1" t="n">
        <v>45757</v>
      </c>
      <c r="D795" t="inlineStr">
        <is>
          <t>VÄSTMANLANDS LÄN</t>
        </is>
      </c>
      <c r="E795" t="inlineStr">
        <is>
          <t>VÄSTERÅS</t>
        </is>
      </c>
      <c r="G795" t="n">
        <v>14.5</v>
      </c>
      <c r="H795" t="n">
        <v>0</v>
      </c>
      <c r="I795" t="n">
        <v>0</v>
      </c>
      <c r="J795" t="n">
        <v>0</v>
      </c>
      <c r="K795" t="n">
        <v>0</v>
      </c>
      <c r="L795" t="n">
        <v>0</v>
      </c>
      <c r="M795" t="n">
        <v>0</v>
      </c>
      <c r="N795" t="n">
        <v>0</v>
      </c>
      <c r="O795" t="n">
        <v>0</v>
      </c>
      <c r="P795" t="n">
        <v>0</v>
      </c>
      <c r="Q795" t="n">
        <v>0</v>
      </c>
      <c r="R795" s="2" t="inlineStr"/>
    </row>
    <row r="796" ht="15" customHeight="1">
      <c r="A796" t="inlineStr">
        <is>
          <t>A 61270-2019</t>
        </is>
      </c>
      <c r="B796" s="1" t="n">
        <v>43783</v>
      </c>
      <c r="C796" s="1" t="n">
        <v>45757</v>
      </c>
      <c r="D796" t="inlineStr">
        <is>
          <t>VÄSTMANLANDS LÄN</t>
        </is>
      </c>
      <c r="E796" t="inlineStr">
        <is>
          <t>SALA</t>
        </is>
      </c>
      <c r="G796" t="n">
        <v>3.3</v>
      </c>
      <c r="H796" t="n">
        <v>0</v>
      </c>
      <c r="I796" t="n">
        <v>0</v>
      </c>
      <c r="J796" t="n">
        <v>0</v>
      </c>
      <c r="K796" t="n">
        <v>0</v>
      </c>
      <c r="L796" t="n">
        <v>0</v>
      </c>
      <c r="M796" t="n">
        <v>0</v>
      </c>
      <c r="N796" t="n">
        <v>0</v>
      </c>
      <c r="O796" t="n">
        <v>0</v>
      </c>
      <c r="P796" t="n">
        <v>0</v>
      </c>
      <c r="Q796" t="n">
        <v>0</v>
      </c>
      <c r="R796" s="2" t="inlineStr"/>
    </row>
    <row r="797" ht="15" customHeight="1">
      <c r="A797" t="inlineStr">
        <is>
          <t>A 61394-2019</t>
        </is>
      </c>
      <c r="B797" s="1" t="n">
        <v>43783</v>
      </c>
      <c r="C797" s="1" t="n">
        <v>45757</v>
      </c>
      <c r="D797" t="inlineStr">
        <is>
          <t>VÄSTMANLANDS LÄN</t>
        </is>
      </c>
      <c r="E797" t="inlineStr">
        <is>
          <t>SALA</t>
        </is>
      </c>
      <c r="G797" t="n">
        <v>7.8</v>
      </c>
      <c r="H797" t="n">
        <v>0</v>
      </c>
      <c r="I797" t="n">
        <v>0</v>
      </c>
      <c r="J797" t="n">
        <v>0</v>
      </c>
      <c r="K797" t="n">
        <v>0</v>
      </c>
      <c r="L797" t="n">
        <v>0</v>
      </c>
      <c r="M797" t="n">
        <v>0</v>
      </c>
      <c r="N797" t="n">
        <v>0</v>
      </c>
      <c r="O797" t="n">
        <v>0</v>
      </c>
      <c r="P797" t="n">
        <v>0</v>
      </c>
      <c r="Q797" t="n">
        <v>0</v>
      </c>
      <c r="R797" s="2" t="inlineStr"/>
    </row>
    <row r="798" ht="15" customHeight="1">
      <c r="A798" t="inlineStr">
        <is>
          <t>A 61445-2019</t>
        </is>
      </c>
      <c r="B798" s="1" t="n">
        <v>43783</v>
      </c>
      <c r="C798" s="1" t="n">
        <v>45757</v>
      </c>
      <c r="D798" t="inlineStr">
        <is>
          <t>VÄSTMANLANDS LÄN</t>
        </is>
      </c>
      <c r="E798" t="inlineStr">
        <is>
          <t>SKINNSKATTEBERG</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61555-2019</t>
        </is>
      </c>
      <c r="B799" s="1" t="n">
        <v>43784</v>
      </c>
      <c r="C799" s="1" t="n">
        <v>45757</v>
      </c>
      <c r="D799" t="inlineStr">
        <is>
          <t>VÄSTMANLANDS LÄN</t>
        </is>
      </c>
      <c r="E799" t="inlineStr">
        <is>
          <t>NORBERG</t>
        </is>
      </c>
      <c r="F799" t="inlineStr">
        <is>
          <t>Sveaskog</t>
        </is>
      </c>
      <c r="G799" t="n">
        <v>12.9</v>
      </c>
      <c r="H799" t="n">
        <v>0</v>
      </c>
      <c r="I799" t="n">
        <v>0</v>
      </c>
      <c r="J799" t="n">
        <v>0</v>
      </c>
      <c r="K799" t="n">
        <v>0</v>
      </c>
      <c r="L799" t="n">
        <v>0</v>
      </c>
      <c r="M799" t="n">
        <v>0</v>
      </c>
      <c r="N799" t="n">
        <v>0</v>
      </c>
      <c r="O799" t="n">
        <v>0</v>
      </c>
      <c r="P799" t="n">
        <v>0</v>
      </c>
      <c r="Q799" t="n">
        <v>0</v>
      </c>
      <c r="R799" s="2" t="inlineStr"/>
    </row>
    <row r="800" ht="15" customHeight="1">
      <c r="A800" t="inlineStr">
        <is>
          <t>A 61762-2019</t>
        </is>
      </c>
      <c r="B800" s="1" t="n">
        <v>43784</v>
      </c>
      <c r="C800" s="1" t="n">
        <v>45757</v>
      </c>
      <c r="D800" t="inlineStr">
        <is>
          <t>VÄSTMANLANDS LÄN</t>
        </is>
      </c>
      <c r="E800" t="inlineStr">
        <is>
          <t>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61758-2019</t>
        </is>
      </c>
      <c r="B801" s="1" t="n">
        <v>43784</v>
      </c>
      <c r="C801" s="1" t="n">
        <v>45757</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62912-2019</t>
        </is>
      </c>
      <c r="B802" s="1" t="n">
        <v>43784</v>
      </c>
      <c r="C802" s="1" t="n">
        <v>45757</v>
      </c>
      <c r="D802" t="inlineStr">
        <is>
          <t>VÄSTMANLANDS LÄN</t>
        </is>
      </c>
      <c r="E802" t="inlineStr">
        <is>
          <t>KÖPING</t>
        </is>
      </c>
      <c r="G802" t="n">
        <v>3.7</v>
      </c>
      <c r="H802" t="n">
        <v>0</v>
      </c>
      <c r="I802" t="n">
        <v>0</v>
      </c>
      <c r="J802" t="n">
        <v>0</v>
      </c>
      <c r="K802" t="n">
        <v>0</v>
      </c>
      <c r="L802" t="n">
        <v>0</v>
      </c>
      <c r="M802" t="n">
        <v>0</v>
      </c>
      <c r="N802" t="n">
        <v>0</v>
      </c>
      <c r="O802" t="n">
        <v>0</v>
      </c>
      <c r="P802" t="n">
        <v>0</v>
      </c>
      <c r="Q802" t="n">
        <v>0</v>
      </c>
      <c r="R802" s="2" t="inlineStr"/>
    </row>
    <row r="803" ht="15" customHeight="1">
      <c r="A803" t="inlineStr">
        <is>
          <t>A 61760-2019</t>
        </is>
      </c>
      <c r="B803" s="1" t="n">
        <v>43784</v>
      </c>
      <c r="C803" s="1" t="n">
        <v>45757</v>
      </c>
      <c r="D803" t="inlineStr">
        <is>
          <t>VÄSTMANLANDS LÄN</t>
        </is>
      </c>
      <c r="E803" t="inlineStr">
        <is>
          <t>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62020-2019</t>
        </is>
      </c>
      <c r="B804" s="1" t="n">
        <v>43787</v>
      </c>
      <c r="C804" s="1" t="n">
        <v>45757</v>
      </c>
      <c r="D804" t="inlineStr">
        <is>
          <t>VÄSTMANLANDS LÄN</t>
        </is>
      </c>
      <c r="E804" t="inlineStr">
        <is>
          <t>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62199-2019</t>
        </is>
      </c>
      <c r="B805" s="1" t="n">
        <v>43788</v>
      </c>
      <c r="C805" s="1" t="n">
        <v>45757</v>
      </c>
      <c r="D805" t="inlineStr">
        <is>
          <t>VÄSTMANLANDS LÄN</t>
        </is>
      </c>
      <c r="E805" t="inlineStr">
        <is>
          <t>FAGERSTA</t>
        </is>
      </c>
      <c r="G805" t="n">
        <v>0.8</v>
      </c>
      <c r="H805" t="n">
        <v>0</v>
      </c>
      <c r="I805" t="n">
        <v>0</v>
      </c>
      <c r="J805" t="n">
        <v>0</v>
      </c>
      <c r="K805" t="n">
        <v>0</v>
      </c>
      <c r="L805" t="n">
        <v>0</v>
      </c>
      <c r="M805" t="n">
        <v>0</v>
      </c>
      <c r="N805" t="n">
        <v>0</v>
      </c>
      <c r="O805" t="n">
        <v>0</v>
      </c>
      <c r="P805" t="n">
        <v>0</v>
      </c>
      <c r="Q805" t="n">
        <v>0</v>
      </c>
      <c r="R805" s="2" t="inlineStr"/>
    </row>
    <row r="806" ht="15" customHeight="1">
      <c r="A806" t="inlineStr">
        <is>
          <t>A 62198-2019</t>
        </is>
      </c>
      <c r="B806" s="1" t="n">
        <v>43788</v>
      </c>
      <c r="C806" s="1" t="n">
        <v>45757</v>
      </c>
      <c r="D806" t="inlineStr">
        <is>
          <t>VÄSTMANLANDS LÄN</t>
        </is>
      </c>
      <c r="E806" t="inlineStr">
        <is>
          <t>FAGERSTA</t>
        </is>
      </c>
      <c r="G806" t="n">
        <v>1</v>
      </c>
      <c r="H806" t="n">
        <v>0</v>
      </c>
      <c r="I806" t="n">
        <v>0</v>
      </c>
      <c r="J806" t="n">
        <v>0</v>
      </c>
      <c r="K806" t="n">
        <v>0</v>
      </c>
      <c r="L806" t="n">
        <v>0</v>
      </c>
      <c r="M806" t="n">
        <v>0</v>
      </c>
      <c r="N806" t="n">
        <v>0</v>
      </c>
      <c r="O806" t="n">
        <v>0</v>
      </c>
      <c r="P806" t="n">
        <v>0</v>
      </c>
      <c r="Q806" t="n">
        <v>0</v>
      </c>
      <c r="R806" s="2" t="inlineStr"/>
    </row>
    <row r="807" ht="15" customHeight="1">
      <c r="A807" t="inlineStr">
        <is>
          <t>A 62390-2019</t>
        </is>
      </c>
      <c r="B807" s="1" t="n">
        <v>43788</v>
      </c>
      <c r="C807" s="1" t="n">
        <v>45757</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62412-2019</t>
        </is>
      </c>
      <c r="B808" s="1" t="n">
        <v>43788</v>
      </c>
      <c r="C808" s="1" t="n">
        <v>45757</v>
      </c>
      <c r="D808" t="inlineStr">
        <is>
          <t>VÄSTMANLANDS LÄN</t>
        </is>
      </c>
      <c r="E808" t="inlineStr">
        <is>
          <t>VÄSTERÅS</t>
        </is>
      </c>
      <c r="G808" t="n">
        <v>0.9</v>
      </c>
      <c r="H808" t="n">
        <v>0</v>
      </c>
      <c r="I808" t="n">
        <v>0</v>
      </c>
      <c r="J808" t="n">
        <v>0</v>
      </c>
      <c r="K808" t="n">
        <v>0</v>
      </c>
      <c r="L808" t="n">
        <v>0</v>
      </c>
      <c r="M808" t="n">
        <v>0</v>
      </c>
      <c r="N808" t="n">
        <v>0</v>
      </c>
      <c r="O808" t="n">
        <v>0</v>
      </c>
      <c r="P808" t="n">
        <v>0</v>
      </c>
      <c r="Q808" t="n">
        <v>0</v>
      </c>
      <c r="R808" s="2" t="inlineStr"/>
    </row>
    <row r="809" ht="15" customHeight="1">
      <c r="A809" t="inlineStr">
        <is>
          <t>A 62410-2019</t>
        </is>
      </c>
      <c r="B809" s="1" t="n">
        <v>43788</v>
      </c>
      <c r="C809" s="1" t="n">
        <v>45757</v>
      </c>
      <c r="D809" t="inlineStr">
        <is>
          <t>VÄSTMANLANDS LÄN</t>
        </is>
      </c>
      <c r="E809" t="inlineStr">
        <is>
          <t>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62692-2019</t>
        </is>
      </c>
      <c r="B810" s="1" t="n">
        <v>43789</v>
      </c>
      <c r="C810" s="1" t="n">
        <v>45757</v>
      </c>
      <c r="D810" t="inlineStr">
        <is>
          <t>VÄSTMANLANDS LÄN</t>
        </is>
      </c>
      <c r="E810" t="inlineStr">
        <is>
          <t>KUNGSÖR</t>
        </is>
      </c>
      <c r="G810" t="n">
        <v>1.8</v>
      </c>
      <c r="H810" t="n">
        <v>0</v>
      </c>
      <c r="I810" t="n">
        <v>0</v>
      </c>
      <c r="J810" t="n">
        <v>0</v>
      </c>
      <c r="K810" t="n">
        <v>0</v>
      </c>
      <c r="L810" t="n">
        <v>0</v>
      </c>
      <c r="M810" t="n">
        <v>0</v>
      </c>
      <c r="N810" t="n">
        <v>0</v>
      </c>
      <c r="O810" t="n">
        <v>0</v>
      </c>
      <c r="P810" t="n">
        <v>0</v>
      </c>
      <c r="Q810" t="n">
        <v>0</v>
      </c>
      <c r="R810" s="2" t="inlineStr"/>
    </row>
    <row r="811" ht="15" customHeight="1">
      <c r="A811" t="inlineStr">
        <is>
          <t>A 62686-2019</t>
        </is>
      </c>
      <c r="B811" s="1" t="n">
        <v>43789</v>
      </c>
      <c r="C811" s="1" t="n">
        <v>45757</v>
      </c>
      <c r="D811" t="inlineStr">
        <is>
          <t>VÄSTMANLANDS LÄN</t>
        </is>
      </c>
      <c r="E811" t="inlineStr">
        <is>
          <t>KUNGSÖR</t>
        </is>
      </c>
      <c r="G811" t="n">
        <v>0.5</v>
      </c>
      <c r="H811" t="n">
        <v>0</v>
      </c>
      <c r="I811" t="n">
        <v>0</v>
      </c>
      <c r="J811" t="n">
        <v>0</v>
      </c>
      <c r="K811" t="n">
        <v>0</v>
      </c>
      <c r="L811" t="n">
        <v>0</v>
      </c>
      <c r="M811" t="n">
        <v>0</v>
      </c>
      <c r="N811" t="n">
        <v>0</v>
      </c>
      <c r="O811" t="n">
        <v>0</v>
      </c>
      <c r="P811" t="n">
        <v>0</v>
      </c>
      <c r="Q811" t="n">
        <v>0</v>
      </c>
      <c r="R811" s="2" t="inlineStr"/>
    </row>
    <row r="812" ht="15" customHeight="1">
      <c r="A812" t="inlineStr">
        <is>
          <t>A 62774-2019</t>
        </is>
      </c>
      <c r="B812" s="1" t="n">
        <v>43789</v>
      </c>
      <c r="C812" s="1" t="n">
        <v>45757</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62865-2019</t>
        </is>
      </c>
      <c r="B813" s="1" t="n">
        <v>43790</v>
      </c>
      <c r="C813" s="1" t="n">
        <v>45757</v>
      </c>
      <c r="D813" t="inlineStr">
        <is>
          <t>VÄSTMANLANDS LÄN</t>
        </is>
      </c>
      <c r="E813" t="inlineStr">
        <is>
          <t>ARBOGA</t>
        </is>
      </c>
      <c r="G813" t="n">
        <v>2.8</v>
      </c>
      <c r="H813" t="n">
        <v>0</v>
      </c>
      <c r="I813" t="n">
        <v>0</v>
      </c>
      <c r="J813" t="n">
        <v>0</v>
      </c>
      <c r="K813" t="n">
        <v>0</v>
      </c>
      <c r="L813" t="n">
        <v>0</v>
      </c>
      <c r="M813" t="n">
        <v>0</v>
      </c>
      <c r="N813" t="n">
        <v>0</v>
      </c>
      <c r="O813" t="n">
        <v>0</v>
      </c>
      <c r="P813" t="n">
        <v>0</v>
      </c>
      <c r="Q813" t="n">
        <v>0</v>
      </c>
      <c r="R813" s="2" t="inlineStr"/>
    </row>
    <row r="814" ht="15" customHeight="1">
      <c r="A814" t="inlineStr">
        <is>
          <t>A 62752-2019</t>
        </is>
      </c>
      <c r="B814" s="1" t="n">
        <v>43790</v>
      </c>
      <c r="C814" s="1" t="n">
        <v>45757</v>
      </c>
      <c r="D814" t="inlineStr">
        <is>
          <t>VÄSTMANLANDS LÄN</t>
        </is>
      </c>
      <c r="E814" t="inlineStr">
        <is>
          <t>SKINNSKATTEBERG</t>
        </is>
      </c>
      <c r="G814" t="n">
        <v>2.1</v>
      </c>
      <c r="H814" t="n">
        <v>0</v>
      </c>
      <c r="I814" t="n">
        <v>0</v>
      </c>
      <c r="J814" t="n">
        <v>0</v>
      </c>
      <c r="K814" t="n">
        <v>0</v>
      </c>
      <c r="L814" t="n">
        <v>0</v>
      </c>
      <c r="M814" t="n">
        <v>0</v>
      </c>
      <c r="N814" t="n">
        <v>0</v>
      </c>
      <c r="O814" t="n">
        <v>0</v>
      </c>
      <c r="P814" t="n">
        <v>0</v>
      </c>
      <c r="Q814" t="n">
        <v>0</v>
      </c>
      <c r="R814" s="2" t="inlineStr"/>
    </row>
    <row r="815" ht="15" customHeight="1">
      <c r="A815" t="inlineStr">
        <is>
          <t>A 62976-2019</t>
        </is>
      </c>
      <c r="B815" s="1" t="n">
        <v>43790</v>
      </c>
      <c r="C815" s="1" t="n">
        <v>45757</v>
      </c>
      <c r="D815" t="inlineStr">
        <is>
          <t>VÄSTMANLANDS LÄN</t>
        </is>
      </c>
      <c r="E815" t="inlineStr">
        <is>
          <t>HALLSTAHAMMAR</t>
        </is>
      </c>
      <c r="G815" t="n">
        <v>4.2</v>
      </c>
      <c r="H815" t="n">
        <v>0</v>
      </c>
      <c r="I815" t="n">
        <v>0</v>
      </c>
      <c r="J815" t="n">
        <v>0</v>
      </c>
      <c r="K815" t="n">
        <v>0</v>
      </c>
      <c r="L815" t="n">
        <v>0</v>
      </c>
      <c r="M815" t="n">
        <v>0</v>
      </c>
      <c r="N815" t="n">
        <v>0</v>
      </c>
      <c r="O815" t="n">
        <v>0</v>
      </c>
      <c r="P815" t="n">
        <v>0</v>
      </c>
      <c r="Q815" t="n">
        <v>0</v>
      </c>
      <c r="R815" s="2" t="inlineStr"/>
    </row>
    <row r="816" ht="15" customHeight="1">
      <c r="A816" t="inlineStr">
        <is>
          <t>A 63203-2019</t>
        </is>
      </c>
      <c r="B816" s="1" t="n">
        <v>43791</v>
      </c>
      <c r="C816" s="1" t="n">
        <v>45757</v>
      </c>
      <c r="D816" t="inlineStr">
        <is>
          <t>VÄSTMANLANDS LÄN</t>
        </is>
      </c>
      <c r="E816" t="inlineStr">
        <is>
          <t>VÄSTERÅS</t>
        </is>
      </c>
      <c r="G816" t="n">
        <v>1.1</v>
      </c>
      <c r="H816" t="n">
        <v>0</v>
      </c>
      <c r="I816" t="n">
        <v>0</v>
      </c>
      <c r="J816" t="n">
        <v>0</v>
      </c>
      <c r="K816" t="n">
        <v>0</v>
      </c>
      <c r="L816" t="n">
        <v>0</v>
      </c>
      <c r="M816" t="n">
        <v>0</v>
      </c>
      <c r="N816" t="n">
        <v>0</v>
      </c>
      <c r="O816" t="n">
        <v>0</v>
      </c>
      <c r="P816" t="n">
        <v>0</v>
      </c>
      <c r="Q816" t="n">
        <v>0</v>
      </c>
      <c r="R816" s="2" t="inlineStr"/>
    </row>
    <row r="817" ht="15" customHeight="1">
      <c r="A817" t="inlineStr">
        <is>
          <t>A 64164-2019</t>
        </is>
      </c>
      <c r="B817" s="1" t="n">
        <v>43791</v>
      </c>
      <c r="C817" s="1" t="n">
        <v>45757</v>
      </c>
      <c r="D817" t="inlineStr">
        <is>
          <t>VÄSTMANLANDS LÄN</t>
        </is>
      </c>
      <c r="E817" t="inlineStr">
        <is>
          <t>SALA</t>
        </is>
      </c>
      <c r="G817" t="n">
        <v>1.1</v>
      </c>
      <c r="H817" t="n">
        <v>0</v>
      </c>
      <c r="I817" t="n">
        <v>0</v>
      </c>
      <c r="J817" t="n">
        <v>0</v>
      </c>
      <c r="K817" t="n">
        <v>0</v>
      </c>
      <c r="L817" t="n">
        <v>0</v>
      </c>
      <c r="M817" t="n">
        <v>0</v>
      </c>
      <c r="N817" t="n">
        <v>0</v>
      </c>
      <c r="O817" t="n">
        <v>0</v>
      </c>
      <c r="P817" t="n">
        <v>0</v>
      </c>
      <c r="Q817" t="n">
        <v>0</v>
      </c>
      <c r="R817" s="2" t="inlineStr"/>
    </row>
    <row r="818" ht="15" customHeight="1">
      <c r="A818" t="inlineStr">
        <is>
          <t>A 63251-2019</t>
        </is>
      </c>
      <c r="B818" s="1" t="n">
        <v>43793</v>
      </c>
      <c r="C818" s="1" t="n">
        <v>45757</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63369-2019</t>
        </is>
      </c>
      <c r="B819" s="1" t="n">
        <v>43794</v>
      </c>
      <c r="C819" s="1" t="n">
        <v>45757</v>
      </c>
      <c r="D819" t="inlineStr">
        <is>
          <t>VÄSTMANLANDS LÄN</t>
        </is>
      </c>
      <c r="E819" t="inlineStr">
        <is>
          <t>SALA</t>
        </is>
      </c>
      <c r="G819" t="n">
        <v>0.4</v>
      </c>
      <c r="H819" t="n">
        <v>0</v>
      </c>
      <c r="I819" t="n">
        <v>0</v>
      </c>
      <c r="J819" t="n">
        <v>0</v>
      </c>
      <c r="K819" t="n">
        <v>0</v>
      </c>
      <c r="L819" t="n">
        <v>0</v>
      </c>
      <c r="M819" t="n">
        <v>0</v>
      </c>
      <c r="N819" t="n">
        <v>0</v>
      </c>
      <c r="O819" t="n">
        <v>0</v>
      </c>
      <c r="P819" t="n">
        <v>0</v>
      </c>
      <c r="Q819" t="n">
        <v>0</v>
      </c>
      <c r="R819" s="2" t="inlineStr"/>
    </row>
    <row r="820" ht="15" customHeight="1">
      <c r="A820" t="inlineStr">
        <is>
          <t>A 63296-2019</t>
        </is>
      </c>
      <c r="B820" s="1" t="n">
        <v>43794</v>
      </c>
      <c r="C820" s="1" t="n">
        <v>45757</v>
      </c>
      <c r="D820" t="inlineStr">
        <is>
          <t>VÄSTMANLANDS LÄN</t>
        </is>
      </c>
      <c r="E820" t="inlineStr">
        <is>
          <t>SKINNSKATTEBERG</t>
        </is>
      </c>
      <c r="G820" t="n">
        <v>8</v>
      </c>
      <c r="H820" t="n">
        <v>0</v>
      </c>
      <c r="I820" t="n">
        <v>0</v>
      </c>
      <c r="J820" t="n">
        <v>0</v>
      </c>
      <c r="K820" t="n">
        <v>0</v>
      </c>
      <c r="L820" t="n">
        <v>0</v>
      </c>
      <c r="M820" t="n">
        <v>0</v>
      </c>
      <c r="N820" t="n">
        <v>0</v>
      </c>
      <c r="O820" t="n">
        <v>0</v>
      </c>
      <c r="P820" t="n">
        <v>0</v>
      </c>
      <c r="Q820" t="n">
        <v>0</v>
      </c>
      <c r="R820" s="2" t="inlineStr"/>
    </row>
    <row r="821" ht="15" customHeight="1">
      <c r="A821" t="inlineStr">
        <is>
          <t>A 63288-2019</t>
        </is>
      </c>
      <c r="B821" s="1" t="n">
        <v>43794</v>
      </c>
      <c r="C821" s="1" t="n">
        <v>45757</v>
      </c>
      <c r="D821" t="inlineStr">
        <is>
          <t>VÄSTMANLANDS LÄN</t>
        </is>
      </c>
      <c r="E821" t="inlineStr">
        <is>
          <t>VÄSTERÅS</t>
        </is>
      </c>
      <c r="F821" t="inlineStr">
        <is>
          <t>Kommuner</t>
        </is>
      </c>
      <c r="G821" t="n">
        <v>2.4</v>
      </c>
      <c r="H821" t="n">
        <v>0</v>
      </c>
      <c r="I821" t="n">
        <v>0</v>
      </c>
      <c r="J821" t="n">
        <v>0</v>
      </c>
      <c r="K821" t="n">
        <v>0</v>
      </c>
      <c r="L821" t="n">
        <v>0</v>
      </c>
      <c r="M821" t="n">
        <v>0</v>
      </c>
      <c r="N821" t="n">
        <v>0</v>
      </c>
      <c r="O821" t="n">
        <v>0</v>
      </c>
      <c r="P821" t="n">
        <v>0</v>
      </c>
      <c r="Q821" t="n">
        <v>0</v>
      </c>
      <c r="R821" s="2" t="inlineStr"/>
    </row>
    <row r="822" ht="15" customHeight="1">
      <c r="A822" t="inlineStr">
        <is>
          <t>A 63498-2019</t>
        </is>
      </c>
      <c r="B822" s="1" t="n">
        <v>43794</v>
      </c>
      <c r="C822" s="1" t="n">
        <v>45757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63604-2019</t>
        </is>
      </c>
      <c r="B823" s="1" t="n">
        <v>43795</v>
      </c>
      <c r="C823" s="1" t="n">
        <v>45757</v>
      </c>
      <c r="D823" t="inlineStr">
        <is>
          <t>VÄSTMANLANDS LÄN</t>
        </is>
      </c>
      <c r="E823" t="inlineStr">
        <is>
          <t>KUNGSÖR</t>
        </is>
      </c>
      <c r="G823" t="n">
        <v>1.5</v>
      </c>
      <c r="H823" t="n">
        <v>0</v>
      </c>
      <c r="I823" t="n">
        <v>0</v>
      </c>
      <c r="J823" t="n">
        <v>0</v>
      </c>
      <c r="K823" t="n">
        <v>0</v>
      </c>
      <c r="L823" t="n">
        <v>0</v>
      </c>
      <c r="M823" t="n">
        <v>0</v>
      </c>
      <c r="N823" t="n">
        <v>0</v>
      </c>
      <c r="O823" t="n">
        <v>0</v>
      </c>
      <c r="P823" t="n">
        <v>0</v>
      </c>
      <c r="Q823" t="n">
        <v>0</v>
      </c>
      <c r="R823" s="2" t="inlineStr"/>
    </row>
    <row r="824" ht="15" customHeight="1">
      <c r="A824" t="inlineStr">
        <is>
          <t>A 63753-2019</t>
        </is>
      </c>
      <c r="B824" s="1" t="n">
        <v>43795</v>
      </c>
      <c r="C824" s="1" t="n">
        <v>45757</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64090-2019</t>
        </is>
      </c>
      <c r="B825" s="1" t="n">
        <v>43796</v>
      </c>
      <c r="C825" s="1" t="n">
        <v>45757</v>
      </c>
      <c r="D825" t="inlineStr">
        <is>
          <t>VÄSTMANLANDS LÄN</t>
        </is>
      </c>
      <c r="E825" t="inlineStr">
        <is>
          <t>SALA</t>
        </is>
      </c>
      <c r="G825" t="n">
        <v>0.6</v>
      </c>
      <c r="H825" t="n">
        <v>0</v>
      </c>
      <c r="I825" t="n">
        <v>0</v>
      </c>
      <c r="J825" t="n">
        <v>0</v>
      </c>
      <c r="K825" t="n">
        <v>0</v>
      </c>
      <c r="L825" t="n">
        <v>0</v>
      </c>
      <c r="M825" t="n">
        <v>0</v>
      </c>
      <c r="N825" t="n">
        <v>0</v>
      </c>
      <c r="O825" t="n">
        <v>0</v>
      </c>
      <c r="P825" t="n">
        <v>0</v>
      </c>
      <c r="Q825" t="n">
        <v>0</v>
      </c>
      <c r="R825" s="2" t="inlineStr"/>
    </row>
    <row r="826" ht="15" customHeight="1">
      <c r="A826" t="inlineStr">
        <is>
          <t>A 64512-2019</t>
        </is>
      </c>
      <c r="B826" s="1" t="n">
        <v>43796</v>
      </c>
      <c r="C826" s="1" t="n">
        <v>45757</v>
      </c>
      <c r="D826" t="inlineStr">
        <is>
          <t>VÄSTMANLANDS LÄN</t>
        </is>
      </c>
      <c r="E826" t="inlineStr">
        <is>
          <t>SKINNSKATTEBERG</t>
        </is>
      </c>
      <c r="G826" t="n">
        <v>2.9</v>
      </c>
      <c r="H826" t="n">
        <v>0</v>
      </c>
      <c r="I826" t="n">
        <v>0</v>
      </c>
      <c r="J826" t="n">
        <v>0</v>
      </c>
      <c r="K826" t="n">
        <v>0</v>
      </c>
      <c r="L826" t="n">
        <v>0</v>
      </c>
      <c r="M826" t="n">
        <v>0</v>
      </c>
      <c r="N826" t="n">
        <v>0</v>
      </c>
      <c r="O826" t="n">
        <v>0</v>
      </c>
      <c r="P826" t="n">
        <v>0</v>
      </c>
      <c r="Q826" t="n">
        <v>0</v>
      </c>
      <c r="R826" s="2" t="inlineStr"/>
    </row>
    <row r="827" ht="15" customHeight="1">
      <c r="A827" t="inlineStr">
        <is>
          <t>A 64092-2019</t>
        </is>
      </c>
      <c r="B827" s="1" t="n">
        <v>43796</v>
      </c>
      <c r="C827" s="1" t="n">
        <v>45757</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67284-2019</t>
        </is>
      </c>
      <c r="B828" s="1" t="n">
        <v>43796</v>
      </c>
      <c r="C828" s="1" t="n">
        <v>45757</v>
      </c>
      <c r="D828" t="inlineStr">
        <is>
          <t>VÄSTMANLANDS LÄN</t>
        </is>
      </c>
      <c r="E828" t="inlineStr">
        <is>
          <t>SKINNSKATTEBERG</t>
        </is>
      </c>
      <c r="G828" t="n">
        <v>1.4</v>
      </c>
      <c r="H828" t="n">
        <v>0</v>
      </c>
      <c r="I828" t="n">
        <v>0</v>
      </c>
      <c r="J828" t="n">
        <v>0</v>
      </c>
      <c r="K828" t="n">
        <v>0</v>
      </c>
      <c r="L828" t="n">
        <v>0</v>
      </c>
      <c r="M828" t="n">
        <v>0</v>
      </c>
      <c r="N828" t="n">
        <v>0</v>
      </c>
      <c r="O828" t="n">
        <v>0</v>
      </c>
      <c r="P828" t="n">
        <v>0</v>
      </c>
      <c r="Q828" t="n">
        <v>0</v>
      </c>
      <c r="R828" s="2" t="inlineStr"/>
    </row>
    <row r="829" ht="15" customHeight="1">
      <c r="A829" t="inlineStr">
        <is>
          <t>A 64223-2019</t>
        </is>
      </c>
      <c r="B829" s="1" t="n">
        <v>43797</v>
      </c>
      <c r="C829" s="1" t="n">
        <v>45757</v>
      </c>
      <c r="D829" t="inlineStr">
        <is>
          <t>VÄSTMANLANDS LÄN</t>
        </is>
      </c>
      <c r="E829" t="inlineStr">
        <is>
          <t>KÖPING</t>
        </is>
      </c>
      <c r="G829" t="n">
        <v>2.7</v>
      </c>
      <c r="H829" t="n">
        <v>0</v>
      </c>
      <c r="I829" t="n">
        <v>0</v>
      </c>
      <c r="J829" t="n">
        <v>0</v>
      </c>
      <c r="K829" t="n">
        <v>0</v>
      </c>
      <c r="L829" t="n">
        <v>0</v>
      </c>
      <c r="M829" t="n">
        <v>0</v>
      </c>
      <c r="N829" t="n">
        <v>0</v>
      </c>
      <c r="O829" t="n">
        <v>0</v>
      </c>
      <c r="P829" t="n">
        <v>0</v>
      </c>
      <c r="Q829" t="n">
        <v>0</v>
      </c>
      <c r="R829" s="2" t="inlineStr"/>
    </row>
    <row r="830" ht="15" customHeight="1">
      <c r="A830" t="inlineStr">
        <is>
          <t>A 64639-2019</t>
        </is>
      </c>
      <c r="B830" s="1" t="n">
        <v>43798</v>
      </c>
      <c r="C830" s="1" t="n">
        <v>45757</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64772-2019</t>
        </is>
      </c>
      <c r="B831" s="1" t="n">
        <v>43801</v>
      </c>
      <c r="C831" s="1" t="n">
        <v>45757</v>
      </c>
      <c r="D831" t="inlineStr">
        <is>
          <t>VÄSTMANLANDS LÄN</t>
        </is>
      </c>
      <c r="E831" t="inlineStr">
        <is>
          <t>SURAHAMMAR</t>
        </is>
      </c>
      <c r="F831" t="inlineStr">
        <is>
          <t>Övriga Aktiebolag</t>
        </is>
      </c>
      <c r="G831" t="n">
        <v>7</v>
      </c>
      <c r="H831" t="n">
        <v>0</v>
      </c>
      <c r="I831" t="n">
        <v>0</v>
      </c>
      <c r="J831" t="n">
        <v>0</v>
      </c>
      <c r="K831" t="n">
        <v>0</v>
      </c>
      <c r="L831" t="n">
        <v>0</v>
      </c>
      <c r="M831" t="n">
        <v>0</v>
      </c>
      <c r="N831" t="n">
        <v>0</v>
      </c>
      <c r="O831" t="n">
        <v>0</v>
      </c>
      <c r="P831" t="n">
        <v>0</v>
      </c>
      <c r="Q831" t="n">
        <v>0</v>
      </c>
      <c r="R831" s="2" t="inlineStr"/>
    </row>
    <row r="832" ht="15" customHeight="1">
      <c r="A832" t="inlineStr">
        <is>
          <t>A 64940-2019</t>
        </is>
      </c>
      <c r="B832" s="1" t="n">
        <v>43801</v>
      </c>
      <c r="C832" s="1" t="n">
        <v>45757</v>
      </c>
      <c r="D832" t="inlineStr">
        <is>
          <t>VÄSTMANLANDS LÄN</t>
        </is>
      </c>
      <c r="E832" t="inlineStr">
        <is>
          <t>KUNGSÖR</t>
        </is>
      </c>
      <c r="G832" t="n">
        <v>3</v>
      </c>
      <c r="H832" t="n">
        <v>0</v>
      </c>
      <c r="I832" t="n">
        <v>0</v>
      </c>
      <c r="J832" t="n">
        <v>0</v>
      </c>
      <c r="K832" t="n">
        <v>0</v>
      </c>
      <c r="L832" t="n">
        <v>0</v>
      </c>
      <c r="M832" t="n">
        <v>0</v>
      </c>
      <c r="N832" t="n">
        <v>0</v>
      </c>
      <c r="O832" t="n">
        <v>0</v>
      </c>
      <c r="P832" t="n">
        <v>0</v>
      </c>
      <c r="Q832" t="n">
        <v>0</v>
      </c>
      <c r="R832" s="2" t="inlineStr"/>
    </row>
    <row r="833" ht="15" customHeight="1">
      <c r="A833" t="inlineStr">
        <is>
          <t>A 65021-2019</t>
        </is>
      </c>
      <c r="B833" s="1" t="n">
        <v>43801</v>
      </c>
      <c r="C833" s="1" t="n">
        <v>45757</v>
      </c>
      <c r="D833" t="inlineStr">
        <is>
          <t>VÄSTMANLANDS LÄN</t>
        </is>
      </c>
      <c r="E833" t="inlineStr">
        <is>
          <t>SALA</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65113-2019</t>
        </is>
      </c>
      <c r="B834" s="1" t="n">
        <v>43802</v>
      </c>
      <c r="C834" s="1" t="n">
        <v>45757</v>
      </c>
      <c r="D834" t="inlineStr">
        <is>
          <t>VÄSTMANLANDS LÄN</t>
        </is>
      </c>
      <c r="E834" t="inlineStr">
        <is>
          <t>HALLSTAHAMMAR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65299-2019</t>
        </is>
      </c>
      <c r="B835" s="1" t="n">
        <v>43802</v>
      </c>
      <c r="C835" s="1" t="n">
        <v>45757</v>
      </c>
      <c r="D835" t="inlineStr">
        <is>
          <t>VÄSTMANLANDS LÄN</t>
        </is>
      </c>
      <c r="E835" t="inlineStr">
        <is>
          <t>VÄSTERÅS</t>
        </is>
      </c>
      <c r="F835" t="inlineStr">
        <is>
          <t>Kyrkan</t>
        </is>
      </c>
      <c r="G835" t="n">
        <v>20.9</v>
      </c>
      <c r="H835" t="n">
        <v>0</v>
      </c>
      <c r="I835" t="n">
        <v>0</v>
      </c>
      <c r="J835" t="n">
        <v>0</v>
      </c>
      <c r="K835" t="n">
        <v>0</v>
      </c>
      <c r="L835" t="n">
        <v>0</v>
      </c>
      <c r="M835" t="n">
        <v>0</v>
      </c>
      <c r="N835" t="n">
        <v>0</v>
      </c>
      <c r="O835" t="n">
        <v>0</v>
      </c>
      <c r="P835" t="n">
        <v>0</v>
      </c>
      <c r="Q835" t="n">
        <v>0</v>
      </c>
      <c r="R835" s="2" t="inlineStr"/>
    </row>
    <row r="836" ht="15" customHeight="1">
      <c r="A836" t="inlineStr">
        <is>
          <t>A 65184-2019</t>
        </is>
      </c>
      <c r="B836" s="1" t="n">
        <v>43802</v>
      </c>
      <c r="C836" s="1" t="n">
        <v>45757</v>
      </c>
      <c r="D836" t="inlineStr">
        <is>
          <t>VÄSTMANLANDS LÄN</t>
        </is>
      </c>
      <c r="E836" t="inlineStr">
        <is>
          <t>VÄSTERÅS</t>
        </is>
      </c>
      <c r="G836" t="n">
        <v>5</v>
      </c>
      <c r="H836" t="n">
        <v>0</v>
      </c>
      <c r="I836" t="n">
        <v>0</v>
      </c>
      <c r="J836" t="n">
        <v>0</v>
      </c>
      <c r="K836" t="n">
        <v>0</v>
      </c>
      <c r="L836" t="n">
        <v>0</v>
      </c>
      <c r="M836" t="n">
        <v>0</v>
      </c>
      <c r="N836" t="n">
        <v>0</v>
      </c>
      <c r="O836" t="n">
        <v>0</v>
      </c>
      <c r="P836" t="n">
        <v>0</v>
      </c>
      <c r="Q836" t="n">
        <v>0</v>
      </c>
      <c r="R836" s="2" t="inlineStr"/>
    </row>
    <row r="837" ht="15" customHeight="1">
      <c r="A837" t="inlineStr">
        <is>
          <t>A 66269-2019</t>
        </is>
      </c>
      <c r="B837" s="1" t="n">
        <v>43802</v>
      </c>
      <c r="C837" s="1" t="n">
        <v>45757</v>
      </c>
      <c r="D837" t="inlineStr">
        <is>
          <t>VÄSTMANLANDS LÄN</t>
        </is>
      </c>
      <c r="E837" t="inlineStr">
        <is>
          <t>SURAHAMMAR</t>
        </is>
      </c>
      <c r="G837" t="n">
        <v>0.9</v>
      </c>
      <c r="H837" t="n">
        <v>0</v>
      </c>
      <c r="I837" t="n">
        <v>0</v>
      </c>
      <c r="J837" t="n">
        <v>0</v>
      </c>
      <c r="K837" t="n">
        <v>0</v>
      </c>
      <c r="L837" t="n">
        <v>0</v>
      </c>
      <c r="M837" t="n">
        <v>0</v>
      </c>
      <c r="N837" t="n">
        <v>0</v>
      </c>
      <c r="O837" t="n">
        <v>0</v>
      </c>
      <c r="P837" t="n">
        <v>0</v>
      </c>
      <c r="Q837" t="n">
        <v>0</v>
      </c>
      <c r="R837" s="2" t="inlineStr"/>
    </row>
    <row r="838" ht="15" customHeight="1">
      <c r="A838" t="inlineStr">
        <is>
          <t>A 66576-2019</t>
        </is>
      </c>
      <c r="B838" s="1" t="n">
        <v>43803</v>
      </c>
      <c r="C838" s="1" t="n">
        <v>45757</v>
      </c>
      <c r="D838" t="inlineStr">
        <is>
          <t>VÄSTMANLANDS LÄN</t>
        </is>
      </c>
      <c r="E838" t="inlineStr">
        <is>
          <t>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65449-2019</t>
        </is>
      </c>
      <c r="B839" s="1" t="n">
        <v>43803</v>
      </c>
      <c r="C839" s="1" t="n">
        <v>45757</v>
      </c>
      <c r="D839" t="inlineStr">
        <is>
          <t>VÄSTMANLANDS LÄN</t>
        </is>
      </c>
      <c r="E839" t="inlineStr">
        <is>
          <t>ARBOGA</t>
        </is>
      </c>
      <c r="G839" t="n">
        <v>4.7</v>
      </c>
      <c r="H839" t="n">
        <v>0</v>
      </c>
      <c r="I839" t="n">
        <v>0</v>
      </c>
      <c r="J839" t="n">
        <v>0</v>
      </c>
      <c r="K839" t="n">
        <v>0</v>
      </c>
      <c r="L839" t="n">
        <v>0</v>
      </c>
      <c r="M839" t="n">
        <v>0</v>
      </c>
      <c r="N839" t="n">
        <v>0</v>
      </c>
      <c r="O839" t="n">
        <v>0</v>
      </c>
      <c r="P839" t="n">
        <v>0</v>
      </c>
      <c r="Q839" t="n">
        <v>0</v>
      </c>
      <c r="R839" s="2" t="inlineStr"/>
    </row>
    <row r="840" ht="15" customHeight="1">
      <c r="A840" t="inlineStr">
        <is>
          <t>A 65619-2019</t>
        </is>
      </c>
      <c r="B840" s="1" t="n">
        <v>43804</v>
      </c>
      <c r="C840" s="1" t="n">
        <v>45757</v>
      </c>
      <c r="D840" t="inlineStr">
        <is>
          <t>VÄSTMANLANDS LÄN</t>
        </is>
      </c>
      <c r="E840" t="inlineStr">
        <is>
          <t>SURAHAMMAR</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65683-2019</t>
        </is>
      </c>
      <c r="B841" s="1" t="n">
        <v>43804</v>
      </c>
      <c r="C841" s="1" t="n">
        <v>45757</v>
      </c>
      <c r="D841" t="inlineStr">
        <is>
          <t>VÄSTMANLANDS LÄN</t>
        </is>
      </c>
      <c r="E841" t="inlineStr">
        <is>
          <t>ARBOGA</t>
        </is>
      </c>
      <c r="G841" t="n">
        <v>4.4</v>
      </c>
      <c r="H841" t="n">
        <v>0</v>
      </c>
      <c r="I841" t="n">
        <v>0</v>
      </c>
      <c r="J841" t="n">
        <v>0</v>
      </c>
      <c r="K841" t="n">
        <v>0</v>
      </c>
      <c r="L841" t="n">
        <v>0</v>
      </c>
      <c r="M841" t="n">
        <v>0</v>
      </c>
      <c r="N841" t="n">
        <v>0</v>
      </c>
      <c r="O841" t="n">
        <v>0</v>
      </c>
      <c r="P841" t="n">
        <v>0</v>
      </c>
      <c r="Q841" t="n">
        <v>0</v>
      </c>
      <c r="R841" s="2" t="inlineStr"/>
    </row>
    <row r="842" ht="15" customHeight="1">
      <c r="A842" t="inlineStr">
        <is>
          <t>A 65848-2019</t>
        </is>
      </c>
      <c r="B842" s="1" t="n">
        <v>43805</v>
      </c>
      <c r="C842" s="1" t="n">
        <v>45757</v>
      </c>
      <c r="D842" t="inlineStr">
        <is>
          <t>VÄSTMANLANDS LÄN</t>
        </is>
      </c>
      <c r="E842" t="inlineStr">
        <is>
          <t>KUNGSÖR</t>
        </is>
      </c>
      <c r="G842" t="n">
        <v>1.3</v>
      </c>
      <c r="H842" t="n">
        <v>0</v>
      </c>
      <c r="I842" t="n">
        <v>0</v>
      </c>
      <c r="J842" t="n">
        <v>0</v>
      </c>
      <c r="K842" t="n">
        <v>0</v>
      </c>
      <c r="L842" t="n">
        <v>0</v>
      </c>
      <c r="M842" t="n">
        <v>0</v>
      </c>
      <c r="N842" t="n">
        <v>0</v>
      </c>
      <c r="O842" t="n">
        <v>0</v>
      </c>
      <c r="P842" t="n">
        <v>0</v>
      </c>
      <c r="Q842" t="n">
        <v>0</v>
      </c>
      <c r="R842" s="2" t="inlineStr"/>
    </row>
    <row r="843" ht="15" customHeight="1">
      <c r="A843" t="inlineStr">
        <is>
          <t>A 65950-2019</t>
        </is>
      </c>
      <c r="B843" s="1" t="n">
        <v>43805</v>
      </c>
      <c r="C843" s="1" t="n">
        <v>45757</v>
      </c>
      <c r="D843" t="inlineStr">
        <is>
          <t>VÄSTMANLANDS LÄN</t>
        </is>
      </c>
      <c r="E843" t="inlineStr">
        <is>
          <t>SKINNSKATTEBERG</t>
        </is>
      </c>
      <c r="G843" t="n">
        <v>0.2</v>
      </c>
      <c r="H843" t="n">
        <v>0</v>
      </c>
      <c r="I843" t="n">
        <v>0</v>
      </c>
      <c r="J843" t="n">
        <v>0</v>
      </c>
      <c r="K843" t="n">
        <v>0</v>
      </c>
      <c r="L843" t="n">
        <v>0</v>
      </c>
      <c r="M843" t="n">
        <v>0</v>
      </c>
      <c r="N843" t="n">
        <v>0</v>
      </c>
      <c r="O843" t="n">
        <v>0</v>
      </c>
      <c r="P843" t="n">
        <v>0</v>
      </c>
      <c r="Q843" t="n">
        <v>0</v>
      </c>
      <c r="R843" s="2" t="inlineStr"/>
    </row>
    <row r="844" ht="15" customHeight="1">
      <c r="A844" t="inlineStr">
        <is>
          <t>A 65955-2019</t>
        </is>
      </c>
      <c r="B844" s="1" t="n">
        <v>43805</v>
      </c>
      <c r="C844" s="1" t="n">
        <v>45757</v>
      </c>
      <c r="D844" t="inlineStr">
        <is>
          <t>VÄSTMANLANDS LÄN</t>
        </is>
      </c>
      <c r="E844" t="inlineStr">
        <is>
          <t>SKINNSKATTEBERG</t>
        </is>
      </c>
      <c r="G844" t="n">
        <v>1.9</v>
      </c>
      <c r="H844" t="n">
        <v>0</v>
      </c>
      <c r="I844" t="n">
        <v>0</v>
      </c>
      <c r="J844" t="n">
        <v>0</v>
      </c>
      <c r="K844" t="n">
        <v>0</v>
      </c>
      <c r="L844" t="n">
        <v>0</v>
      </c>
      <c r="M844" t="n">
        <v>0</v>
      </c>
      <c r="N844" t="n">
        <v>0</v>
      </c>
      <c r="O844" t="n">
        <v>0</v>
      </c>
      <c r="P844" t="n">
        <v>0</v>
      </c>
      <c r="Q844" t="n">
        <v>0</v>
      </c>
      <c r="R844" s="2" t="inlineStr"/>
    </row>
    <row r="845" ht="15" customHeight="1">
      <c r="A845" t="inlineStr">
        <is>
          <t>A 65953-2019</t>
        </is>
      </c>
      <c r="B845" s="1" t="n">
        <v>43805</v>
      </c>
      <c r="C845" s="1" t="n">
        <v>45757</v>
      </c>
      <c r="D845" t="inlineStr">
        <is>
          <t>VÄSTMANLANDS LÄN</t>
        </is>
      </c>
      <c r="E845" t="inlineStr">
        <is>
          <t>SKINNSKATTEBERG</t>
        </is>
      </c>
      <c r="G845" t="n">
        <v>1.3</v>
      </c>
      <c r="H845" t="n">
        <v>0</v>
      </c>
      <c r="I845" t="n">
        <v>0</v>
      </c>
      <c r="J845" t="n">
        <v>0</v>
      </c>
      <c r="K845" t="n">
        <v>0</v>
      </c>
      <c r="L845" t="n">
        <v>0</v>
      </c>
      <c r="M845" t="n">
        <v>0</v>
      </c>
      <c r="N845" t="n">
        <v>0</v>
      </c>
      <c r="O845" t="n">
        <v>0</v>
      </c>
      <c r="P845" t="n">
        <v>0</v>
      </c>
      <c r="Q845" t="n">
        <v>0</v>
      </c>
      <c r="R845" s="2" t="inlineStr"/>
    </row>
    <row r="846" ht="15" customHeight="1">
      <c r="A846" t="inlineStr">
        <is>
          <t>A 66089-2019</t>
        </is>
      </c>
      <c r="B846" s="1" t="n">
        <v>43807</v>
      </c>
      <c r="C846" s="1" t="n">
        <v>45757</v>
      </c>
      <c r="D846" t="inlineStr">
        <is>
          <t>VÄSTMANLANDS LÄN</t>
        </is>
      </c>
      <c r="E846" t="inlineStr">
        <is>
          <t>SALA</t>
        </is>
      </c>
      <c r="G846" t="n">
        <v>17.1</v>
      </c>
      <c r="H846" t="n">
        <v>0</v>
      </c>
      <c r="I846" t="n">
        <v>0</v>
      </c>
      <c r="J846" t="n">
        <v>0</v>
      </c>
      <c r="K846" t="n">
        <v>0</v>
      </c>
      <c r="L846" t="n">
        <v>0</v>
      </c>
      <c r="M846" t="n">
        <v>0</v>
      </c>
      <c r="N846" t="n">
        <v>0</v>
      </c>
      <c r="O846" t="n">
        <v>0</v>
      </c>
      <c r="P846" t="n">
        <v>0</v>
      </c>
      <c r="Q846" t="n">
        <v>0</v>
      </c>
      <c r="R846" s="2" t="inlineStr"/>
    </row>
    <row r="847" ht="15" customHeight="1">
      <c r="A847" t="inlineStr">
        <is>
          <t>A 66216-2019</t>
        </is>
      </c>
      <c r="B847" s="1" t="n">
        <v>43808</v>
      </c>
      <c r="C847" s="1" t="n">
        <v>45757</v>
      </c>
      <c r="D847" t="inlineStr">
        <is>
          <t>VÄSTMANLANDS LÄN</t>
        </is>
      </c>
      <c r="E847" t="inlineStr">
        <is>
          <t>SALA</t>
        </is>
      </c>
      <c r="F847" t="inlineStr">
        <is>
          <t>Kommuner</t>
        </is>
      </c>
      <c r="G847" t="n">
        <v>3.7</v>
      </c>
      <c r="H847" t="n">
        <v>0</v>
      </c>
      <c r="I847" t="n">
        <v>0</v>
      </c>
      <c r="J847" t="n">
        <v>0</v>
      </c>
      <c r="K847" t="n">
        <v>0</v>
      </c>
      <c r="L847" t="n">
        <v>0</v>
      </c>
      <c r="M847" t="n">
        <v>0</v>
      </c>
      <c r="N847" t="n">
        <v>0</v>
      </c>
      <c r="O847" t="n">
        <v>0</v>
      </c>
      <c r="P847" t="n">
        <v>0</v>
      </c>
      <c r="Q847" t="n">
        <v>0</v>
      </c>
      <c r="R847" s="2" t="inlineStr"/>
    </row>
    <row r="848" ht="15" customHeight="1">
      <c r="A848" t="inlineStr">
        <is>
          <t>A 66188-2019</t>
        </is>
      </c>
      <c r="B848" s="1" t="n">
        <v>43808</v>
      </c>
      <c r="C848" s="1" t="n">
        <v>45757</v>
      </c>
      <c r="D848" t="inlineStr">
        <is>
          <t>VÄSTMANLANDS LÄN</t>
        </is>
      </c>
      <c r="E848" t="inlineStr">
        <is>
          <t>ARBOGA</t>
        </is>
      </c>
      <c r="G848" t="n">
        <v>2.2</v>
      </c>
      <c r="H848" t="n">
        <v>0</v>
      </c>
      <c r="I848" t="n">
        <v>0</v>
      </c>
      <c r="J848" t="n">
        <v>0</v>
      </c>
      <c r="K848" t="n">
        <v>0</v>
      </c>
      <c r="L848" t="n">
        <v>0</v>
      </c>
      <c r="M848" t="n">
        <v>0</v>
      </c>
      <c r="N848" t="n">
        <v>0</v>
      </c>
      <c r="O848" t="n">
        <v>0</v>
      </c>
      <c r="P848" t="n">
        <v>0</v>
      </c>
      <c r="Q848" t="n">
        <v>0</v>
      </c>
      <c r="R848" s="2" t="inlineStr"/>
    </row>
    <row r="849" ht="15" customHeight="1">
      <c r="A849" t="inlineStr">
        <is>
          <t>A 66205-2019</t>
        </is>
      </c>
      <c r="B849" s="1" t="n">
        <v>43808</v>
      </c>
      <c r="C849" s="1" t="n">
        <v>45757</v>
      </c>
      <c r="D849" t="inlineStr">
        <is>
          <t>VÄSTMANLANDS LÄN</t>
        </is>
      </c>
      <c r="E849" t="inlineStr">
        <is>
          <t>VÄSTERÅS</t>
        </is>
      </c>
      <c r="G849" t="n">
        <v>3.2</v>
      </c>
      <c r="H849" t="n">
        <v>0</v>
      </c>
      <c r="I849" t="n">
        <v>0</v>
      </c>
      <c r="J849" t="n">
        <v>0</v>
      </c>
      <c r="K849" t="n">
        <v>0</v>
      </c>
      <c r="L849" t="n">
        <v>0</v>
      </c>
      <c r="M849" t="n">
        <v>0</v>
      </c>
      <c r="N849" t="n">
        <v>0</v>
      </c>
      <c r="O849" t="n">
        <v>0</v>
      </c>
      <c r="P849" t="n">
        <v>0</v>
      </c>
      <c r="Q849" t="n">
        <v>0</v>
      </c>
      <c r="R849" s="2" t="inlineStr"/>
    </row>
    <row r="850" ht="15" customHeight="1">
      <c r="A850" t="inlineStr">
        <is>
          <t>A 66359-2019</t>
        </is>
      </c>
      <c r="B850" s="1" t="n">
        <v>43808</v>
      </c>
      <c r="C850" s="1" t="n">
        <v>45757</v>
      </c>
      <c r="D850" t="inlineStr">
        <is>
          <t>VÄSTMANLANDS LÄN</t>
        </is>
      </c>
      <c r="E850" t="inlineStr">
        <is>
          <t>ARBOGA</t>
        </is>
      </c>
      <c r="G850" t="n">
        <v>0.9</v>
      </c>
      <c r="H850" t="n">
        <v>0</v>
      </c>
      <c r="I850" t="n">
        <v>0</v>
      </c>
      <c r="J850" t="n">
        <v>0</v>
      </c>
      <c r="K850" t="n">
        <v>0</v>
      </c>
      <c r="L850" t="n">
        <v>0</v>
      </c>
      <c r="M850" t="n">
        <v>0</v>
      </c>
      <c r="N850" t="n">
        <v>0</v>
      </c>
      <c r="O850" t="n">
        <v>0</v>
      </c>
      <c r="P850" t="n">
        <v>0</v>
      </c>
      <c r="Q850" t="n">
        <v>0</v>
      </c>
      <c r="R850" s="2" t="inlineStr"/>
    </row>
    <row r="851" ht="15" customHeight="1">
      <c r="A851" t="inlineStr">
        <is>
          <t>A 66583-2019</t>
        </is>
      </c>
      <c r="B851" s="1" t="n">
        <v>43809</v>
      </c>
      <c r="C851" s="1" t="n">
        <v>45757</v>
      </c>
      <c r="D851" t="inlineStr">
        <is>
          <t>VÄSTMANLANDS LÄN</t>
        </is>
      </c>
      <c r="E851" t="inlineStr">
        <is>
          <t>KUNGSÖR</t>
        </is>
      </c>
      <c r="G851" t="n">
        <v>2</v>
      </c>
      <c r="H851" t="n">
        <v>0</v>
      </c>
      <c r="I851" t="n">
        <v>0</v>
      </c>
      <c r="J851" t="n">
        <v>0</v>
      </c>
      <c r="K851" t="n">
        <v>0</v>
      </c>
      <c r="L851" t="n">
        <v>0</v>
      </c>
      <c r="M851" t="n">
        <v>0</v>
      </c>
      <c r="N851" t="n">
        <v>0</v>
      </c>
      <c r="O851" t="n">
        <v>0</v>
      </c>
      <c r="P851" t="n">
        <v>0</v>
      </c>
      <c r="Q851" t="n">
        <v>0</v>
      </c>
      <c r="R851" s="2" t="inlineStr"/>
    </row>
    <row r="852" ht="15" customHeight="1">
      <c r="A852" t="inlineStr">
        <is>
          <t>A 66476-2019</t>
        </is>
      </c>
      <c r="B852" s="1" t="n">
        <v>43809</v>
      </c>
      <c r="C852" s="1" t="n">
        <v>45757</v>
      </c>
      <c r="D852" t="inlineStr">
        <is>
          <t>VÄSTMANLANDS LÄN</t>
        </is>
      </c>
      <c r="E852" t="inlineStr">
        <is>
          <t>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66934-2019</t>
        </is>
      </c>
      <c r="B853" s="1" t="n">
        <v>43810</v>
      </c>
      <c r="C853" s="1" t="n">
        <v>45757</v>
      </c>
      <c r="D853" t="inlineStr">
        <is>
          <t>VÄSTMANLANDS LÄN</t>
        </is>
      </c>
      <c r="E853" t="inlineStr">
        <is>
          <t>KÖPING</t>
        </is>
      </c>
      <c r="G853" t="n">
        <v>8</v>
      </c>
      <c r="H853" t="n">
        <v>0</v>
      </c>
      <c r="I853" t="n">
        <v>0</v>
      </c>
      <c r="J853" t="n">
        <v>0</v>
      </c>
      <c r="K853" t="n">
        <v>0</v>
      </c>
      <c r="L853" t="n">
        <v>0</v>
      </c>
      <c r="M853" t="n">
        <v>0</v>
      </c>
      <c r="N853" t="n">
        <v>0</v>
      </c>
      <c r="O853" t="n">
        <v>0</v>
      </c>
      <c r="P853" t="n">
        <v>0</v>
      </c>
      <c r="Q853" t="n">
        <v>0</v>
      </c>
      <c r="R853" s="2" t="inlineStr"/>
    </row>
    <row r="854" ht="15" customHeight="1">
      <c r="A854" t="inlineStr">
        <is>
          <t>A 67711-2019</t>
        </is>
      </c>
      <c r="B854" s="1" t="n">
        <v>43810</v>
      </c>
      <c r="C854" s="1" t="n">
        <v>45757</v>
      </c>
      <c r="D854" t="inlineStr">
        <is>
          <t>VÄSTMANLANDS LÄN</t>
        </is>
      </c>
      <c r="E854" t="inlineStr">
        <is>
          <t>NORBERG</t>
        </is>
      </c>
      <c r="G854" t="n">
        <v>9</v>
      </c>
      <c r="H854" t="n">
        <v>0</v>
      </c>
      <c r="I854" t="n">
        <v>0</v>
      </c>
      <c r="J854" t="n">
        <v>0</v>
      </c>
      <c r="K854" t="n">
        <v>0</v>
      </c>
      <c r="L854" t="n">
        <v>0</v>
      </c>
      <c r="M854" t="n">
        <v>0</v>
      </c>
      <c r="N854" t="n">
        <v>0</v>
      </c>
      <c r="O854" t="n">
        <v>0</v>
      </c>
      <c r="P854" t="n">
        <v>0</v>
      </c>
      <c r="Q854" t="n">
        <v>0</v>
      </c>
      <c r="R854" s="2" t="inlineStr"/>
    </row>
    <row r="855" ht="15" customHeight="1">
      <c r="A855" t="inlineStr">
        <is>
          <t>A 66952-2019</t>
        </is>
      </c>
      <c r="B855" s="1" t="n">
        <v>43810</v>
      </c>
      <c r="C855" s="1" t="n">
        <v>45757</v>
      </c>
      <c r="D855" t="inlineStr">
        <is>
          <t>VÄSTMANLANDS LÄN</t>
        </is>
      </c>
      <c r="E855" t="inlineStr">
        <is>
          <t>KÖPING</t>
        </is>
      </c>
      <c r="G855" t="n">
        <v>5.9</v>
      </c>
      <c r="H855" t="n">
        <v>0</v>
      </c>
      <c r="I855" t="n">
        <v>0</v>
      </c>
      <c r="J855" t="n">
        <v>0</v>
      </c>
      <c r="K855" t="n">
        <v>0</v>
      </c>
      <c r="L855" t="n">
        <v>0</v>
      </c>
      <c r="M855" t="n">
        <v>0</v>
      </c>
      <c r="N855" t="n">
        <v>0</v>
      </c>
      <c r="O855" t="n">
        <v>0</v>
      </c>
      <c r="P855" t="n">
        <v>0</v>
      </c>
      <c r="Q855" t="n">
        <v>0</v>
      </c>
      <c r="R855" s="2" t="inlineStr"/>
    </row>
    <row r="856" ht="15" customHeight="1">
      <c r="A856" t="inlineStr">
        <is>
          <t>A 67061-2019</t>
        </is>
      </c>
      <c r="B856" s="1" t="n">
        <v>43811</v>
      </c>
      <c r="C856" s="1" t="n">
        <v>45757</v>
      </c>
      <c r="D856" t="inlineStr">
        <is>
          <t>VÄSTMANLANDS LÄN</t>
        </is>
      </c>
      <c r="E856" t="inlineStr">
        <is>
          <t>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66992-2019</t>
        </is>
      </c>
      <c r="B857" s="1" t="n">
        <v>43811</v>
      </c>
      <c r="C857" s="1" t="n">
        <v>45757</v>
      </c>
      <c r="D857" t="inlineStr">
        <is>
          <t>VÄSTMANLANDS LÄN</t>
        </is>
      </c>
      <c r="E857" t="inlineStr">
        <is>
          <t>ARBOGA</t>
        </is>
      </c>
      <c r="G857" t="n">
        <v>1.8</v>
      </c>
      <c r="H857" t="n">
        <v>0</v>
      </c>
      <c r="I857" t="n">
        <v>0</v>
      </c>
      <c r="J857" t="n">
        <v>0</v>
      </c>
      <c r="K857" t="n">
        <v>0</v>
      </c>
      <c r="L857" t="n">
        <v>0</v>
      </c>
      <c r="M857" t="n">
        <v>0</v>
      </c>
      <c r="N857" t="n">
        <v>0</v>
      </c>
      <c r="O857" t="n">
        <v>0</v>
      </c>
      <c r="P857" t="n">
        <v>0</v>
      </c>
      <c r="Q857" t="n">
        <v>0</v>
      </c>
      <c r="R857" s="2" t="inlineStr"/>
    </row>
    <row r="858" ht="15" customHeight="1">
      <c r="A858" t="inlineStr">
        <is>
          <t>A 67995-2019</t>
        </is>
      </c>
      <c r="B858" s="1" t="n">
        <v>43811</v>
      </c>
      <c r="C858" s="1" t="n">
        <v>45757</v>
      </c>
      <c r="D858" t="inlineStr">
        <is>
          <t>VÄSTMANLANDS LÄN</t>
        </is>
      </c>
      <c r="E858" t="inlineStr">
        <is>
          <t>VÄSTERÅS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67360-2019</t>
        </is>
      </c>
      <c r="B859" s="1" t="n">
        <v>43812</v>
      </c>
      <c r="C859" s="1" t="n">
        <v>45757</v>
      </c>
      <c r="D859" t="inlineStr">
        <is>
          <t>VÄSTMANLANDS LÄN</t>
        </is>
      </c>
      <c r="E859" t="inlineStr">
        <is>
          <t>SALA</t>
        </is>
      </c>
      <c r="G859" t="n">
        <v>4.9</v>
      </c>
      <c r="H859" t="n">
        <v>0</v>
      </c>
      <c r="I859" t="n">
        <v>0</v>
      </c>
      <c r="J859" t="n">
        <v>0</v>
      </c>
      <c r="K859" t="n">
        <v>0</v>
      </c>
      <c r="L859" t="n">
        <v>0</v>
      </c>
      <c r="M859" t="n">
        <v>0</v>
      </c>
      <c r="N859" t="n">
        <v>0</v>
      </c>
      <c r="O859" t="n">
        <v>0</v>
      </c>
      <c r="P859" t="n">
        <v>0</v>
      </c>
      <c r="Q859" t="n">
        <v>0</v>
      </c>
      <c r="R859" s="2" t="inlineStr"/>
    </row>
    <row r="860" ht="15" customHeight="1">
      <c r="A860" t="inlineStr">
        <is>
          <t>A 67357-2019</t>
        </is>
      </c>
      <c r="B860" s="1" t="n">
        <v>43812</v>
      </c>
      <c r="C860" s="1" t="n">
        <v>45757</v>
      </c>
      <c r="D860" t="inlineStr">
        <is>
          <t>VÄSTMANLANDS LÄN</t>
        </is>
      </c>
      <c r="E860" t="inlineStr">
        <is>
          <t>SKINNSKATTEBERG</t>
        </is>
      </c>
      <c r="G860" t="n">
        <v>3</v>
      </c>
      <c r="H860" t="n">
        <v>0</v>
      </c>
      <c r="I860" t="n">
        <v>0</v>
      </c>
      <c r="J860" t="n">
        <v>0</v>
      </c>
      <c r="K860" t="n">
        <v>0</v>
      </c>
      <c r="L860" t="n">
        <v>0</v>
      </c>
      <c r="M860" t="n">
        <v>0</v>
      </c>
      <c r="N860" t="n">
        <v>0</v>
      </c>
      <c r="O860" t="n">
        <v>0</v>
      </c>
      <c r="P860" t="n">
        <v>0</v>
      </c>
      <c r="Q860" t="n">
        <v>0</v>
      </c>
      <c r="R860" s="2" t="inlineStr"/>
    </row>
    <row r="861" ht="15" customHeight="1">
      <c r="A861" t="inlineStr">
        <is>
          <t>A 67602-2019</t>
        </is>
      </c>
      <c r="B861" s="1" t="n">
        <v>43815</v>
      </c>
      <c r="C861" s="1" t="n">
        <v>45757</v>
      </c>
      <c r="D861" t="inlineStr">
        <is>
          <t>VÄSTMANLANDS LÄN</t>
        </is>
      </c>
      <c r="E861" t="inlineStr">
        <is>
          <t>SKINNSKATTEBERG</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68366-2019</t>
        </is>
      </c>
      <c r="B862" s="1" t="n">
        <v>43818</v>
      </c>
      <c r="C862" s="1" t="n">
        <v>45757</v>
      </c>
      <c r="D862" t="inlineStr">
        <is>
          <t>VÄSTMANLANDS LÄN</t>
        </is>
      </c>
      <c r="E862" t="inlineStr">
        <is>
          <t>SKINNSKATTEBERG</t>
        </is>
      </c>
      <c r="G862" t="n">
        <v>2</v>
      </c>
      <c r="H862" t="n">
        <v>0</v>
      </c>
      <c r="I862" t="n">
        <v>0</v>
      </c>
      <c r="J862" t="n">
        <v>0</v>
      </c>
      <c r="K862" t="n">
        <v>0</v>
      </c>
      <c r="L862" t="n">
        <v>0</v>
      </c>
      <c r="M862" t="n">
        <v>0</v>
      </c>
      <c r="N862" t="n">
        <v>0</v>
      </c>
      <c r="O862" t="n">
        <v>0</v>
      </c>
      <c r="P862" t="n">
        <v>0</v>
      </c>
      <c r="Q862" t="n">
        <v>0</v>
      </c>
      <c r="R862" s="2" t="inlineStr"/>
    </row>
    <row r="863" ht="15" customHeight="1">
      <c r="A863" t="inlineStr">
        <is>
          <t>A 68398-2019</t>
        </is>
      </c>
      <c r="B863" s="1" t="n">
        <v>43818</v>
      </c>
      <c r="C863" s="1" t="n">
        <v>45757</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68394-2019</t>
        </is>
      </c>
      <c r="B864" s="1" t="n">
        <v>43818</v>
      </c>
      <c r="C864" s="1" t="n">
        <v>45757</v>
      </c>
      <c r="D864" t="inlineStr">
        <is>
          <t>VÄSTMANLANDS LÄN</t>
        </is>
      </c>
      <c r="E864" t="inlineStr">
        <is>
          <t>SALA</t>
        </is>
      </c>
      <c r="G864" t="n">
        <v>1.6</v>
      </c>
      <c r="H864" t="n">
        <v>0</v>
      </c>
      <c r="I864" t="n">
        <v>0</v>
      </c>
      <c r="J864" t="n">
        <v>0</v>
      </c>
      <c r="K864" t="n">
        <v>0</v>
      </c>
      <c r="L864" t="n">
        <v>0</v>
      </c>
      <c r="M864" t="n">
        <v>0</v>
      </c>
      <c r="N864" t="n">
        <v>0</v>
      </c>
      <c r="O864" t="n">
        <v>0</v>
      </c>
      <c r="P864" t="n">
        <v>0</v>
      </c>
      <c r="Q864" t="n">
        <v>0</v>
      </c>
      <c r="R864" s="2" t="inlineStr"/>
    </row>
    <row r="865" ht="15" customHeight="1">
      <c r="A865" t="inlineStr">
        <is>
          <t>A 1465-2020</t>
        </is>
      </c>
      <c r="B865" s="1" t="n">
        <v>43822</v>
      </c>
      <c r="C865" s="1" t="n">
        <v>45757</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68900-2019</t>
        </is>
      </c>
      <c r="B866" s="1" t="n">
        <v>43822</v>
      </c>
      <c r="C866" s="1" t="n">
        <v>45757</v>
      </c>
      <c r="D866" t="inlineStr">
        <is>
          <t>VÄSTMANLANDS LÄN</t>
        </is>
      </c>
      <c r="E866" t="inlineStr">
        <is>
          <t>KUNGSÖR</t>
        </is>
      </c>
      <c r="F866" t="inlineStr">
        <is>
          <t>Kommuner</t>
        </is>
      </c>
      <c r="G866" t="n">
        <v>17.4</v>
      </c>
      <c r="H866" t="n">
        <v>0</v>
      </c>
      <c r="I866" t="n">
        <v>0</v>
      </c>
      <c r="J866" t="n">
        <v>0</v>
      </c>
      <c r="K866" t="n">
        <v>0</v>
      </c>
      <c r="L866" t="n">
        <v>0</v>
      </c>
      <c r="M866" t="n">
        <v>0</v>
      </c>
      <c r="N866" t="n">
        <v>0</v>
      </c>
      <c r="O866" t="n">
        <v>0</v>
      </c>
      <c r="P866" t="n">
        <v>0</v>
      </c>
      <c r="Q866" t="n">
        <v>0</v>
      </c>
      <c r="R866" s="2" t="inlineStr"/>
    </row>
    <row r="867" ht="15" customHeight="1">
      <c r="A867" t="inlineStr">
        <is>
          <t>A 69075-2019</t>
        </is>
      </c>
      <c r="B867" s="1" t="n">
        <v>43827</v>
      </c>
      <c r="C867" s="1" t="n">
        <v>45757</v>
      </c>
      <c r="D867" t="inlineStr">
        <is>
          <t>VÄSTMANLANDS LÄN</t>
        </is>
      </c>
      <c r="E867" t="inlineStr">
        <is>
          <t>ARBOGA</t>
        </is>
      </c>
      <c r="G867" t="n">
        <v>5.2</v>
      </c>
      <c r="H867" t="n">
        <v>0</v>
      </c>
      <c r="I867" t="n">
        <v>0</v>
      </c>
      <c r="J867" t="n">
        <v>0</v>
      </c>
      <c r="K867" t="n">
        <v>0</v>
      </c>
      <c r="L867" t="n">
        <v>0</v>
      </c>
      <c r="M867" t="n">
        <v>0</v>
      </c>
      <c r="N867" t="n">
        <v>0</v>
      </c>
      <c r="O867" t="n">
        <v>0</v>
      </c>
      <c r="P867" t="n">
        <v>0</v>
      </c>
      <c r="Q867" t="n">
        <v>0</v>
      </c>
      <c r="R867" s="2" t="inlineStr"/>
    </row>
    <row r="868" ht="15" customHeight="1">
      <c r="A868" t="inlineStr">
        <is>
          <t>A 69078-2019</t>
        </is>
      </c>
      <c r="B868" s="1" t="n">
        <v>43827</v>
      </c>
      <c r="C868" s="1" t="n">
        <v>45757</v>
      </c>
      <c r="D868" t="inlineStr">
        <is>
          <t>VÄSTMANLANDS LÄN</t>
        </is>
      </c>
      <c r="E868" t="inlineStr">
        <is>
          <t>ARBOGA</t>
        </is>
      </c>
      <c r="G868" t="n">
        <v>16.6</v>
      </c>
      <c r="H868" t="n">
        <v>0</v>
      </c>
      <c r="I868" t="n">
        <v>0</v>
      </c>
      <c r="J868" t="n">
        <v>0</v>
      </c>
      <c r="K868" t="n">
        <v>0</v>
      </c>
      <c r="L868" t="n">
        <v>0</v>
      </c>
      <c r="M868" t="n">
        <v>0</v>
      </c>
      <c r="N868" t="n">
        <v>0</v>
      </c>
      <c r="O868" t="n">
        <v>0</v>
      </c>
      <c r="P868" t="n">
        <v>0</v>
      </c>
      <c r="Q868" t="n">
        <v>0</v>
      </c>
      <c r="R868" s="2" t="inlineStr"/>
    </row>
    <row r="869" ht="15" customHeight="1">
      <c r="A869" t="inlineStr">
        <is>
          <t>A 69076-2019</t>
        </is>
      </c>
      <c r="B869" s="1" t="n">
        <v>43827</v>
      </c>
      <c r="C869" s="1" t="n">
        <v>45757</v>
      </c>
      <c r="D869" t="inlineStr">
        <is>
          <t>VÄSTMANLANDS LÄN</t>
        </is>
      </c>
      <c r="E869" t="inlineStr">
        <is>
          <t>ARBOGA</t>
        </is>
      </c>
      <c r="G869" t="n">
        <v>2.1</v>
      </c>
      <c r="H869" t="n">
        <v>0</v>
      </c>
      <c r="I869" t="n">
        <v>0</v>
      </c>
      <c r="J869" t="n">
        <v>0</v>
      </c>
      <c r="K869" t="n">
        <v>0</v>
      </c>
      <c r="L869" t="n">
        <v>0</v>
      </c>
      <c r="M869" t="n">
        <v>0</v>
      </c>
      <c r="N869" t="n">
        <v>0</v>
      </c>
      <c r="O869" t="n">
        <v>0</v>
      </c>
      <c r="P869" t="n">
        <v>0</v>
      </c>
      <c r="Q869" t="n">
        <v>0</v>
      </c>
      <c r="R869" s="2" t="inlineStr"/>
    </row>
    <row r="870" ht="15" customHeight="1">
      <c r="A870" t="inlineStr">
        <is>
          <t>A 63-2020</t>
        </is>
      </c>
      <c r="B870" s="1" t="n">
        <v>43832</v>
      </c>
      <c r="C870" s="1" t="n">
        <v>45757</v>
      </c>
      <c r="D870" t="inlineStr">
        <is>
          <t>VÄSTMANLANDS LÄN</t>
        </is>
      </c>
      <c r="E870" t="inlineStr">
        <is>
          <t>SALA</t>
        </is>
      </c>
      <c r="G870" t="n">
        <v>4.6</v>
      </c>
      <c r="H870" t="n">
        <v>0</v>
      </c>
      <c r="I870" t="n">
        <v>0</v>
      </c>
      <c r="J870" t="n">
        <v>0</v>
      </c>
      <c r="K870" t="n">
        <v>0</v>
      </c>
      <c r="L870" t="n">
        <v>0</v>
      </c>
      <c r="M870" t="n">
        <v>0</v>
      </c>
      <c r="N870" t="n">
        <v>0</v>
      </c>
      <c r="O870" t="n">
        <v>0</v>
      </c>
      <c r="P870" t="n">
        <v>0</v>
      </c>
      <c r="Q870" t="n">
        <v>0</v>
      </c>
      <c r="R870" s="2" t="inlineStr"/>
    </row>
    <row r="871" ht="15" customHeight="1">
      <c r="A871" t="inlineStr">
        <is>
          <t>A 151-2020</t>
        </is>
      </c>
      <c r="B871" s="1" t="n">
        <v>43833</v>
      </c>
      <c r="C871" s="1" t="n">
        <v>45757</v>
      </c>
      <c r="D871" t="inlineStr">
        <is>
          <t>VÄSTMANLANDS LÄN</t>
        </is>
      </c>
      <c r="E871" t="inlineStr">
        <is>
          <t>SALA</t>
        </is>
      </c>
      <c r="F871" t="inlineStr">
        <is>
          <t>Kyrkan</t>
        </is>
      </c>
      <c r="G871" t="n">
        <v>6.5</v>
      </c>
      <c r="H871" t="n">
        <v>0</v>
      </c>
      <c r="I871" t="n">
        <v>0</v>
      </c>
      <c r="J871" t="n">
        <v>0</v>
      </c>
      <c r="K871" t="n">
        <v>0</v>
      </c>
      <c r="L871" t="n">
        <v>0</v>
      </c>
      <c r="M871" t="n">
        <v>0</v>
      </c>
      <c r="N871" t="n">
        <v>0</v>
      </c>
      <c r="O871" t="n">
        <v>0</v>
      </c>
      <c r="P871" t="n">
        <v>0</v>
      </c>
      <c r="Q871" t="n">
        <v>0</v>
      </c>
      <c r="R871" s="2" t="inlineStr"/>
    </row>
    <row r="872" ht="15" customHeight="1">
      <c r="A872" t="inlineStr">
        <is>
          <t>A 161-2020</t>
        </is>
      </c>
      <c r="B872" s="1" t="n">
        <v>43833</v>
      </c>
      <c r="C872" s="1" t="n">
        <v>45757</v>
      </c>
      <c r="D872" t="inlineStr">
        <is>
          <t>VÄSTMANLANDS LÄN</t>
        </is>
      </c>
      <c r="E872" t="inlineStr">
        <is>
          <t>SALA</t>
        </is>
      </c>
      <c r="F872" t="inlineStr">
        <is>
          <t>Kyrkan</t>
        </is>
      </c>
      <c r="G872" t="n">
        <v>1.6</v>
      </c>
      <c r="H872" t="n">
        <v>0</v>
      </c>
      <c r="I872" t="n">
        <v>0</v>
      </c>
      <c r="J872" t="n">
        <v>0</v>
      </c>
      <c r="K872" t="n">
        <v>0</v>
      </c>
      <c r="L872" t="n">
        <v>0</v>
      </c>
      <c r="M872" t="n">
        <v>0</v>
      </c>
      <c r="N872" t="n">
        <v>0</v>
      </c>
      <c r="O872" t="n">
        <v>0</v>
      </c>
      <c r="P872" t="n">
        <v>0</v>
      </c>
      <c r="Q872" t="n">
        <v>0</v>
      </c>
      <c r="R872" s="2" t="inlineStr"/>
    </row>
    <row r="873" ht="15" customHeight="1">
      <c r="A873" t="inlineStr">
        <is>
          <t>A 297-2020</t>
        </is>
      </c>
      <c r="B873" s="1" t="n">
        <v>43837</v>
      </c>
      <c r="C873" s="1" t="n">
        <v>45757</v>
      </c>
      <c r="D873" t="inlineStr">
        <is>
          <t>VÄSTMANLANDS LÄN</t>
        </is>
      </c>
      <c r="E873" t="inlineStr">
        <is>
          <t>SALA</t>
        </is>
      </c>
      <c r="F873" t="inlineStr">
        <is>
          <t>Kyrkan</t>
        </is>
      </c>
      <c r="G873" t="n">
        <v>0.3</v>
      </c>
      <c r="H873" t="n">
        <v>0</v>
      </c>
      <c r="I873" t="n">
        <v>0</v>
      </c>
      <c r="J873" t="n">
        <v>0</v>
      </c>
      <c r="K873" t="n">
        <v>0</v>
      </c>
      <c r="L873" t="n">
        <v>0</v>
      </c>
      <c r="M873" t="n">
        <v>0</v>
      </c>
      <c r="N873" t="n">
        <v>0</v>
      </c>
      <c r="O873" t="n">
        <v>0</v>
      </c>
      <c r="P873" t="n">
        <v>0</v>
      </c>
      <c r="Q873" t="n">
        <v>0</v>
      </c>
      <c r="R873" s="2" t="inlineStr"/>
    </row>
    <row r="874" ht="15" customHeight="1">
      <c r="A874" t="inlineStr">
        <is>
          <t>A 496-2020</t>
        </is>
      </c>
      <c r="B874" s="1" t="n">
        <v>43837</v>
      </c>
      <c r="C874" s="1" t="n">
        <v>45757</v>
      </c>
      <c r="D874" t="inlineStr">
        <is>
          <t>VÄSTMANLANDS LÄN</t>
        </is>
      </c>
      <c r="E874" t="inlineStr">
        <is>
          <t>SALA</t>
        </is>
      </c>
      <c r="G874" t="n">
        <v>1.3</v>
      </c>
      <c r="H874" t="n">
        <v>0</v>
      </c>
      <c r="I874" t="n">
        <v>0</v>
      </c>
      <c r="J874" t="n">
        <v>0</v>
      </c>
      <c r="K874" t="n">
        <v>0</v>
      </c>
      <c r="L874" t="n">
        <v>0</v>
      </c>
      <c r="M874" t="n">
        <v>0</v>
      </c>
      <c r="N874" t="n">
        <v>0</v>
      </c>
      <c r="O874" t="n">
        <v>0</v>
      </c>
      <c r="P874" t="n">
        <v>0</v>
      </c>
      <c r="Q874" t="n">
        <v>0</v>
      </c>
      <c r="R874" s="2" t="inlineStr"/>
    </row>
    <row r="875" ht="15" customHeight="1">
      <c r="A875" t="inlineStr">
        <is>
          <t>A 549-2020</t>
        </is>
      </c>
      <c r="B875" s="1" t="n">
        <v>43838</v>
      </c>
      <c r="C875" s="1" t="n">
        <v>45757</v>
      </c>
      <c r="D875" t="inlineStr">
        <is>
          <t>VÄSTMANLANDS LÄN</t>
        </is>
      </c>
      <c r="E875" t="inlineStr">
        <is>
          <t>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1005-2020</t>
        </is>
      </c>
      <c r="B876" s="1" t="n">
        <v>43839</v>
      </c>
      <c r="C876" s="1" t="n">
        <v>45757</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913-2020</t>
        </is>
      </c>
      <c r="B877" s="1" t="n">
        <v>43839</v>
      </c>
      <c r="C877" s="1" t="n">
        <v>45757</v>
      </c>
      <c r="D877" t="inlineStr">
        <is>
          <t>VÄSTMANLANDS LÄN</t>
        </is>
      </c>
      <c r="E877" t="inlineStr">
        <is>
          <t>KUNGSÖR</t>
        </is>
      </c>
      <c r="G877" t="n">
        <v>1.5</v>
      </c>
      <c r="H877" t="n">
        <v>0</v>
      </c>
      <c r="I877" t="n">
        <v>0</v>
      </c>
      <c r="J877" t="n">
        <v>0</v>
      </c>
      <c r="K877" t="n">
        <v>0</v>
      </c>
      <c r="L877" t="n">
        <v>0</v>
      </c>
      <c r="M877" t="n">
        <v>0</v>
      </c>
      <c r="N877" t="n">
        <v>0</v>
      </c>
      <c r="O877" t="n">
        <v>0</v>
      </c>
      <c r="P877" t="n">
        <v>0</v>
      </c>
      <c r="Q877" t="n">
        <v>0</v>
      </c>
      <c r="R877" s="2" t="inlineStr"/>
    </row>
    <row r="878" ht="15" customHeight="1">
      <c r="A878" t="inlineStr">
        <is>
          <t>A 2039-2020</t>
        </is>
      </c>
      <c r="B878" s="1" t="n">
        <v>43839</v>
      </c>
      <c r="C878" s="1" t="n">
        <v>45757</v>
      </c>
      <c r="D878" t="inlineStr">
        <is>
          <t>VÄSTMANLANDS LÄN</t>
        </is>
      </c>
      <c r="E878" t="inlineStr">
        <is>
          <t>SURAHAMMAR</t>
        </is>
      </c>
      <c r="G878" t="n">
        <v>1</v>
      </c>
      <c r="H878" t="n">
        <v>0</v>
      </c>
      <c r="I878" t="n">
        <v>0</v>
      </c>
      <c r="J878" t="n">
        <v>0</v>
      </c>
      <c r="K878" t="n">
        <v>0</v>
      </c>
      <c r="L878" t="n">
        <v>0</v>
      </c>
      <c r="M878" t="n">
        <v>0</v>
      </c>
      <c r="N878" t="n">
        <v>0</v>
      </c>
      <c r="O878" t="n">
        <v>0</v>
      </c>
      <c r="P878" t="n">
        <v>0</v>
      </c>
      <c r="Q878" t="n">
        <v>0</v>
      </c>
      <c r="R878" s="2" t="inlineStr"/>
    </row>
    <row r="879" ht="15" customHeight="1">
      <c r="A879" t="inlineStr">
        <is>
          <t>A 950-2020</t>
        </is>
      </c>
      <c r="B879" s="1" t="n">
        <v>43839</v>
      </c>
      <c r="C879" s="1" t="n">
        <v>45757</v>
      </c>
      <c r="D879" t="inlineStr">
        <is>
          <t>VÄSTMANLANDS LÄN</t>
        </is>
      </c>
      <c r="E879" t="inlineStr">
        <is>
          <t>VÄSTERÅS</t>
        </is>
      </c>
      <c r="G879" t="n">
        <v>1.3</v>
      </c>
      <c r="H879" t="n">
        <v>0</v>
      </c>
      <c r="I879" t="n">
        <v>0</v>
      </c>
      <c r="J879" t="n">
        <v>0</v>
      </c>
      <c r="K879" t="n">
        <v>0</v>
      </c>
      <c r="L879" t="n">
        <v>0</v>
      </c>
      <c r="M879" t="n">
        <v>0</v>
      </c>
      <c r="N879" t="n">
        <v>0</v>
      </c>
      <c r="O879" t="n">
        <v>0</v>
      </c>
      <c r="P879" t="n">
        <v>0</v>
      </c>
      <c r="Q879" t="n">
        <v>0</v>
      </c>
      <c r="R879" s="2" t="inlineStr"/>
    </row>
    <row r="880" ht="15" customHeight="1">
      <c r="A880" t="inlineStr">
        <is>
          <t>A 1162-2020</t>
        </is>
      </c>
      <c r="B880" s="1" t="n">
        <v>43840</v>
      </c>
      <c r="C880" s="1" t="n">
        <v>45757</v>
      </c>
      <c r="D880" t="inlineStr">
        <is>
          <t>VÄSTMANLANDS LÄN</t>
        </is>
      </c>
      <c r="E880" t="inlineStr">
        <is>
          <t>ARBOGA</t>
        </is>
      </c>
      <c r="G880" t="n">
        <v>4.9</v>
      </c>
      <c r="H880" t="n">
        <v>0</v>
      </c>
      <c r="I880" t="n">
        <v>0</v>
      </c>
      <c r="J880" t="n">
        <v>0</v>
      </c>
      <c r="K880" t="n">
        <v>0</v>
      </c>
      <c r="L880" t="n">
        <v>0</v>
      </c>
      <c r="M880" t="n">
        <v>0</v>
      </c>
      <c r="N880" t="n">
        <v>0</v>
      </c>
      <c r="O880" t="n">
        <v>0</v>
      </c>
      <c r="P880" t="n">
        <v>0</v>
      </c>
      <c r="Q880" t="n">
        <v>0</v>
      </c>
      <c r="R880" s="2" t="inlineStr"/>
    </row>
    <row r="881" ht="15" customHeight="1">
      <c r="A881" t="inlineStr">
        <is>
          <t>A 2323-2020</t>
        </is>
      </c>
      <c r="B881" s="1" t="n">
        <v>43840</v>
      </c>
      <c r="C881" s="1" t="n">
        <v>45757</v>
      </c>
      <c r="D881" t="inlineStr">
        <is>
          <t>VÄSTMANLANDS LÄN</t>
        </is>
      </c>
      <c r="E881" t="inlineStr">
        <is>
          <t>KÖPING</t>
        </is>
      </c>
      <c r="G881" t="n">
        <v>4.1</v>
      </c>
      <c r="H881" t="n">
        <v>0</v>
      </c>
      <c r="I881" t="n">
        <v>0</v>
      </c>
      <c r="J881" t="n">
        <v>0</v>
      </c>
      <c r="K881" t="n">
        <v>0</v>
      </c>
      <c r="L881" t="n">
        <v>0</v>
      </c>
      <c r="M881" t="n">
        <v>0</v>
      </c>
      <c r="N881" t="n">
        <v>0</v>
      </c>
      <c r="O881" t="n">
        <v>0</v>
      </c>
      <c r="P881" t="n">
        <v>0</v>
      </c>
      <c r="Q881" t="n">
        <v>0</v>
      </c>
      <c r="R881" s="2" t="inlineStr"/>
    </row>
    <row r="882" ht="15" customHeight="1">
      <c r="A882" t="inlineStr">
        <is>
          <t>A 1272-2020</t>
        </is>
      </c>
      <c r="B882" s="1" t="n">
        <v>43841</v>
      </c>
      <c r="C882" s="1" t="n">
        <v>45757</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1288-2020</t>
        </is>
      </c>
      <c r="B883" s="1" t="n">
        <v>43842</v>
      </c>
      <c r="C883" s="1" t="n">
        <v>45757</v>
      </c>
      <c r="D883" t="inlineStr">
        <is>
          <t>VÄSTMANLANDS LÄN</t>
        </is>
      </c>
      <c r="E883" t="inlineStr">
        <is>
          <t>NORBERG</t>
        </is>
      </c>
      <c r="G883" t="n">
        <v>0.3</v>
      </c>
      <c r="H883" t="n">
        <v>0</v>
      </c>
      <c r="I883" t="n">
        <v>0</v>
      </c>
      <c r="J883" t="n">
        <v>0</v>
      </c>
      <c r="K883" t="n">
        <v>0</v>
      </c>
      <c r="L883" t="n">
        <v>0</v>
      </c>
      <c r="M883" t="n">
        <v>0</v>
      </c>
      <c r="N883" t="n">
        <v>0</v>
      </c>
      <c r="O883" t="n">
        <v>0</v>
      </c>
      <c r="P883" t="n">
        <v>0</v>
      </c>
      <c r="Q883" t="n">
        <v>0</v>
      </c>
      <c r="R883" s="2" t="inlineStr"/>
    </row>
    <row r="884" ht="15" customHeight="1">
      <c r="A884" t="inlineStr">
        <is>
          <t>A 1346-2020</t>
        </is>
      </c>
      <c r="B884" s="1" t="n">
        <v>43843</v>
      </c>
      <c r="C884" s="1" t="n">
        <v>45757</v>
      </c>
      <c r="D884" t="inlineStr">
        <is>
          <t>VÄSTMANLANDS LÄN</t>
        </is>
      </c>
      <c r="E884" t="inlineStr">
        <is>
          <t>SALA</t>
        </is>
      </c>
      <c r="G884" t="n">
        <v>1</v>
      </c>
      <c r="H884" t="n">
        <v>0</v>
      </c>
      <c r="I884" t="n">
        <v>0</v>
      </c>
      <c r="J884" t="n">
        <v>0</v>
      </c>
      <c r="K884" t="n">
        <v>0</v>
      </c>
      <c r="L884" t="n">
        <v>0</v>
      </c>
      <c r="M884" t="n">
        <v>0</v>
      </c>
      <c r="N884" t="n">
        <v>0</v>
      </c>
      <c r="O884" t="n">
        <v>0</v>
      </c>
      <c r="P884" t="n">
        <v>0</v>
      </c>
      <c r="Q884" t="n">
        <v>0</v>
      </c>
      <c r="R884" s="2" t="inlineStr"/>
    </row>
    <row r="885" ht="15" customHeight="1">
      <c r="A885" t="inlineStr">
        <is>
          <t>A 2180-2020</t>
        </is>
      </c>
      <c r="B885" s="1" t="n">
        <v>43845</v>
      </c>
      <c r="C885" s="1" t="n">
        <v>45757</v>
      </c>
      <c r="D885" t="inlineStr">
        <is>
          <t>VÄSTMANLANDS LÄN</t>
        </is>
      </c>
      <c r="E885" t="inlineStr">
        <is>
          <t>HALLSTAHAMMAR</t>
        </is>
      </c>
      <c r="G885" t="n">
        <v>1</v>
      </c>
      <c r="H885" t="n">
        <v>0</v>
      </c>
      <c r="I885" t="n">
        <v>0</v>
      </c>
      <c r="J885" t="n">
        <v>0</v>
      </c>
      <c r="K885" t="n">
        <v>0</v>
      </c>
      <c r="L885" t="n">
        <v>0</v>
      </c>
      <c r="M885" t="n">
        <v>0</v>
      </c>
      <c r="N885" t="n">
        <v>0</v>
      </c>
      <c r="O885" t="n">
        <v>0</v>
      </c>
      <c r="P885" t="n">
        <v>0</v>
      </c>
      <c r="Q885" t="n">
        <v>0</v>
      </c>
      <c r="R885" s="2" t="inlineStr"/>
    </row>
    <row r="886" ht="15" customHeight="1">
      <c r="A886" t="inlineStr">
        <is>
          <t>A 2331-2020</t>
        </is>
      </c>
      <c r="B886" s="1" t="n">
        <v>43846</v>
      </c>
      <c r="C886" s="1" t="n">
        <v>45757</v>
      </c>
      <c r="D886" t="inlineStr">
        <is>
          <t>VÄSTMANLANDS LÄN</t>
        </is>
      </c>
      <c r="E886" t="inlineStr">
        <is>
          <t>VÄSTERÅS</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3935-2020</t>
        </is>
      </c>
      <c r="B887" s="1" t="n">
        <v>43846</v>
      </c>
      <c r="C887" s="1" t="n">
        <v>45757</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2429-2020</t>
        </is>
      </c>
      <c r="B888" s="1" t="n">
        <v>43847</v>
      </c>
      <c r="C888" s="1" t="n">
        <v>45757</v>
      </c>
      <c r="D888" t="inlineStr">
        <is>
          <t>VÄSTMANLANDS LÄN</t>
        </is>
      </c>
      <c r="E888" t="inlineStr">
        <is>
          <t>SKINNSKATTEBERG</t>
        </is>
      </c>
      <c r="G888" t="n">
        <v>1.9</v>
      </c>
      <c r="H888" t="n">
        <v>0</v>
      </c>
      <c r="I888" t="n">
        <v>0</v>
      </c>
      <c r="J888" t="n">
        <v>0</v>
      </c>
      <c r="K888" t="n">
        <v>0</v>
      </c>
      <c r="L888" t="n">
        <v>0</v>
      </c>
      <c r="M888" t="n">
        <v>0</v>
      </c>
      <c r="N888" t="n">
        <v>0</v>
      </c>
      <c r="O888" t="n">
        <v>0</v>
      </c>
      <c r="P888" t="n">
        <v>0</v>
      </c>
      <c r="Q888" t="n">
        <v>0</v>
      </c>
      <c r="R888" s="2" t="inlineStr"/>
    </row>
    <row r="889" ht="15" customHeight="1">
      <c r="A889" t="inlineStr">
        <is>
          <t>A 2588-2020</t>
        </is>
      </c>
      <c r="B889" s="1" t="n">
        <v>43847</v>
      </c>
      <c r="C889" s="1" t="n">
        <v>45757</v>
      </c>
      <c r="D889" t="inlineStr">
        <is>
          <t>VÄSTMANLANDS LÄN</t>
        </is>
      </c>
      <c r="E889" t="inlineStr">
        <is>
          <t>SALA</t>
        </is>
      </c>
      <c r="G889" t="n">
        <v>1.8</v>
      </c>
      <c r="H889" t="n">
        <v>0</v>
      </c>
      <c r="I889" t="n">
        <v>0</v>
      </c>
      <c r="J889" t="n">
        <v>0</v>
      </c>
      <c r="K889" t="n">
        <v>0</v>
      </c>
      <c r="L889" t="n">
        <v>0</v>
      </c>
      <c r="M889" t="n">
        <v>0</v>
      </c>
      <c r="N889" t="n">
        <v>0</v>
      </c>
      <c r="O889" t="n">
        <v>0</v>
      </c>
      <c r="P889" t="n">
        <v>0</v>
      </c>
      <c r="Q889" t="n">
        <v>0</v>
      </c>
      <c r="R889" s="2" t="inlineStr"/>
    </row>
    <row r="890" ht="15" customHeight="1">
      <c r="A890" t="inlineStr">
        <is>
          <t>A 4425-2020</t>
        </is>
      </c>
      <c r="B890" s="1" t="n">
        <v>43847</v>
      </c>
      <c r="C890" s="1" t="n">
        <v>45757</v>
      </c>
      <c r="D890" t="inlineStr">
        <is>
          <t>VÄSTMANLANDS LÄN</t>
        </is>
      </c>
      <c r="E890" t="inlineStr">
        <is>
          <t>VÄSTERÅS</t>
        </is>
      </c>
      <c r="G890" t="n">
        <v>6.6</v>
      </c>
      <c r="H890" t="n">
        <v>0</v>
      </c>
      <c r="I890" t="n">
        <v>0</v>
      </c>
      <c r="J890" t="n">
        <v>0</v>
      </c>
      <c r="K890" t="n">
        <v>0</v>
      </c>
      <c r="L890" t="n">
        <v>0</v>
      </c>
      <c r="M890" t="n">
        <v>0</v>
      </c>
      <c r="N890" t="n">
        <v>0</v>
      </c>
      <c r="O890" t="n">
        <v>0</v>
      </c>
      <c r="P890" t="n">
        <v>0</v>
      </c>
      <c r="Q890" t="n">
        <v>0</v>
      </c>
      <c r="R890" s="2" t="inlineStr"/>
    </row>
    <row r="891" ht="15" customHeight="1">
      <c r="A891" t="inlineStr">
        <is>
          <t>A 2939-2020</t>
        </is>
      </c>
      <c r="B891" s="1" t="n">
        <v>43850</v>
      </c>
      <c r="C891" s="1" t="n">
        <v>45757</v>
      </c>
      <c r="D891" t="inlineStr">
        <is>
          <t>VÄSTMANLANDS LÄN</t>
        </is>
      </c>
      <c r="E891" t="inlineStr">
        <is>
          <t>VÄSTERÅS</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2920-2020</t>
        </is>
      </c>
      <c r="B892" s="1" t="n">
        <v>43850</v>
      </c>
      <c r="C892" s="1" t="n">
        <v>45757</v>
      </c>
      <c r="D892" t="inlineStr">
        <is>
          <t>VÄSTMANLANDS LÄN</t>
        </is>
      </c>
      <c r="E892" t="inlineStr">
        <is>
          <t>VÄSTERÅS</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3078-2020</t>
        </is>
      </c>
      <c r="B893" s="1" t="n">
        <v>43851</v>
      </c>
      <c r="C893" s="1" t="n">
        <v>45757</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4630-2020</t>
        </is>
      </c>
      <c r="B894" s="1" t="n">
        <v>43851</v>
      </c>
      <c r="C894" s="1" t="n">
        <v>45757</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3590-2020</t>
        </is>
      </c>
      <c r="B895" s="1" t="n">
        <v>43853</v>
      </c>
      <c r="C895" s="1" t="n">
        <v>45757</v>
      </c>
      <c r="D895" t="inlineStr">
        <is>
          <t>VÄSTMANLANDS LÄN</t>
        </is>
      </c>
      <c r="E895" t="inlineStr">
        <is>
          <t>SALA</t>
        </is>
      </c>
      <c r="G895" t="n">
        <v>0.4</v>
      </c>
      <c r="H895" t="n">
        <v>0</v>
      </c>
      <c r="I895" t="n">
        <v>0</v>
      </c>
      <c r="J895" t="n">
        <v>0</v>
      </c>
      <c r="K895" t="n">
        <v>0</v>
      </c>
      <c r="L895" t="n">
        <v>0</v>
      </c>
      <c r="M895" t="n">
        <v>0</v>
      </c>
      <c r="N895" t="n">
        <v>0</v>
      </c>
      <c r="O895" t="n">
        <v>0</v>
      </c>
      <c r="P895" t="n">
        <v>0</v>
      </c>
      <c r="Q895" t="n">
        <v>0</v>
      </c>
      <c r="R895" s="2" t="inlineStr"/>
    </row>
    <row r="896" ht="15" customHeight="1">
      <c r="A896" t="inlineStr">
        <is>
          <t>A 5110-2020</t>
        </is>
      </c>
      <c r="B896" s="1" t="n">
        <v>43853</v>
      </c>
      <c r="C896" s="1" t="n">
        <v>45757</v>
      </c>
      <c r="D896" t="inlineStr">
        <is>
          <t>VÄSTMANLANDS LÄN</t>
        </is>
      </c>
      <c r="E896" t="inlineStr">
        <is>
          <t>SKINNSKATTEBERG</t>
        </is>
      </c>
      <c r="G896" t="n">
        <v>3</v>
      </c>
      <c r="H896" t="n">
        <v>0</v>
      </c>
      <c r="I896" t="n">
        <v>0</v>
      </c>
      <c r="J896" t="n">
        <v>0</v>
      </c>
      <c r="K896" t="n">
        <v>0</v>
      </c>
      <c r="L896" t="n">
        <v>0</v>
      </c>
      <c r="M896" t="n">
        <v>0</v>
      </c>
      <c r="N896" t="n">
        <v>0</v>
      </c>
      <c r="O896" t="n">
        <v>0</v>
      </c>
      <c r="P896" t="n">
        <v>0</v>
      </c>
      <c r="Q896" t="n">
        <v>0</v>
      </c>
      <c r="R896" s="2" t="inlineStr"/>
    </row>
    <row r="897" ht="15" customHeight="1">
      <c r="A897" t="inlineStr">
        <is>
          <t>A 5112-2020</t>
        </is>
      </c>
      <c r="B897" s="1" t="n">
        <v>43853</v>
      </c>
      <c r="C897" s="1" t="n">
        <v>45757</v>
      </c>
      <c r="D897" t="inlineStr">
        <is>
          <t>VÄSTMANLANDS LÄN</t>
        </is>
      </c>
      <c r="E897" t="inlineStr">
        <is>
          <t>FAGERSTA</t>
        </is>
      </c>
      <c r="G897" t="n">
        <v>4.4</v>
      </c>
      <c r="H897" t="n">
        <v>0</v>
      </c>
      <c r="I897" t="n">
        <v>0</v>
      </c>
      <c r="J897" t="n">
        <v>0</v>
      </c>
      <c r="K897" t="n">
        <v>0</v>
      </c>
      <c r="L897" t="n">
        <v>0</v>
      </c>
      <c r="M897" t="n">
        <v>0</v>
      </c>
      <c r="N897" t="n">
        <v>0</v>
      </c>
      <c r="O897" t="n">
        <v>0</v>
      </c>
      <c r="P897" t="n">
        <v>0</v>
      </c>
      <c r="Q897" t="n">
        <v>0</v>
      </c>
      <c r="R897" s="2" t="inlineStr"/>
    </row>
    <row r="898" ht="15" customHeight="1">
      <c r="A898" t="inlineStr">
        <is>
          <t>A 3889-2020</t>
        </is>
      </c>
      <c r="B898" s="1" t="n">
        <v>43854</v>
      </c>
      <c r="C898" s="1" t="n">
        <v>45757</v>
      </c>
      <c r="D898" t="inlineStr">
        <is>
          <t>VÄSTMANLANDS LÄN</t>
        </is>
      </c>
      <c r="E898" t="inlineStr">
        <is>
          <t>FAGERSTA</t>
        </is>
      </c>
      <c r="G898" t="n">
        <v>0.8</v>
      </c>
      <c r="H898" t="n">
        <v>0</v>
      </c>
      <c r="I898" t="n">
        <v>0</v>
      </c>
      <c r="J898" t="n">
        <v>0</v>
      </c>
      <c r="K898" t="n">
        <v>0</v>
      </c>
      <c r="L898" t="n">
        <v>0</v>
      </c>
      <c r="M898" t="n">
        <v>0</v>
      </c>
      <c r="N898" t="n">
        <v>0</v>
      </c>
      <c r="O898" t="n">
        <v>0</v>
      </c>
      <c r="P898" t="n">
        <v>0</v>
      </c>
      <c r="Q898" t="n">
        <v>0</v>
      </c>
      <c r="R898" s="2" t="inlineStr"/>
    </row>
    <row r="899" ht="15" customHeight="1">
      <c r="A899" t="inlineStr">
        <is>
          <t>A 5467-2020</t>
        </is>
      </c>
      <c r="B899" s="1" t="n">
        <v>43858</v>
      </c>
      <c r="C899" s="1" t="n">
        <v>45757</v>
      </c>
      <c r="D899" t="inlineStr">
        <is>
          <t>VÄSTMANLANDS LÄN</t>
        </is>
      </c>
      <c r="E899" t="inlineStr">
        <is>
          <t>ARBOGA</t>
        </is>
      </c>
      <c r="G899" t="n">
        <v>2.8</v>
      </c>
      <c r="H899" t="n">
        <v>0</v>
      </c>
      <c r="I899" t="n">
        <v>0</v>
      </c>
      <c r="J899" t="n">
        <v>0</v>
      </c>
      <c r="K899" t="n">
        <v>0</v>
      </c>
      <c r="L899" t="n">
        <v>0</v>
      </c>
      <c r="M899" t="n">
        <v>0</v>
      </c>
      <c r="N899" t="n">
        <v>0</v>
      </c>
      <c r="O899" t="n">
        <v>0</v>
      </c>
      <c r="P899" t="n">
        <v>0</v>
      </c>
      <c r="Q899" t="n">
        <v>0</v>
      </c>
      <c r="R899" s="2" t="inlineStr"/>
    </row>
    <row r="900" ht="15" customHeight="1">
      <c r="A900" t="inlineStr">
        <is>
          <t>A 4466-2020</t>
        </is>
      </c>
      <c r="B900" s="1" t="n">
        <v>43858</v>
      </c>
      <c r="C900" s="1" t="n">
        <v>45757</v>
      </c>
      <c r="D900" t="inlineStr">
        <is>
          <t>VÄSTMANLANDS LÄN</t>
        </is>
      </c>
      <c r="E900" t="inlineStr">
        <is>
          <t>HALLSTAHAMMAR</t>
        </is>
      </c>
      <c r="G900" t="n">
        <v>3.5</v>
      </c>
      <c r="H900" t="n">
        <v>0</v>
      </c>
      <c r="I900" t="n">
        <v>0</v>
      </c>
      <c r="J900" t="n">
        <v>0</v>
      </c>
      <c r="K900" t="n">
        <v>0</v>
      </c>
      <c r="L900" t="n">
        <v>0</v>
      </c>
      <c r="M900" t="n">
        <v>0</v>
      </c>
      <c r="N900" t="n">
        <v>0</v>
      </c>
      <c r="O900" t="n">
        <v>0</v>
      </c>
      <c r="P900" t="n">
        <v>0</v>
      </c>
      <c r="Q900" t="n">
        <v>0</v>
      </c>
      <c r="R900" s="2" t="inlineStr"/>
    </row>
    <row r="901" ht="15" customHeight="1">
      <c r="A901" t="inlineStr">
        <is>
          <t>A 4809-2020</t>
        </is>
      </c>
      <c r="B901" s="1" t="n">
        <v>43859</v>
      </c>
      <c r="C901" s="1" t="n">
        <v>45757</v>
      </c>
      <c r="D901" t="inlineStr">
        <is>
          <t>VÄSTMANLANDS LÄN</t>
        </is>
      </c>
      <c r="E901" t="inlineStr">
        <is>
          <t>VÄSTERÅS</t>
        </is>
      </c>
      <c r="G901" t="n">
        <v>4</v>
      </c>
      <c r="H901" t="n">
        <v>0</v>
      </c>
      <c r="I901" t="n">
        <v>0</v>
      </c>
      <c r="J901" t="n">
        <v>0</v>
      </c>
      <c r="K901" t="n">
        <v>0</v>
      </c>
      <c r="L901" t="n">
        <v>0</v>
      </c>
      <c r="M901" t="n">
        <v>0</v>
      </c>
      <c r="N901" t="n">
        <v>0</v>
      </c>
      <c r="O901" t="n">
        <v>0</v>
      </c>
      <c r="P901" t="n">
        <v>0</v>
      </c>
      <c r="Q901" t="n">
        <v>0</v>
      </c>
      <c r="R901" s="2" t="inlineStr"/>
    </row>
    <row r="902" ht="15" customHeight="1">
      <c r="A902" t="inlineStr">
        <is>
          <t>A 4978-2020</t>
        </is>
      </c>
      <c r="B902" s="1" t="n">
        <v>43859</v>
      </c>
      <c r="C902" s="1" t="n">
        <v>45757</v>
      </c>
      <c r="D902" t="inlineStr">
        <is>
          <t>VÄSTMANLANDS LÄN</t>
        </is>
      </c>
      <c r="E902" t="inlineStr">
        <is>
          <t>NORBERG</t>
        </is>
      </c>
      <c r="G902" t="n">
        <v>2.2</v>
      </c>
      <c r="H902" t="n">
        <v>0</v>
      </c>
      <c r="I902" t="n">
        <v>0</v>
      </c>
      <c r="J902" t="n">
        <v>0</v>
      </c>
      <c r="K902" t="n">
        <v>0</v>
      </c>
      <c r="L902" t="n">
        <v>0</v>
      </c>
      <c r="M902" t="n">
        <v>0</v>
      </c>
      <c r="N902" t="n">
        <v>0</v>
      </c>
      <c r="O902" t="n">
        <v>0</v>
      </c>
      <c r="P902" t="n">
        <v>0</v>
      </c>
      <c r="Q902" t="n">
        <v>0</v>
      </c>
      <c r="R902" s="2" t="inlineStr"/>
    </row>
    <row r="903" ht="15" customHeight="1">
      <c r="A903" t="inlineStr">
        <is>
          <t>A 5551-2020</t>
        </is>
      </c>
      <c r="B903" s="1" t="n">
        <v>43859</v>
      </c>
      <c r="C903" s="1" t="n">
        <v>45757</v>
      </c>
      <c r="D903" t="inlineStr">
        <is>
          <t>VÄSTMANLANDS LÄN</t>
        </is>
      </c>
      <c r="E903" t="inlineStr">
        <is>
          <t>SKINNSKATTEBERG</t>
        </is>
      </c>
      <c r="G903" t="n">
        <v>1.3</v>
      </c>
      <c r="H903" t="n">
        <v>0</v>
      </c>
      <c r="I903" t="n">
        <v>0</v>
      </c>
      <c r="J903" t="n">
        <v>0</v>
      </c>
      <c r="K903" t="n">
        <v>0</v>
      </c>
      <c r="L903" t="n">
        <v>0</v>
      </c>
      <c r="M903" t="n">
        <v>0</v>
      </c>
      <c r="N903" t="n">
        <v>0</v>
      </c>
      <c r="O903" t="n">
        <v>0</v>
      </c>
      <c r="P903" t="n">
        <v>0</v>
      </c>
      <c r="Q903" t="n">
        <v>0</v>
      </c>
      <c r="R903" s="2" t="inlineStr"/>
    </row>
    <row r="904" ht="15" customHeight="1">
      <c r="A904" t="inlineStr">
        <is>
          <t>A 5560-2020</t>
        </is>
      </c>
      <c r="B904" s="1" t="n">
        <v>43859</v>
      </c>
      <c r="C904" s="1" t="n">
        <v>45757</v>
      </c>
      <c r="D904" t="inlineStr">
        <is>
          <t>VÄSTMANLANDS LÄN</t>
        </is>
      </c>
      <c r="E904" t="inlineStr">
        <is>
          <t>SKINNSKATTEBERG</t>
        </is>
      </c>
      <c r="G904" t="n">
        <v>0.6</v>
      </c>
      <c r="H904" t="n">
        <v>0</v>
      </c>
      <c r="I904" t="n">
        <v>0</v>
      </c>
      <c r="J904" t="n">
        <v>0</v>
      </c>
      <c r="K904" t="n">
        <v>0</v>
      </c>
      <c r="L904" t="n">
        <v>0</v>
      </c>
      <c r="M904" t="n">
        <v>0</v>
      </c>
      <c r="N904" t="n">
        <v>0</v>
      </c>
      <c r="O904" t="n">
        <v>0</v>
      </c>
      <c r="P904" t="n">
        <v>0</v>
      </c>
      <c r="Q904" t="n">
        <v>0</v>
      </c>
      <c r="R904" s="2" t="inlineStr"/>
    </row>
    <row r="905" ht="15" customHeight="1">
      <c r="A905" t="inlineStr">
        <is>
          <t>A 5554-2020</t>
        </is>
      </c>
      <c r="B905" s="1" t="n">
        <v>43859</v>
      </c>
      <c r="C905" s="1" t="n">
        <v>45757</v>
      </c>
      <c r="D905" t="inlineStr">
        <is>
          <t>VÄSTMANLANDS LÄN</t>
        </is>
      </c>
      <c r="E905" t="inlineStr">
        <is>
          <t>SKINNSKATTEBERG</t>
        </is>
      </c>
      <c r="G905" t="n">
        <v>3.6</v>
      </c>
      <c r="H905" t="n">
        <v>0</v>
      </c>
      <c r="I905" t="n">
        <v>0</v>
      </c>
      <c r="J905" t="n">
        <v>0</v>
      </c>
      <c r="K905" t="n">
        <v>0</v>
      </c>
      <c r="L905" t="n">
        <v>0</v>
      </c>
      <c r="M905" t="n">
        <v>0</v>
      </c>
      <c r="N905" t="n">
        <v>0</v>
      </c>
      <c r="O905" t="n">
        <v>0</v>
      </c>
      <c r="P905" t="n">
        <v>0</v>
      </c>
      <c r="Q905" t="n">
        <v>0</v>
      </c>
      <c r="R905" s="2" t="inlineStr"/>
    </row>
    <row r="906" ht="15" customHeight="1">
      <c r="A906" t="inlineStr">
        <is>
          <t>A 4866-2020</t>
        </is>
      </c>
      <c r="B906" s="1" t="n">
        <v>43859</v>
      </c>
      <c r="C906" s="1" t="n">
        <v>45757</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4951-2020</t>
        </is>
      </c>
      <c r="B907" s="1" t="n">
        <v>43859</v>
      </c>
      <c r="C907" s="1" t="n">
        <v>45757</v>
      </c>
      <c r="D907" t="inlineStr">
        <is>
          <t>VÄSTMANLANDS LÄN</t>
        </is>
      </c>
      <c r="E907" t="inlineStr">
        <is>
          <t>NORBERG</t>
        </is>
      </c>
      <c r="G907" t="n">
        <v>0.7</v>
      </c>
      <c r="H907" t="n">
        <v>0</v>
      </c>
      <c r="I907" t="n">
        <v>0</v>
      </c>
      <c r="J907" t="n">
        <v>0</v>
      </c>
      <c r="K907" t="n">
        <v>0</v>
      </c>
      <c r="L907" t="n">
        <v>0</v>
      </c>
      <c r="M907" t="n">
        <v>0</v>
      </c>
      <c r="N907" t="n">
        <v>0</v>
      </c>
      <c r="O907" t="n">
        <v>0</v>
      </c>
      <c r="P907" t="n">
        <v>0</v>
      </c>
      <c r="Q907" t="n">
        <v>0</v>
      </c>
      <c r="R907" s="2" t="inlineStr"/>
    </row>
    <row r="908" ht="15" customHeight="1">
      <c r="A908" t="inlineStr">
        <is>
          <t>A 5561-2020</t>
        </is>
      </c>
      <c r="B908" s="1" t="n">
        <v>43859</v>
      </c>
      <c r="C908" s="1" t="n">
        <v>45757</v>
      </c>
      <c r="D908" t="inlineStr">
        <is>
          <t>VÄSTMANLANDS LÄN</t>
        </is>
      </c>
      <c r="E908" t="inlineStr">
        <is>
          <t>SKINNSKATTEBERG</t>
        </is>
      </c>
      <c r="G908" t="n">
        <v>0.6</v>
      </c>
      <c r="H908" t="n">
        <v>0</v>
      </c>
      <c r="I908" t="n">
        <v>0</v>
      </c>
      <c r="J908" t="n">
        <v>0</v>
      </c>
      <c r="K908" t="n">
        <v>0</v>
      </c>
      <c r="L908" t="n">
        <v>0</v>
      </c>
      <c r="M908" t="n">
        <v>0</v>
      </c>
      <c r="N908" t="n">
        <v>0</v>
      </c>
      <c r="O908" t="n">
        <v>0</v>
      </c>
      <c r="P908" t="n">
        <v>0</v>
      </c>
      <c r="Q908" t="n">
        <v>0</v>
      </c>
      <c r="R908" s="2" t="inlineStr"/>
    </row>
    <row r="909" ht="15" customHeight="1">
      <c r="A909" t="inlineStr">
        <is>
          <t>A 5201-2020</t>
        </is>
      </c>
      <c r="B909" s="1" t="n">
        <v>43860</v>
      </c>
      <c r="C909" s="1" t="n">
        <v>45757</v>
      </c>
      <c r="D909" t="inlineStr">
        <is>
          <t>VÄSTMANLANDS LÄN</t>
        </is>
      </c>
      <c r="E909" t="inlineStr">
        <is>
          <t>SALA</t>
        </is>
      </c>
      <c r="F909" t="inlineStr">
        <is>
          <t>Kyrkan</t>
        </is>
      </c>
      <c r="G909" t="n">
        <v>5</v>
      </c>
      <c r="H909" t="n">
        <v>0</v>
      </c>
      <c r="I909" t="n">
        <v>0</v>
      </c>
      <c r="J909" t="n">
        <v>0</v>
      </c>
      <c r="K909" t="n">
        <v>0</v>
      </c>
      <c r="L909" t="n">
        <v>0</v>
      </c>
      <c r="M909" t="n">
        <v>0</v>
      </c>
      <c r="N909" t="n">
        <v>0</v>
      </c>
      <c r="O909" t="n">
        <v>0</v>
      </c>
      <c r="P909" t="n">
        <v>0</v>
      </c>
      <c r="Q909" t="n">
        <v>0</v>
      </c>
      <c r="R909" s="2" t="inlineStr"/>
    </row>
    <row r="910" ht="15" customHeight="1">
      <c r="A910" t="inlineStr">
        <is>
          <t>A 5163-2020</t>
        </is>
      </c>
      <c r="B910" s="1" t="n">
        <v>43860</v>
      </c>
      <c r="C910" s="1" t="n">
        <v>45757</v>
      </c>
      <c r="D910" t="inlineStr">
        <is>
          <t>VÄSTMANLANDS LÄN</t>
        </is>
      </c>
      <c r="E910" t="inlineStr">
        <is>
          <t>SALA</t>
        </is>
      </c>
      <c r="G910" t="n">
        <v>1.9</v>
      </c>
      <c r="H910" t="n">
        <v>0</v>
      </c>
      <c r="I910" t="n">
        <v>0</v>
      </c>
      <c r="J910" t="n">
        <v>0</v>
      </c>
      <c r="K910" t="n">
        <v>0</v>
      </c>
      <c r="L910" t="n">
        <v>0</v>
      </c>
      <c r="M910" t="n">
        <v>0</v>
      </c>
      <c r="N910" t="n">
        <v>0</v>
      </c>
      <c r="O910" t="n">
        <v>0</v>
      </c>
      <c r="P910" t="n">
        <v>0</v>
      </c>
      <c r="Q910" t="n">
        <v>0</v>
      </c>
      <c r="R910" s="2" t="inlineStr"/>
    </row>
    <row r="911" ht="15" customHeight="1">
      <c r="A911" t="inlineStr">
        <is>
          <t>A 5191-2020</t>
        </is>
      </c>
      <c r="B911" s="1" t="n">
        <v>43860</v>
      </c>
      <c r="C911" s="1" t="n">
        <v>45757</v>
      </c>
      <c r="D911" t="inlineStr">
        <is>
          <t>VÄSTMANLANDS LÄN</t>
        </is>
      </c>
      <c r="E911" t="inlineStr">
        <is>
          <t>SALA</t>
        </is>
      </c>
      <c r="F911" t="inlineStr">
        <is>
          <t>Kyrkan</t>
        </is>
      </c>
      <c r="G911" t="n">
        <v>10.9</v>
      </c>
      <c r="H911" t="n">
        <v>0</v>
      </c>
      <c r="I911" t="n">
        <v>0</v>
      </c>
      <c r="J911" t="n">
        <v>0</v>
      </c>
      <c r="K911" t="n">
        <v>0</v>
      </c>
      <c r="L911" t="n">
        <v>0</v>
      </c>
      <c r="M911" t="n">
        <v>0</v>
      </c>
      <c r="N911" t="n">
        <v>0</v>
      </c>
      <c r="O911" t="n">
        <v>0</v>
      </c>
      <c r="P911" t="n">
        <v>0</v>
      </c>
      <c r="Q911" t="n">
        <v>0</v>
      </c>
      <c r="R911" s="2" t="inlineStr"/>
    </row>
    <row r="912" ht="15" customHeight="1">
      <c r="A912" t="inlineStr">
        <is>
          <t>A 5320-2020</t>
        </is>
      </c>
      <c r="B912" s="1" t="n">
        <v>43860</v>
      </c>
      <c r="C912" s="1" t="n">
        <v>45757</v>
      </c>
      <c r="D912" t="inlineStr">
        <is>
          <t>VÄSTMANLANDS LÄN</t>
        </is>
      </c>
      <c r="E912" t="inlineStr">
        <is>
          <t>SALA</t>
        </is>
      </c>
      <c r="G912" t="n">
        <v>3.1</v>
      </c>
      <c r="H912" t="n">
        <v>0</v>
      </c>
      <c r="I912" t="n">
        <v>0</v>
      </c>
      <c r="J912" t="n">
        <v>0</v>
      </c>
      <c r="K912" t="n">
        <v>0</v>
      </c>
      <c r="L912" t="n">
        <v>0</v>
      </c>
      <c r="M912" t="n">
        <v>0</v>
      </c>
      <c r="N912" t="n">
        <v>0</v>
      </c>
      <c r="O912" t="n">
        <v>0</v>
      </c>
      <c r="P912" t="n">
        <v>0</v>
      </c>
      <c r="Q912" t="n">
        <v>0</v>
      </c>
      <c r="R912" s="2" t="inlineStr"/>
    </row>
    <row r="913" ht="15" customHeight="1">
      <c r="A913" t="inlineStr">
        <is>
          <t>A 5693-2020</t>
        </is>
      </c>
      <c r="B913" s="1" t="n">
        <v>43861</v>
      </c>
      <c r="C913" s="1" t="n">
        <v>45757</v>
      </c>
      <c r="D913" t="inlineStr">
        <is>
          <t>VÄSTMANLANDS LÄN</t>
        </is>
      </c>
      <c r="E913" t="inlineStr">
        <is>
          <t>KÖPING</t>
        </is>
      </c>
      <c r="G913" t="n">
        <v>1.1</v>
      </c>
      <c r="H913" t="n">
        <v>0</v>
      </c>
      <c r="I913" t="n">
        <v>0</v>
      </c>
      <c r="J913" t="n">
        <v>0</v>
      </c>
      <c r="K913" t="n">
        <v>0</v>
      </c>
      <c r="L913" t="n">
        <v>0</v>
      </c>
      <c r="M913" t="n">
        <v>0</v>
      </c>
      <c r="N913" t="n">
        <v>0</v>
      </c>
      <c r="O913" t="n">
        <v>0</v>
      </c>
      <c r="P913" t="n">
        <v>0</v>
      </c>
      <c r="Q913" t="n">
        <v>0</v>
      </c>
      <c r="R913" s="2" t="inlineStr"/>
    </row>
    <row r="914" ht="15" customHeight="1">
      <c r="A914" t="inlineStr">
        <is>
          <t>A 5587-2020</t>
        </is>
      </c>
      <c r="B914" s="1" t="n">
        <v>43861</v>
      </c>
      <c r="C914" s="1" t="n">
        <v>45757</v>
      </c>
      <c r="D914" t="inlineStr">
        <is>
          <t>VÄSTMANLANDS LÄN</t>
        </is>
      </c>
      <c r="E914" t="inlineStr">
        <is>
          <t>SALA</t>
        </is>
      </c>
      <c r="G914" t="n">
        <v>9.6</v>
      </c>
      <c r="H914" t="n">
        <v>0</v>
      </c>
      <c r="I914" t="n">
        <v>0</v>
      </c>
      <c r="J914" t="n">
        <v>0</v>
      </c>
      <c r="K914" t="n">
        <v>0</v>
      </c>
      <c r="L914" t="n">
        <v>0</v>
      </c>
      <c r="M914" t="n">
        <v>0</v>
      </c>
      <c r="N914" t="n">
        <v>0</v>
      </c>
      <c r="O914" t="n">
        <v>0</v>
      </c>
      <c r="P914" t="n">
        <v>0</v>
      </c>
      <c r="Q914" t="n">
        <v>0</v>
      </c>
      <c r="R914" s="2" t="inlineStr"/>
    </row>
    <row r="915" ht="15" customHeight="1">
      <c r="A915" t="inlineStr">
        <is>
          <t>A 5750-2020</t>
        </is>
      </c>
      <c r="B915" s="1" t="n">
        <v>43864</v>
      </c>
      <c r="C915" s="1" t="n">
        <v>45757</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5839-2020</t>
        </is>
      </c>
      <c r="B916" s="1" t="n">
        <v>43864</v>
      </c>
      <c r="C916" s="1" t="n">
        <v>45757</v>
      </c>
      <c r="D916" t="inlineStr">
        <is>
          <t>VÄSTMANLANDS LÄN</t>
        </is>
      </c>
      <c r="E916" t="inlineStr">
        <is>
          <t>ARBOGA</t>
        </is>
      </c>
      <c r="G916" t="n">
        <v>8</v>
      </c>
      <c r="H916" t="n">
        <v>0</v>
      </c>
      <c r="I916" t="n">
        <v>0</v>
      </c>
      <c r="J916" t="n">
        <v>0</v>
      </c>
      <c r="K916" t="n">
        <v>0</v>
      </c>
      <c r="L916" t="n">
        <v>0</v>
      </c>
      <c r="M916" t="n">
        <v>0</v>
      </c>
      <c r="N916" t="n">
        <v>0</v>
      </c>
      <c r="O916" t="n">
        <v>0</v>
      </c>
      <c r="P916" t="n">
        <v>0</v>
      </c>
      <c r="Q916" t="n">
        <v>0</v>
      </c>
      <c r="R916" s="2" t="inlineStr"/>
    </row>
    <row r="917" ht="15" customHeight="1">
      <c r="A917" t="inlineStr">
        <is>
          <t>A 5804-2020</t>
        </is>
      </c>
      <c r="B917" s="1" t="n">
        <v>43864</v>
      </c>
      <c r="C917" s="1" t="n">
        <v>45757</v>
      </c>
      <c r="D917" t="inlineStr">
        <is>
          <t>VÄSTMANLANDS LÄN</t>
        </is>
      </c>
      <c r="E917" t="inlineStr">
        <is>
          <t>SURAHAMMAR</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6185-2020</t>
        </is>
      </c>
      <c r="B918" s="1" t="n">
        <v>43865</v>
      </c>
      <c r="C918" s="1" t="n">
        <v>45757</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6043-2020</t>
        </is>
      </c>
      <c r="B919" s="1" t="n">
        <v>43865</v>
      </c>
      <c r="C919" s="1" t="n">
        <v>45757</v>
      </c>
      <c r="D919" t="inlineStr">
        <is>
          <t>VÄSTMANLANDS LÄN</t>
        </is>
      </c>
      <c r="E919" t="inlineStr">
        <is>
          <t>VÄSTERÅS</t>
        </is>
      </c>
      <c r="G919" t="n">
        <v>8.4</v>
      </c>
      <c r="H919" t="n">
        <v>0</v>
      </c>
      <c r="I919" t="n">
        <v>0</v>
      </c>
      <c r="J919" t="n">
        <v>0</v>
      </c>
      <c r="K919" t="n">
        <v>0</v>
      </c>
      <c r="L919" t="n">
        <v>0</v>
      </c>
      <c r="M919" t="n">
        <v>0</v>
      </c>
      <c r="N919" t="n">
        <v>0</v>
      </c>
      <c r="O919" t="n">
        <v>0</v>
      </c>
      <c r="P919" t="n">
        <v>0</v>
      </c>
      <c r="Q919" t="n">
        <v>0</v>
      </c>
      <c r="R919" s="2" t="inlineStr"/>
    </row>
    <row r="920" ht="15" customHeight="1">
      <c r="A920" t="inlineStr">
        <is>
          <t>A 6330-2020</t>
        </is>
      </c>
      <c r="B920" s="1" t="n">
        <v>43866</v>
      </c>
      <c r="C920" s="1" t="n">
        <v>45757</v>
      </c>
      <c r="D920" t="inlineStr">
        <is>
          <t>VÄSTMANLANDS LÄN</t>
        </is>
      </c>
      <c r="E920" t="inlineStr">
        <is>
          <t>SKINNSKATTEBERG</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6341-2020</t>
        </is>
      </c>
      <c r="B921" s="1" t="n">
        <v>43866</v>
      </c>
      <c r="C921" s="1" t="n">
        <v>45757</v>
      </c>
      <c r="D921" t="inlineStr">
        <is>
          <t>VÄSTMANLANDS LÄN</t>
        </is>
      </c>
      <c r="E921" t="inlineStr">
        <is>
          <t>VÄSTERÅS</t>
        </is>
      </c>
      <c r="G921" t="n">
        <v>0.7</v>
      </c>
      <c r="H921" t="n">
        <v>0</v>
      </c>
      <c r="I921" t="n">
        <v>0</v>
      </c>
      <c r="J921" t="n">
        <v>0</v>
      </c>
      <c r="K921" t="n">
        <v>0</v>
      </c>
      <c r="L921" t="n">
        <v>0</v>
      </c>
      <c r="M921" t="n">
        <v>0</v>
      </c>
      <c r="N921" t="n">
        <v>0</v>
      </c>
      <c r="O921" t="n">
        <v>0</v>
      </c>
      <c r="P921" t="n">
        <v>0</v>
      </c>
      <c r="Q921" t="n">
        <v>0</v>
      </c>
      <c r="R921" s="2" t="inlineStr"/>
    </row>
    <row r="922" ht="15" customHeight="1">
      <c r="A922" t="inlineStr">
        <is>
          <t>A 6327-2020</t>
        </is>
      </c>
      <c r="B922" s="1" t="n">
        <v>43866</v>
      </c>
      <c r="C922" s="1" t="n">
        <v>45757</v>
      </c>
      <c r="D922" t="inlineStr">
        <is>
          <t>VÄSTMANLANDS LÄN</t>
        </is>
      </c>
      <c r="E922" t="inlineStr">
        <is>
          <t>SKINNSKATTEBERG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6592-2020</t>
        </is>
      </c>
      <c r="B923" s="1" t="n">
        <v>43866</v>
      </c>
      <c r="C923" s="1" t="n">
        <v>45757</v>
      </c>
      <c r="D923" t="inlineStr">
        <is>
          <t>VÄSTMANLANDS LÄN</t>
        </is>
      </c>
      <c r="E923" t="inlineStr">
        <is>
          <t>VÄSTERÅS</t>
        </is>
      </c>
      <c r="G923" t="n">
        <v>1.7</v>
      </c>
      <c r="H923" t="n">
        <v>0</v>
      </c>
      <c r="I923" t="n">
        <v>0</v>
      </c>
      <c r="J923" t="n">
        <v>0</v>
      </c>
      <c r="K923" t="n">
        <v>0</v>
      </c>
      <c r="L923" t="n">
        <v>0</v>
      </c>
      <c r="M923" t="n">
        <v>0</v>
      </c>
      <c r="N923" t="n">
        <v>0</v>
      </c>
      <c r="O923" t="n">
        <v>0</v>
      </c>
      <c r="P923" t="n">
        <v>0</v>
      </c>
      <c r="Q923" t="n">
        <v>0</v>
      </c>
      <c r="R923" s="2" t="inlineStr"/>
    </row>
    <row r="924" ht="15" customHeight="1">
      <c r="A924" t="inlineStr">
        <is>
          <t>A 6583-2020</t>
        </is>
      </c>
      <c r="B924" s="1" t="n">
        <v>43866</v>
      </c>
      <c r="C924" s="1" t="n">
        <v>45757</v>
      </c>
      <c r="D924" t="inlineStr">
        <is>
          <t>VÄSTMANLANDS LÄN</t>
        </is>
      </c>
      <c r="E924" t="inlineStr">
        <is>
          <t>VÄSTERÅS</t>
        </is>
      </c>
      <c r="G924" t="n">
        <v>1.7</v>
      </c>
      <c r="H924" t="n">
        <v>0</v>
      </c>
      <c r="I924" t="n">
        <v>0</v>
      </c>
      <c r="J924" t="n">
        <v>0</v>
      </c>
      <c r="K924" t="n">
        <v>0</v>
      </c>
      <c r="L924" t="n">
        <v>0</v>
      </c>
      <c r="M924" t="n">
        <v>0</v>
      </c>
      <c r="N924" t="n">
        <v>0</v>
      </c>
      <c r="O924" t="n">
        <v>0</v>
      </c>
      <c r="P924" t="n">
        <v>0</v>
      </c>
      <c r="Q924" t="n">
        <v>0</v>
      </c>
      <c r="R924" s="2" t="inlineStr"/>
    </row>
    <row r="925" ht="15" customHeight="1">
      <c r="A925" t="inlineStr">
        <is>
          <t>A 6669-2020</t>
        </is>
      </c>
      <c r="B925" s="1" t="n">
        <v>43867</v>
      </c>
      <c r="C925" s="1" t="n">
        <v>45757</v>
      </c>
      <c r="D925" t="inlineStr">
        <is>
          <t>VÄSTMANLANDS LÄN</t>
        </is>
      </c>
      <c r="E925" t="inlineStr">
        <is>
          <t>VÄSTERÅS</t>
        </is>
      </c>
      <c r="G925" t="n">
        <v>2.2</v>
      </c>
      <c r="H925" t="n">
        <v>0</v>
      </c>
      <c r="I925" t="n">
        <v>0</v>
      </c>
      <c r="J925" t="n">
        <v>0</v>
      </c>
      <c r="K925" t="n">
        <v>0</v>
      </c>
      <c r="L925" t="n">
        <v>0</v>
      </c>
      <c r="M925" t="n">
        <v>0</v>
      </c>
      <c r="N925" t="n">
        <v>0</v>
      </c>
      <c r="O925" t="n">
        <v>0</v>
      </c>
      <c r="P925" t="n">
        <v>0</v>
      </c>
      <c r="Q925" t="n">
        <v>0</v>
      </c>
      <c r="R925" s="2" t="inlineStr"/>
    </row>
    <row r="926" ht="15" customHeight="1">
      <c r="A926" t="inlineStr">
        <is>
          <t>A 6664-2020</t>
        </is>
      </c>
      <c r="B926" s="1" t="n">
        <v>43867</v>
      </c>
      <c r="C926" s="1" t="n">
        <v>45757</v>
      </c>
      <c r="D926" t="inlineStr">
        <is>
          <t>VÄSTMANLANDS LÄN</t>
        </is>
      </c>
      <c r="E926" t="inlineStr">
        <is>
          <t>VÄSTERÅS</t>
        </is>
      </c>
      <c r="G926" t="n">
        <v>2.7</v>
      </c>
      <c r="H926" t="n">
        <v>0</v>
      </c>
      <c r="I926" t="n">
        <v>0</v>
      </c>
      <c r="J926" t="n">
        <v>0</v>
      </c>
      <c r="K926" t="n">
        <v>0</v>
      </c>
      <c r="L926" t="n">
        <v>0</v>
      </c>
      <c r="M926" t="n">
        <v>0</v>
      </c>
      <c r="N926" t="n">
        <v>0</v>
      </c>
      <c r="O926" t="n">
        <v>0</v>
      </c>
      <c r="P926" t="n">
        <v>0</v>
      </c>
      <c r="Q926" t="n">
        <v>0</v>
      </c>
      <c r="R926" s="2" t="inlineStr"/>
    </row>
    <row r="927" ht="15" customHeight="1">
      <c r="A927" t="inlineStr">
        <is>
          <t>A 6750-2020</t>
        </is>
      </c>
      <c r="B927" s="1" t="n">
        <v>43867</v>
      </c>
      <c r="C927" s="1" t="n">
        <v>45757</v>
      </c>
      <c r="D927" t="inlineStr">
        <is>
          <t>VÄSTMANLANDS LÄN</t>
        </is>
      </c>
      <c r="E927" t="inlineStr">
        <is>
          <t>VÄSTERÅS</t>
        </is>
      </c>
      <c r="F927" t="inlineStr">
        <is>
          <t>Kommuner</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6813-2020</t>
        </is>
      </c>
      <c r="B928" s="1" t="n">
        <v>43868</v>
      </c>
      <c r="C928" s="1" t="n">
        <v>45757</v>
      </c>
      <c r="D928" t="inlineStr">
        <is>
          <t>VÄSTMANLANDS LÄN</t>
        </is>
      </c>
      <c r="E928" t="inlineStr">
        <is>
          <t>HALLSTAHAMMAR</t>
        </is>
      </c>
      <c r="F928" t="inlineStr">
        <is>
          <t>Kyrkan</t>
        </is>
      </c>
      <c r="G928" t="n">
        <v>0.5</v>
      </c>
      <c r="H928" t="n">
        <v>0</v>
      </c>
      <c r="I928" t="n">
        <v>0</v>
      </c>
      <c r="J928" t="n">
        <v>0</v>
      </c>
      <c r="K928" t="n">
        <v>0</v>
      </c>
      <c r="L928" t="n">
        <v>0</v>
      </c>
      <c r="M928" t="n">
        <v>0</v>
      </c>
      <c r="N928" t="n">
        <v>0</v>
      </c>
      <c r="O928" t="n">
        <v>0</v>
      </c>
      <c r="P928" t="n">
        <v>0</v>
      </c>
      <c r="Q928" t="n">
        <v>0</v>
      </c>
      <c r="R928" s="2" t="inlineStr"/>
    </row>
    <row r="929" ht="15" customHeight="1">
      <c r="A929" t="inlineStr">
        <is>
          <t>A 6986-2020</t>
        </is>
      </c>
      <c r="B929" s="1" t="n">
        <v>43868</v>
      </c>
      <c r="C929" s="1" t="n">
        <v>45757</v>
      </c>
      <c r="D929" t="inlineStr">
        <is>
          <t>VÄSTMANLANDS LÄN</t>
        </is>
      </c>
      <c r="E929" t="inlineStr">
        <is>
          <t>ARBOGA</t>
        </is>
      </c>
      <c r="G929" t="n">
        <v>1.1</v>
      </c>
      <c r="H929" t="n">
        <v>0</v>
      </c>
      <c r="I929" t="n">
        <v>0</v>
      </c>
      <c r="J929" t="n">
        <v>0</v>
      </c>
      <c r="K929" t="n">
        <v>0</v>
      </c>
      <c r="L929" t="n">
        <v>0</v>
      </c>
      <c r="M929" t="n">
        <v>0</v>
      </c>
      <c r="N929" t="n">
        <v>0</v>
      </c>
      <c r="O929" t="n">
        <v>0</v>
      </c>
      <c r="P929" t="n">
        <v>0</v>
      </c>
      <c r="Q929" t="n">
        <v>0</v>
      </c>
      <c r="R929" s="2" t="inlineStr"/>
    </row>
    <row r="930" ht="15" customHeight="1">
      <c r="A930" t="inlineStr">
        <is>
          <t>A 7129-2020</t>
        </is>
      </c>
      <c r="B930" s="1" t="n">
        <v>43868</v>
      </c>
      <c r="C930" s="1" t="n">
        <v>45757</v>
      </c>
      <c r="D930" t="inlineStr">
        <is>
          <t>VÄSTMANLANDS LÄN</t>
        </is>
      </c>
      <c r="E930" t="inlineStr">
        <is>
          <t>ARBOGA</t>
        </is>
      </c>
      <c r="G930" t="n">
        <v>7.8</v>
      </c>
      <c r="H930" t="n">
        <v>0</v>
      </c>
      <c r="I930" t="n">
        <v>0</v>
      </c>
      <c r="J930" t="n">
        <v>0</v>
      </c>
      <c r="K930" t="n">
        <v>0</v>
      </c>
      <c r="L930" t="n">
        <v>0</v>
      </c>
      <c r="M930" t="n">
        <v>0</v>
      </c>
      <c r="N930" t="n">
        <v>0</v>
      </c>
      <c r="O930" t="n">
        <v>0</v>
      </c>
      <c r="P930" t="n">
        <v>0</v>
      </c>
      <c r="Q930" t="n">
        <v>0</v>
      </c>
      <c r="R930" s="2" t="inlineStr"/>
    </row>
    <row r="931" ht="15" customHeight="1">
      <c r="A931" t="inlineStr">
        <is>
          <t>A 7190-2020</t>
        </is>
      </c>
      <c r="B931" s="1" t="n">
        <v>43868</v>
      </c>
      <c r="C931" s="1" t="n">
        <v>45757</v>
      </c>
      <c r="D931" t="inlineStr">
        <is>
          <t>VÄSTMANLANDS LÄN</t>
        </is>
      </c>
      <c r="E931" t="inlineStr">
        <is>
          <t>SALA</t>
        </is>
      </c>
      <c r="G931" t="n">
        <v>4.5</v>
      </c>
      <c r="H931" t="n">
        <v>0</v>
      </c>
      <c r="I931" t="n">
        <v>0</v>
      </c>
      <c r="J931" t="n">
        <v>0</v>
      </c>
      <c r="K931" t="n">
        <v>0</v>
      </c>
      <c r="L931" t="n">
        <v>0</v>
      </c>
      <c r="M931" t="n">
        <v>0</v>
      </c>
      <c r="N931" t="n">
        <v>0</v>
      </c>
      <c r="O931" t="n">
        <v>0</v>
      </c>
      <c r="P931" t="n">
        <v>0</v>
      </c>
      <c r="Q931" t="n">
        <v>0</v>
      </c>
      <c r="R931" s="2" t="inlineStr"/>
    </row>
    <row r="932" ht="15" customHeight="1">
      <c r="A932" t="inlineStr">
        <is>
          <t>A 6979-2020</t>
        </is>
      </c>
      <c r="B932" s="1" t="n">
        <v>43868</v>
      </c>
      <c r="C932" s="1" t="n">
        <v>45757</v>
      </c>
      <c r="D932" t="inlineStr">
        <is>
          <t>VÄSTMANLANDS LÄN</t>
        </is>
      </c>
      <c r="E932" t="inlineStr">
        <is>
          <t>KUNGSÖR</t>
        </is>
      </c>
      <c r="G932" t="n">
        <v>4.6</v>
      </c>
      <c r="H932" t="n">
        <v>0</v>
      </c>
      <c r="I932" t="n">
        <v>0</v>
      </c>
      <c r="J932" t="n">
        <v>0</v>
      </c>
      <c r="K932" t="n">
        <v>0</v>
      </c>
      <c r="L932" t="n">
        <v>0</v>
      </c>
      <c r="M932" t="n">
        <v>0</v>
      </c>
      <c r="N932" t="n">
        <v>0</v>
      </c>
      <c r="O932" t="n">
        <v>0</v>
      </c>
      <c r="P932" t="n">
        <v>0</v>
      </c>
      <c r="Q932" t="n">
        <v>0</v>
      </c>
      <c r="R932" s="2" t="inlineStr"/>
    </row>
    <row r="933" ht="15" customHeight="1">
      <c r="A933" t="inlineStr">
        <is>
          <t>A 6988-2020</t>
        </is>
      </c>
      <c r="B933" s="1" t="n">
        <v>43868</v>
      </c>
      <c r="C933" s="1" t="n">
        <v>45757</v>
      </c>
      <c r="D933" t="inlineStr">
        <is>
          <t>VÄSTMANLANDS LÄN</t>
        </is>
      </c>
      <c r="E933" t="inlineStr">
        <is>
          <t>ARBOGA</t>
        </is>
      </c>
      <c r="G933" t="n">
        <v>1.5</v>
      </c>
      <c r="H933" t="n">
        <v>0</v>
      </c>
      <c r="I933" t="n">
        <v>0</v>
      </c>
      <c r="J933" t="n">
        <v>0</v>
      </c>
      <c r="K933" t="n">
        <v>0</v>
      </c>
      <c r="L933" t="n">
        <v>0</v>
      </c>
      <c r="M933" t="n">
        <v>0</v>
      </c>
      <c r="N933" t="n">
        <v>0</v>
      </c>
      <c r="O933" t="n">
        <v>0</v>
      </c>
      <c r="P933" t="n">
        <v>0</v>
      </c>
      <c r="Q933" t="n">
        <v>0</v>
      </c>
      <c r="R933" s="2" t="inlineStr"/>
    </row>
    <row r="934" ht="15" customHeight="1">
      <c r="A934" t="inlineStr">
        <is>
          <t>A 6987-2020</t>
        </is>
      </c>
      <c r="B934" s="1" t="n">
        <v>43868</v>
      </c>
      <c r="C934" s="1" t="n">
        <v>45757</v>
      </c>
      <c r="D934" t="inlineStr">
        <is>
          <t>VÄSTMANLANDS LÄN</t>
        </is>
      </c>
      <c r="E934" t="inlineStr">
        <is>
          <t>ARBOGA</t>
        </is>
      </c>
      <c r="G934" t="n">
        <v>0.8</v>
      </c>
      <c r="H934" t="n">
        <v>0</v>
      </c>
      <c r="I934" t="n">
        <v>0</v>
      </c>
      <c r="J934" t="n">
        <v>0</v>
      </c>
      <c r="K934" t="n">
        <v>0</v>
      </c>
      <c r="L934" t="n">
        <v>0</v>
      </c>
      <c r="M934" t="n">
        <v>0</v>
      </c>
      <c r="N934" t="n">
        <v>0</v>
      </c>
      <c r="O934" t="n">
        <v>0</v>
      </c>
      <c r="P934" t="n">
        <v>0</v>
      </c>
      <c r="Q934" t="n">
        <v>0</v>
      </c>
      <c r="R934" s="2" t="inlineStr"/>
    </row>
    <row r="935" ht="15" customHeight="1">
      <c r="A935" t="inlineStr">
        <is>
          <t>A 7125-2020</t>
        </is>
      </c>
      <c r="B935" s="1" t="n">
        <v>43868</v>
      </c>
      <c r="C935" s="1" t="n">
        <v>45757</v>
      </c>
      <c r="D935" t="inlineStr">
        <is>
          <t>VÄSTMANLANDS LÄN</t>
        </is>
      </c>
      <c r="E935" t="inlineStr">
        <is>
          <t>ARBOGA</t>
        </is>
      </c>
      <c r="G935" t="n">
        <v>1.1</v>
      </c>
      <c r="H935" t="n">
        <v>0</v>
      </c>
      <c r="I935" t="n">
        <v>0</v>
      </c>
      <c r="J935" t="n">
        <v>0</v>
      </c>
      <c r="K935" t="n">
        <v>0</v>
      </c>
      <c r="L935" t="n">
        <v>0</v>
      </c>
      <c r="M935" t="n">
        <v>0</v>
      </c>
      <c r="N935" t="n">
        <v>0</v>
      </c>
      <c r="O935" t="n">
        <v>0</v>
      </c>
      <c r="P935" t="n">
        <v>0</v>
      </c>
      <c r="Q935" t="n">
        <v>0</v>
      </c>
      <c r="R935" s="2" t="inlineStr"/>
    </row>
    <row r="936" ht="15" customHeight="1">
      <c r="A936" t="inlineStr">
        <is>
          <t>A 7143-2020</t>
        </is>
      </c>
      <c r="B936" s="1" t="n">
        <v>43869</v>
      </c>
      <c r="C936" s="1" t="n">
        <v>45757</v>
      </c>
      <c r="D936" t="inlineStr">
        <is>
          <t>VÄSTMANLANDS LÄN</t>
        </is>
      </c>
      <c r="E936" t="inlineStr">
        <is>
          <t>KUNGSÖR</t>
        </is>
      </c>
      <c r="G936" t="n">
        <v>4.2</v>
      </c>
      <c r="H936" t="n">
        <v>0</v>
      </c>
      <c r="I936" t="n">
        <v>0</v>
      </c>
      <c r="J936" t="n">
        <v>0</v>
      </c>
      <c r="K936" t="n">
        <v>0</v>
      </c>
      <c r="L936" t="n">
        <v>0</v>
      </c>
      <c r="M936" t="n">
        <v>0</v>
      </c>
      <c r="N936" t="n">
        <v>0</v>
      </c>
      <c r="O936" t="n">
        <v>0</v>
      </c>
      <c r="P936" t="n">
        <v>0</v>
      </c>
      <c r="Q936" t="n">
        <v>0</v>
      </c>
      <c r="R936" s="2" t="inlineStr"/>
    </row>
    <row r="937" ht="15" customHeight="1">
      <c r="A937" t="inlineStr">
        <is>
          <t>A 7139-2020</t>
        </is>
      </c>
      <c r="B937" s="1" t="n">
        <v>43869</v>
      </c>
      <c r="C937" s="1" t="n">
        <v>45757</v>
      </c>
      <c r="D937" t="inlineStr">
        <is>
          <t>VÄSTMANLANDS LÄN</t>
        </is>
      </c>
      <c r="E937" t="inlineStr">
        <is>
          <t>VÄSTERÅS</t>
        </is>
      </c>
      <c r="G937" t="n">
        <v>1.7</v>
      </c>
      <c r="H937" t="n">
        <v>0</v>
      </c>
      <c r="I937" t="n">
        <v>0</v>
      </c>
      <c r="J937" t="n">
        <v>0</v>
      </c>
      <c r="K937" t="n">
        <v>0</v>
      </c>
      <c r="L937" t="n">
        <v>0</v>
      </c>
      <c r="M937" t="n">
        <v>0</v>
      </c>
      <c r="N937" t="n">
        <v>0</v>
      </c>
      <c r="O937" t="n">
        <v>0</v>
      </c>
      <c r="P937" t="n">
        <v>0</v>
      </c>
      <c r="Q937" t="n">
        <v>0</v>
      </c>
      <c r="R937" s="2" t="inlineStr"/>
    </row>
    <row r="938" ht="15" customHeight="1">
      <c r="A938" t="inlineStr">
        <is>
          <t>A 7144-2020</t>
        </is>
      </c>
      <c r="B938" s="1" t="n">
        <v>43869</v>
      </c>
      <c r="C938" s="1" t="n">
        <v>45757</v>
      </c>
      <c r="D938" t="inlineStr">
        <is>
          <t>VÄSTMANLANDS LÄN</t>
        </is>
      </c>
      <c r="E938" t="inlineStr">
        <is>
          <t>ARBOGA</t>
        </is>
      </c>
      <c r="G938" t="n">
        <v>7.5</v>
      </c>
      <c r="H938" t="n">
        <v>0</v>
      </c>
      <c r="I938" t="n">
        <v>0</v>
      </c>
      <c r="J938" t="n">
        <v>0</v>
      </c>
      <c r="K938" t="n">
        <v>0</v>
      </c>
      <c r="L938" t="n">
        <v>0</v>
      </c>
      <c r="M938" t="n">
        <v>0</v>
      </c>
      <c r="N938" t="n">
        <v>0</v>
      </c>
      <c r="O938" t="n">
        <v>0</v>
      </c>
      <c r="P938" t="n">
        <v>0</v>
      </c>
      <c r="Q938" t="n">
        <v>0</v>
      </c>
      <c r="R938" s="2" t="inlineStr"/>
    </row>
    <row r="939" ht="15" customHeight="1">
      <c r="A939" t="inlineStr">
        <is>
          <t>A 7260-2020</t>
        </is>
      </c>
      <c r="B939" s="1" t="n">
        <v>43871</v>
      </c>
      <c r="C939" s="1" t="n">
        <v>45757</v>
      </c>
      <c r="D939" t="inlineStr">
        <is>
          <t>VÄSTMANLANDS LÄN</t>
        </is>
      </c>
      <c r="E939" t="inlineStr">
        <is>
          <t>KUNGSÖR</t>
        </is>
      </c>
      <c r="F939" t="inlineStr">
        <is>
          <t>Allmännings- och besparingsskogar</t>
        </is>
      </c>
      <c r="G939" t="n">
        <v>3.1</v>
      </c>
      <c r="H939" t="n">
        <v>0</v>
      </c>
      <c r="I939" t="n">
        <v>0</v>
      </c>
      <c r="J939" t="n">
        <v>0</v>
      </c>
      <c r="K939" t="n">
        <v>0</v>
      </c>
      <c r="L939" t="n">
        <v>0</v>
      </c>
      <c r="M939" t="n">
        <v>0</v>
      </c>
      <c r="N939" t="n">
        <v>0</v>
      </c>
      <c r="O939" t="n">
        <v>0</v>
      </c>
      <c r="P939" t="n">
        <v>0</v>
      </c>
      <c r="Q939" t="n">
        <v>0</v>
      </c>
      <c r="R939" s="2" t="inlineStr"/>
    </row>
    <row r="940" ht="15" customHeight="1">
      <c r="A940" t="inlineStr">
        <is>
          <t>A 7294-2020</t>
        </is>
      </c>
      <c r="B940" s="1" t="n">
        <v>43871</v>
      </c>
      <c r="C940" s="1" t="n">
        <v>45757</v>
      </c>
      <c r="D940" t="inlineStr">
        <is>
          <t>VÄSTMANLANDS LÄN</t>
        </is>
      </c>
      <c r="E940" t="inlineStr">
        <is>
          <t>KÖPING</t>
        </is>
      </c>
      <c r="F940" t="inlineStr">
        <is>
          <t>Allmännings- och besparingsskogar</t>
        </is>
      </c>
      <c r="G940" t="n">
        <v>31.2</v>
      </c>
      <c r="H940" t="n">
        <v>0</v>
      </c>
      <c r="I940" t="n">
        <v>0</v>
      </c>
      <c r="J940" t="n">
        <v>0</v>
      </c>
      <c r="K940" t="n">
        <v>0</v>
      </c>
      <c r="L940" t="n">
        <v>0</v>
      </c>
      <c r="M940" t="n">
        <v>0</v>
      </c>
      <c r="N940" t="n">
        <v>0</v>
      </c>
      <c r="O940" t="n">
        <v>0</v>
      </c>
      <c r="P940" t="n">
        <v>0</v>
      </c>
      <c r="Q940" t="n">
        <v>0</v>
      </c>
      <c r="R940" s="2" t="inlineStr"/>
    </row>
    <row r="941" ht="15" customHeight="1">
      <c r="A941" t="inlineStr">
        <is>
          <t>A 7269-2020</t>
        </is>
      </c>
      <c r="B941" s="1" t="n">
        <v>43871</v>
      </c>
      <c r="C941" s="1" t="n">
        <v>45757</v>
      </c>
      <c r="D941" t="inlineStr">
        <is>
          <t>VÄSTMANLANDS LÄN</t>
        </is>
      </c>
      <c r="E941" t="inlineStr">
        <is>
          <t>SKINNSKATTEBERG</t>
        </is>
      </c>
      <c r="G941" t="n">
        <v>2.5</v>
      </c>
      <c r="H941" t="n">
        <v>0</v>
      </c>
      <c r="I941" t="n">
        <v>0</v>
      </c>
      <c r="J941" t="n">
        <v>0</v>
      </c>
      <c r="K941" t="n">
        <v>0</v>
      </c>
      <c r="L941" t="n">
        <v>0</v>
      </c>
      <c r="M941" t="n">
        <v>0</v>
      </c>
      <c r="N941" t="n">
        <v>0</v>
      </c>
      <c r="O941" t="n">
        <v>0</v>
      </c>
      <c r="P941" t="n">
        <v>0</v>
      </c>
      <c r="Q941" t="n">
        <v>0</v>
      </c>
      <c r="R941" s="2" t="inlineStr"/>
    </row>
    <row r="942" ht="15" customHeight="1">
      <c r="A942" t="inlineStr">
        <is>
          <t>A 7310-2020</t>
        </is>
      </c>
      <c r="B942" s="1" t="n">
        <v>43871</v>
      </c>
      <c r="C942" s="1" t="n">
        <v>45757</v>
      </c>
      <c r="D942" t="inlineStr">
        <is>
          <t>VÄSTMANLANDS LÄN</t>
        </is>
      </c>
      <c r="E942" t="inlineStr">
        <is>
          <t>KUNGSÖR</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7298-2020</t>
        </is>
      </c>
      <c r="B943" s="1" t="n">
        <v>43871</v>
      </c>
      <c r="C943" s="1" t="n">
        <v>45757</v>
      </c>
      <c r="D943" t="inlineStr">
        <is>
          <t>VÄSTMANLANDS LÄN</t>
        </is>
      </c>
      <c r="E943" t="inlineStr">
        <is>
          <t>ARBOGA</t>
        </is>
      </c>
      <c r="F943" t="inlineStr">
        <is>
          <t>Allmännings- och besparingsskogar</t>
        </is>
      </c>
      <c r="G943" t="n">
        <v>16.9</v>
      </c>
      <c r="H943" t="n">
        <v>0</v>
      </c>
      <c r="I943" t="n">
        <v>0</v>
      </c>
      <c r="J943" t="n">
        <v>0</v>
      </c>
      <c r="K943" t="n">
        <v>0</v>
      </c>
      <c r="L943" t="n">
        <v>0</v>
      </c>
      <c r="M943" t="n">
        <v>0</v>
      </c>
      <c r="N943" t="n">
        <v>0</v>
      </c>
      <c r="O943" t="n">
        <v>0</v>
      </c>
      <c r="P943" t="n">
        <v>0</v>
      </c>
      <c r="Q943" t="n">
        <v>0</v>
      </c>
      <c r="R943" s="2" t="inlineStr"/>
    </row>
    <row r="944" ht="15" customHeight="1">
      <c r="A944" t="inlineStr">
        <is>
          <t>A 7250-2020</t>
        </is>
      </c>
      <c r="B944" s="1" t="n">
        <v>43871</v>
      </c>
      <c r="C944" s="1" t="n">
        <v>45757</v>
      </c>
      <c r="D944" t="inlineStr">
        <is>
          <t>VÄSTMANLANDS LÄN</t>
        </is>
      </c>
      <c r="E944" t="inlineStr">
        <is>
          <t>HALLSTAHAMMAR</t>
        </is>
      </c>
      <c r="G944" t="n">
        <v>1</v>
      </c>
      <c r="H944" t="n">
        <v>0</v>
      </c>
      <c r="I944" t="n">
        <v>0</v>
      </c>
      <c r="J944" t="n">
        <v>0</v>
      </c>
      <c r="K944" t="n">
        <v>0</v>
      </c>
      <c r="L944" t="n">
        <v>0</v>
      </c>
      <c r="M944" t="n">
        <v>0</v>
      </c>
      <c r="N944" t="n">
        <v>0</v>
      </c>
      <c r="O944" t="n">
        <v>0</v>
      </c>
      <c r="P944" t="n">
        <v>0</v>
      </c>
      <c r="Q944" t="n">
        <v>0</v>
      </c>
      <c r="R944" s="2" t="inlineStr"/>
    </row>
    <row r="945" ht="15" customHeight="1">
      <c r="A945" t="inlineStr">
        <is>
          <t>A 7612-2020</t>
        </is>
      </c>
      <c r="B945" s="1" t="n">
        <v>43872</v>
      </c>
      <c r="C945" s="1" t="n">
        <v>45757</v>
      </c>
      <c r="D945" t="inlineStr">
        <is>
          <t>VÄSTMANLANDS LÄN</t>
        </is>
      </c>
      <c r="E945" t="inlineStr">
        <is>
          <t>ARBOGA</t>
        </is>
      </c>
      <c r="G945" t="n">
        <v>2.4</v>
      </c>
      <c r="H945" t="n">
        <v>0</v>
      </c>
      <c r="I945" t="n">
        <v>0</v>
      </c>
      <c r="J945" t="n">
        <v>0</v>
      </c>
      <c r="K945" t="n">
        <v>0</v>
      </c>
      <c r="L945" t="n">
        <v>0</v>
      </c>
      <c r="M945" t="n">
        <v>0</v>
      </c>
      <c r="N945" t="n">
        <v>0</v>
      </c>
      <c r="O945" t="n">
        <v>0</v>
      </c>
      <c r="P945" t="n">
        <v>0</v>
      </c>
      <c r="Q945" t="n">
        <v>0</v>
      </c>
      <c r="R945" s="2" t="inlineStr"/>
    </row>
    <row r="946" ht="15" customHeight="1">
      <c r="A946" t="inlineStr">
        <is>
          <t>A 7735-2020</t>
        </is>
      </c>
      <c r="B946" s="1" t="n">
        <v>43872</v>
      </c>
      <c r="C946" s="1" t="n">
        <v>45757</v>
      </c>
      <c r="D946" t="inlineStr">
        <is>
          <t>VÄSTMANLANDS LÄN</t>
        </is>
      </c>
      <c r="E946" t="inlineStr">
        <is>
          <t>NORBERG</t>
        </is>
      </c>
      <c r="G946" t="n">
        <v>1.4</v>
      </c>
      <c r="H946" t="n">
        <v>0</v>
      </c>
      <c r="I946" t="n">
        <v>0</v>
      </c>
      <c r="J946" t="n">
        <v>0</v>
      </c>
      <c r="K946" t="n">
        <v>0</v>
      </c>
      <c r="L946" t="n">
        <v>0</v>
      </c>
      <c r="M946" t="n">
        <v>0</v>
      </c>
      <c r="N946" t="n">
        <v>0</v>
      </c>
      <c r="O946" t="n">
        <v>0</v>
      </c>
      <c r="P946" t="n">
        <v>0</v>
      </c>
      <c r="Q946" t="n">
        <v>0</v>
      </c>
      <c r="R946" s="2" t="inlineStr"/>
    </row>
    <row r="947" ht="15" customHeight="1">
      <c r="A947" t="inlineStr">
        <is>
          <t>A 8007-2020</t>
        </is>
      </c>
      <c r="B947" s="1" t="n">
        <v>43873</v>
      </c>
      <c r="C947" s="1" t="n">
        <v>45757</v>
      </c>
      <c r="D947" t="inlineStr">
        <is>
          <t>VÄSTMANLANDS LÄN</t>
        </is>
      </c>
      <c r="E947" t="inlineStr">
        <is>
          <t>HALLSTAHAMMAR</t>
        </is>
      </c>
      <c r="G947" t="n">
        <v>1.6</v>
      </c>
      <c r="H947" t="n">
        <v>0</v>
      </c>
      <c r="I947" t="n">
        <v>0</v>
      </c>
      <c r="J947" t="n">
        <v>0</v>
      </c>
      <c r="K947" t="n">
        <v>0</v>
      </c>
      <c r="L947" t="n">
        <v>0</v>
      </c>
      <c r="M947" t="n">
        <v>0</v>
      </c>
      <c r="N947" t="n">
        <v>0</v>
      </c>
      <c r="O947" t="n">
        <v>0</v>
      </c>
      <c r="P947" t="n">
        <v>0</v>
      </c>
      <c r="Q947" t="n">
        <v>0</v>
      </c>
      <c r="R947" s="2" t="inlineStr"/>
    </row>
    <row r="948" ht="15" customHeight="1">
      <c r="A948" t="inlineStr">
        <is>
          <t>A 8012-2020</t>
        </is>
      </c>
      <c r="B948" s="1" t="n">
        <v>43873</v>
      </c>
      <c r="C948" s="1" t="n">
        <v>45757</v>
      </c>
      <c r="D948" t="inlineStr">
        <is>
          <t>VÄSTMANLANDS LÄN</t>
        </is>
      </c>
      <c r="E948" t="inlineStr">
        <is>
          <t>HALLSTAHAMMAR</t>
        </is>
      </c>
      <c r="G948" t="n">
        <v>8.9</v>
      </c>
      <c r="H948" t="n">
        <v>0</v>
      </c>
      <c r="I948" t="n">
        <v>0</v>
      </c>
      <c r="J948" t="n">
        <v>0</v>
      </c>
      <c r="K948" t="n">
        <v>0</v>
      </c>
      <c r="L948" t="n">
        <v>0</v>
      </c>
      <c r="M948" t="n">
        <v>0</v>
      </c>
      <c r="N948" t="n">
        <v>0</v>
      </c>
      <c r="O948" t="n">
        <v>0</v>
      </c>
      <c r="P948" t="n">
        <v>0</v>
      </c>
      <c r="Q948" t="n">
        <v>0</v>
      </c>
      <c r="R948" s="2" t="inlineStr"/>
    </row>
    <row r="949" ht="15" customHeight="1">
      <c r="A949" t="inlineStr">
        <is>
          <t>A 7797-2020</t>
        </is>
      </c>
      <c r="B949" s="1" t="n">
        <v>43873</v>
      </c>
      <c r="C949" s="1" t="n">
        <v>45757</v>
      </c>
      <c r="D949" t="inlineStr">
        <is>
          <t>VÄSTMANLANDS LÄN</t>
        </is>
      </c>
      <c r="E949" t="inlineStr">
        <is>
          <t>SKINNSKATTEBERG</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8147-2020</t>
        </is>
      </c>
      <c r="B950" s="1" t="n">
        <v>43874</v>
      </c>
      <c r="C950" s="1" t="n">
        <v>45757</v>
      </c>
      <c r="D950" t="inlineStr">
        <is>
          <t>VÄSTMANLANDS LÄN</t>
        </is>
      </c>
      <c r="E950" t="inlineStr">
        <is>
          <t>KUNGSÖR</t>
        </is>
      </c>
      <c r="G950" t="n">
        <v>4</v>
      </c>
      <c r="H950" t="n">
        <v>0</v>
      </c>
      <c r="I950" t="n">
        <v>0</v>
      </c>
      <c r="J950" t="n">
        <v>0</v>
      </c>
      <c r="K950" t="n">
        <v>0</v>
      </c>
      <c r="L950" t="n">
        <v>0</v>
      </c>
      <c r="M950" t="n">
        <v>0</v>
      </c>
      <c r="N950" t="n">
        <v>0</v>
      </c>
      <c r="O950" t="n">
        <v>0</v>
      </c>
      <c r="P950" t="n">
        <v>0</v>
      </c>
      <c r="Q950" t="n">
        <v>0</v>
      </c>
      <c r="R950" s="2" t="inlineStr"/>
    </row>
    <row r="951" ht="15" customHeight="1">
      <c r="A951" t="inlineStr">
        <is>
          <t>A 8145-2020</t>
        </is>
      </c>
      <c r="B951" s="1" t="n">
        <v>43874</v>
      </c>
      <c r="C951" s="1" t="n">
        <v>45757</v>
      </c>
      <c r="D951" t="inlineStr">
        <is>
          <t>VÄSTMANLANDS LÄN</t>
        </is>
      </c>
      <c r="E951" t="inlineStr">
        <is>
          <t>KUNGSÖR</t>
        </is>
      </c>
      <c r="G951" t="n">
        <v>3.7</v>
      </c>
      <c r="H951" t="n">
        <v>0</v>
      </c>
      <c r="I951" t="n">
        <v>0</v>
      </c>
      <c r="J951" t="n">
        <v>0</v>
      </c>
      <c r="K951" t="n">
        <v>0</v>
      </c>
      <c r="L951" t="n">
        <v>0</v>
      </c>
      <c r="M951" t="n">
        <v>0</v>
      </c>
      <c r="N951" t="n">
        <v>0</v>
      </c>
      <c r="O951" t="n">
        <v>0</v>
      </c>
      <c r="P951" t="n">
        <v>0</v>
      </c>
      <c r="Q951" t="n">
        <v>0</v>
      </c>
      <c r="R951" s="2" t="inlineStr"/>
    </row>
    <row r="952" ht="15" customHeight="1">
      <c r="A952" t="inlineStr">
        <is>
          <t>A 8174-2020</t>
        </is>
      </c>
      <c r="B952" s="1" t="n">
        <v>43874</v>
      </c>
      <c r="C952" s="1" t="n">
        <v>45757</v>
      </c>
      <c r="D952" t="inlineStr">
        <is>
          <t>VÄSTMANLANDS LÄN</t>
        </is>
      </c>
      <c r="E952" t="inlineStr">
        <is>
          <t>HALLSTAHAMMAR</t>
        </is>
      </c>
      <c r="G952" t="n">
        <v>0.7</v>
      </c>
      <c r="H952" t="n">
        <v>0</v>
      </c>
      <c r="I952" t="n">
        <v>0</v>
      </c>
      <c r="J952" t="n">
        <v>0</v>
      </c>
      <c r="K952" t="n">
        <v>0</v>
      </c>
      <c r="L952" t="n">
        <v>0</v>
      </c>
      <c r="M952" t="n">
        <v>0</v>
      </c>
      <c r="N952" t="n">
        <v>0</v>
      </c>
      <c r="O952" t="n">
        <v>0</v>
      </c>
      <c r="P952" t="n">
        <v>0</v>
      </c>
      <c r="Q952" t="n">
        <v>0</v>
      </c>
      <c r="R952" s="2" t="inlineStr"/>
    </row>
    <row r="953" ht="15" customHeight="1">
      <c r="A953" t="inlineStr">
        <is>
          <t>A 8112-2020</t>
        </is>
      </c>
      <c r="B953" s="1" t="n">
        <v>43874</v>
      </c>
      <c r="C953" s="1" t="n">
        <v>45757</v>
      </c>
      <c r="D953" t="inlineStr">
        <is>
          <t>VÄSTMANLANDS LÄN</t>
        </is>
      </c>
      <c r="E953" t="inlineStr">
        <is>
          <t>FAGERSTA</t>
        </is>
      </c>
      <c r="G953" t="n">
        <v>12.5</v>
      </c>
      <c r="H953" t="n">
        <v>0</v>
      </c>
      <c r="I953" t="n">
        <v>0</v>
      </c>
      <c r="J953" t="n">
        <v>0</v>
      </c>
      <c r="K953" t="n">
        <v>0</v>
      </c>
      <c r="L953" t="n">
        <v>0</v>
      </c>
      <c r="M953" t="n">
        <v>0</v>
      </c>
      <c r="N953" t="n">
        <v>0</v>
      </c>
      <c r="O953" t="n">
        <v>0</v>
      </c>
      <c r="P953" t="n">
        <v>0</v>
      </c>
      <c r="Q953" t="n">
        <v>0</v>
      </c>
      <c r="R953" s="2" t="inlineStr"/>
    </row>
    <row r="954" ht="15" customHeight="1">
      <c r="A954" t="inlineStr">
        <is>
          <t>A 8462-2020</t>
        </is>
      </c>
      <c r="B954" s="1" t="n">
        <v>43875</v>
      </c>
      <c r="C954" s="1" t="n">
        <v>45757</v>
      </c>
      <c r="D954" t="inlineStr">
        <is>
          <t>VÄSTMANLANDS LÄN</t>
        </is>
      </c>
      <c r="E954" t="inlineStr">
        <is>
          <t>HALLSTAHAMMAR</t>
        </is>
      </c>
      <c r="G954" t="n">
        <v>1.2</v>
      </c>
      <c r="H954" t="n">
        <v>0</v>
      </c>
      <c r="I954" t="n">
        <v>0</v>
      </c>
      <c r="J954" t="n">
        <v>0</v>
      </c>
      <c r="K954" t="n">
        <v>0</v>
      </c>
      <c r="L954" t="n">
        <v>0</v>
      </c>
      <c r="M954" t="n">
        <v>0</v>
      </c>
      <c r="N954" t="n">
        <v>0</v>
      </c>
      <c r="O954" t="n">
        <v>0</v>
      </c>
      <c r="P954" t="n">
        <v>0</v>
      </c>
      <c r="Q954" t="n">
        <v>0</v>
      </c>
      <c r="R954" s="2" t="inlineStr"/>
    </row>
    <row r="955" ht="15" customHeight="1">
      <c r="A955" t="inlineStr">
        <is>
          <t>A 8497-2020</t>
        </is>
      </c>
      <c r="B955" s="1" t="n">
        <v>43875</v>
      </c>
      <c r="C955" s="1" t="n">
        <v>45757</v>
      </c>
      <c r="D955" t="inlineStr">
        <is>
          <t>VÄSTMANLANDS LÄN</t>
        </is>
      </c>
      <c r="E955" t="inlineStr">
        <is>
          <t>ARBOGA</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8644-2020</t>
        </is>
      </c>
      <c r="B956" s="1" t="n">
        <v>43878</v>
      </c>
      <c r="C956" s="1" t="n">
        <v>45757</v>
      </c>
      <c r="D956" t="inlineStr">
        <is>
          <t>VÄSTMANLANDS LÄN</t>
        </is>
      </c>
      <c r="E956" t="inlineStr">
        <is>
          <t>VÄSTERÅS</t>
        </is>
      </c>
      <c r="G956" t="n">
        <v>0.8</v>
      </c>
      <c r="H956" t="n">
        <v>0</v>
      </c>
      <c r="I956" t="n">
        <v>0</v>
      </c>
      <c r="J956" t="n">
        <v>0</v>
      </c>
      <c r="K956" t="n">
        <v>0</v>
      </c>
      <c r="L956" t="n">
        <v>0</v>
      </c>
      <c r="M956" t="n">
        <v>0</v>
      </c>
      <c r="N956" t="n">
        <v>0</v>
      </c>
      <c r="O956" t="n">
        <v>0</v>
      </c>
      <c r="P956" t="n">
        <v>0</v>
      </c>
      <c r="Q956" t="n">
        <v>0</v>
      </c>
      <c r="R956" s="2" t="inlineStr"/>
    </row>
    <row r="957" ht="15" customHeight="1">
      <c r="A957" t="inlineStr">
        <is>
          <t>A 8608-2020</t>
        </is>
      </c>
      <c r="B957" s="1" t="n">
        <v>43878</v>
      </c>
      <c r="C957" s="1" t="n">
        <v>45757</v>
      </c>
      <c r="D957" t="inlineStr">
        <is>
          <t>VÄSTMANLANDS LÄN</t>
        </is>
      </c>
      <c r="E957" t="inlineStr">
        <is>
          <t>SURAHAMMAR</t>
        </is>
      </c>
      <c r="F957" t="inlineStr">
        <is>
          <t>Övriga Aktiebolag</t>
        </is>
      </c>
      <c r="G957" t="n">
        <v>20.2</v>
      </c>
      <c r="H957" t="n">
        <v>0</v>
      </c>
      <c r="I957" t="n">
        <v>0</v>
      </c>
      <c r="J957" t="n">
        <v>0</v>
      </c>
      <c r="K957" t="n">
        <v>0</v>
      </c>
      <c r="L957" t="n">
        <v>0</v>
      </c>
      <c r="M957" t="n">
        <v>0</v>
      </c>
      <c r="N957" t="n">
        <v>0</v>
      </c>
      <c r="O957" t="n">
        <v>0</v>
      </c>
      <c r="P957" t="n">
        <v>0</v>
      </c>
      <c r="Q957" t="n">
        <v>0</v>
      </c>
      <c r="R957" s="2" t="inlineStr"/>
    </row>
    <row r="958" ht="15" customHeight="1">
      <c r="A958" t="inlineStr">
        <is>
          <t>A 9337-2020</t>
        </is>
      </c>
      <c r="B958" s="1" t="n">
        <v>43880</v>
      </c>
      <c r="C958" s="1" t="n">
        <v>45757</v>
      </c>
      <c r="D958" t="inlineStr">
        <is>
          <t>VÄSTMANLANDS LÄN</t>
        </is>
      </c>
      <c r="E958" t="inlineStr">
        <is>
          <t>ARBOGA</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9299-2020</t>
        </is>
      </c>
      <c r="B959" s="1" t="n">
        <v>43880</v>
      </c>
      <c r="C959" s="1" t="n">
        <v>45757</v>
      </c>
      <c r="D959" t="inlineStr">
        <is>
          <t>VÄSTMANLANDS LÄN</t>
        </is>
      </c>
      <c r="E959" t="inlineStr">
        <is>
          <t>VÄSTERÅS</t>
        </is>
      </c>
      <c r="G959" t="n">
        <v>18.6</v>
      </c>
      <c r="H959" t="n">
        <v>0</v>
      </c>
      <c r="I959" t="n">
        <v>0</v>
      </c>
      <c r="J959" t="n">
        <v>0</v>
      </c>
      <c r="K959" t="n">
        <v>0</v>
      </c>
      <c r="L959" t="n">
        <v>0</v>
      </c>
      <c r="M959" t="n">
        <v>0</v>
      </c>
      <c r="N959" t="n">
        <v>0</v>
      </c>
      <c r="O959" t="n">
        <v>0</v>
      </c>
      <c r="P959" t="n">
        <v>0</v>
      </c>
      <c r="Q959" t="n">
        <v>0</v>
      </c>
      <c r="R959" s="2" t="inlineStr"/>
    </row>
    <row r="960" ht="15" customHeight="1">
      <c r="A960" t="inlineStr">
        <is>
          <t>A 9583-2020</t>
        </is>
      </c>
      <c r="B960" s="1" t="n">
        <v>43881</v>
      </c>
      <c r="C960" s="1" t="n">
        <v>45757</v>
      </c>
      <c r="D960" t="inlineStr">
        <is>
          <t>VÄSTMANLANDS LÄN</t>
        </is>
      </c>
      <c r="E960" t="inlineStr">
        <is>
          <t>NORBERG</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9706-2020</t>
        </is>
      </c>
      <c r="B961" s="1" t="n">
        <v>43881</v>
      </c>
      <c r="C961" s="1" t="n">
        <v>45757</v>
      </c>
      <c r="D961" t="inlineStr">
        <is>
          <t>VÄSTMANLANDS LÄN</t>
        </is>
      </c>
      <c r="E961" t="inlineStr">
        <is>
          <t>KÖPING</t>
        </is>
      </c>
      <c r="G961" t="n">
        <v>4.4</v>
      </c>
      <c r="H961" t="n">
        <v>0</v>
      </c>
      <c r="I961" t="n">
        <v>0</v>
      </c>
      <c r="J961" t="n">
        <v>0</v>
      </c>
      <c r="K961" t="n">
        <v>0</v>
      </c>
      <c r="L961" t="n">
        <v>0</v>
      </c>
      <c r="M961" t="n">
        <v>0</v>
      </c>
      <c r="N961" t="n">
        <v>0</v>
      </c>
      <c r="O961" t="n">
        <v>0</v>
      </c>
      <c r="P961" t="n">
        <v>0</v>
      </c>
      <c r="Q961" t="n">
        <v>0</v>
      </c>
      <c r="R961" s="2" t="inlineStr"/>
    </row>
    <row r="962" ht="15" customHeight="1">
      <c r="A962" t="inlineStr">
        <is>
          <t>A 9636-2020</t>
        </is>
      </c>
      <c r="B962" s="1" t="n">
        <v>43881</v>
      </c>
      <c r="C962" s="1" t="n">
        <v>45757</v>
      </c>
      <c r="D962" t="inlineStr">
        <is>
          <t>VÄSTMANLANDS LÄN</t>
        </is>
      </c>
      <c r="E962" t="inlineStr">
        <is>
          <t>HALLSTAHAMMAR</t>
        </is>
      </c>
      <c r="G962" t="n">
        <v>2.4</v>
      </c>
      <c r="H962" t="n">
        <v>0</v>
      </c>
      <c r="I962" t="n">
        <v>0</v>
      </c>
      <c r="J962" t="n">
        <v>0</v>
      </c>
      <c r="K962" t="n">
        <v>0</v>
      </c>
      <c r="L962" t="n">
        <v>0</v>
      </c>
      <c r="M962" t="n">
        <v>0</v>
      </c>
      <c r="N962" t="n">
        <v>0</v>
      </c>
      <c r="O962" t="n">
        <v>0</v>
      </c>
      <c r="P962" t="n">
        <v>0</v>
      </c>
      <c r="Q962" t="n">
        <v>0</v>
      </c>
      <c r="R962" s="2" t="inlineStr"/>
    </row>
    <row r="963" ht="15" customHeight="1">
      <c r="A963" t="inlineStr">
        <is>
          <t>A 9896-2020</t>
        </is>
      </c>
      <c r="B963" s="1" t="n">
        <v>43882</v>
      </c>
      <c r="C963" s="1" t="n">
        <v>45757</v>
      </c>
      <c r="D963" t="inlineStr">
        <is>
          <t>VÄSTMANLANDS LÄN</t>
        </is>
      </c>
      <c r="E963" t="inlineStr">
        <is>
          <t>SKINNSKATTEBERG</t>
        </is>
      </c>
      <c r="G963" t="n">
        <v>1.9</v>
      </c>
      <c r="H963" t="n">
        <v>0</v>
      </c>
      <c r="I963" t="n">
        <v>0</v>
      </c>
      <c r="J963" t="n">
        <v>0</v>
      </c>
      <c r="K963" t="n">
        <v>0</v>
      </c>
      <c r="L963" t="n">
        <v>0</v>
      </c>
      <c r="M963" t="n">
        <v>0</v>
      </c>
      <c r="N963" t="n">
        <v>0</v>
      </c>
      <c r="O963" t="n">
        <v>0</v>
      </c>
      <c r="P963" t="n">
        <v>0</v>
      </c>
      <c r="Q963" t="n">
        <v>0</v>
      </c>
      <c r="R963" s="2" t="inlineStr"/>
    </row>
    <row r="964" ht="15" customHeight="1">
      <c r="A964" t="inlineStr">
        <is>
          <t>A 9989-2020</t>
        </is>
      </c>
      <c r="B964" s="1" t="n">
        <v>43882</v>
      </c>
      <c r="C964" s="1" t="n">
        <v>45757</v>
      </c>
      <c r="D964" t="inlineStr">
        <is>
          <t>VÄSTMANLANDS LÄN</t>
        </is>
      </c>
      <c r="E964" t="inlineStr">
        <is>
          <t>NORBERG</t>
        </is>
      </c>
      <c r="G964" t="n">
        <v>3.1</v>
      </c>
      <c r="H964" t="n">
        <v>0</v>
      </c>
      <c r="I964" t="n">
        <v>0</v>
      </c>
      <c r="J964" t="n">
        <v>0</v>
      </c>
      <c r="K964" t="n">
        <v>0</v>
      </c>
      <c r="L964" t="n">
        <v>0</v>
      </c>
      <c r="M964" t="n">
        <v>0</v>
      </c>
      <c r="N964" t="n">
        <v>0</v>
      </c>
      <c r="O964" t="n">
        <v>0</v>
      </c>
      <c r="P964" t="n">
        <v>0</v>
      </c>
      <c r="Q964" t="n">
        <v>0</v>
      </c>
      <c r="R964" s="2" t="inlineStr"/>
    </row>
    <row r="965" ht="15" customHeight="1">
      <c r="A965" t="inlineStr">
        <is>
          <t>A 10010-2020</t>
        </is>
      </c>
      <c r="B965" s="1" t="n">
        <v>43882</v>
      </c>
      <c r="C965" s="1" t="n">
        <v>45757</v>
      </c>
      <c r="D965" t="inlineStr">
        <is>
          <t>VÄSTMANLANDS LÄN</t>
        </is>
      </c>
      <c r="E965" t="inlineStr">
        <is>
          <t>SALA</t>
        </is>
      </c>
      <c r="G965" t="n">
        <v>0.5</v>
      </c>
      <c r="H965" t="n">
        <v>0</v>
      </c>
      <c r="I965" t="n">
        <v>0</v>
      </c>
      <c r="J965" t="n">
        <v>0</v>
      </c>
      <c r="K965" t="n">
        <v>0</v>
      </c>
      <c r="L965" t="n">
        <v>0</v>
      </c>
      <c r="M965" t="n">
        <v>0</v>
      </c>
      <c r="N965" t="n">
        <v>0</v>
      </c>
      <c r="O965" t="n">
        <v>0</v>
      </c>
      <c r="P965" t="n">
        <v>0</v>
      </c>
      <c r="Q965" t="n">
        <v>0</v>
      </c>
      <c r="R965" s="2" t="inlineStr"/>
    </row>
    <row r="966" ht="15" customHeight="1">
      <c r="A966" t="inlineStr">
        <is>
          <t>A 10006-2020</t>
        </is>
      </c>
      <c r="B966" s="1" t="n">
        <v>43882</v>
      </c>
      <c r="C966" s="1" t="n">
        <v>45757</v>
      </c>
      <c r="D966" t="inlineStr">
        <is>
          <t>VÄSTMANLANDS LÄN</t>
        </is>
      </c>
      <c r="E966" t="inlineStr">
        <is>
          <t>NORBERG</t>
        </is>
      </c>
      <c r="G966" t="n">
        <v>0.8</v>
      </c>
      <c r="H966" t="n">
        <v>0</v>
      </c>
      <c r="I966" t="n">
        <v>0</v>
      </c>
      <c r="J966" t="n">
        <v>0</v>
      </c>
      <c r="K966" t="n">
        <v>0</v>
      </c>
      <c r="L966" t="n">
        <v>0</v>
      </c>
      <c r="M966" t="n">
        <v>0</v>
      </c>
      <c r="N966" t="n">
        <v>0</v>
      </c>
      <c r="O966" t="n">
        <v>0</v>
      </c>
      <c r="P966" t="n">
        <v>0</v>
      </c>
      <c r="Q966" t="n">
        <v>0</v>
      </c>
      <c r="R966" s="2" t="inlineStr"/>
    </row>
    <row r="967" ht="15" customHeight="1">
      <c r="A967" t="inlineStr">
        <is>
          <t>A 10013-2020</t>
        </is>
      </c>
      <c r="B967" s="1" t="n">
        <v>43882</v>
      </c>
      <c r="C967" s="1" t="n">
        <v>45757</v>
      </c>
      <c r="D967" t="inlineStr">
        <is>
          <t>VÄSTMANLANDS LÄN</t>
        </is>
      </c>
      <c r="E967" t="inlineStr">
        <is>
          <t>FAGERSTA</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10000-2020</t>
        </is>
      </c>
      <c r="B968" s="1" t="n">
        <v>43882</v>
      </c>
      <c r="C968" s="1" t="n">
        <v>45757</v>
      </c>
      <c r="D968" t="inlineStr">
        <is>
          <t>VÄSTMANLANDS LÄN</t>
        </is>
      </c>
      <c r="E968" t="inlineStr">
        <is>
          <t>NORBERG</t>
        </is>
      </c>
      <c r="G968" t="n">
        <v>0.9</v>
      </c>
      <c r="H968" t="n">
        <v>0</v>
      </c>
      <c r="I968" t="n">
        <v>0</v>
      </c>
      <c r="J968" t="n">
        <v>0</v>
      </c>
      <c r="K968" t="n">
        <v>0</v>
      </c>
      <c r="L968" t="n">
        <v>0</v>
      </c>
      <c r="M968" t="n">
        <v>0</v>
      </c>
      <c r="N968" t="n">
        <v>0</v>
      </c>
      <c r="O968" t="n">
        <v>0</v>
      </c>
      <c r="P968" t="n">
        <v>0</v>
      </c>
      <c r="Q968" t="n">
        <v>0</v>
      </c>
      <c r="R968" s="2" t="inlineStr"/>
    </row>
    <row r="969" ht="15" customHeight="1">
      <c r="A969" t="inlineStr">
        <is>
          <t>A 10001-2020</t>
        </is>
      </c>
      <c r="B969" s="1" t="n">
        <v>43882</v>
      </c>
      <c r="C969" s="1" t="n">
        <v>45757</v>
      </c>
      <c r="D969" t="inlineStr">
        <is>
          <t>VÄSTMANLANDS LÄN</t>
        </is>
      </c>
      <c r="E969" t="inlineStr">
        <is>
          <t>NORBERG</t>
        </is>
      </c>
      <c r="G969" t="n">
        <v>5.9</v>
      </c>
      <c r="H969" t="n">
        <v>0</v>
      </c>
      <c r="I969" t="n">
        <v>0</v>
      </c>
      <c r="J969" t="n">
        <v>0</v>
      </c>
      <c r="K969" t="n">
        <v>0</v>
      </c>
      <c r="L969" t="n">
        <v>0</v>
      </c>
      <c r="M969" t="n">
        <v>0</v>
      </c>
      <c r="N969" t="n">
        <v>0</v>
      </c>
      <c r="O969" t="n">
        <v>0</v>
      </c>
      <c r="P969" t="n">
        <v>0</v>
      </c>
      <c r="Q969" t="n">
        <v>0</v>
      </c>
      <c r="R969" s="2" t="inlineStr"/>
    </row>
    <row r="970" ht="15" customHeight="1">
      <c r="A970" t="inlineStr">
        <is>
          <t>A 10276-2020</t>
        </is>
      </c>
      <c r="B970" s="1" t="n">
        <v>43885</v>
      </c>
      <c r="C970" s="1" t="n">
        <v>45757</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10302-2020</t>
        </is>
      </c>
      <c r="B971" s="1" t="n">
        <v>43885</v>
      </c>
      <c r="C971" s="1" t="n">
        <v>45757</v>
      </c>
      <c r="D971" t="inlineStr">
        <is>
          <t>VÄSTMANLANDS LÄN</t>
        </is>
      </c>
      <c r="E971" t="inlineStr">
        <is>
          <t>KUNGSÖR</t>
        </is>
      </c>
      <c r="G971" t="n">
        <v>3</v>
      </c>
      <c r="H971" t="n">
        <v>0</v>
      </c>
      <c r="I971" t="n">
        <v>0</v>
      </c>
      <c r="J971" t="n">
        <v>0</v>
      </c>
      <c r="K971" t="n">
        <v>0</v>
      </c>
      <c r="L971" t="n">
        <v>0</v>
      </c>
      <c r="M971" t="n">
        <v>0</v>
      </c>
      <c r="N971" t="n">
        <v>0</v>
      </c>
      <c r="O971" t="n">
        <v>0</v>
      </c>
      <c r="P971" t="n">
        <v>0</v>
      </c>
      <c r="Q971" t="n">
        <v>0</v>
      </c>
      <c r="R971" s="2" t="inlineStr"/>
    </row>
    <row r="972" ht="15" customHeight="1">
      <c r="A972" t="inlineStr">
        <is>
          <t>A 10299-2020</t>
        </is>
      </c>
      <c r="B972" s="1" t="n">
        <v>43885</v>
      </c>
      <c r="C972" s="1" t="n">
        <v>45757</v>
      </c>
      <c r="D972" t="inlineStr">
        <is>
          <t>VÄSTMANLANDS LÄN</t>
        </is>
      </c>
      <c r="E972" t="inlineStr">
        <is>
          <t>KUNGSÖR</t>
        </is>
      </c>
      <c r="G972" t="n">
        <v>1.6</v>
      </c>
      <c r="H972" t="n">
        <v>0</v>
      </c>
      <c r="I972" t="n">
        <v>0</v>
      </c>
      <c r="J972" t="n">
        <v>0</v>
      </c>
      <c r="K972" t="n">
        <v>0</v>
      </c>
      <c r="L972" t="n">
        <v>0</v>
      </c>
      <c r="M972" t="n">
        <v>0</v>
      </c>
      <c r="N972" t="n">
        <v>0</v>
      </c>
      <c r="O972" t="n">
        <v>0</v>
      </c>
      <c r="P972" t="n">
        <v>0</v>
      </c>
      <c r="Q972" t="n">
        <v>0</v>
      </c>
      <c r="R972" s="2" t="inlineStr"/>
    </row>
    <row r="973" ht="15" customHeight="1">
      <c r="A973" t="inlineStr">
        <is>
          <t>A 10472-2020</t>
        </is>
      </c>
      <c r="B973" s="1" t="n">
        <v>43886</v>
      </c>
      <c r="C973" s="1" t="n">
        <v>45757</v>
      </c>
      <c r="D973" t="inlineStr">
        <is>
          <t>VÄSTMANLANDS LÄN</t>
        </is>
      </c>
      <c r="E973" t="inlineStr">
        <is>
          <t>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10783-2020</t>
        </is>
      </c>
      <c r="B974" s="1" t="n">
        <v>43888</v>
      </c>
      <c r="C974" s="1" t="n">
        <v>45757</v>
      </c>
      <c r="D974" t="inlineStr">
        <is>
          <t>VÄSTMANLANDS LÄN</t>
        </is>
      </c>
      <c r="E974" t="inlineStr">
        <is>
          <t>NORBERG</t>
        </is>
      </c>
      <c r="F974" t="inlineStr">
        <is>
          <t>Bergvik skog väst AB</t>
        </is>
      </c>
      <c r="G974" t="n">
        <v>3</v>
      </c>
      <c r="H974" t="n">
        <v>0</v>
      </c>
      <c r="I974" t="n">
        <v>0</v>
      </c>
      <c r="J974" t="n">
        <v>0</v>
      </c>
      <c r="K974" t="n">
        <v>0</v>
      </c>
      <c r="L974" t="n">
        <v>0</v>
      </c>
      <c r="M974" t="n">
        <v>0</v>
      </c>
      <c r="N974" t="n">
        <v>0</v>
      </c>
      <c r="O974" t="n">
        <v>0</v>
      </c>
      <c r="P974" t="n">
        <v>0</v>
      </c>
      <c r="Q974" t="n">
        <v>0</v>
      </c>
      <c r="R974" s="2" t="inlineStr"/>
    </row>
    <row r="975" ht="15" customHeight="1">
      <c r="A975" t="inlineStr">
        <is>
          <t>A 11912-2020</t>
        </is>
      </c>
      <c r="B975" s="1" t="n">
        <v>43888</v>
      </c>
      <c r="C975" s="1" t="n">
        <v>45757</v>
      </c>
      <c r="D975" t="inlineStr">
        <is>
          <t>VÄSTMANLANDS LÄN</t>
        </is>
      </c>
      <c r="E975" t="inlineStr">
        <is>
          <t>SKINNSKATTEBERG</t>
        </is>
      </c>
      <c r="G975" t="n">
        <v>4.5</v>
      </c>
      <c r="H975" t="n">
        <v>0</v>
      </c>
      <c r="I975" t="n">
        <v>0</v>
      </c>
      <c r="J975" t="n">
        <v>0</v>
      </c>
      <c r="K975" t="n">
        <v>0</v>
      </c>
      <c r="L975" t="n">
        <v>0</v>
      </c>
      <c r="M975" t="n">
        <v>0</v>
      </c>
      <c r="N975" t="n">
        <v>0</v>
      </c>
      <c r="O975" t="n">
        <v>0</v>
      </c>
      <c r="P975" t="n">
        <v>0</v>
      </c>
      <c r="Q975" t="n">
        <v>0</v>
      </c>
      <c r="R975" s="2" t="inlineStr"/>
    </row>
    <row r="976" ht="15" customHeight="1">
      <c r="A976" t="inlineStr">
        <is>
          <t>A 10811-2020</t>
        </is>
      </c>
      <c r="B976" s="1" t="n">
        <v>43888</v>
      </c>
      <c r="C976" s="1" t="n">
        <v>45757</v>
      </c>
      <c r="D976" t="inlineStr">
        <is>
          <t>VÄSTMANLANDS LÄN</t>
        </is>
      </c>
      <c r="E976" t="inlineStr">
        <is>
          <t>SALA</t>
        </is>
      </c>
      <c r="G976" t="n">
        <v>3.9</v>
      </c>
      <c r="H976" t="n">
        <v>0</v>
      </c>
      <c r="I976" t="n">
        <v>0</v>
      </c>
      <c r="J976" t="n">
        <v>0</v>
      </c>
      <c r="K976" t="n">
        <v>0</v>
      </c>
      <c r="L976" t="n">
        <v>0</v>
      </c>
      <c r="M976" t="n">
        <v>0</v>
      </c>
      <c r="N976" t="n">
        <v>0</v>
      </c>
      <c r="O976" t="n">
        <v>0</v>
      </c>
      <c r="P976" t="n">
        <v>0</v>
      </c>
      <c r="Q976" t="n">
        <v>0</v>
      </c>
      <c r="R976" s="2" t="inlineStr"/>
    </row>
    <row r="977" ht="15" customHeight="1">
      <c r="A977" t="inlineStr">
        <is>
          <t>A 10868-2020</t>
        </is>
      </c>
      <c r="B977" s="1" t="n">
        <v>43889</v>
      </c>
      <c r="C977" s="1" t="n">
        <v>45757</v>
      </c>
      <c r="D977" t="inlineStr">
        <is>
          <t>VÄSTMANLANDS LÄN</t>
        </is>
      </c>
      <c r="E977" t="inlineStr">
        <is>
          <t>FAGERSTA</t>
        </is>
      </c>
      <c r="F977" t="inlineStr">
        <is>
          <t>Övriga Aktiebolag</t>
        </is>
      </c>
      <c r="G977" t="n">
        <v>1.8</v>
      </c>
      <c r="H977" t="n">
        <v>0</v>
      </c>
      <c r="I977" t="n">
        <v>0</v>
      </c>
      <c r="J977" t="n">
        <v>0</v>
      </c>
      <c r="K977" t="n">
        <v>0</v>
      </c>
      <c r="L977" t="n">
        <v>0</v>
      </c>
      <c r="M977" t="n">
        <v>0</v>
      </c>
      <c r="N977" t="n">
        <v>0</v>
      </c>
      <c r="O977" t="n">
        <v>0</v>
      </c>
      <c r="P977" t="n">
        <v>0</v>
      </c>
      <c r="Q977" t="n">
        <v>0</v>
      </c>
      <c r="R977" s="2" t="inlineStr"/>
    </row>
    <row r="978" ht="15" customHeight="1">
      <c r="A978" t="inlineStr">
        <is>
          <t>A 10917-2020</t>
        </is>
      </c>
      <c r="B978" s="1" t="n">
        <v>43889</v>
      </c>
      <c r="C978" s="1" t="n">
        <v>45757</v>
      </c>
      <c r="D978" t="inlineStr">
        <is>
          <t>VÄSTMANLANDS LÄN</t>
        </is>
      </c>
      <c r="E978" t="inlineStr">
        <is>
          <t>NORBERG</t>
        </is>
      </c>
      <c r="F978" t="inlineStr">
        <is>
          <t>Övriga Aktiebolag</t>
        </is>
      </c>
      <c r="G978" t="n">
        <v>10.1</v>
      </c>
      <c r="H978" t="n">
        <v>0</v>
      </c>
      <c r="I978" t="n">
        <v>0</v>
      </c>
      <c r="J978" t="n">
        <v>0</v>
      </c>
      <c r="K978" t="n">
        <v>0</v>
      </c>
      <c r="L978" t="n">
        <v>0</v>
      </c>
      <c r="M978" t="n">
        <v>0</v>
      </c>
      <c r="N978" t="n">
        <v>0</v>
      </c>
      <c r="O978" t="n">
        <v>0</v>
      </c>
      <c r="P978" t="n">
        <v>0</v>
      </c>
      <c r="Q978" t="n">
        <v>0</v>
      </c>
      <c r="R978" s="2" t="inlineStr"/>
    </row>
    <row r="979" ht="15" customHeight="1">
      <c r="A979" t="inlineStr">
        <is>
          <t>A 10905-2020</t>
        </is>
      </c>
      <c r="B979" s="1" t="n">
        <v>43889</v>
      </c>
      <c r="C979" s="1" t="n">
        <v>45757</v>
      </c>
      <c r="D979" t="inlineStr">
        <is>
          <t>VÄSTMANLANDS LÄN</t>
        </is>
      </c>
      <c r="E979" t="inlineStr">
        <is>
          <t>NORBERG</t>
        </is>
      </c>
      <c r="F979" t="inlineStr">
        <is>
          <t>Övriga Aktiebolag</t>
        </is>
      </c>
      <c r="G979" t="n">
        <v>6</v>
      </c>
      <c r="H979" t="n">
        <v>0</v>
      </c>
      <c r="I979" t="n">
        <v>0</v>
      </c>
      <c r="J979" t="n">
        <v>0</v>
      </c>
      <c r="K979" t="n">
        <v>0</v>
      </c>
      <c r="L979" t="n">
        <v>0</v>
      </c>
      <c r="M979" t="n">
        <v>0</v>
      </c>
      <c r="N979" t="n">
        <v>0</v>
      </c>
      <c r="O979" t="n">
        <v>0</v>
      </c>
      <c r="P979" t="n">
        <v>0</v>
      </c>
      <c r="Q979" t="n">
        <v>0</v>
      </c>
      <c r="R979" s="2" t="inlineStr"/>
    </row>
    <row r="980" ht="15" customHeight="1">
      <c r="A980" t="inlineStr">
        <is>
          <t>A 11162-2020</t>
        </is>
      </c>
      <c r="B980" s="1" t="n">
        <v>43891</v>
      </c>
      <c r="C980" s="1" t="n">
        <v>45757</v>
      </c>
      <c r="D980" t="inlineStr">
        <is>
          <t>VÄSTMANLANDS LÄN</t>
        </is>
      </c>
      <c r="E980" t="inlineStr">
        <is>
          <t>ARBOGA</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11161-2020</t>
        </is>
      </c>
      <c r="B981" s="1" t="n">
        <v>43891</v>
      </c>
      <c r="C981" s="1" t="n">
        <v>45757</v>
      </c>
      <c r="D981" t="inlineStr">
        <is>
          <t>VÄSTMANLANDS LÄN</t>
        </is>
      </c>
      <c r="E981" t="inlineStr">
        <is>
          <t>ARBOGA</t>
        </is>
      </c>
      <c r="G981" t="n">
        <v>42.3</v>
      </c>
      <c r="H981" t="n">
        <v>0</v>
      </c>
      <c r="I981" t="n">
        <v>0</v>
      </c>
      <c r="J981" t="n">
        <v>0</v>
      </c>
      <c r="K981" t="n">
        <v>0</v>
      </c>
      <c r="L981" t="n">
        <v>0</v>
      </c>
      <c r="M981" t="n">
        <v>0</v>
      </c>
      <c r="N981" t="n">
        <v>0</v>
      </c>
      <c r="O981" t="n">
        <v>0</v>
      </c>
      <c r="P981" t="n">
        <v>0</v>
      </c>
      <c r="Q981" t="n">
        <v>0</v>
      </c>
      <c r="R981" s="2" t="inlineStr"/>
    </row>
    <row r="982" ht="15" customHeight="1">
      <c r="A982" t="inlineStr">
        <is>
          <t>A 11186-2020</t>
        </is>
      </c>
      <c r="B982" s="1" t="n">
        <v>43892</v>
      </c>
      <c r="C982" s="1" t="n">
        <v>45757</v>
      </c>
      <c r="D982" t="inlineStr">
        <is>
          <t>VÄSTMANLANDS LÄN</t>
        </is>
      </c>
      <c r="E982" t="inlineStr">
        <is>
          <t>FAGERSTA</t>
        </is>
      </c>
      <c r="F982" t="inlineStr">
        <is>
          <t>Bergvik skog väst AB</t>
        </is>
      </c>
      <c r="G982" t="n">
        <v>3.7</v>
      </c>
      <c r="H982" t="n">
        <v>0</v>
      </c>
      <c r="I982" t="n">
        <v>0</v>
      </c>
      <c r="J982" t="n">
        <v>0</v>
      </c>
      <c r="K982" t="n">
        <v>0</v>
      </c>
      <c r="L982" t="n">
        <v>0</v>
      </c>
      <c r="M982" t="n">
        <v>0</v>
      </c>
      <c r="N982" t="n">
        <v>0</v>
      </c>
      <c r="O982" t="n">
        <v>0</v>
      </c>
      <c r="P982" t="n">
        <v>0</v>
      </c>
      <c r="Q982" t="n">
        <v>0</v>
      </c>
      <c r="R982" s="2" t="inlineStr"/>
    </row>
    <row r="983" ht="15" customHeight="1">
      <c r="A983" t="inlineStr">
        <is>
          <t>A 11452-2020</t>
        </is>
      </c>
      <c r="B983" s="1" t="n">
        <v>43893</v>
      </c>
      <c r="C983" s="1" t="n">
        <v>45757</v>
      </c>
      <c r="D983" t="inlineStr">
        <is>
          <t>VÄSTMANLANDS LÄN</t>
        </is>
      </c>
      <c r="E983" t="inlineStr">
        <is>
          <t>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11551-2020</t>
        </is>
      </c>
      <c r="B984" s="1" t="n">
        <v>43893</v>
      </c>
      <c r="C984" s="1" t="n">
        <v>45757</v>
      </c>
      <c r="D984" t="inlineStr">
        <is>
          <t>VÄSTMANLANDS LÄN</t>
        </is>
      </c>
      <c r="E984" t="inlineStr">
        <is>
          <t>SKINNSKATTEBERG</t>
        </is>
      </c>
      <c r="G984" t="n">
        <v>3.7</v>
      </c>
      <c r="H984" t="n">
        <v>0</v>
      </c>
      <c r="I984" t="n">
        <v>0</v>
      </c>
      <c r="J984" t="n">
        <v>0</v>
      </c>
      <c r="K984" t="n">
        <v>0</v>
      </c>
      <c r="L984" t="n">
        <v>0</v>
      </c>
      <c r="M984" t="n">
        <v>0</v>
      </c>
      <c r="N984" t="n">
        <v>0</v>
      </c>
      <c r="O984" t="n">
        <v>0</v>
      </c>
      <c r="P984" t="n">
        <v>0</v>
      </c>
      <c r="Q984" t="n">
        <v>0</v>
      </c>
      <c r="R984" s="2" t="inlineStr"/>
    </row>
    <row r="985" ht="15" customHeight="1">
      <c r="A985" t="inlineStr">
        <is>
          <t>A 11657-2020</t>
        </is>
      </c>
      <c r="B985" s="1" t="n">
        <v>43893</v>
      </c>
      <c r="C985" s="1" t="n">
        <v>45757</v>
      </c>
      <c r="D985" t="inlineStr">
        <is>
          <t>VÄSTMANLANDS LÄN</t>
        </is>
      </c>
      <c r="E985" t="inlineStr">
        <is>
          <t>VÄSTERÅS</t>
        </is>
      </c>
      <c r="G985" t="n">
        <v>1.2</v>
      </c>
      <c r="H985" t="n">
        <v>0</v>
      </c>
      <c r="I985" t="n">
        <v>0</v>
      </c>
      <c r="J985" t="n">
        <v>0</v>
      </c>
      <c r="K985" t="n">
        <v>0</v>
      </c>
      <c r="L985" t="n">
        <v>0</v>
      </c>
      <c r="M985" t="n">
        <v>0</v>
      </c>
      <c r="N985" t="n">
        <v>0</v>
      </c>
      <c r="O985" t="n">
        <v>0</v>
      </c>
      <c r="P985" t="n">
        <v>0</v>
      </c>
      <c r="Q985" t="n">
        <v>0</v>
      </c>
      <c r="R985" s="2" t="inlineStr"/>
    </row>
    <row r="986" ht="15" customHeight="1">
      <c r="A986" t="inlineStr">
        <is>
          <t>A 11629-2020</t>
        </is>
      </c>
      <c r="B986" s="1" t="n">
        <v>43893</v>
      </c>
      <c r="C986" s="1" t="n">
        <v>45757</v>
      </c>
      <c r="D986" t="inlineStr">
        <is>
          <t>VÄSTMANLANDS LÄN</t>
        </is>
      </c>
      <c r="E986" t="inlineStr">
        <is>
          <t>NORBERG</t>
        </is>
      </c>
      <c r="G986" t="n">
        <v>1.8</v>
      </c>
      <c r="H986" t="n">
        <v>0</v>
      </c>
      <c r="I986" t="n">
        <v>0</v>
      </c>
      <c r="J986" t="n">
        <v>0</v>
      </c>
      <c r="K986" t="n">
        <v>0</v>
      </c>
      <c r="L986" t="n">
        <v>0</v>
      </c>
      <c r="M986" t="n">
        <v>0</v>
      </c>
      <c r="N986" t="n">
        <v>0</v>
      </c>
      <c r="O986" t="n">
        <v>0</v>
      </c>
      <c r="P986" t="n">
        <v>0</v>
      </c>
      <c r="Q986" t="n">
        <v>0</v>
      </c>
      <c r="R986" s="2" t="inlineStr"/>
    </row>
    <row r="987" ht="15" customHeight="1">
      <c r="A987" t="inlineStr">
        <is>
          <t>A 11826-2020</t>
        </is>
      </c>
      <c r="B987" s="1" t="n">
        <v>43894</v>
      </c>
      <c r="C987" s="1" t="n">
        <v>45757</v>
      </c>
      <c r="D987" t="inlineStr">
        <is>
          <t>VÄSTMANLANDS LÄN</t>
        </is>
      </c>
      <c r="E987" t="inlineStr">
        <is>
          <t>NORBERG</t>
        </is>
      </c>
      <c r="G987" t="n">
        <v>1.8</v>
      </c>
      <c r="H987" t="n">
        <v>0</v>
      </c>
      <c r="I987" t="n">
        <v>0</v>
      </c>
      <c r="J987" t="n">
        <v>0</v>
      </c>
      <c r="K987" t="n">
        <v>0</v>
      </c>
      <c r="L987" t="n">
        <v>0</v>
      </c>
      <c r="M987" t="n">
        <v>0</v>
      </c>
      <c r="N987" t="n">
        <v>0</v>
      </c>
      <c r="O987" t="n">
        <v>0</v>
      </c>
      <c r="P987" t="n">
        <v>0</v>
      </c>
      <c r="Q987" t="n">
        <v>0</v>
      </c>
      <c r="R987" s="2" t="inlineStr"/>
    </row>
    <row r="988" ht="15" customHeight="1">
      <c r="A988" t="inlineStr">
        <is>
          <t>A 12058-2020</t>
        </is>
      </c>
      <c r="B988" s="1" t="n">
        <v>43894</v>
      </c>
      <c r="C988" s="1" t="n">
        <v>45757</v>
      </c>
      <c r="D988" t="inlineStr">
        <is>
          <t>VÄSTMANLANDS LÄN</t>
        </is>
      </c>
      <c r="E988" t="inlineStr">
        <is>
          <t>ARBOGA</t>
        </is>
      </c>
      <c r="G988" t="n">
        <v>1.7</v>
      </c>
      <c r="H988" t="n">
        <v>0</v>
      </c>
      <c r="I988" t="n">
        <v>0</v>
      </c>
      <c r="J988" t="n">
        <v>0</v>
      </c>
      <c r="K988" t="n">
        <v>0</v>
      </c>
      <c r="L988" t="n">
        <v>0</v>
      </c>
      <c r="M988" t="n">
        <v>0</v>
      </c>
      <c r="N988" t="n">
        <v>0</v>
      </c>
      <c r="O988" t="n">
        <v>0</v>
      </c>
      <c r="P988" t="n">
        <v>0</v>
      </c>
      <c r="Q988" t="n">
        <v>0</v>
      </c>
      <c r="R988" s="2" t="inlineStr"/>
    </row>
    <row r="989" ht="15" customHeight="1">
      <c r="A989" t="inlineStr">
        <is>
          <t>A 12184-2020</t>
        </is>
      </c>
      <c r="B989" s="1" t="n">
        <v>43895</v>
      </c>
      <c r="C989" s="1" t="n">
        <v>45757</v>
      </c>
      <c r="D989" t="inlineStr">
        <is>
          <t>VÄSTMANLANDS LÄN</t>
        </is>
      </c>
      <c r="E989" t="inlineStr">
        <is>
          <t>KUNGSÖR</t>
        </is>
      </c>
      <c r="G989" t="n">
        <v>6.1</v>
      </c>
      <c r="H989" t="n">
        <v>0</v>
      </c>
      <c r="I989" t="n">
        <v>0</v>
      </c>
      <c r="J989" t="n">
        <v>0</v>
      </c>
      <c r="K989" t="n">
        <v>0</v>
      </c>
      <c r="L989" t="n">
        <v>0</v>
      </c>
      <c r="M989" t="n">
        <v>0</v>
      </c>
      <c r="N989" t="n">
        <v>0</v>
      </c>
      <c r="O989" t="n">
        <v>0</v>
      </c>
      <c r="P989" t="n">
        <v>0</v>
      </c>
      <c r="Q989" t="n">
        <v>0</v>
      </c>
      <c r="R989" s="2" t="inlineStr"/>
    </row>
    <row r="990" ht="15" customHeight="1">
      <c r="A990" t="inlineStr">
        <is>
          <t>A 12191-2020</t>
        </is>
      </c>
      <c r="B990" s="1" t="n">
        <v>43895</v>
      </c>
      <c r="C990" s="1" t="n">
        <v>45757</v>
      </c>
      <c r="D990" t="inlineStr">
        <is>
          <t>VÄSTMANLANDS LÄN</t>
        </is>
      </c>
      <c r="E990" t="inlineStr">
        <is>
          <t>ARBOGA</t>
        </is>
      </c>
      <c r="G990" t="n">
        <v>1.2</v>
      </c>
      <c r="H990" t="n">
        <v>0</v>
      </c>
      <c r="I990" t="n">
        <v>0</v>
      </c>
      <c r="J990" t="n">
        <v>0</v>
      </c>
      <c r="K990" t="n">
        <v>0</v>
      </c>
      <c r="L990" t="n">
        <v>0</v>
      </c>
      <c r="M990" t="n">
        <v>0</v>
      </c>
      <c r="N990" t="n">
        <v>0</v>
      </c>
      <c r="O990" t="n">
        <v>0</v>
      </c>
      <c r="P990" t="n">
        <v>0</v>
      </c>
      <c r="Q990" t="n">
        <v>0</v>
      </c>
      <c r="R990" s="2" t="inlineStr"/>
    </row>
    <row r="991" ht="15" customHeight="1">
      <c r="A991" t="inlineStr">
        <is>
          <t>A 12595-2020</t>
        </is>
      </c>
      <c r="B991" s="1" t="n">
        <v>43899</v>
      </c>
      <c r="C991" s="1" t="n">
        <v>45757</v>
      </c>
      <c r="D991" t="inlineStr">
        <is>
          <t>VÄSTMANLANDS LÄN</t>
        </is>
      </c>
      <c r="E991" t="inlineStr">
        <is>
          <t>FAGERSTA</t>
        </is>
      </c>
      <c r="F991" t="inlineStr">
        <is>
          <t>Sveaskog</t>
        </is>
      </c>
      <c r="G991" t="n">
        <v>6.4</v>
      </c>
      <c r="H991" t="n">
        <v>0</v>
      </c>
      <c r="I991" t="n">
        <v>0</v>
      </c>
      <c r="J991" t="n">
        <v>0</v>
      </c>
      <c r="K991" t="n">
        <v>0</v>
      </c>
      <c r="L991" t="n">
        <v>0</v>
      </c>
      <c r="M991" t="n">
        <v>0</v>
      </c>
      <c r="N991" t="n">
        <v>0</v>
      </c>
      <c r="O991" t="n">
        <v>0</v>
      </c>
      <c r="P991" t="n">
        <v>0</v>
      </c>
      <c r="Q991" t="n">
        <v>0</v>
      </c>
      <c r="R991" s="2" t="inlineStr"/>
    </row>
    <row r="992" ht="15" customHeight="1">
      <c r="A992" t="inlineStr">
        <is>
          <t>A 12621-2020</t>
        </is>
      </c>
      <c r="B992" s="1" t="n">
        <v>43899</v>
      </c>
      <c r="C992" s="1" t="n">
        <v>45757</v>
      </c>
      <c r="D992" t="inlineStr">
        <is>
          <t>VÄSTMANLANDS LÄN</t>
        </is>
      </c>
      <c r="E992" t="inlineStr">
        <is>
          <t>NORBERG</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14110-2020</t>
        </is>
      </c>
      <c r="B993" s="1" t="n">
        <v>43900</v>
      </c>
      <c r="C993" s="1" t="n">
        <v>45757</v>
      </c>
      <c r="D993" t="inlineStr">
        <is>
          <t>VÄSTMANLANDS LÄN</t>
        </is>
      </c>
      <c r="E993" t="inlineStr">
        <is>
          <t>SALA</t>
        </is>
      </c>
      <c r="G993" t="n">
        <v>2.5</v>
      </c>
      <c r="H993" t="n">
        <v>0</v>
      </c>
      <c r="I993" t="n">
        <v>0</v>
      </c>
      <c r="J993" t="n">
        <v>0</v>
      </c>
      <c r="K993" t="n">
        <v>0</v>
      </c>
      <c r="L993" t="n">
        <v>0</v>
      </c>
      <c r="M993" t="n">
        <v>0</v>
      </c>
      <c r="N993" t="n">
        <v>0</v>
      </c>
      <c r="O993" t="n">
        <v>0</v>
      </c>
      <c r="P993" t="n">
        <v>0</v>
      </c>
      <c r="Q993" t="n">
        <v>0</v>
      </c>
      <c r="R993" s="2" t="inlineStr"/>
    </row>
    <row r="994" ht="15" customHeight="1">
      <c r="A994" t="inlineStr">
        <is>
          <t>A 13158-2020</t>
        </is>
      </c>
      <c r="B994" s="1" t="n">
        <v>43901</v>
      </c>
      <c r="C994" s="1" t="n">
        <v>45757</v>
      </c>
      <c r="D994" t="inlineStr">
        <is>
          <t>VÄSTMANLANDS LÄN</t>
        </is>
      </c>
      <c r="E994" t="inlineStr">
        <is>
          <t>KÖPING</t>
        </is>
      </c>
      <c r="G994" t="n">
        <v>4.6</v>
      </c>
      <c r="H994" t="n">
        <v>0</v>
      </c>
      <c r="I994" t="n">
        <v>0</v>
      </c>
      <c r="J994" t="n">
        <v>0</v>
      </c>
      <c r="K994" t="n">
        <v>0</v>
      </c>
      <c r="L994" t="n">
        <v>0</v>
      </c>
      <c r="M994" t="n">
        <v>0</v>
      </c>
      <c r="N994" t="n">
        <v>0</v>
      </c>
      <c r="O994" t="n">
        <v>0</v>
      </c>
      <c r="P994" t="n">
        <v>0</v>
      </c>
      <c r="Q994" t="n">
        <v>0</v>
      </c>
      <c r="R994" s="2" t="inlineStr"/>
    </row>
    <row r="995" ht="15" customHeight="1">
      <c r="A995" t="inlineStr">
        <is>
          <t>A 13259-2020</t>
        </is>
      </c>
      <c r="B995" s="1" t="n">
        <v>43901</v>
      </c>
      <c r="C995" s="1" t="n">
        <v>45757</v>
      </c>
      <c r="D995" t="inlineStr">
        <is>
          <t>VÄSTMANLANDS LÄN</t>
        </is>
      </c>
      <c r="E995" t="inlineStr">
        <is>
          <t>ARBOGA</t>
        </is>
      </c>
      <c r="G995" t="n">
        <v>2.2</v>
      </c>
      <c r="H995" t="n">
        <v>0</v>
      </c>
      <c r="I995" t="n">
        <v>0</v>
      </c>
      <c r="J995" t="n">
        <v>0</v>
      </c>
      <c r="K995" t="n">
        <v>0</v>
      </c>
      <c r="L995" t="n">
        <v>0</v>
      </c>
      <c r="M995" t="n">
        <v>0</v>
      </c>
      <c r="N995" t="n">
        <v>0</v>
      </c>
      <c r="O995" t="n">
        <v>0</v>
      </c>
      <c r="P995" t="n">
        <v>0</v>
      </c>
      <c r="Q995" t="n">
        <v>0</v>
      </c>
      <c r="R995" s="2" t="inlineStr"/>
    </row>
    <row r="996" ht="15" customHeight="1">
      <c r="A996" t="inlineStr">
        <is>
          <t>A 13692-2020</t>
        </is>
      </c>
      <c r="B996" s="1" t="n">
        <v>43902</v>
      </c>
      <c r="C996" s="1" t="n">
        <v>45757</v>
      </c>
      <c r="D996" t="inlineStr">
        <is>
          <t>VÄSTMANLANDS LÄN</t>
        </is>
      </c>
      <c r="E996" t="inlineStr">
        <is>
          <t>KUNGSÖR</t>
        </is>
      </c>
      <c r="G996" t="n">
        <v>2.6</v>
      </c>
      <c r="H996" t="n">
        <v>0</v>
      </c>
      <c r="I996" t="n">
        <v>0</v>
      </c>
      <c r="J996" t="n">
        <v>0</v>
      </c>
      <c r="K996" t="n">
        <v>0</v>
      </c>
      <c r="L996" t="n">
        <v>0</v>
      </c>
      <c r="M996" t="n">
        <v>0</v>
      </c>
      <c r="N996" t="n">
        <v>0</v>
      </c>
      <c r="O996" t="n">
        <v>0</v>
      </c>
      <c r="P996" t="n">
        <v>0</v>
      </c>
      <c r="Q996" t="n">
        <v>0</v>
      </c>
      <c r="R996" s="2" t="inlineStr"/>
    </row>
    <row r="997" ht="15" customHeight="1">
      <c r="A997" t="inlineStr">
        <is>
          <t>A 13695-2020</t>
        </is>
      </c>
      <c r="B997" s="1" t="n">
        <v>43902</v>
      </c>
      <c r="C997" s="1" t="n">
        <v>45757</v>
      </c>
      <c r="D997" t="inlineStr">
        <is>
          <t>VÄSTMANLANDS LÄN</t>
        </is>
      </c>
      <c r="E997" t="inlineStr">
        <is>
          <t>KUNGSÖR</t>
        </is>
      </c>
      <c r="G997" t="n">
        <v>6.2</v>
      </c>
      <c r="H997" t="n">
        <v>0</v>
      </c>
      <c r="I997" t="n">
        <v>0</v>
      </c>
      <c r="J997" t="n">
        <v>0</v>
      </c>
      <c r="K997" t="n">
        <v>0</v>
      </c>
      <c r="L997" t="n">
        <v>0</v>
      </c>
      <c r="M997" t="n">
        <v>0</v>
      </c>
      <c r="N997" t="n">
        <v>0</v>
      </c>
      <c r="O997" t="n">
        <v>0</v>
      </c>
      <c r="P997" t="n">
        <v>0</v>
      </c>
      <c r="Q997" t="n">
        <v>0</v>
      </c>
      <c r="R997" s="2" t="inlineStr"/>
    </row>
    <row r="998" ht="15" customHeight="1">
      <c r="A998" t="inlineStr">
        <is>
          <t>A 13542-2020</t>
        </is>
      </c>
      <c r="B998" s="1" t="n">
        <v>43902</v>
      </c>
      <c r="C998" s="1" t="n">
        <v>45757</v>
      </c>
      <c r="D998" t="inlineStr">
        <is>
          <t>VÄSTMANLANDS LÄN</t>
        </is>
      </c>
      <c r="E998" t="inlineStr">
        <is>
          <t>VÄSTERÅS</t>
        </is>
      </c>
      <c r="G998" t="n">
        <v>2</v>
      </c>
      <c r="H998" t="n">
        <v>0</v>
      </c>
      <c r="I998" t="n">
        <v>0</v>
      </c>
      <c r="J998" t="n">
        <v>0</v>
      </c>
      <c r="K998" t="n">
        <v>0</v>
      </c>
      <c r="L998" t="n">
        <v>0</v>
      </c>
      <c r="M998" t="n">
        <v>0</v>
      </c>
      <c r="N998" t="n">
        <v>0</v>
      </c>
      <c r="O998" t="n">
        <v>0</v>
      </c>
      <c r="P998" t="n">
        <v>0</v>
      </c>
      <c r="Q998" t="n">
        <v>0</v>
      </c>
      <c r="R998" s="2" t="inlineStr"/>
    </row>
    <row r="999" ht="15" customHeight="1">
      <c r="A999" t="inlineStr">
        <is>
          <t>A 13643-2020</t>
        </is>
      </c>
      <c r="B999" s="1" t="n">
        <v>43903</v>
      </c>
      <c r="C999" s="1" t="n">
        <v>45757</v>
      </c>
      <c r="D999" t="inlineStr">
        <is>
          <t>VÄSTMANLANDS LÄN</t>
        </is>
      </c>
      <c r="E999" t="inlineStr">
        <is>
          <t>SALA</t>
        </is>
      </c>
      <c r="G999" t="n">
        <v>2.3</v>
      </c>
      <c r="H999" t="n">
        <v>0</v>
      </c>
      <c r="I999" t="n">
        <v>0</v>
      </c>
      <c r="J999" t="n">
        <v>0</v>
      </c>
      <c r="K999" t="n">
        <v>0</v>
      </c>
      <c r="L999" t="n">
        <v>0</v>
      </c>
      <c r="M999" t="n">
        <v>0</v>
      </c>
      <c r="N999" t="n">
        <v>0</v>
      </c>
      <c r="O999" t="n">
        <v>0</v>
      </c>
      <c r="P999" t="n">
        <v>0</v>
      </c>
      <c r="Q999" t="n">
        <v>0</v>
      </c>
      <c r="R999" s="2" t="inlineStr"/>
    </row>
    <row r="1000" ht="15" customHeight="1">
      <c r="A1000" t="inlineStr">
        <is>
          <t>A 13626-2020</t>
        </is>
      </c>
      <c r="B1000" s="1" t="n">
        <v>43903</v>
      </c>
      <c r="C1000" s="1" t="n">
        <v>45757</v>
      </c>
      <c r="D1000" t="inlineStr">
        <is>
          <t>VÄSTMANLANDS LÄN</t>
        </is>
      </c>
      <c r="E1000" t="inlineStr">
        <is>
          <t>ARBOGA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13936-2020</t>
        </is>
      </c>
      <c r="B1001" s="1" t="n">
        <v>43903</v>
      </c>
      <c r="C1001" s="1" t="n">
        <v>45757</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14049-2020</t>
        </is>
      </c>
      <c r="B1002" s="1" t="n">
        <v>43906</v>
      </c>
      <c r="C1002" s="1" t="n">
        <v>45757</v>
      </c>
      <c r="D1002" t="inlineStr">
        <is>
          <t>VÄSTMANLANDS LÄN</t>
        </is>
      </c>
      <c r="E1002" t="inlineStr">
        <is>
          <t>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13868-2020</t>
        </is>
      </c>
      <c r="B1003" s="1" t="n">
        <v>43906</v>
      </c>
      <c r="C1003" s="1" t="n">
        <v>45757</v>
      </c>
      <c r="D1003" t="inlineStr">
        <is>
          <t>VÄSTMANLANDS LÄN</t>
        </is>
      </c>
      <c r="E1003" t="inlineStr">
        <is>
          <t>HALLSTAHAMMAR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14295-2020</t>
        </is>
      </c>
      <c r="B1004" s="1" t="n">
        <v>43907</v>
      </c>
      <c r="C1004" s="1" t="n">
        <v>45757</v>
      </c>
      <c r="D1004" t="inlineStr">
        <is>
          <t>VÄSTMANLANDS LÄN</t>
        </is>
      </c>
      <c r="E1004" t="inlineStr">
        <is>
          <t>KÖPING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14403-2020</t>
        </is>
      </c>
      <c r="B1005" s="1" t="n">
        <v>43908</v>
      </c>
      <c r="C1005" s="1" t="n">
        <v>45757</v>
      </c>
      <c r="D1005" t="inlineStr">
        <is>
          <t>VÄSTMANLANDS LÄN</t>
        </is>
      </c>
      <c r="E1005" t="inlineStr">
        <is>
          <t>KÖPING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14542-2020</t>
        </is>
      </c>
      <c r="B1006" s="1" t="n">
        <v>43908</v>
      </c>
      <c r="C1006" s="1" t="n">
        <v>45757</v>
      </c>
      <c r="D1006" t="inlineStr">
        <is>
          <t>VÄSTMANLANDS LÄN</t>
        </is>
      </c>
      <c r="E1006" t="inlineStr">
        <is>
          <t>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14420-2020</t>
        </is>
      </c>
      <c r="B1007" s="1" t="n">
        <v>43908</v>
      </c>
      <c r="C1007" s="1" t="n">
        <v>45757</v>
      </c>
      <c r="D1007" t="inlineStr">
        <is>
          <t>VÄSTMANLANDS LÄN</t>
        </is>
      </c>
      <c r="E1007" t="inlineStr">
        <is>
          <t>HALLSTAHAMMAR</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14811-2020</t>
        </is>
      </c>
      <c r="B1008" s="1" t="n">
        <v>43909</v>
      </c>
      <c r="C1008" s="1" t="n">
        <v>45757</v>
      </c>
      <c r="D1008" t="inlineStr">
        <is>
          <t>VÄSTMANLANDS LÄN</t>
        </is>
      </c>
      <c r="E1008" t="inlineStr">
        <is>
          <t>VÄSTERÅS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14979-2020</t>
        </is>
      </c>
      <c r="B1009" s="1" t="n">
        <v>43910</v>
      </c>
      <c r="C1009" s="1" t="n">
        <v>45757</v>
      </c>
      <c r="D1009" t="inlineStr">
        <is>
          <t>VÄSTMANLANDS LÄN</t>
        </is>
      </c>
      <c r="E1009" t="inlineStr">
        <is>
          <t>HALLSTAHAMMAR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14898-2020</t>
        </is>
      </c>
      <c r="B1010" s="1" t="n">
        <v>43910</v>
      </c>
      <c r="C1010" s="1" t="n">
        <v>45757</v>
      </c>
      <c r="D1010" t="inlineStr">
        <is>
          <t>VÄSTMANLANDS LÄN</t>
        </is>
      </c>
      <c r="E1010" t="inlineStr">
        <is>
          <t>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15179-2020</t>
        </is>
      </c>
      <c r="B1011" s="1" t="n">
        <v>43913</v>
      </c>
      <c r="C1011" s="1" t="n">
        <v>45757</v>
      </c>
      <c r="D1011" t="inlineStr">
        <is>
          <t>VÄSTMANLANDS LÄN</t>
        </is>
      </c>
      <c r="E1011" t="inlineStr">
        <is>
          <t>NORBERG</t>
        </is>
      </c>
      <c r="F1011" t="inlineStr">
        <is>
          <t>Övriga Aktiebolag</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15314-2020</t>
        </is>
      </c>
      <c r="B1012" s="1" t="n">
        <v>43913</v>
      </c>
      <c r="C1012" s="1" t="n">
        <v>45757</v>
      </c>
      <c r="D1012" t="inlineStr">
        <is>
          <t>VÄSTMANLANDS LÄN</t>
        </is>
      </c>
      <c r="E1012" t="inlineStr">
        <is>
          <t>VÄSTERÅS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15187-2020</t>
        </is>
      </c>
      <c r="B1013" s="1" t="n">
        <v>43913</v>
      </c>
      <c r="C1013" s="1" t="n">
        <v>45757</v>
      </c>
      <c r="D1013" t="inlineStr">
        <is>
          <t>VÄSTMANLANDS LÄN</t>
        </is>
      </c>
      <c r="E1013" t="inlineStr">
        <is>
          <t>VÄSTERÅS</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15546-2020</t>
        </is>
      </c>
      <c r="B1014" s="1" t="n">
        <v>43914</v>
      </c>
      <c r="C1014" s="1" t="n">
        <v>45757</v>
      </c>
      <c r="D1014" t="inlineStr">
        <is>
          <t>VÄSTMANLANDS LÄN</t>
        </is>
      </c>
      <c r="E1014" t="inlineStr">
        <is>
          <t>NORBERG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15567-2020</t>
        </is>
      </c>
      <c r="B1015" s="1" t="n">
        <v>43914</v>
      </c>
      <c r="C1015" s="1" t="n">
        <v>45757</v>
      </c>
      <c r="D1015" t="inlineStr">
        <is>
          <t>VÄSTMANLANDS LÄN</t>
        </is>
      </c>
      <c r="E1015" t="inlineStr">
        <is>
          <t>VÄSTERÅS</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16480-2020</t>
        </is>
      </c>
      <c r="B1016" s="1" t="n">
        <v>43914</v>
      </c>
      <c r="C1016" s="1" t="n">
        <v>45757</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15850-2020</t>
        </is>
      </c>
      <c r="B1017" s="1" t="n">
        <v>43915</v>
      </c>
      <c r="C1017" s="1" t="n">
        <v>45757</v>
      </c>
      <c r="D1017" t="inlineStr">
        <is>
          <t>VÄSTMANLANDS LÄN</t>
        </is>
      </c>
      <c r="E1017" t="inlineStr">
        <is>
          <t>SALA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15748-2020</t>
        </is>
      </c>
      <c r="B1018" s="1" t="n">
        <v>43915</v>
      </c>
      <c r="C1018" s="1" t="n">
        <v>45757</v>
      </c>
      <c r="D1018" t="inlineStr">
        <is>
          <t>VÄSTMANLANDS LÄN</t>
        </is>
      </c>
      <c r="E1018" t="inlineStr">
        <is>
          <t>SALA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16093-2020</t>
        </is>
      </c>
      <c r="B1019" s="1" t="n">
        <v>43916</v>
      </c>
      <c r="C1019" s="1" t="n">
        <v>45757</v>
      </c>
      <c r="D1019" t="inlineStr">
        <is>
          <t>VÄSTMANLANDS LÄN</t>
        </is>
      </c>
      <c r="E1019" t="inlineStr">
        <is>
          <t>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17494-2020</t>
        </is>
      </c>
      <c r="B1020" s="1" t="n">
        <v>43916</v>
      </c>
      <c r="C1020" s="1" t="n">
        <v>45757</v>
      </c>
      <c r="D1020" t="inlineStr">
        <is>
          <t>VÄSTMANLANDS LÄN</t>
        </is>
      </c>
      <c r="E1020" t="inlineStr">
        <is>
          <t>VÄSTERÅS</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16713-2020</t>
        </is>
      </c>
      <c r="B1021" s="1" t="n">
        <v>43920</v>
      </c>
      <c r="C1021" s="1" t="n">
        <v>45757</v>
      </c>
      <c r="D1021" t="inlineStr">
        <is>
          <t>VÄSTMANLANDS LÄN</t>
        </is>
      </c>
      <c r="E1021" t="inlineStr">
        <is>
          <t>ARBOGA</t>
        </is>
      </c>
      <c r="F1021" t="inlineStr">
        <is>
          <t>Allmännings- och besparingsskogar</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17588-2020</t>
        </is>
      </c>
      <c r="B1022" s="1" t="n">
        <v>43920</v>
      </c>
      <c r="C1022" s="1" t="n">
        <v>45757</v>
      </c>
      <c r="D1022" t="inlineStr">
        <is>
          <t>VÄSTMANLANDS LÄN</t>
        </is>
      </c>
      <c r="E1022" t="inlineStr">
        <is>
          <t>VÄSTERÅS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16989-2020</t>
        </is>
      </c>
      <c r="B1023" s="1" t="n">
        <v>43921</v>
      </c>
      <c r="C1023" s="1" t="n">
        <v>45757</v>
      </c>
      <c r="D1023" t="inlineStr">
        <is>
          <t>VÄSTMANLANDS LÄN</t>
        </is>
      </c>
      <c r="E1023" t="inlineStr">
        <is>
          <t>KÖPING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16912-2020</t>
        </is>
      </c>
      <c r="B1024" s="1" t="n">
        <v>43921</v>
      </c>
      <c r="C1024" s="1" t="n">
        <v>45757</v>
      </c>
      <c r="D1024" t="inlineStr">
        <is>
          <t>VÄSTMANLANDS LÄN</t>
        </is>
      </c>
      <c r="E1024" t="inlineStr">
        <is>
          <t>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17139-2020</t>
        </is>
      </c>
      <c r="B1025" s="1" t="n">
        <v>43922</v>
      </c>
      <c r="C1025" s="1" t="n">
        <v>45757</v>
      </c>
      <c r="D1025" t="inlineStr">
        <is>
          <t>VÄSTMANLANDS LÄN</t>
        </is>
      </c>
      <c r="E1025" t="inlineStr">
        <is>
          <t>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17205-2020</t>
        </is>
      </c>
      <c r="B1026" s="1" t="n">
        <v>43922</v>
      </c>
      <c r="C1026" s="1" t="n">
        <v>45757</v>
      </c>
      <c r="D1026" t="inlineStr">
        <is>
          <t>VÄSTMANLANDS LÄN</t>
        </is>
      </c>
      <c r="E1026" t="inlineStr">
        <is>
          <t>SALA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17298-2020</t>
        </is>
      </c>
      <c r="B1027" s="1" t="n">
        <v>43922</v>
      </c>
      <c r="C1027" s="1" t="n">
        <v>45757</v>
      </c>
      <c r="D1027" t="inlineStr">
        <is>
          <t>VÄSTMANLANDS LÄN</t>
        </is>
      </c>
      <c r="E1027" t="inlineStr">
        <is>
          <t>VÄSTERÅS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17355-2020</t>
        </is>
      </c>
      <c r="B1028" s="1" t="n">
        <v>43923</v>
      </c>
      <c r="C1028" s="1" t="n">
        <v>45757</v>
      </c>
      <c r="D1028" t="inlineStr">
        <is>
          <t>VÄSTMANLANDS LÄN</t>
        </is>
      </c>
      <c r="E1028" t="inlineStr">
        <is>
          <t>SALA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17492-2020</t>
        </is>
      </c>
      <c r="B1029" s="1" t="n">
        <v>43923</v>
      </c>
      <c r="C1029" s="1" t="n">
        <v>45757</v>
      </c>
      <c r="D1029" t="inlineStr">
        <is>
          <t>VÄSTMANLANDS LÄN</t>
        </is>
      </c>
      <c r="E1029" t="inlineStr">
        <is>
          <t>SALA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18772-2020</t>
        </is>
      </c>
      <c r="B1030" s="1" t="n">
        <v>43930</v>
      </c>
      <c r="C1030" s="1" t="n">
        <v>45757</v>
      </c>
      <c r="D1030" t="inlineStr">
        <is>
          <t>VÄSTMANLANDS LÄN</t>
        </is>
      </c>
      <c r="E1030" t="inlineStr">
        <is>
          <t>SALA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19071-2020</t>
        </is>
      </c>
      <c r="B1031" s="1" t="n">
        <v>43936</v>
      </c>
      <c r="C1031" s="1" t="n">
        <v>45757</v>
      </c>
      <c r="D1031" t="inlineStr">
        <is>
          <t>VÄSTMANLANDS LÄN</t>
        </is>
      </c>
      <c r="E1031" t="inlineStr">
        <is>
          <t>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19480-2020</t>
        </is>
      </c>
      <c r="B1032" s="1" t="n">
        <v>43936</v>
      </c>
      <c r="C1032" s="1" t="n">
        <v>45757</v>
      </c>
      <c r="D1032" t="inlineStr">
        <is>
          <t>VÄSTMANLANDS LÄN</t>
        </is>
      </c>
      <c r="E1032" t="inlineStr">
        <is>
          <t>SALA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19573-2020</t>
        </is>
      </c>
      <c r="B1033" s="1" t="n">
        <v>43941</v>
      </c>
      <c r="C1033" s="1" t="n">
        <v>45757</v>
      </c>
      <c r="D1033" t="inlineStr">
        <is>
          <t>VÄSTMANLANDS LÄN</t>
        </is>
      </c>
      <c r="E1033" t="inlineStr">
        <is>
          <t>ARBOGA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20480-2020</t>
        </is>
      </c>
      <c r="B1034" s="1" t="n">
        <v>43948</v>
      </c>
      <c r="C1034" s="1" t="n">
        <v>45757</v>
      </c>
      <c r="D1034" t="inlineStr">
        <is>
          <t>VÄSTMANLANDS LÄN</t>
        </is>
      </c>
      <c r="E1034" t="inlineStr">
        <is>
          <t>NORBERG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20483-2020</t>
        </is>
      </c>
      <c r="B1035" s="1" t="n">
        <v>43948</v>
      </c>
      <c r="C1035" s="1" t="n">
        <v>45757</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20740-2020</t>
        </is>
      </c>
      <c r="B1036" s="1" t="n">
        <v>43949</v>
      </c>
      <c r="C1036" s="1" t="n">
        <v>45757</v>
      </c>
      <c r="D1036" t="inlineStr">
        <is>
          <t>VÄSTMANLANDS LÄN</t>
        </is>
      </c>
      <c r="E1036" t="inlineStr">
        <is>
          <t>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21691-2020</t>
        </is>
      </c>
      <c r="B1037" s="1" t="n">
        <v>43957</v>
      </c>
      <c r="C1037" s="1" t="n">
        <v>45757</v>
      </c>
      <c r="D1037" t="inlineStr">
        <is>
          <t>VÄSTMANLANDS LÄN</t>
        </is>
      </c>
      <c r="E1037" t="inlineStr">
        <is>
          <t>KÖPING</t>
        </is>
      </c>
      <c r="F1037" t="inlineStr">
        <is>
          <t>Kommuner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22305-2020</t>
        </is>
      </c>
      <c r="B1038" s="1" t="n">
        <v>43957</v>
      </c>
      <c r="C1038" s="1" t="n">
        <v>45757</v>
      </c>
      <c r="D1038" t="inlineStr">
        <is>
          <t>VÄSTMANLANDS LÄN</t>
        </is>
      </c>
      <c r="E1038" t="inlineStr">
        <is>
          <t>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22058-2020</t>
        </is>
      </c>
      <c r="B1039" s="1" t="n">
        <v>43959</v>
      </c>
      <c r="C1039" s="1" t="n">
        <v>45757</v>
      </c>
      <c r="D1039" t="inlineStr">
        <is>
          <t>VÄSTMANLANDS LÄN</t>
        </is>
      </c>
      <c r="E1039" t="inlineStr">
        <is>
          <t>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22455-2020</t>
        </is>
      </c>
      <c r="B1040" s="1" t="n">
        <v>43963</v>
      </c>
      <c r="C1040" s="1" t="n">
        <v>45757</v>
      </c>
      <c r="D1040" t="inlineStr">
        <is>
          <t>VÄSTMANLANDS LÄN</t>
        </is>
      </c>
      <c r="E1040" t="inlineStr">
        <is>
          <t>KUNGSÖR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22523-2020</t>
        </is>
      </c>
      <c r="B1041" s="1" t="n">
        <v>43963</v>
      </c>
      <c r="C1041" s="1" t="n">
        <v>45757</v>
      </c>
      <c r="D1041" t="inlineStr">
        <is>
          <t>VÄSTMANLANDS LÄN</t>
        </is>
      </c>
      <c r="E1041" t="inlineStr">
        <is>
          <t>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22413-2020</t>
        </is>
      </c>
      <c r="B1042" s="1" t="n">
        <v>43963</v>
      </c>
      <c r="C1042" s="1" t="n">
        <v>45757</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22770-2020</t>
        </is>
      </c>
      <c r="B1043" s="1" t="n">
        <v>43964</v>
      </c>
      <c r="C1043" s="1" t="n">
        <v>45757</v>
      </c>
      <c r="D1043" t="inlineStr">
        <is>
          <t>VÄSTMANLANDS LÄN</t>
        </is>
      </c>
      <c r="E1043" t="inlineStr">
        <is>
          <t>ARBOGA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22783-2020</t>
        </is>
      </c>
      <c r="B1044" s="1" t="n">
        <v>43964</v>
      </c>
      <c r="C1044" s="1" t="n">
        <v>45757</v>
      </c>
      <c r="D1044" t="inlineStr">
        <is>
          <t>VÄSTMANLANDS LÄN</t>
        </is>
      </c>
      <c r="E1044" t="inlineStr">
        <is>
          <t>ARBOGA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23108-2020</t>
        </is>
      </c>
      <c r="B1045" s="1" t="n">
        <v>43965</v>
      </c>
      <c r="C1045" s="1" t="n">
        <v>45757</v>
      </c>
      <c r="D1045" t="inlineStr">
        <is>
          <t>VÄSTMANLANDS LÄN</t>
        </is>
      </c>
      <c r="E1045" t="inlineStr">
        <is>
          <t>SKINNSKATTEBERG</t>
        </is>
      </c>
      <c r="F1045" t="inlineStr">
        <is>
          <t>Kyrkan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23517-2020</t>
        </is>
      </c>
      <c r="B1046" s="1" t="n">
        <v>43969</v>
      </c>
      <c r="C1046" s="1" t="n">
        <v>45757</v>
      </c>
      <c r="D1046" t="inlineStr">
        <is>
          <t>VÄSTMANLANDS LÄN</t>
        </is>
      </c>
      <c r="E1046" t="inlineStr">
        <is>
          <t>NORBERG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23556-2020</t>
        </is>
      </c>
      <c r="B1047" s="1" t="n">
        <v>43969</v>
      </c>
      <c r="C1047" s="1" t="n">
        <v>45757</v>
      </c>
      <c r="D1047" t="inlineStr">
        <is>
          <t>VÄSTMANLANDS LÄN</t>
        </is>
      </c>
      <c r="E1047" t="inlineStr">
        <is>
          <t>VÄSTERÅS</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23780-2020</t>
        </is>
      </c>
      <c r="B1048" s="1" t="n">
        <v>43970</v>
      </c>
      <c r="C1048" s="1" t="n">
        <v>45757</v>
      </c>
      <c r="D1048" t="inlineStr">
        <is>
          <t>VÄSTMANLANDS LÄN</t>
        </is>
      </c>
      <c r="E1048" t="inlineStr">
        <is>
          <t>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24235-2020</t>
        </is>
      </c>
      <c r="B1049" s="1" t="n">
        <v>43976</v>
      </c>
      <c r="C1049" s="1" t="n">
        <v>45757</v>
      </c>
      <c r="D1049" t="inlineStr">
        <is>
          <t>VÄSTMANLANDS LÄN</t>
        </is>
      </c>
      <c r="E1049" t="inlineStr">
        <is>
          <t>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24336-2020</t>
        </is>
      </c>
      <c r="B1050" s="1" t="n">
        <v>43976</v>
      </c>
      <c r="C1050" s="1" t="n">
        <v>45757</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24271-2020</t>
        </is>
      </c>
      <c r="B1051" s="1" t="n">
        <v>43976</v>
      </c>
      <c r="C1051" s="1" t="n">
        <v>45757</v>
      </c>
      <c r="D1051" t="inlineStr">
        <is>
          <t>VÄSTMANLANDS LÄN</t>
        </is>
      </c>
      <c r="E1051" t="inlineStr">
        <is>
          <t>KÖPING</t>
        </is>
      </c>
      <c r="F1051" t="inlineStr">
        <is>
          <t>Sveaskog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24309-2020</t>
        </is>
      </c>
      <c r="B1052" s="1" t="n">
        <v>43976</v>
      </c>
      <c r="C1052" s="1" t="n">
        <v>45757</v>
      </c>
      <c r="D1052" t="inlineStr">
        <is>
          <t>VÄSTMANLANDS LÄN</t>
        </is>
      </c>
      <c r="E1052" t="inlineStr">
        <is>
          <t>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24342-2020</t>
        </is>
      </c>
      <c r="B1053" s="1" t="n">
        <v>43976</v>
      </c>
      <c r="C1053" s="1" t="n">
        <v>45757</v>
      </c>
      <c r="D1053" t="inlineStr">
        <is>
          <t>VÄSTMANLANDS LÄN</t>
        </is>
      </c>
      <c r="E1053" t="inlineStr">
        <is>
          <t>VÄSTERÅS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24387-2020</t>
        </is>
      </c>
      <c r="B1054" s="1" t="n">
        <v>43976</v>
      </c>
      <c r="C1054" s="1" t="n">
        <v>45757</v>
      </c>
      <c r="D1054" t="inlineStr">
        <is>
          <t>VÄSTMANLANDS LÄN</t>
        </is>
      </c>
      <c r="E1054" t="inlineStr">
        <is>
          <t>ARBOGA</t>
        </is>
      </c>
      <c r="G1054" t="n">
        <v>15.1</v>
      </c>
      <c r="H1054" t="n">
        <v>0</v>
      </c>
      <c r="I1054" t="n">
        <v>0</v>
      </c>
      <c r="J1054" t="n">
        <v>0</v>
      </c>
      <c r="K1054" t="n">
        <v>0</v>
      </c>
      <c r="L1054" t="n">
        <v>0</v>
      </c>
      <c r="M1054" t="n">
        <v>0</v>
      </c>
      <c r="N1054" t="n">
        <v>0</v>
      </c>
      <c r="O1054" t="n">
        <v>0</v>
      </c>
      <c r="P1054" t="n">
        <v>0</v>
      </c>
      <c r="Q1054" t="n">
        <v>0</v>
      </c>
      <c r="R1054" s="2" t="inlineStr"/>
    </row>
    <row r="1055" ht="15" customHeight="1">
      <c r="A1055" t="inlineStr">
        <is>
          <t>A 24466-2020</t>
        </is>
      </c>
      <c r="B1055" s="1" t="n">
        <v>43977</v>
      </c>
      <c r="C1055" s="1" t="n">
        <v>45757</v>
      </c>
      <c r="D1055" t="inlineStr">
        <is>
          <t>VÄSTMANLANDS LÄN</t>
        </is>
      </c>
      <c r="E1055" t="inlineStr">
        <is>
          <t>VÄSTERÅS</t>
        </is>
      </c>
      <c r="F1055" t="inlineStr">
        <is>
          <t>Kyrkan</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24478-2020</t>
        </is>
      </c>
      <c r="B1056" s="1" t="n">
        <v>43977</v>
      </c>
      <c r="C1056" s="1" t="n">
        <v>45757</v>
      </c>
      <c r="D1056" t="inlineStr">
        <is>
          <t>VÄSTMANLANDS LÄN</t>
        </is>
      </c>
      <c r="E1056" t="inlineStr">
        <is>
          <t>VÄSTERÅS</t>
        </is>
      </c>
      <c r="F1056" t="inlineStr">
        <is>
          <t>Kyrkan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24763-2020</t>
        </is>
      </c>
      <c r="B1057" s="1" t="n">
        <v>43978</v>
      </c>
      <c r="C1057" s="1" t="n">
        <v>45757</v>
      </c>
      <c r="D1057" t="inlineStr">
        <is>
          <t>VÄSTMANLANDS LÄN</t>
        </is>
      </c>
      <c r="E1057" t="inlineStr">
        <is>
          <t>SALA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24734-2020</t>
        </is>
      </c>
      <c r="B1058" s="1" t="n">
        <v>43978</v>
      </c>
      <c r="C1058" s="1" t="n">
        <v>45757</v>
      </c>
      <c r="D1058" t="inlineStr">
        <is>
          <t>VÄSTMANLANDS LÄN</t>
        </is>
      </c>
      <c r="E1058" t="inlineStr">
        <is>
          <t>VÄSTERÅS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25416-2020</t>
        </is>
      </c>
      <c r="B1059" s="1" t="n">
        <v>43982</v>
      </c>
      <c r="C1059" s="1" t="n">
        <v>45757</v>
      </c>
      <c r="D1059" t="inlineStr">
        <is>
          <t>VÄSTMANLANDS LÄN</t>
        </is>
      </c>
      <c r="E1059" t="inlineStr">
        <is>
          <t>SKINNSKATTEBERG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25430-2020</t>
        </is>
      </c>
      <c r="B1060" s="1" t="n">
        <v>43982</v>
      </c>
      <c r="C1060" s="1" t="n">
        <v>45757</v>
      </c>
      <c r="D1060" t="inlineStr">
        <is>
          <t>VÄSTMANLANDS LÄN</t>
        </is>
      </c>
      <c r="E1060" t="inlineStr">
        <is>
          <t>ARBOGA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25477-2020</t>
        </is>
      </c>
      <c r="B1061" s="1" t="n">
        <v>43983</v>
      </c>
      <c r="C1061" s="1" t="n">
        <v>45757</v>
      </c>
      <c r="D1061" t="inlineStr">
        <is>
          <t>VÄSTMANLANDS LÄN</t>
        </is>
      </c>
      <c r="E1061" t="inlineStr">
        <is>
          <t>SKINNSKATTEBERG</t>
        </is>
      </c>
      <c r="F1061" t="inlineStr">
        <is>
          <t>Sveaskog</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25480-2020</t>
        </is>
      </c>
      <c r="B1062" s="1" t="n">
        <v>43983</v>
      </c>
      <c r="C1062" s="1" t="n">
        <v>45757</v>
      </c>
      <c r="D1062" t="inlineStr">
        <is>
          <t>VÄSTMANLANDS LÄN</t>
        </is>
      </c>
      <c r="E1062" t="inlineStr">
        <is>
          <t>KÖPING</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25639-2020</t>
        </is>
      </c>
      <c r="B1063" s="1" t="n">
        <v>43983</v>
      </c>
      <c r="C1063" s="1" t="n">
        <v>45757</v>
      </c>
      <c r="D1063" t="inlineStr">
        <is>
          <t>VÄSTMANLANDS LÄN</t>
        </is>
      </c>
      <c r="E1063" t="inlineStr">
        <is>
          <t>FAGERSTA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26098-2020</t>
        </is>
      </c>
      <c r="B1064" s="1" t="n">
        <v>43985</v>
      </c>
      <c r="C1064" s="1" t="n">
        <v>45757</v>
      </c>
      <c r="D1064" t="inlineStr">
        <is>
          <t>VÄSTMANLANDS LÄN</t>
        </is>
      </c>
      <c r="E1064" t="inlineStr">
        <is>
          <t>SALA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26013-2020</t>
        </is>
      </c>
      <c r="B1065" s="1" t="n">
        <v>43985</v>
      </c>
      <c r="C1065" s="1" t="n">
        <v>45757</v>
      </c>
      <c r="D1065" t="inlineStr">
        <is>
          <t>VÄSTMANLANDS LÄN</t>
        </is>
      </c>
      <c r="E1065" t="inlineStr">
        <is>
          <t>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26215-2020</t>
        </is>
      </c>
      <c r="B1066" s="1" t="n">
        <v>43986</v>
      </c>
      <c r="C1066" s="1" t="n">
        <v>45757</v>
      </c>
      <c r="D1066" t="inlineStr">
        <is>
          <t>VÄSTMANLANDS LÄN</t>
        </is>
      </c>
      <c r="E1066" t="inlineStr">
        <is>
          <t>VÄSTERÅS</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26221-2020</t>
        </is>
      </c>
      <c r="B1067" s="1" t="n">
        <v>43986</v>
      </c>
      <c r="C1067" s="1" t="n">
        <v>45757</v>
      </c>
      <c r="D1067" t="inlineStr">
        <is>
          <t>VÄSTMANLANDS LÄN</t>
        </is>
      </c>
      <c r="E1067" t="inlineStr">
        <is>
          <t>SKINNSKATTEBERG</t>
        </is>
      </c>
      <c r="F1067" t="inlineStr">
        <is>
          <t>Kyrkan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26343-2020</t>
        </is>
      </c>
      <c r="B1068" s="1" t="n">
        <v>43986</v>
      </c>
      <c r="C1068" s="1" t="n">
        <v>45757</v>
      </c>
      <c r="D1068" t="inlineStr">
        <is>
          <t>VÄSTMANLANDS LÄN</t>
        </is>
      </c>
      <c r="E1068" t="inlineStr">
        <is>
          <t>KÖPING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26455-2020</t>
        </is>
      </c>
      <c r="B1069" s="1" t="n">
        <v>43987</v>
      </c>
      <c r="C1069" s="1" t="n">
        <v>45757</v>
      </c>
      <c r="D1069" t="inlineStr">
        <is>
          <t>VÄSTMANLANDS LÄN</t>
        </is>
      </c>
      <c r="E1069" t="inlineStr">
        <is>
          <t>SKINNSKATTEBERG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26425-2020</t>
        </is>
      </c>
      <c r="B1070" s="1" t="n">
        <v>43987</v>
      </c>
      <c r="C1070" s="1" t="n">
        <v>45757</v>
      </c>
      <c r="D1070" t="inlineStr">
        <is>
          <t>VÄSTMANLANDS LÄN</t>
        </is>
      </c>
      <c r="E1070" t="inlineStr">
        <is>
          <t>SALA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26743-2020</t>
        </is>
      </c>
      <c r="B1071" s="1" t="n">
        <v>43990</v>
      </c>
      <c r="C1071" s="1" t="n">
        <v>45757</v>
      </c>
      <c r="D1071" t="inlineStr">
        <is>
          <t>VÄSTMANLANDS LÄN</t>
        </is>
      </c>
      <c r="E1071" t="inlineStr">
        <is>
          <t>KÖPING</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26754-2020</t>
        </is>
      </c>
      <c r="B1072" s="1" t="n">
        <v>43990</v>
      </c>
      <c r="C1072" s="1" t="n">
        <v>45757</v>
      </c>
      <c r="D1072" t="inlineStr">
        <is>
          <t>VÄSTMANLANDS LÄN</t>
        </is>
      </c>
      <c r="E1072" t="inlineStr">
        <is>
          <t>KÖPING</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26771-2020</t>
        </is>
      </c>
      <c r="B1073" s="1" t="n">
        <v>43990</v>
      </c>
      <c r="C1073" s="1" t="n">
        <v>45757</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26749-2020</t>
        </is>
      </c>
      <c r="B1074" s="1" t="n">
        <v>43990</v>
      </c>
      <c r="C1074" s="1" t="n">
        <v>45757</v>
      </c>
      <c r="D1074" t="inlineStr">
        <is>
          <t>VÄSTMANLANDS LÄN</t>
        </is>
      </c>
      <c r="E1074" t="inlineStr">
        <is>
          <t>KÖPING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26759-2020</t>
        </is>
      </c>
      <c r="B1075" s="1" t="n">
        <v>43990</v>
      </c>
      <c r="C1075" s="1" t="n">
        <v>45757</v>
      </c>
      <c r="D1075" t="inlineStr">
        <is>
          <t>VÄSTMANLANDS LÄN</t>
        </is>
      </c>
      <c r="E1075" t="inlineStr">
        <is>
          <t>KÖPING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26765-2020</t>
        </is>
      </c>
      <c r="B1076" s="1" t="n">
        <v>43990</v>
      </c>
      <c r="C1076" s="1" t="n">
        <v>45757</v>
      </c>
      <c r="D1076" t="inlineStr">
        <is>
          <t>VÄSTMANLANDS LÄN</t>
        </is>
      </c>
      <c r="E1076" t="inlineStr">
        <is>
          <t>KÖPING</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26740-2020</t>
        </is>
      </c>
      <c r="B1077" s="1" t="n">
        <v>43990</v>
      </c>
      <c r="C1077" s="1" t="n">
        <v>45757</v>
      </c>
      <c r="D1077" t="inlineStr">
        <is>
          <t>VÄSTMANLANDS LÄN</t>
        </is>
      </c>
      <c r="E1077" t="inlineStr">
        <is>
          <t>KÖPING</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26769-2020</t>
        </is>
      </c>
      <c r="B1078" s="1" t="n">
        <v>43990</v>
      </c>
      <c r="C1078" s="1" t="n">
        <v>45757</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26937-2020</t>
        </is>
      </c>
      <c r="B1079" s="1" t="n">
        <v>43990</v>
      </c>
      <c r="C1079" s="1" t="n">
        <v>45757</v>
      </c>
      <c r="D1079" t="inlineStr">
        <is>
          <t>VÄSTMANLANDS LÄN</t>
        </is>
      </c>
      <c r="E1079" t="inlineStr">
        <is>
          <t>SALA</t>
        </is>
      </c>
      <c r="F1079" t="inlineStr">
        <is>
          <t>Bergvik skog öst AB</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26782-2020</t>
        </is>
      </c>
      <c r="B1080" s="1" t="n">
        <v>43990</v>
      </c>
      <c r="C1080" s="1" t="n">
        <v>45757</v>
      </c>
      <c r="D1080" t="inlineStr">
        <is>
          <t>VÄSTMANLANDS LÄN</t>
        </is>
      </c>
      <c r="E1080" t="inlineStr">
        <is>
          <t>KÖPING</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27325-2020</t>
        </is>
      </c>
      <c r="B1081" s="1" t="n">
        <v>43992</v>
      </c>
      <c r="C1081" s="1" t="n">
        <v>45757</v>
      </c>
      <c r="D1081" t="inlineStr">
        <is>
          <t>VÄSTMANLANDS LÄN</t>
        </is>
      </c>
      <c r="E1081" t="inlineStr">
        <is>
          <t>HALLSTAHAMMAR</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27359-2020</t>
        </is>
      </c>
      <c r="B1082" s="1" t="n">
        <v>43992</v>
      </c>
      <c r="C1082" s="1" t="n">
        <v>45757</v>
      </c>
      <c r="D1082" t="inlineStr">
        <is>
          <t>VÄSTMANLANDS LÄN</t>
        </is>
      </c>
      <c r="E1082" t="inlineStr">
        <is>
          <t>HALLSTAHAMMAR</t>
        </is>
      </c>
      <c r="F1082" t="inlineStr">
        <is>
          <t>Kommuner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27332-2020</t>
        </is>
      </c>
      <c r="B1083" s="1" t="n">
        <v>43992</v>
      </c>
      <c r="C1083" s="1" t="n">
        <v>45757</v>
      </c>
      <c r="D1083" t="inlineStr">
        <is>
          <t>VÄSTMANLANDS LÄN</t>
        </is>
      </c>
      <c r="E1083" t="inlineStr">
        <is>
          <t>HALLSTAHAMMAR</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27328-2020</t>
        </is>
      </c>
      <c r="B1084" s="1" t="n">
        <v>43992</v>
      </c>
      <c r="C1084" s="1" t="n">
        <v>45757</v>
      </c>
      <c r="D1084" t="inlineStr">
        <is>
          <t>VÄSTMANLANDS LÄN</t>
        </is>
      </c>
      <c r="E1084" t="inlineStr">
        <is>
          <t>HALLSTAHAMMAR</t>
        </is>
      </c>
      <c r="F1084" t="inlineStr">
        <is>
          <t>Kommuner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27637-2020</t>
        </is>
      </c>
      <c r="B1085" s="1" t="n">
        <v>43993</v>
      </c>
      <c r="C1085" s="1" t="n">
        <v>45757</v>
      </c>
      <c r="D1085" t="inlineStr">
        <is>
          <t>VÄSTMANLANDS LÄN</t>
        </is>
      </c>
      <c r="E1085" t="inlineStr">
        <is>
          <t>VÄSTERÅS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27730-2020</t>
        </is>
      </c>
      <c r="B1086" s="1" t="n">
        <v>43994</v>
      </c>
      <c r="C1086" s="1" t="n">
        <v>45757</v>
      </c>
      <c r="D1086" t="inlineStr">
        <is>
          <t>VÄSTMANLANDS LÄN</t>
        </is>
      </c>
      <c r="E1086" t="inlineStr">
        <is>
          <t>SALA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28071-2020</t>
        </is>
      </c>
      <c r="B1087" s="1" t="n">
        <v>43997</v>
      </c>
      <c r="C1087" s="1" t="n">
        <v>45757</v>
      </c>
      <c r="D1087" t="inlineStr">
        <is>
          <t>VÄSTMANLANDS LÄN</t>
        </is>
      </c>
      <c r="E1087" t="inlineStr">
        <is>
          <t>ARBOGA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28536-2020</t>
        </is>
      </c>
      <c r="B1088" s="1" t="n">
        <v>43999</v>
      </c>
      <c r="C1088" s="1" t="n">
        <v>45757</v>
      </c>
      <c r="D1088" t="inlineStr">
        <is>
          <t>VÄSTMANLANDS LÄN</t>
        </is>
      </c>
      <c r="E1088" t="inlineStr">
        <is>
          <t>VÄSTERÅS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28555-2020</t>
        </is>
      </c>
      <c r="B1089" s="1" t="n">
        <v>43999</v>
      </c>
      <c r="C1089" s="1" t="n">
        <v>45757</v>
      </c>
      <c r="D1089" t="inlineStr">
        <is>
          <t>VÄSTMANLANDS LÄN</t>
        </is>
      </c>
      <c r="E1089" t="inlineStr">
        <is>
          <t>KÖPING</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28533-2020</t>
        </is>
      </c>
      <c r="B1090" s="1" t="n">
        <v>43999</v>
      </c>
      <c r="C1090" s="1" t="n">
        <v>45757</v>
      </c>
      <c r="D1090" t="inlineStr">
        <is>
          <t>VÄSTMANLANDS LÄN</t>
        </is>
      </c>
      <c r="E1090" t="inlineStr">
        <is>
          <t>VÄSTERÅS</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28947-2020</t>
        </is>
      </c>
      <c r="B1091" s="1" t="n">
        <v>44000</v>
      </c>
      <c r="C1091" s="1" t="n">
        <v>45757</v>
      </c>
      <c r="D1091" t="inlineStr">
        <is>
          <t>VÄSTMANLANDS LÄN</t>
        </is>
      </c>
      <c r="E1091" t="inlineStr">
        <is>
          <t>KUNGSÖR</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29197-2020</t>
        </is>
      </c>
      <c r="B1092" s="1" t="n">
        <v>44004</v>
      </c>
      <c r="C1092" s="1" t="n">
        <v>45757</v>
      </c>
      <c r="D1092" t="inlineStr">
        <is>
          <t>VÄSTMANLANDS LÄN</t>
        </is>
      </c>
      <c r="E1092" t="inlineStr">
        <is>
          <t>VÄSTERÅS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29606-2020</t>
        </is>
      </c>
      <c r="B1093" s="1" t="n">
        <v>44005</v>
      </c>
      <c r="C1093" s="1" t="n">
        <v>45757</v>
      </c>
      <c r="D1093" t="inlineStr">
        <is>
          <t>VÄSTMANLANDS LÄN</t>
        </is>
      </c>
      <c r="E1093" t="inlineStr">
        <is>
          <t>NORBERG</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29726-2020</t>
        </is>
      </c>
      <c r="B1094" s="1" t="n">
        <v>44005</v>
      </c>
      <c r="C1094" s="1" t="n">
        <v>45757</v>
      </c>
      <c r="D1094" t="inlineStr">
        <is>
          <t>VÄSTMANLANDS LÄN</t>
        </is>
      </c>
      <c r="E1094" t="inlineStr">
        <is>
          <t>VÄSTERÅS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29845-2020</t>
        </is>
      </c>
      <c r="B1095" s="1" t="n">
        <v>44005</v>
      </c>
      <c r="C1095" s="1" t="n">
        <v>45757</v>
      </c>
      <c r="D1095" t="inlineStr">
        <is>
          <t>VÄSTMANLANDS LÄN</t>
        </is>
      </c>
      <c r="E1095" t="inlineStr">
        <is>
          <t>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29821-2020</t>
        </is>
      </c>
      <c r="B1096" s="1" t="n">
        <v>44005</v>
      </c>
      <c r="C1096" s="1" t="n">
        <v>45757</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29925-2020</t>
        </is>
      </c>
      <c r="B1097" s="1" t="n">
        <v>44006</v>
      </c>
      <c r="C1097" s="1" t="n">
        <v>45757</v>
      </c>
      <c r="D1097" t="inlineStr">
        <is>
          <t>VÄSTMANLANDS LÄN</t>
        </is>
      </c>
      <c r="E1097" t="inlineStr">
        <is>
          <t>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30327-2020</t>
        </is>
      </c>
      <c r="B1098" s="1" t="n">
        <v>44007</v>
      </c>
      <c r="C1098" s="1" t="n">
        <v>45757</v>
      </c>
      <c r="D1098" t="inlineStr">
        <is>
          <t>VÄSTMANLANDS LÄN</t>
        </is>
      </c>
      <c r="E1098" t="inlineStr">
        <is>
          <t>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30362-2020</t>
        </is>
      </c>
      <c r="B1099" s="1" t="n">
        <v>44007</v>
      </c>
      <c r="C1099" s="1" t="n">
        <v>45757</v>
      </c>
      <c r="D1099" t="inlineStr">
        <is>
          <t>VÄSTMANLANDS LÄN</t>
        </is>
      </c>
      <c r="E1099" t="inlineStr">
        <is>
          <t>VÄSTERÅS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30365-2020</t>
        </is>
      </c>
      <c r="B1100" s="1" t="n">
        <v>44007</v>
      </c>
      <c r="C1100" s="1" t="n">
        <v>45757</v>
      </c>
      <c r="D1100" t="inlineStr">
        <is>
          <t>VÄSTMANLANDS LÄN</t>
        </is>
      </c>
      <c r="E1100" t="inlineStr">
        <is>
          <t>VÄSTERÅS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30793-2020</t>
        </is>
      </c>
      <c r="B1101" s="1" t="n">
        <v>44010</v>
      </c>
      <c r="C1101" s="1" t="n">
        <v>45757</v>
      </c>
      <c r="D1101" t="inlineStr">
        <is>
          <t>VÄSTMANLANDS LÄN</t>
        </is>
      </c>
      <c r="E1101" t="inlineStr">
        <is>
          <t>VÄSTERÅS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30928-2020</t>
        </is>
      </c>
      <c r="B1102" s="1" t="n">
        <v>44011</v>
      </c>
      <c r="C1102" s="1" t="n">
        <v>45757</v>
      </c>
      <c r="D1102" t="inlineStr">
        <is>
          <t>VÄSTMANLANDS LÄN</t>
        </is>
      </c>
      <c r="E1102" t="inlineStr">
        <is>
          <t>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30985-2020</t>
        </is>
      </c>
      <c r="B1103" s="1" t="n">
        <v>44011</v>
      </c>
      <c r="C1103" s="1" t="n">
        <v>45757</v>
      </c>
      <c r="D1103" t="inlineStr">
        <is>
          <t>VÄSTMANLANDS LÄN</t>
        </is>
      </c>
      <c r="E1103" t="inlineStr">
        <is>
          <t>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31151-2020</t>
        </is>
      </c>
      <c r="B1104" s="1" t="n">
        <v>44012</v>
      </c>
      <c r="C1104" s="1" t="n">
        <v>45757</v>
      </c>
      <c r="D1104" t="inlineStr">
        <is>
          <t>VÄSTMANLANDS LÄN</t>
        </is>
      </c>
      <c r="E1104" t="inlineStr">
        <is>
          <t>SKINNSKATTEBERG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31552-2020</t>
        </is>
      </c>
      <c r="B1105" s="1" t="n">
        <v>44013</v>
      </c>
      <c r="C1105" s="1" t="n">
        <v>45757</v>
      </c>
      <c r="D1105" t="inlineStr">
        <is>
          <t>VÄSTMANLANDS LÄN</t>
        </is>
      </c>
      <c r="E1105" t="inlineStr">
        <is>
          <t>VÄSTERÅS</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31719-2020</t>
        </is>
      </c>
      <c r="B1106" s="1" t="n">
        <v>44014</v>
      </c>
      <c r="C1106" s="1" t="n">
        <v>45757</v>
      </c>
      <c r="D1106" t="inlineStr">
        <is>
          <t>VÄSTMANLANDS LÄN</t>
        </is>
      </c>
      <c r="E1106" t="inlineStr">
        <is>
          <t>NORBERG</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31671-2020</t>
        </is>
      </c>
      <c r="B1107" s="1" t="n">
        <v>44014</v>
      </c>
      <c r="C1107" s="1" t="n">
        <v>45757</v>
      </c>
      <c r="D1107" t="inlineStr">
        <is>
          <t>VÄSTMANLANDS LÄN</t>
        </is>
      </c>
      <c r="E1107" t="inlineStr">
        <is>
          <t>SKINNSKATTEBERG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32265-2020</t>
        </is>
      </c>
      <c r="B1108" s="1" t="n">
        <v>44015</v>
      </c>
      <c r="C1108" s="1" t="n">
        <v>45757</v>
      </c>
      <c r="D1108" t="inlineStr">
        <is>
          <t>VÄSTMANLANDS LÄN</t>
        </is>
      </c>
      <c r="E1108" t="inlineStr">
        <is>
          <t>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32361-2020</t>
        </is>
      </c>
      <c r="B1109" s="1" t="n">
        <v>44017</v>
      </c>
      <c r="C1109" s="1" t="n">
        <v>45757</v>
      </c>
      <c r="D1109" t="inlineStr">
        <is>
          <t>VÄSTMANLANDS LÄN</t>
        </is>
      </c>
      <c r="E1109" t="inlineStr">
        <is>
          <t>SKINNSKATTEBERG</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32371-2020</t>
        </is>
      </c>
      <c r="B1110" s="1" t="n">
        <v>44018</v>
      </c>
      <c r="C1110" s="1" t="n">
        <v>45757</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32367-2020</t>
        </is>
      </c>
      <c r="B1111" s="1" t="n">
        <v>44018</v>
      </c>
      <c r="C1111" s="1" t="n">
        <v>45757</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32368-2020</t>
        </is>
      </c>
      <c r="B1112" s="1" t="n">
        <v>44018</v>
      </c>
      <c r="C1112" s="1" t="n">
        <v>45757</v>
      </c>
      <c r="D1112" t="inlineStr">
        <is>
          <t>VÄSTMANLANDS LÄN</t>
        </is>
      </c>
      <c r="E1112" t="inlineStr">
        <is>
          <t>SALA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32377-2020</t>
        </is>
      </c>
      <c r="B1113" s="1" t="n">
        <v>44018</v>
      </c>
      <c r="C1113" s="1" t="n">
        <v>45757</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32605-2020</t>
        </is>
      </c>
      <c r="B1114" s="1" t="n">
        <v>44019</v>
      </c>
      <c r="C1114" s="1" t="n">
        <v>45757</v>
      </c>
      <c r="D1114" t="inlineStr">
        <is>
          <t>VÄSTMANLANDS LÄN</t>
        </is>
      </c>
      <c r="E1114" t="inlineStr">
        <is>
          <t>KÖPING</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32935-2020</t>
        </is>
      </c>
      <c r="B1115" s="1" t="n">
        <v>44020</v>
      </c>
      <c r="C1115" s="1" t="n">
        <v>45757</v>
      </c>
      <c r="D1115" t="inlineStr">
        <is>
          <t>VÄSTMANLANDS LÄN</t>
        </is>
      </c>
      <c r="E1115" t="inlineStr">
        <is>
          <t>ARBOGA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33181-2020</t>
        </is>
      </c>
      <c r="B1116" s="1" t="n">
        <v>44021</v>
      </c>
      <c r="C1116" s="1" t="n">
        <v>45757</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33183-2020</t>
        </is>
      </c>
      <c r="B1117" s="1" t="n">
        <v>44021</v>
      </c>
      <c r="C1117" s="1" t="n">
        <v>45757</v>
      </c>
      <c r="D1117" t="inlineStr">
        <is>
          <t>VÄSTMANLANDS LÄN</t>
        </is>
      </c>
      <c r="E1117" t="inlineStr">
        <is>
          <t>VÄSTERÅS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33358-2020</t>
        </is>
      </c>
      <c r="B1118" s="1" t="n">
        <v>44022</v>
      </c>
      <c r="C1118" s="1" t="n">
        <v>45757</v>
      </c>
      <c r="D1118" t="inlineStr">
        <is>
          <t>VÄSTMANLANDS LÄN</t>
        </is>
      </c>
      <c r="E1118" t="inlineStr">
        <is>
          <t>SKINNSKATTEBERG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33363-2020</t>
        </is>
      </c>
      <c r="B1119" s="1" t="n">
        <v>44022</v>
      </c>
      <c r="C1119" s="1" t="n">
        <v>45757</v>
      </c>
      <c r="D1119" t="inlineStr">
        <is>
          <t>VÄSTMANLANDS LÄN</t>
        </is>
      </c>
      <c r="E1119" t="inlineStr">
        <is>
          <t>SKINNSKATTEBERG</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33417-2020</t>
        </is>
      </c>
      <c r="B1120" s="1" t="n">
        <v>44022</v>
      </c>
      <c r="C1120" s="1" t="n">
        <v>45757</v>
      </c>
      <c r="D1120" t="inlineStr">
        <is>
          <t>VÄSTMANLANDS LÄN</t>
        </is>
      </c>
      <c r="E1120" t="inlineStr">
        <is>
          <t>KÖPING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33750-2020</t>
        </is>
      </c>
      <c r="B1121" s="1" t="n">
        <v>44026</v>
      </c>
      <c r="C1121" s="1" t="n">
        <v>45757</v>
      </c>
      <c r="D1121" t="inlineStr">
        <is>
          <t>VÄSTMANLANDS LÄN</t>
        </is>
      </c>
      <c r="E1121" t="inlineStr">
        <is>
          <t>ARBOGA</t>
        </is>
      </c>
      <c r="G1121" t="n">
        <v>13.9</v>
      </c>
      <c r="H1121" t="n">
        <v>0</v>
      </c>
      <c r="I1121" t="n">
        <v>0</v>
      </c>
      <c r="J1121" t="n">
        <v>0</v>
      </c>
      <c r="K1121" t="n">
        <v>0</v>
      </c>
      <c r="L1121" t="n">
        <v>0</v>
      </c>
      <c r="M1121" t="n">
        <v>0</v>
      </c>
      <c r="N1121" t="n">
        <v>0</v>
      </c>
      <c r="O1121" t="n">
        <v>0</v>
      </c>
      <c r="P1121" t="n">
        <v>0</v>
      </c>
      <c r="Q1121" t="n">
        <v>0</v>
      </c>
      <c r="R1121" s="2" t="inlineStr"/>
    </row>
    <row r="1122" ht="15" customHeight="1">
      <c r="A1122" t="inlineStr">
        <is>
          <t>A 33867-2020</t>
        </is>
      </c>
      <c r="B1122" s="1" t="n">
        <v>44027</v>
      </c>
      <c r="C1122" s="1" t="n">
        <v>45757</v>
      </c>
      <c r="D1122" t="inlineStr">
        <is>
          <t>VÄSTMANLANDS LÄN</t>
        </is>
      </c>
      <c r="E1122" t="inlineStr">
        <is>
          <t>VÄSTERÅS</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33865-2020</t>
        </is>
      </c>
      <c r="B1123" s="1" t="n">
        <v>44027</v>
      </c>
      <c r="C1123" s="1" t="n">
        <v>45757</v>
      </c>
      <c r="D1123" t="inlineStr">
        <is>
          <t>VÄSTMANLANDS LÄN</t>
        </is>
      </c>
      <c r="E1123" t="inlineStr">
        <is>
          <t>KÖPING</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33916-2020</t>
        </is>
      </c>
      <c r="B1124" s="1" t="n">
        <v>44027</v>
      </c>
      <c r="C1124" s="1" t="n">
        <v>45757</v>
      </c>
      <c r="D1124" t="inlineStr">
        <is>
          <t>VÄSTMANLANDS LÄN</t>
        </is>
      </c>
      <c r="E1124" t="inlineStr">
        <is>
          <t>KÖPING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33919-2020</t>
        </is>
      </c>
      <c r="B1125" s="1" t="n">
        <v>44027</v>
      </c>
      <c r="C1125" s="1" t="n">
        <v>45757</v>
      </c>
      <c r="D1125" t="inlineStr">
        <is>
          <t>VÄSTMANLANDS LÄN</t>
        </is>
      </c>
      <c r="E1125" t="inlineStr">
        <is>
          <t>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34065-2020</t>
        </is>
      </c>
      <c r="B1126" s="1" t="n">
        <v>44028</v>
      </c>
      <c r="C1126" s="1" t="n">
        <v>45757</v>
      </c>
      <c r="D1126" t="inlineStr">
        <is>
          <t>VÄSTMANLANDS LÄN</t>
        </is>
      </c>
      <c r="E1126" t="inlineStr">
        <is>
          <t>KÖPING</t>
        </is>
      </c>
      <c r="F1126" t="inlineStr">
        <is>
          <t>Sveaskog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34011-2020</t>
        </is>
      </c>
      <c r="B1127" s="1" t="n">
        <v>44028</v>
      </c>
      <c r="C1127" s="1" t="n">
        <v>45757</v>
      </c>
      <c r="D1127" t="inlineStr">
        <is>
          <t>VÄSTMANLANDS LÄN</t>
        </is>
      </c>
      <c r="E1127" t="inlineStr">
        <is>
          <t>KÖPING</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34181-2020</t>
        </is>
      </c>
      <c r="B1128" s="1" t="n">
        <v>44029</v>
      </c>
      <c r="C1128" s="1" t="n">
        <v>45757</v>
      </c>
      <c r="D1128" t="inlineStr">
        <is>
          <t>VÄSTMANLANDS LÄN</t>
        </is>
      </c>
      <c r="E1128" t="inlineStr">
        <is>
          <t>VÄSTERÅS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34402-2020</t>
        </is>
      </c>
      <c r="B1129" s="1" t="n">
        <v>44029</v>
      </c>
      <c r="C1129" s="1" t="n">
        <v>45757</v>
      </c>
      <c r="D1129" t="inlineStr">
        <is>
          <t>VÄSTMANLANDS LÄN</t>
        </is>
      </c>
      <c r="E1129" t="inlineStr">
        <is>
          <t>SKINNSKATTEBERG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34460-2020</t>
        </is>
      </c>
      <c r="B1130" s="1" t="n">
        <v>44032</v>
      </c>
      <c r="C1130" s="1" t="n">
        <v>45757</v>
      </c>
      <c r="D1130" t="inlineStr">
        <is>
          <t>VÄSTMANLANDS LÄN</t>
        </is>
      </c>
      <c r="E1130" t="inlineStr">
        <is>
          <t>ARBOGA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34430-2020</t>
        </is>
      </c>
      <c r="B1131" s="1" t="n">
        <v>44032</v>
      </c>
      <c r="C1131" s="1" t="n">
        <v>45757</v>
      </c>
      <c r="D1131" t="inlineStr">
        <is>
          <t>VÄSTMANLANDS LÄN</t>
        </is>
      </c>
      <c r="E1131" t="inlineStr">
        <is>
          <t>SALA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34528-2020</t>
        </is>
      </c>
      <c r="B1132" s="1" t="n">
        <v>44032</v>
      </c>
      <c r="C1132" s="1" t="n">
        <v>45757</v>
      </c>
      <c r="D1132" t="inlineStr">
        <is>
          <t>VÄSTMANLANDS LÄN</t>
        </is>
      </c>
      <c r="E1132" t="inlineStr">
        <is>
          <t>VÄSTERÅS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34429-2020</t>
        </is>
      </c>
      <c r="B1133" s="1" t="n">
        <v>44032</v>
      </c>
      <c r="C1133" s="1" t="n">
        <v>45757</v>
      </c>
      <c r="D1133" t="inlineStr">
        <is>
          <t>VÄSTMANLANDS LÄN</t>
        </is>
      </c>
      <c r="E1133" t="inlineStr">
        <is>
          <t>SALA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35713-2020</t>
        </is>
      </c>
      <c r="B1134" s="1" t="n">
        <v>44032</v>
      </c>
      <c r="C1134" s="1" t="n">
        <v>45757</v>
      </c>
      <c r="D1134" t="inlineStr">
        <is>
          <t>VÄSTMANLANDS LÄN</t>
        </is>
      </c>
      <c r="E1134" t="inlineStr">
        <is>
          <t>VÄSTERÅS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34602-2020</t>
        </is>
      </c>
      <c r="B1135" s="1" t="n">
        <v>44034</v>
      </c>
      <c r="C1135" s="1" t="n">
        <v>45757</v>
      </c>
      <c r="D1135" t="inlineStr">
        <is>
          <t>VÄSTMANLANDS LÄN</t>
        </is>
      </c>
      <c r="E1135" t="inlineStr">
        <is>
          <t>SKINNSKATTEBERG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34864-2020</t>
        </is>
      </c>
      <c r="B1136" s="1" t="n">
        <v>44036</v>
      </c>
      <c r="C1136" s="1" t="n">
        <v>45757</v>
      </c>
      <c r="D1136" t="inlineStr">
        <is>
          <t>VÄSTMANLANDS LÄN</t>
        </is>
      </c>
      <c r="E1136" t="inlineStr">
        <is>
          <t>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34984-2020</t>
        </is>
      </c>
      <c r="B1137" s="1" t="n">
        <v>44039</v>
      </c>
      <c r="C1137" s="1" t="n">
        <v>45757</v>
      </c>
      <c r="D1137" t="inlineStr">
        <is>
          <t>VÄSTMANLANDS LÄN</t>
        </is>
      </c>
      <c r="E1137" t="inlineStr">
        <is>
          <t>FAGERSTA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35199-2020</t>
        </is>
      </c>
      <c r="B1138" s="1" t="n">
        <v>44040</v>
      </c>
      <c r="C1138" s="1" t="n">
        <v>45757</v>
      </c>
      <c r="D1138" t="inlineStr">
        <is>
          <t>VÄSTMANLANDS LÄN</t>
        </is>
      </c>
      <c r="E1138" t="inlineStr">
        <is>
          <t>VÄSTERÅS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35532-2020</t>
        </is>
      </c>
      <c r="B1139" s="1" t="n">
        <v>44043</v>
      </c>
      <c r="C1139" s="1" t="n">
        <v>45757</v>
      </c>
      <c r="D1139" t="inlineStr">
        <is>
          <t>VÄSTMANLANDS LÄN</t>
        </is>
      </c>
      <c r="E1139" t="inlineStr">
        <is>
          <t>KÖPING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35694-2020</t>
        </is>
      </c>
      <c r="B1140" s="1" t="n">
        <v>44046</v>
      </c>
      <c r="C1140" s="1" t="n">
        <v>45757</v>
      </c>
      <c r="D1140" t="inlineStr">
        <is>
          <t>VÄSTMANLANDS LÄN</t>
        </is>
      </c>
      <c r="E1140" t="inlineStr">
        <is>
          <t>FAGERSTA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35730-2020</t>
        </is>
      </c>
      <c r="B1141" s="1" t="n">
        <v>44046</v>
      </c>
      <c r="C1141" s="1" t="n">
        <v>45757</v>
      </c>
      <c r="D1141" t="inlineStr">
        <is>
          <t>VÄSTMANLANDS LÄN</t>
        </is>
      </c>
      <c r="E1141" t="inlineStr">
        <is>
          <t>VÄSTERÅS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35734-2020</t>
        </is>
      </c>
      <c r="B1142" s="1" t="n">
        <v>44046</v>
      </c>
      <c r="C1142" s="1" t="n">
        <v>45757</v>
      </c>
      <c r="D1142" t="inlineStr">
        <is>
          <t>VÄSTMANLANDS LÄN</t>
        </is>
      </c>
      <c r="E1142" t="inlineStr">
        <is>
          <t>VÄSTERÅS</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35765-2020</t>
        </is>
      </c>
      <c r="B1143" s="1" t="n">
        <v>44046</v>
      </c>
      <c r="C1143" s="1" t="n">
        <v>45757</v>
      </c>
      <c r="D1143" t="inlineStr">
        <is>
          <t>VÄSTMANLANDS LÄN</t>
        </is>
      </c>
      <c r="E1143" t="inlineStr">
        <is>
          <t>SKINNSKATTEBERG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35776-2020</t>
        </is>
      </c>
      <c r="B1144" s="1" t="n">
        <v>44046</v>
      </c>
      <c r="C1144" s="1" t="n">
        <v>45757</v>
      </c>
      <c r="D1144" t="inlineStr">
        <is>
          <t>VÄSTMANLANDS LÄN</t>
        </is>
      </c>
      <c r="E1144" t="inlineStr">
        <is>
          <t>ARBOGA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36173-2020</t>
        </is>
      </c>
      <c r="B1145" s="1" t="n">
        <v>44048</v>
      </c>
      <c r="C1145" s="1" t="n">
        <v>45757</v>
      </c>
      <c r="D1145" t="inlineStr">
        <is>
          <t>VÄSTMANLANDS LÄN</t>
        </is>
      </c>
      <c r="E1145" t="inlineStr">
        <is>
          <t>NORBERG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36170-2020</t>
        </is>
      </c>
      <c r="B1146" s="1" t="n">
        <v>44048</v>
      </c>
      <c r="C1146" s="1" t="n">
        <v>45757</v>
      </c>
      <c r="D1146" t="inlineStr">
        <is>
          <t>VÄSTMANLANDS LÄN</t>
        </is>
      </c>
      <c r="E1146" t="inlineStr">
        <is>
          <t>KUNGSÖR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36196-2020</t>
        </is>
      </c>
      <c r="B1147" s="1" t="n">
        <v>44048</v>
      </c>
      <c r="C1147" s="1" t="n">
        <v>45757</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36408-2020</t>
        </is>
      </c>
      <c r="B1148" s="1" t="n">
        <v>44049</v>
      </c>
      <c r="C1148" s="1" t="n">
        <v>45757</v>
      </c>
      <c r="D1148" t="inlineStr">
        <is>
          <t>VÄSTMANLANDS LÄN</t>
        </is>
      </c>
      <c r="E1148" t="inlineStr">
        <is>
          <t>ARBOGA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36598-2020</t>
        </is>
      </c>
      <c r="B1149" s="1" t="n">
        <v>44050</v>
      </c>
      <c r="C1149" s="1" t="n">
        <v>45757</v>
      </c>
      <c r="D1149" t="inlineStr">
        <is>
          <t>VÄSTMANLANDS LÄN</t>
        </is>
      </c>
      <c r="E1149" t="inlineStr">
        <is>
          <t>SKINNSKATTEBERG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36921-2020</t>
        </is>
      </c>
      <c r="B1150" s="1" t="n">
        <v>44053</v>
      </c>
      <c r="C1150" s="1" t="n">
        <v>45757</v>
      </c>
      <c r="D1150" t="inlineStr">
        <is>
          <t>VÄSTMANLANDS LÄN</t>
        </is>
      </c>
      <c r="E1150" t="inlineStr">
        <is>
          <t>VÄSTERÅS</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37008-2020</t>
        </is>
      </c>
      <c r="B1151" s="1" t="n">
        <v>44054</v>
      </c>
      <c r="C1151" s="1" t="n">
        <v>45757</v>
      </c>
      <c r="D1151" t="inlineStr">
        <is>
          <t>VÄSTMANLANDS LÄN</t>
        </is>
      </c>
      <c r="E1151" t="inlineStr">
        <is>
          <t>SALA</t>
        </is>
      </c>
      <c r="F1151" t="inlineStr">
        <is>
          <t>Kommuner</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37098-2020</t>
        </is>
      </c>
      <c r="B1152" s="1" t="n">
        <v>44054</v>
      </c>
      <c r="C1152" s="1" t="n">
        <v>45757</v>
      </c>
      <c r="D1152" t="inlineStr">
        <is>
          <t>VÄSTMANLANDS LÄN</t>
        </is>
      </c>
      <c r="E1152" t="inlineStr">
        <is>
          <t>SALA</t>
        </is>
      </c>
      <c r="F1152" t="inlineStr">
        <is>
          <t>Kommuner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37150-2020</t>
        </is>
      </c>
      <c r="B1153" s="1" t="n">
        <v>44054</v>
      </c>
      <c r="C1153" s="1" t="n">
        <v>45757</v>
      </c>
      <c r="D1153" t="inlineStr">
        <is>
          <t>VÄSTMANLANDS LÄN</t>
        </is>
      </c>
      <c r="E1153" t="inlineStr">
        <is>
          <t>SALA</t>
        </is>
      </c>
      <c r="F1153" t="inlineStr">
        <is>
          <t>Kommuner</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37161-2020</t>
        </is>
      </c>
      <c r="B1154" s="1" t="n">
        <v>44054</v>
      </c>
      <c r="C1154" s="1" t="n">
        <v>45757</v>
      </c>
      <c r="D1154" t="inlineStr">
        <is>
          <t>VÄSTMANLANDS LÄN</t>
        </is>
      </c>
      <c r="E1154" t="inlineStr">
        <is>
          <t>ARBOGA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37467-2020</t>
        </is>
      </c>
      <c r="B1155" s="1" t="n">
        <v>44055</v>
      </c>
      <c r="C1155" s="1" t="n">
        <v>45757</v>
      </c>
      <c r="D1155" t="inlineStr">
        <is>
          <t>VÄSTMANLANDS LÄN</t>
        </is>
      </c>
      <c r="E1155" t="inlineStr">
        <is>
          <t>KÖPING</t>
        </is>
      </c>
      <c r="F1155" t="inlineStr">
        <is>
          <t>Kyrkan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38373-2020</t>
        </is>
      </c>
      <c r="B1156" s="1" t="n">
        <v>44060</v>
      </c>
      <c r="C1156" s="1" t="n">
        <v>45757</v>
      </c>
      <c r="D1156" t="inlineStr">
        <is>
          <t>VÄSTMANLANDS LÄN</t>
        </is>
      </c>
      <c r="E1156" t="inlineStr">
        <is>
          <t>VÄSTERÅS</t>
        </is>
      </c>
      <c r="F1156" t="inlineStr">
        <is>
          <t>Övriga Aktiebolag</t>
        </is>
      </c>
      <c r="G1156" t="n">
        <v>36.2</v>
      </c>
      <c r="H1156" t="n">
        <v>0</v>
      </c>
      <c r="I1156" t="n">
        <v>0</v>
      </c>
      <c r="J1156" t="n">
        <v>0</v>
      </c>
      <c r="K1156" t="n">
        <v>0</v>
      </c>
      <c r="L1156" t="n">
        <v>0</v>
      </c>
      <c r="M1156" t="n">
        <v>0</v>
      </c>
      <c r="N1156" t="n">
        <v>0</v>
      </c>
      <c r="O1156" t="n">
        <v>0</v>
      </c>
      <c r="P1156" t="n">
        <v>0</v>
      </c>
      <c r="Q1156" t="n">
        <v>0</v>
      </c>
      <c r="R1156" s="2" t="inlineStr"/>
    </row>
    <row r="1157" ht="15" customHeight="1">
      <c r="A1157" t="inlineStr">
        <is>
          <t>A 38556-2020</t>
        </is>
      </c>
      <c r="B1157" s="1" t="n">
        <v>44061</v>
      </c>
      <c r="C1157" s="1" t="n">
        <v>45757</v>
      </c>
      <c r="D1157" t="inlineStr">
        <is>
          <t>VÄSTMANLANDS LÄN</t>
        </is>
      </c>
      <c r="E1157" t="inlineStr">
        <is>
          <t>FAGERSTA</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38547-2020</t>
        </is>
      </c>
      <c r="B1158" s="1" t="n">
        <v>44061</v>
      </c>
      <c r="C1158" s="1" t="n">
        <v>45757</v>
      </c>
      <c r="D1158" t="inlineStr">
        <is>
          <t>VÄSTMANLANDS LÄN</t>
        </is>
      </c>
      <c r="E1158" t="inlineStr">
        <is>
          <t>FAGERSTA</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38579-2020</t>
        </is>
      </c>
      <c r="B1159" s="1" t="n">
        <v>44061</v>
      </c>
      <c r="C1159" s="1" t="n">
        <v>45757</v>
      </c>
      <c r="D1159" t="inlineStr">
        <is>
          <t>VÄSTMANLANDS LÄN</t>
        </is>
      </c>
      <c r="E1159" t="inlineStr">
        <is>
          <t>SALA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38713-2020</t>
        </is>
      </c>
      <c r="B1160" s="1" t="n">
        <v>44061</v>
      </c>
      <c r="C1160" s="1" t="n">
        <v>45757</v>
      </c>
      <c r="D1160" t="inlineStr">
        <is>
          <t>VÄSTMANLANDS LÄN</t>
        </is>
      </c>
      <c r="E1160" t="inlineStr">
        <is>
          <t>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39328-2020</t>
        </is>
      </c>
      <c r="B1161" s="1" t="n">
        <v>44063</v>
      </c>
      <c r="C1161" s="1" t="n">
        <v>45757</v>
      </c>
      <c r="D1161" t="inlineStr">
        <is>
          <t>VÄSTMANLANDS LÄN</t>
        </is>
      </c>
      <c r="E1161" t="inlineStr">
        <is>
          <t>FAGERSTA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39519-2020</t>
        </is>
      </c>
      <c r="B1162" s="1" t="n">
        <v>44064</v>
      </c>
      <c r="C1162" s="1" t="n">
        <v>45757</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39406-2020</t>
        </is>
      </c>
      <c r="B1163" s="1" t="n">
        <v>44064</v>
      </c>
      <c r="C1163" s="1" t="n">
        <v>45757</v>
      </c>
      <c r="D1163" t="inlineStr">
        <is>
          <t>VÄSTMANLANDS LÄN</t>
        </is>
      </c>
      <c r="E1163" t="inlineStr">
        <is>
          <t>ARBOGA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39619-2020</t>
        </is>
      </c>
      <c r="B1164" s="1" t="n">
        <v>44064</v>
      </c>
      <c r="C1164" s="1" t="n">
        <v>45757</v>
      </c>
      <c r="D1164" t="inlineStr">
        <is>
          <t>VÄSTMANLANDS LÄN</t>
        </is>
      </c>
      <c r="E1164" t="inlineStr">
        <is>
          <t>VÄSTERÅS</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39707-2020</t>
        </is>
      </c>
      <c r="B1165" s="1" t="n">
        <v>44066</v>
      </c>
      <c r="C1165" s="1" t="n">
        <v>45757</v>
      </c>
      <c r="D1165" t="inlineStr">
        <is>
          <t>VÄSTMANLANDS LÄN</t>
        </is>
      </c>
      <c r="E1165" t="inlineStr">
        <is>
          <t>SKINNSKATTEBERG</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39705-2020</t>
        </is>
      </c>
      <c r="B1166" s="1" t="n">
        <v>44066</v>
      </c>
      <c r="C1166" s="1" t="n">
        <v>45757</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39706-2020</t>
        </is>
      </c>
      <c r="B1167" s="1" t="n">
        <v>44066</v>
      </c>
      <c r="C1167" s="1" t="n">
        <v>45757</v>
      </c>
      <c r="D1167" t="inlineStr">
        <is>
          <t>VÄSTMANLANDS LÄN</t>
        </is>
      </c>
      <c r="E1167" t="inlineStr">
        <is>
          <t>SKINNSKATTEBERG</t>
        </is>
      </c>
      <c r="F1167" t="inlineStr">
        <is>
          <t>Sveaskog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39709-2020</t>
        </is>
      </c>
      <c r="B1168" s="1" t="n">
        <v>44066</v>
      </c>
      <c r="C1168" s="1" t="n">
        <v>45757</v>
      </c>
      <c r="D1168" t="inlineStr">
        <is>
          <t>VÄSTMANLANDS LÄN</t>
        </is>
      </c>
      <c r="E1168" t="inlineStr">
        <is>
          <t>SKINNSKATTEBERG</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39773-2020</t>
        </is>
      </c>
      <c r="B1169" s="1" t="n">
        <v>44067</v>
      </c>
      <c r="C1169" s="1" t="n">
        <v>45757</v>
      </c>
      <c r="D1169" t="inlineStr">
        <is>
          <t>VÄSTMANLANDS LÄN</t>
        </is>
      </c>
      <c r="E1169" t="inlineStr">
        <is>
          <t>VÄSTERÅS</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39818-2020</t>
        </is>
      </c>
      <c r="B1170" s="1" t="n">
        <v>44067</v>
      </c>
      <c r="C1170" s="1" t="n">
        <v>45757</v>
      </c>
      <c r="D1170" t="inlineStr">
        <is>
          <t>VÄSTMANLANDS LÄN</t>
        </is>
      </c>
      <c r="E1170" t="inlineStr">
        <is>
          <t>SALA</t>
        </is>
      </c>
      <c r="F1170" t="inlineStr">
        <is>
          <t>Sveaskog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39876-2020</t>
        </is>
      </c>
      <c r="B1171" s="1" t="n">
        <v>44067</v>
      </c>
      <c r="C1171" s="1" t="n">
        <v>45757</v>
      </c>
      <c r="D1171" t="inlineStr">
        <is>
          <t>VÄSTMANLANDS LÄN</t>
        </is>
      </c>
      <c r="E1171" t="inlineStr">
        <is>
          <t>SKINNSKATTEBERG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39936-2020</t>
        </is>
      </c>
      <c r="B1172" s="1" t="n">
        <v>44067</v>
      </c>
      <c r="C1172" s="1" t="n">
        <v>45757</v>
      </c>
      <c r="D1172" t="inlineStr">
        <is>
          <t>VÄSTMANLANDS LÄN</t>
        </is>
      </c>
      <c r="E1172" t="inlineStr">
        <is>
          <t>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39982-2020</t>
        </is>
      </c>
      <c r="B1173" s="1" t="n">
        <v>44067</v>
      </c>
      <c r="C1173" s="1" t="n">
        <v>45757</v>
      </c>
      <c r="D1173" t="inlineStr">
        <is>
          <t>VÄSTMANLANDS LÄN</t>
        </is>
      </c>
      <c r="E1173" t="inlineStr">
        <is>
          <t>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40185-2020</t>
        </is>
      </c>
      <c r="B1174" s="1" t="n">
        <v>44068</v>
      </c>
      <c r="C1174" s="1" t="n">
        <v>45757</v>
      </c>
      <c r="D1174" t="inlineStr">
        <is>
          <t>VÄSTMANLANDS LÄN</t>
        </is>
      </c>
      <c r="E1174" t="inlineStr">
        <is>
          <t>FAGERSTA</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40179-2020</t>
        </is>
      </c>
      <c r="B1175" s="1" t="n">
        <v>44068</v>
      </c>
      <c r="C1175" s="1" t="n">
        <v>45757</v>
      </c>
      <c r="D1175" t="inlineStr">
        <is>
          <t>VÄSTMANLANDS LÄN</t>
        </is>
      </c>
      <c r="E1175" t="inlineStr">
        <is>
          <t>FAGERSTA</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40170-2020</t>
        </is>
      </c>
      <c r="B1176" s="1" t="n">
        <v>44068</v>
      </c>
      <c r="C1176" s="1" t="n">
        <v>45757</v>
      </c>
      <c r="D1176" t="inlineStr">
        <is>
          <t>VÄSTMANLANDS LÄN</t>
        </is>
      </c>
      <c r="E1176" t="inlineStr">
        <is>
          <t>FAGERSTA</t>
        </is>
      </c>
      <c r="F1176" t="inlineStr">
        <is>
          <t>Sveaskog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40183-2020</t>
        </is>
      </c>
      <c r="B1177" s="1" t="n">
        <v>44068</v>
      </c>
      <c r="C1177" s="1" t="n">
        <v>45757</v>
      </c>
      <c r="D1177" t="inlineStr">
        <is>
          <t>VÄSTMANLANDS LÄN</t>
        </is>
      </c>
      <c r="E1177" t="inlineStr">
        <is>
          <t>FAGERSTA</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40182-2020</t>
        </is>
      </c>
      <c r="B1178" s="1" t="n">
        <v>44068</v>
      </c>
      <c r="C1178" s="1" t="n">
        <v>45757</v>
      </c>
      <c r="D1178" t="inlineStr">
        <is>
          <t>VÄSTMANLANDS LÄN</t>
        </is>
      </c>
      <c r="E1178" t="inlineStr">
        <is>
          <t>FAGERSTA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40986-2020</t>
        </is>
      </c>
      <c r="B1179" s="1" t="n">
        <v>44068</v>
      </c>
      <c r="C1179" s="1" t="n">
        <v>45757</v>
      </c>
      <c r="D1179" t="inlineStr">
        <is>
          <t>VÄSTMANLANDS LÄN</t>
        </is>
      </c>
      <c r="E1179" t="inlineStr">
        <is>
          <t>VÄSTERÅS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40999-2020</t>
        </is>
      </c>
      <c r="B1180" s="1" t="n">
        <v>44068</v>
      </c>
      <c r="C1180" s="1" t="n">
        <v>45757</v>
      </c>
      <c r="D1180" t="inlineStr">
        <is>
          <t>VÄSTMANLANDS LÄN</t>
        </is>
      </c>
      <c r="E1180" t="inlineStr">
        <is>
          <t>VÄSTERÅS</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40992-2020</t>
        </is>
      </c>
      <c r="B1181" s="1" t="n">
        <v>44068</v>
      </c>
      <c r="C1181" s="1" t="n">
        <v>45757</v>
      </c>
      <c r="D1181" t="inlineStr">
        <is>
          <t>VÄSTMANLANDS LÄN</t>
        </is>
      </c>
      <c r="E1181" t="inlineStr">
        <is>
          <t>VÄSTERÅS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40486-2020</t>
        </is>
      </c>
      <c r="B1182" s="1" t="n">
        <v>44069</v>
      </c>
      <c r="C1182" s="1" t="n">
        <v>45757</v>
      </c>
      <c r="D1182" t="inlineStr">
        <is>
          <t>VÄSTMANLANDS LÄN</t>
        </is>
      </c>
      <c r="E1182" t="inlineStr">
        <is>
          <t>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40660-2020</t>
        </is>
      </c>
      <c r="B1183" s="1" t="n">
        <v>44069</v>
      </c>
      <c r="C1183" s="1" t="n">
        <v>45757</v>
      </c>
      <c r="D1183" t="inlineStr">
        <is>
          <t>VÄSTMANLANDS LÄN</t>
        </is>
      </c>
      <c r="E1183" t="inlineStr">
        <is>
          <t>SURAHAMMAR</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40547-2020</t>
        </is>
      </c>
      <c r="B1184" s="1" t="n">
        <v>44069</v>
      </c>
      <c r="C1184" s="1" t="n">
        <v>45757</v>
      </c>
      <c r="D1184" t="inlineStr">
        <is>
          <t>VÄSTMANLANDS LÄN</t>
        </is>
      </c>
      <c r="E1184" t="inlineStr">
        <is>
          <t>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40671-2020</t>
        </is>
      </c>
      <c r="B1185" s="1" t="n">
        <v>44069</v>
      </c>
      <c r="C1185" s="1" t="n">
        <v>45757</v>
      </c>
      <c r="D1185" t="inlineStr">
        <is>
          <t>VÄSTMANLANDS LÄN</t>
        </is>
      </c>
      <c r="E1185" t="inlineStr">
        <is>
          <t>KÖPING</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41464-2020</t>
        </is>
      </c>
      <c r="B1186" s="1" t="n">
        <v>44069</v>
      </c>
      <c r="C1186" s="1" t="n">
        <v>45757</v>
      </c>
      <c r="D1186" t="inlineStr">
        <is>
          <t>VÄSTMANLANDS LÄN</t>
        </is>
      </c>
      <c r="E1186" t="inlineStr">
        <is>
          <t>KÖPING</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41568-2020</t>
        </is>
      </c>
      <c r="B1187" s="1" t="n">
        <v>44069</v>
      </c>
      <c r="C1187" s="1" t="n">
        <v>45757</v>
      </c>
      <c r="D1187" t="inlineStr">
        <is>
          <t>VÄSTMANLANDS LÄN</t>
        </is>
      </c>
      <c r="E1187" t="inlineStr">
        <is>
          <t>KÖPING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41074-2020</t>
        </is>
      </c>
      <c r="B1188" s="1" t="n">
        <v>44071</v>
      </c>
      <c r="C1188" s="1" t="n">
        <v>45757</v>
      </c>
      <c r="D1188" t="inlineStr">
        <is>
          <t>VÄSTMANLANDS LÄN</t>
        </is>
      </c>
      <c r="E1188" t="inlineStr">
        <is>
          <t>KÖPING</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41441-2020</t>
        </is>
      </c>
      <c r="B1189" s="1" t="n">
        <v>44073</v>
      </c>
      <c r="C1189" s="1" t="n">
        <v>45757</v>
      </c>
      <c r="D1189" t="inlineStr">
        <is>
          <t>VÄSTMANLANDS LÄN</t>
        </is>
      </c>
      <c r="E1189" t="inlineStr">
        <is>
          <t>SKINNSKATTEBERG</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41420-2020</t>
        </is>
      </c>
      <c r="B1190" s="1" t="n">
        <v>44073</v>
      </c>
      <c r="C1190" s="1" t="n">
        <v>45757</v>
      </c>
      <c r="D1190" t="inlineStr">
        <is>
          <t>VÄSTMANLANDS LÄN</t>
        </is>
      </c>
      <c r="E1190" t="inlineStr">
        <is>
          <t>SKINNSKATTEBERG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41493-2020</t>
        </is>
      </c>
      <c r="B1191" s="1" t="n">
        <v>44074</v>
      </c>
      <c r="C1191" s="1" t="n">
        <v>45757</v>
      </c>
      <c r="D1191" t="inlineStr">
        <is>
          <t>VÄSTMANLANDS LÄN</t>
        </is>
      </c>
      <c r="E1191" t="inlineStr">
        <is>
          <t>SALA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41640-2020</t>
        </is>
      </c>
      <c r="B1192" s="1" t="n">
        <v>44074</v>
      </c>
      <c r="C1192" s="1" t="n">
        <v>45757</v>
      </c>
      <c r="D1192" t="inlineStr">
        <is>
          <t>VÄSTMANLANDS LÄN</t>
        </is>
      </c>
      <c r="E1192" t="inlineStr">
        <is>
          <t>ARBOGA</t>
        </is>
      </c>
      <c r="F1192" t="inlineStr">
        <is>
          <t>Allmännings- och besparingsskogar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41654-2020</t>
        </is>
      </c>
      <c r="B1193" s="1" t="n">
        <v>44074</v>
      </c>
      <c r="C1193" s="1" t="n">
        <v>45757</v>
      </c>
      <c r="D1193" t="inlineStr">
        <is>
          <t>VÄSTMANLANDS LÄN</t>
        </is>
      </c>
      <c r="E1193" t="inlineStr">
        <is>
          <t>KUNGSÖR</t>
        </is>
      </c>
      <c r="F1193" t="inlineStr">
        <is>
          <t>Allmännings- och besparingsskogar</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41485-2020</t>
        </is>
      </c>
      <c r="B1194" s="1" t="n">
        <v>44074</v>
      </c>
      <c r="C1194" s="1" t="n">
        <v>45757</v>
      </c>
      <c r="D1194" t="inlineStr">
        <is>
          <t>VÄSTMANLANDS LÄN</t>
        </is>
      </c>
      <c r="E1194" t="inlineStr">
        <is>
          <t>SALA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41980-2020</t>
        </is>
      </c>
      <c r="B1195" s="1" t="n">
        <v>44075</v>
      </c>
      <c r="C1195" s="1" t="n">
        <v>45757</v>
      </c>
      <c r="D1195" t="inlineStr">
        <is>
          <t>VÄSTMANLANDS LÄN</t>
        </is>
      </c>
      <c r="E1195" t="inlineStr">
        <is>
          <t>VÄSTERÅS</t>
        </is>
      </c>
      <c r="F1195" t="inlineStr">
        <is>
          <t>Sveaskog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41969-2020</t>
        </is>
      </c>
      <c r="B1196" s="1" t="n">
        <v>44075</v>
      </c>
      <c r="C1196" s="1" t="n">
        <v>45757</v>
      </c>
      <c r="D1196" t="inlineStr">
        <is>
          <t>VÄSTMANLANDS LÄN</t>
        </is>
      </c>
      <c r="E1196" t="inlineStr">
        <is>
          <t>FAGERSTA</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41971-2020</t>
        </is>
      </c>
      <c r="B1197" s="1" t="n">
        <v>44075</v>
      </c>
      <c r="C1197" s="1" t="n">
        <v>45757</v>
      </c>
      <c r="D1197" t="inlineStr">
        <is>
          <t>VÄSTMANLANDS LÄN</t>
        </is>
      </c>
      <c r="E1197" t="inlineStr">
        <is>
          <t>FAGERSTA</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41987-2020</t>
        </is>
      </c>
      <c r="B1198" s="1" t="n">
        <v>44075</v>
      </c>
      <c r="C1198" s="1" t="n">
        <v>45757</v>
      </c>
      <c r="D1198" t="inlineStr">
        <is>
          <t>VÄSTMANLANDS LÄN</t>
        </is>
      </c>
      <c r="E1198" t="inlineStr">
        <is>
          <t>SKINNSKATTEBERG</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42344-2020</t>
        </is>
      </c>
      <c r="B1199" s="1" t="n">
        <v>44076</v>
      </c>
      <c r="C1199" s="1" t="n">
        <v>45757</v>
      </c>
      <c r="D1199" t="inlineStr">
        <is>
          <t>VÄSTMANLANDS LÄN</t>
        </is>
      </c>
      <c r="E1199" t="inlineStr">
        <is>
          <t>SALA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42309-2020</t>
        </is>
      </c>
      <c r="B1200" s="1" t="n">
        <v>44076</v>
      </c>
      <c r="C1200" s="1" t="n">
        <v>45757</v>
      </c>
      <c r="D1200" t="inlineStr">
        <is>
          <t>VÄSTMANLANDS LÄN</t>
        </is>
      </c>
      <c r="E1200" t="inlineStr">
        <is>
          <t>KÖPING</t>
        </is>
      </c>
      <c r="F1200" t="inlineStr">
        <is>
          <t>Allmännings- och besparingsskogar</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42345-2020</t>
        </is>
      </c>
      <c r="B1201" s="1" t="n">
        <v>44076</v>
      </c>
      <c r="C1201" s="1" t="n">
        <v>45757</v>
      </c>
      <c r="D1201" t="inlineStr">
        <is>
          <t>VÄSTMANLANDS LÄN</t>
        </is>
      </c>
      <c r="E1201" t="inlineStr">
        <is>
          <t>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42346-2020</t>
        </is>
      </c>
      <c r="B1202" s="1" t="n">
        <v>44076</v>
      </c>
      <c r="C1202" s="1" t="n">
        <v>45757</v>
      </c>
      <c r="D1202" t="inlineStr">
        <is>
          <t>VÄSTMANLANDS LÄN</t>
        </is>
      </c>
      <c r="E1202" t="inlineStr">
        <is>
          <t>SALA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42915-2020</t>
        </is>
      </c>
      <c r="B1203" s="1" t="n">
        <v>44078</v>
      </c>
      <c r="C1203" s="1" t="n">
        <v>45757</v>
      </c>
      <c r="D1203" t="inlineStr">
        <is>
          <t>VÄSTMANLANDS LÄN</t>
        </is>
      </c>
      <c r="E1203" t="inlineStr">
        <is>
          <t>VÄSTERÅS</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42875-2020</t>
        </is>
      </c>
      <c r="B1204" s="1" t="n">
        <v>44078</v>
      </c>
      <c r="C1204" s="1" t="n">
        <v>45757</v>
      </c>
      <c r="D1204" t="inlineStr">
        <is>
          <t>VÄSTMANLANDS LÄN</t>
        </is>
      </c>
      <c r="E1204" t="inlineStr">
        <is>
          <t>VÄSTERÅS</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43171-2020</t>
        </is>
      </c>
      <c r="B1205" s="1" t="n">
        <v>44081</v>
      </c>
      <c r="C1205" s="1" t="n">
        <v>45757</v>
      </c>
      <c r="D1205" t="inlineStr">
        <is>
          <t>VÄSTMANLANDS LÄN</t>
        </is>
      </c>
      <c r="E1205" t="inlineStr">
        <is>
          <t>SURAHAMMAR</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43244-2020</t>
        </is>
      </c>
      <c r="B1206" s="1" t="n">
        <v>44081</v>
      </c>
      <c r="C1206" s="1" t="n">
        <v>45757</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43174-2020</t>
        </is>
      </c>
      <c r="B1207" s="1" t="n">
        <v>44081</v>
      </c>
      <c r="C1207" s="1" t="n">
        <v>45757</v>
      </c>
      <c r="D1207" t="inlineStr">
        <is>
          <t>VÄSTMANLANDS LÄN</t>
        </is>
      </c>
      <c r="E1207" t="inlineStr">
        <is>
          <t>SURAHAMMAR</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43349-2020</t>
        </is>
      </c>
      <c r="B1208" s="1" t="n">
        <v>44081</v>
      </c>
      <c r="C1208" s="1" t="n">
        <v>45757</v>
      </c>
      <c r="D1208" t="inlineStr">
        <is>
          <t>VÄSTMANLANDS LÄN</t>
        </is>
      </c>
      <c r="E1208" t="inlineStr">
        <is>
          <t>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43177-2020</t>
        </is>
      </c>
      <c r="B1209" s="1" t="n">
        <v>44081</v>
      </c>
      <c r="C1209" s="1" t="n">
        <v>45757</v>
      </c>
      <c r="D1209" t="inlineStr">
        <is>
          <t>VÄSTMANLANDS LÄN</t>
        </is>
      </c>
      <c r="E1209" t="inlineStr">
        <is>
          <t>SURAHAMMAR</t>
        </is>
      </c>
      <c r="F1209" t="inlineStr">
        <is>
          <t>Sveaskog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43590-2020</t>
        </is>
      </c>
      <c r="B1210" s="1" t="n">
        <v>44082</v>
      </c>
      <c r="C1210" s="1" t="n">
        <v>45757</v>
      </c>
      <c r="D1210" t="inlineStr">
        <is>
          <t>VÄSTMANLANDS LÄN</t>
        </is>
      </c>
      <c r="E1210" t="inlineStr">
        <is>
          <t>SURAHAMMAR</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43614-2020</t>
        </is>
      </c>
      <c r="B1211" s="1" t="n">
        <v>44082</v>
      </c>
      <c r="C1211" s="1" t="n">
        <v>45757</v>
      </c>
      <c r="D1211" t="inlineStr">
        <is>
          <t>VÄSTMANLANDS LÄN</t>
        </is>
      </c>
      <c r="E1211" t="inlineStr">
        <is>
          <t>VÄSTERÅS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44008-2020</t>
        </is>
      </c>
      <c r="B1212" s="1" t="n">
        <v>44083</v>
      </c>
      <c r="C1212" s="1" t="n">
        <v>45757</v>
      </c>
      <c r="D1212" t="inlineStr">
        <is>
          <t>VÄSTMANLANDS LÄN</t>
        </is>
      </c>
      <c r="E1212" t="inlineStr">
        <is>
          <t>VÄSTERÅS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44091-2020</t>
        </is>
      </c>
      <c r="B1213" s="1" t="n">
        <v>44083</v>
      </c>
      <c r="C1213" s="1" t="n">
        <v>45757</v>
      </c>
      <c r="D1213" t="inlineStr">
        <is>
          <t>VÄSTMANLANDS LÄN</t>
        </is>
      </c>
      <c r="E1213" t="inlineStr">
        <is>
          <t>ARBOGA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44143-2020</t>
        </is>
      </c>
      <c r="B1214" s="1" t="n">
        <v>44083</v>
      </c>
      <c r="C1214" s="1" t="n">
        <v>45757</v>
      </c>
      <c r="D1214" t="inlineStr">
        <is>
          <t>VÄSTMANLANDS LÄN</t>
        </is>
      </c>
      <c r="E1214" t="inlineStr">
        <is>
          <t>VÄSTERÅS</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44145-2020</t>
        </is>
      </c>
      <c r="B1215" s="1" t="n">
        <v>44083</v>
      </c>
      <c r="C1215" s="1" t="n">
        <v>45757</v>
      </c>
      <c r="D1215" t="inlineStr">
        <is>
          <t>VÄSTMANLANDS LÄN</t>
        </is>
      </c>
      <c r="E1215" t="inlineStr">
        <is>
          <t>HALLSTAHAMMAR</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44152-2020</t>
        </is>
      </c>
      <c r="B1216" s="1" t="n">
        <v>44083</v>
      </c>
      <c r="C1216" s="1" t="n">
        <v>45757</v>
      </c>
      <c r="D1216" t="inlineStr">
        <is>
          <t>VÄSTMANLANDS LÄN</t>
        </is>
      </c>
      <c r="E1216" t="inlineStr">
        <is>
          <t>SKINNSKATTEBERG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44363-2020</t>
        </is>
      </c>
      <c r="B1217" s="1" t="n">
        <v>44084</v>
      </c>
      <c r="C1217" s="1" t="n">
        <v>45757</v>
      </c>
      <c r="D1217" t="inlineStr">
        <is>
          <t>VÄSTMANLANDS LÄN</t>
        </is>
      </c>
      <c r="E1217" t="inlineStr">
        <is>
          <t>NORBERG</t>
        </is>
      </c>
      <c r="F1217" t="inlineStr">
        <is>
          <t>Bergvik skog väst AB</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44443-2020</t>
        </is>
      </c>
      <c r="B1218" s="1" t="n">
        <v>44084</v>
      </c>
      <c r="C1218" s="1" t="n">
        <v>45757</v>
      </c>
      <c r="D1218" t="inlineStr">
        <is>
          <t>VÄSTMANLANDS LÄN</t>
        </is>
      </c>
      <c r="E1218" t="inlineStr">
        <is>
          <t>HALLSTAHAMMAR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44474-2020</t>
        </is>
      </c>
      <c r="B1219" s="1" t="n">
        <v>44084</v>
      </c>
      <c r="C1219" s="1" t="n">
        <v>45757</v>
      </c>
      <c r="D1219" t="inlineStr">
        <is>
          <t>VÄSTMANLANDS LÄN</t>
        </is>
      </c>
      <c r="E1219" t="inlineStr">
        <is>
          <t>KUNGSÖR</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44440-2020</t>
        </is>
      </c>
      <c r="B1220" s="1" t="n">
        <v>44084</v>
      </c>
      <c r="C1220" s="1" t="n">
        <v>45757</v>
      </c>
      <c r="D1220" t="inlineStr">
        <is>
          <t>VÄSTMANLANDS LÄN</t>
        </is>
      </c>
      <c r="E1220" t="inlineStr">
        <is>
          <t>HALLSTAHAMMAR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44446-2020</t>
        </is>
      </c>
      <c r="B1221" s="1" t="n">
        <v>44084</v>
      </c>
      <c r="C1221" s="1" t="n">
        <v>45757</v>
      </c>
      <c r="D1221" t="inlineStr">
        <is>
          <t>VÄSTMANLANDS LÄN</t>
        </is>
      </c>
      <c r="E1221" t="inlineStr">
        <is>
          <t>HALLSTAHAMMAR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44532-2020</t>
        </is>
      </c>
      <c r="B1222" s="1" t="n">
        <v>44085</v>
      </c>
      <c r="C1222" s="1" t="n">
        <v>45757</v>
      </c>
      <c r="D1222" t="inlineStr">
        <is>
          <t>VÄSTMANLANDS LÄN</t>
        </is>
      </c>
      <c r="E1222" t="inlineStr">
        <is>
          <t>FAGERSTA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44652-2020</t>
        </is>
      </c>
      <c r="B1223" s="1" t="n">
        <v>44085</v>
      </c>
      <c r="C1223" s="1" t="n">
        <v>45757</v>
      </c>
      <c r="D1223" t="inlineStr">
        <is>
          <t>VÄSTMANLANDS LÄN</t>
        </is>
      </c>
      <c r="E1223" t="inlineStr">
        <is>
          <t>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44950-2020</t>
        </is>
      </c>
      <c r="B1224" s="1" t="n">
        <v>44088</v>
      </c>
      <c r="C1224" s="1" t="n">
        <v>45757</v>
      </c>
      <c r="D1224" t="inlineStr">
        <is>
          <t>VÄSTMANLANDS LÄN</t>
        </is>
      </c>
      <c r="E1224" t="inlineStr">
        <is>
          <t>SALA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44969-2020</t>
        </is>
      </c>
      <c r="B1225" s="1" t="n">
        <v>44088</v>
      </c>
      <c r="C1225" s="1" t="n">
        <v>45757</v>
      </c>
      <c r="D1225" t="inlineStr">
        <is>
          <t>VÄSTMANLANDS LÄN</t>
        </is>
      </c>
      <c r="E1225" t="inlineStr">
        <is>
          <t>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45800-2020</t>
        </is>
      </c>
      <c r="B1226" s="1" t="n">
        <v>44090</v>
      </c>
      <c r="C1226" s="1" t="n">
        <v>45757</v>
      </c>
      <c r="D1226" t="inlineStr">
        <is>
          <t>VÄSTMANLANDS LÄN</t>
        </is>
      </c>
      <c r="E1226" t="inlineStr">
        <is>
          <t>NORBERG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45802-2020</t>
        </is>
      </c>
      <c r="B1227" s="1" t="n">
        <v>44090</v>
      </c>
      <c r="C1227" s="1" t="n">
        <v>45757</v>
      </c>
      <c r="D1227" t="inlineStr">
        <is>
          <t>VÄSTMANLANDS LÄN</t>
        </is>
      </c>
      <c r="E1227" t="inlineStr">
        <is>
          <t>NORBERG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45878-2020</t>
        </is>
      </c>
      <c r="B1228" s="1" t="n">
        <v>44090</v>
      </c>
      <c r="C1228" s="1" t="n">
        <v>45757</v>
      </c>
      <c r="D1228" t="inlineStr">
        <is>
          <t>VÄSTMANLANDS LÄN</t>
        </is>
      </c>
      <c r="E1228" t="inlineStr">
        <is>
          <t>ARBOGA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47003-2020</t>
        </is>
      </c>
      <c r="B1229" s="1" t="n">
        <v>44090</v>
      </c>
      <c r="C1229" s="1" t="n">
        <v>45757</v>
      </c>
      <c r="D1229" t="inlineStr">
        <is>
          <t>VÄSTMANLANDS LÄN</t>
        </is>
      </c>
      <c r="E1229" t="inlineStr">
        <is>
          <t>ARBOGA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45923-2020</t>
        </is>
      </c>
      <c r="B1230" s="1" t="n">
        <v>44091</v>
      </c>
      <c r="C1230" s="1" t="n">
        <v>45757</v>
      </c>
      <c r="D1230" t="inlineStr">
        <is>
          <t>VÄSTMANLANDS LÄN</t>
        </is>
      </c>
      <c r="E1230" t="inlineStr">
        <is>
          <t>KUNGSÖR</t>
        </is>
      </c>
      <c r="F1230" t="inlineStr">
        <is>
          <t>Allmännings- och besparingsskogar</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45931-2020</t>
        </is>
      </c>
      <c r="B1231" s="1" t="n">
        <v>44091</v>
      </c>
      <c r="C1231" s="1" t="n">
        <v>45757</v>
      </c>
      <c r="D1231" t="inlineStr">
        <is>
          <t>VÄSTMANLANDS LÄN</t>
        </is>
      </c>
      <c r="E1231" t="inlineStr">
        <is>
          <t>VÄSTERÅS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46014-2020</t>
        </is>
      </c>
      <c r="B1232" s="1" t="n">
        <v>44091</v>
      </c>
      <c r="C1232" s="1" t="n">
        <v>45757</v>
      </c>
      <c r="D1232" t="inlineStr">
        <is>
          <t>VÄSTMANLANDS LÄN</t>
        </is>
      </c>
      <c r="E1232" t="inlineStr">
        <is>
          <t>KUNGSÖR</t>
        </is>
      </c>
      <c r="F1232" t="inlineStr">
        <is>
          <t>Allmännings- och besparingsskogar</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45935-2020</t>
        </is>
      </c>
      <c r="B1233" s="1" t="n">
        <v>44091</v>
      </c>
      <c r="C1233" s="1" t="n">
        <v>45757</v>
      </c>
      <c r="D1233" t="inlineStr">
        <is>
          <t>VÄSTMANLANDS LÄN</t>
        </is>
      </c>
      <c r="E1233" t="inlineStr">
        <is>
          <t>VÄSTERÅS</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46415-2020</t>
        </is>
      </c>
      <c r="B1234" s="1" t="n">
        <v>44094</v>
      </c>
      <c r="C1234" s="1" t="n">
        <v>45757</v>
      </c>
      <c r="D1234" t="inlineStr">
        <is>
          <t>VÄSTMANLANDS LÄN</t>
        </is>
      </c>
      <c r="E1234" t="inlineStr">
        <is>
          <t>SKINNSKATTEBERG</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46416-2020</t>
        </is>
      </c>
      <c r="B1235" s="1" t="n">
        <v>44094</v>
      </c>
      <c r="C1235" s="1" t="n">
        <v>45757</v>
      </c>
      <c r="D1235" t="inlineStr">
        <is>
          <t>VÄSTMANLANDS LÄN</t>
        </is>
      </c>
      <c r="E1235" t="inlineStr">
        <is>
          <t>SKINNSKATTEBERG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46417-2020</t>
        </is>
      </c>
      <c r="B1236" s="1" t="n">
        <v>44094</v>
      </c>
      <c r="C1236" s="1" t="n">
        <v>45757</v>
      </c>
      <c r="D1236" t="inlineStr">
        <is>
          <t>VÄSTMANLANDS LÄN</t>
        </is>
      </c>
      <c r="E1236" t="inlineStr">
        <is>
          <t>SKINNSKATTEBERG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46412-2020</t>
        </is>
      </c>
      <c r="B1237" s="1" t="n">
        <v>44094</v>
      </c>
      <c r="C1237" s="1" t="n">
        <v>45757</v>
      </c>
      <c r="D1237" t="inlineStr">
        <is>
          <t>VÄSTMANLANDS LÄN</t>
        </is>
      </c>
      <c r="E1237" t="inlineStr">
        <is>
          <t>SKINNSKATTEBERG</t>
        </is>
      </c>
      <c r="F1237" t="inlineStr">
        <is>
          <t>Sveaskog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46810-2020</t>
        </is>
      </c>
      <c r="B1238" s="1" t="n">
        <v>44096</v>
      </c>
      <c r="C1238" s="1" t="n">
        <v>45757</v>
      </c>
      <c r="D1238" t="inlineStr">
        <is>
          <t>VÄSTMANLANDS LÄN</t>
        </is>
      </c>
      <c r="E1238" t="inlineStr">
        <is>
          <t>VÄSTERÅS</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47048-2020</t>
        </is>
      </c>
      <c r="B1239" s="1" t="n">
        <v>44096</v>
      </c>
      <c r="C1239" s="1" t="n">
        <v>45757</v>
      </c>
      <c r="D1239" t="inlineStr">
        <is>
          <t>VÄSTMANLANDS LÄN</t>
        </is>
      </c>
      <c r="E1239" t="inlineStr">
        <is>
          <t>KÖPING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46965-2020</t>
        </is>
      </c>
      <c r="B1240" s="1" t="n">
        <v>44096</v>
      </c>
      <c r="C1240" s="1" t="n">
        <v>45757</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46962-2020</t>
        </is>
      </c>
      <c r="B1241" s="1" t="n">
        <v>44096</v>
      </c>
      <c r="C1241" s="1" t="n">
        <v>45757</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46814-2020</t>
        </is>
      </c>
      <c r="B1242" s="1" t="n">
        <v>44096</v>
      </c>
      <c r="C1242" s="1" t="n">
        <v>45757</v>
      </c>
      <c r="D1242" t="inlineStr">
        <is>
          <t>VÄSTMANLANDS LÄN</t>
        </is>
      </c>
      <c r="E1242" t="inlineStr">
        <is>
          <t>VÄSTERÅS</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46870-2020</t>
        </is>
      </c>
      <c r="B1243" s="1" t="n">
        <v>44096</v>
      </c>
      <c r="C1243" s="1" t="n">
        <v>45757</v>
      </c>
      <c r="D1243" t="inlineStr">
        <is>
          <t>VÄSTMANLANDS LÄN</t>
        </is>
      </c>
      <c r="E1243" t="inlineStr">
        <is>
          <t>VÄSTERÅS</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47054-2020</t>
        </is>
      </c>
      <c r="B1244" s="1" t="n">
        <v>44096</v>
      </c>
      <c r="C1244" s="1" t="n">
        <v>45757</v>
      </c>
      <c r="D1244" t="inlineStr">
        <is>
          <t>VÄSTMANLANDS LÄN</t>
        </is>
      </c>
      <c r="E1244" t="inlineStr">
        <is>
          <t>SALA</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47772-2020</t>
        </is>
      </c>
      <c r="B1245" s="1" t="n">
        <v>44096</v>
      </c>
      <c r="C1245" s="1" t="n">
        <v>45757</v>
      </c>
      <c r="D1245" t="inlineStr">
        <is>
          <t>VÄSTMANLANDS LÄN</t>
        </is>
      </c>
      <c r="E1245" t="inlineStr">
        <is>
          <t>SKINNSKATTEBERG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46817-2020</t>
        </is>
      </c>
      <c r="B1246" s="1" t="n">
        <v>44096</v>
      </c>
      <c r="C1246" s="1" t="n">
        <v>45757</v>
      </c>
      <c r="D1246" t="inlineStr">
        <is>
          <t>VÄSTMANLANDS LÄN</t>
        </is>
      </c>
      <c r="E1246" t="inlineStr">
        <is>
          <t>VÄSTERÅS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47168-2020</t>
        </is>
      </c>
      <c r="B1247" s="1" t="n">
        <v>44097</v>
      </c>
      <c r="C1247" s="1" t="n">
        <v>45757</v>
      </c>
      <c r="D1247" t="inlineStr">
        <is>
          <t>VÄSTMANLANDS LÄN</t>
        </is>
      </c>
      <c r="E1247" t="inlineStr">
        <is>
          <t>FAGERSTA</t>
        </is>
      </c>
      <c r="F1247" t="inlineStr">
        <is>
          <t>Sveaskog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47208-2020</t>
        </is>
      </c>
      <c r="B1248" s="1" t="n">
        <v>44097</v>
      </c>
      <c r="C1248" s="1" t="n">
        <v>45757</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47161-2020</t>
        </is>
      </c>
      <c r="B1249" s="1" t="n">
        <v>44097</v>
      </c>
      <c r="C1249" s="1" t="n">
        <v>45757</v>
      </c>
      <c r="D1249" t="inlineStr">
        <is>
          <t>VÄSTMANLANDS LÄN</t>
        </is>
      </c>
      <c r="E1249" t="inlineStr">
        <is>
          <t>FAGERSTA</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47163-2020</t>
        </is>
      </c>
      <c r="B1250" s="1" t="n">
        <v>44097</v>
      </c>
      <c r="C1250" s="1" t="n">
        <v>45757</v>
      </c>
      <c r="D1250" t="inlineStr">
        <is>
          <t>VÄSTMANLANDS LÄN</t>
        </is>
      </c>
      <c r="E1250" t="inlineStr">
        <is>
          <t>FAGERSTA</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47165-2020</t>
        </is>
      </c>
      <c r="B1251" s="1" t="n">
        <v>44097</v>
      </c>
      <c r="C1251" s="1" t="n">
        <v>45757</v>
      </c>
      <c r="D1251" t="inlineStr">
        <is>
          <t>VÄSTMANLANDS LÄN</t>
        </is>
      </c>
      <c r="E1251" t="inlineStr">
        <is>
          <t>FAGERSTA</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48286-2020</t>
        </is>
      </c>
      <c r="B1252" s="1" t="n">
        <v>44097</v>
      </c>
      <c r="C1252" s="1" t="n">
        <v>45757</v>
      </c>
      <c r="D1252" t="inlineStr">
        <is>
          <t>VÄSTMANLANDS LÄN</t>
        </is>
      </c>
      <c r="E1252" t="inlineStr">
        <is>
          <t>FAGERSTA</t>
        </is>
      </c>
      <c r="F1252" t="inlineStr">
        <is>
          <t>Sveaskog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48313-2020</t>
        </is>
      </c>
      <c r="B1253" s="1" t="n">
        <v>44097</v>
      </c>
      <c r="C1253" s="1" t="n">
        <v>45757</v>
      </c>
      <c r="D1253" t="inlineStr">
        <is>
          <t>VÄSTMANLANDS LÄN</t>
        </is>
      </c>
      <c r="E1253" t="inlineStr">
        <is>
          <t>FAGERSTA</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47221-2020</t>
        </is>
      </c>
      <c r="B1254" s="1" t="n">
        <v>44097</v>
      </c>
      <c r="C1254" s="1" t="n">
        <v>45757</v>
      </c>
      <c r="D1254" t="inlineStr">
        <is>
          <t>VÄSTMANLANDS LÄN</t>
        </is>
      </c>
      <c r="E1254" t="inlineStr">
        <is>
          <t>ARBOGA</t>
        </is>
      </c>
      <c r="G1254" t="n">
        <v>21.6</v>
      </c>
      <c r="H1254" t="n">
        <v>0</v>
      </c>
      <c r="I1254" t="n">
        <v>0</v>
      </c>
      <c r="J1254" t="n">
        <v>0</v>
      </c>
      <c r="K1254" t="n">
        <v>0</v>
      </c>
      <c r="L1254" t="n">
        <v>0</v>
      </c>
      <c r="M1254" t="n">
        <v>0</v>
      </c>
      <c r="N1254" t="n">
        <v>0</v>
      </c>
      <c r="O1254" t="n">
        <v>0</v>
      </c>
      <c r="P1254" t="n">
        <v>0</v>
      </c>
      <c r="Q1254" t="n">
        <v>0</v>
      </c>
      <c r="R1254" s="2" t="inlineStr"/>
    </row>
    <row r="1255" ht="15" customHeight="1">
      <c r="A1255" t="inlineStr">
        <is>
          <t>A 47514-2020</t>
        </is>
      </c>
      <c r="B1255" s="1" t="n">
        <v>44098</v>
      </c>
      <c r="C1255" s="1" t="n">
        <v>45757</v>
      </c>
      <c r="D1255" t="inlineStr">
        <is>
          <t>VÄSTMANLANDS LÄN</t>
        </is>
      </c>
      <c r="E1255" t="inlineStr">
        <is>
          <t>NORBERG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47801-2020</t>
        </is>
      </c>
      <c r="B1256" s="1" t="n">
        <v>44098</v>
      </c>
      <c r="C1256" s="1" t="n">
        <v>45757</v>
      </c>
      <c r="D1256" t="inlineStr">
        <is>
          <t>VÄSTMANLANDS LÄN</t>
        </is>
      </c>
      <c r="E1256" t="inlineStr">
        <is>
          <t>SKINNSKATTEBERG</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47806-2020</t>
        </is>
      </c>
      <c r="B1257" s="1" t="n">
        <v>44098</v>
      </c>
      <c r="C1257" s="1" t="n">
        <v>45757</v>
      </c>
      <c r="D1257" t="inlineStr">
        <is>
          <t>VÄSTMANLANDS LÄN</t>
        </is>
      </c>
      <c r="E1257" t="inlineStr">
        <is>
          <t>SKINNSKATTEBERG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47803-2020</t>
        </is>
      </c>
      <c r="B1258" s="1" t="n">
        <v>44098</v>
      </c>
      <c r="C1258" s="1" t="n">
        <v>45757</v>
      </c>
      <c r="D1258" t="inlineStr">
        <is>
          <t>VÄSTMANLANDS LÄN</t>
        </is>
      </c>
      <c r="E1258" t="inlineStr">
        <is>
          <t>SKINNSKATTEBERG</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47795-2020</t>
        </is>
      </c>
      <c r="B1259" s="1" t="n">
        <v>44098</v>
      </c>
      <c r="C1259" s="1" t="n">
        <v>45757</v>
      </c>
      <c r="D1259" t="inlineStr">
        <is>
          <t>VÄSTMANLANDS LÄN</t>
        </is>
      </c>
      <c r="E1259" t="inlineStr">
        <is>
          <t>SKINNSKATTEBERG</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47805-2020</t>
        </is>
      </c>
      <c r="B1260" s="1" t="n">
        <v>44098</v>
      </c>
      <c r="C1260" s="1" t="n">
        <v>45757</v>
      </c>
      <c r="D1260" t="inlineStr">
        <is>
          <t>VÄSTMANLANDS LÄN</t>
        </is>
      </c>
      <c r="E1260" t="inlineStr">
        <is>
          <t>SKINNSKATTEBERG</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47813-2020</t>
        </is>
      </c>
      <c r="B1261" s="1" t="n">
        <v>44098</v>
      </c>
      <c r="C1261" s="1" t="n">
        <v>45757</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47754-2020</t>
        </is>
      </c>
      <c r="B1262" s="1" t="n">
        <v>44098</v>
      </c>
      <c r="C1262" s="1" t="n">
        <v>45757</v>
      </c>
      <c r="D1262" t="inlineStr">
        <is>
          <t>VÄSTMANLANDS LÄN</t>
        </is>
      </c>
      <c r="E1262" t="inlineStr">
        <is>
          <t>FAGERSTA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47804-2020</t>
        </is>
      </c>
      <c r="B1263" s="1" t="n">
        <v>44098</v>
      </c>
      <c r="C1263" s="1" t="n">
        <v>45757</v>
      </c>
      <c r="D1263" t="inlineStr">
        <is>
          <t>VÄSTMANLANDS LÄN</t>
        </is>
      </c>
      <c r="E1263" t="inlineStr">
        <is>
          <t>SKINNSKATTEBERG</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47810-2020</t>
        </is>
      </c>
      <c r="B1264" s="1" t="n">
        <v>44098</v>
      </c>
      <c r="C1264" s="1" t="n">
        <v>45757</v>
      </c>
      <c r="D1264" t="inlineStr">
        <is>
          <t>VÄSTMANLANDS LÄN</t>
        </is>
      </c>
      <c r="E1264" t="inlineStr">
        <is>
          <t>SKINNSKATTEBERG</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47807-2020</t>
        </is>
      </c>
      <c r="B1265" s="1" t="n">
        <v>44098</v>
      </c>
      <c r="C1265" s="1" t="n">
        <v>45757</v>
      </c>
      <c r="D1265" t="inlineStr">
        <is>
          <t>VÄSTMANLANDS LÄN</t>
        </is>
      </c>
      <c r="E1265" t="inlineStr">
        <is>
          <t>SKINNSKATTEBERG</t>
        </is>
      </c>
      <c r="F1265" t="inlineStr">
        <is>
          <t>Sveaskog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47944-2020</t>
        </is>
      </c>
      <c r="B1266" s="1" t="n">
        <v>44099</v>
      </c>
      <c r="C1266" s="1" t="n">
        <v>45757</v>
      </c>
      <c r="D1266" t="inlineStr">
        <is>
          <t>VÄSTMANLANDS LÄN</t>
        </is>
      </c>
      <c r="E1266" t="inlineStr">
        <is>
          <t>KÖPING</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47964-2020</t>
        </is>
      </c>
      <c r="B1267" s="1" t="n">
        <v>44099</v>
      </c>
      <c r="C1267" s="1" t="n">
        <v>45757</v>
      </c>
      <c r="D1267" t="inlineStr">
        <is>
          <t>VÄSTMANLANDS LÄN</t>
        </is>
      </c>
      <c r="E1267" t="inlineStr">
        <is>
          <t>VÄSTERÅS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47997-2020</t>
        </is>
      </c>
      <c r="B1268" s="1" t="n">
        <v>44099</v>
      </c>
      <c r="C1268" s="1" t="n">
        <v>45757</v>
      </c>
      <c r="D1268" t="inlineStr">
        <is>
          <t>VÄSTMANLANDS LÄN</t>
        </is>
      </c>
      <c r="E1268" t="inlineStr">
        <is>
          <t>SURAHAMMAR</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48084-2020</t>
        </is>
      </c>
      <c r="B1269" s="1" t="n">
        <v>44100</v>
      </c>
      <c r="C1269" s="1" t="n">
        <v>45757</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48108-2020</t>
        </is>
      </c>
      <c r="B1270" s="1" t="n">
        <v>44101</v>
      </c>
      <c r="C1270" s="1" t="n">
        <v>45757</v>
      </c>
      <c r="D1270" t="inlineStr">
        <is>
          <t>VÄSTMANLANDS LÄN</t>
        </is>
      </c>
      <c r="E1270" t="inlineStr">
        <is>
          <t>SKINNSKATTEBERG</t>
        </is>
      </c>
      <c r="F1270" t="inlineStr">
        <is>
          <t>Sveaskog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48622-2020</t>
        </is>
      </c>
      <c r="B1271" s="1" t="n">
        <v>44103</v>
      </c>
      <c r="C1271" s="1" t="n">
        <v>45757</v>
      </c>
      <c r="D1271" t="inlineStr">
        <is>
          <t>VÄSTMANLANDS LÄN</t>
        </is>
      </c>
      <c r="E1271" t="inlineStr">
        <is>
          <t>ARBOGA</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49554-2020</t>
        </is>
      </c>
      <c r="B1272" s="1" t="n">
        <v>44103</v>
      </c>
      <c r="C1272" s="1" t="n">
        <v>45757</v>
      </c>
      <c r="D1272" t="inlineStr">
        <is>
          <t>VÄSTMANLANDS LÄN</t>
        </is>
      </c>
      <c r="E1272" t="inlineStr">
        <is>
          <t>SKINNSKATTEBERG</t>
        </is>
      </c>
      <c r="G1272" t="n">
        <v>21.8</v>
      </c>
      <c r="H1272" t="n">
        <v>0</v>
      </c>
      <c r="I1272" t="n">
        <v>0</v>
      </c>
      <c r="J1272" t="n">
        <v>0</v>
      </c>
      <c r="K1272" t="n">
        <v>0</v>
      </c>
      <c r="L1272" t="n">
        <v>0</v>
      </c>
      <c r="M1272" t="n">
        <v>0</v>
      </c>
      <c r="N1272" t="n">
        <v>0</v>
      </c>
      <c r="O1272" t="n">
        <v>0</v>
      </c>
      <c r="P1272" t="n">
        <v>0</v>
      </c>
      <c r="Q1272" t="n">
        <v>0</v>
      </c>
      <c r="R1272" s="2" t="inlineStr"/>
    </row>
    <row r="1273" ht="15" customHeight="1">
      <c r="A1273" t="inlineStr">
        <is>
          <t>A 49113-2020</t>
        </is>
      </c>
      <c r="B1273" s="1" t="n">
        <v>44104</v>
      </c>
      <c r="C1273" s="1" t="n">
        <v>45757</v>
      </c>
      <c r="D1273" t="inlineStr">
        <is>
          <t>VÄSTMANLANDS LÄN</t>
        </is>
      </c>
      <c r="E1273" t="inlineStr">
        <is>
          <t>SKINNSKATTEBERG</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49112-2020</t>
        </is>
      </c>
      <c r="B1274" s="1" t="n">
        <v>44104</v>
      </c>
      <c r="C1274" s="1" t="n">
        <v>45757</v>
      </c>
      <c r="D1274" t="inlineStr">
        <is>
          <t>VÄSTMANLANDS LÄN</t>
        </is>
      </c>
      <c r="E1274" t="inlineStr">
        <is>
          <t>SKINNSKATTEBERG</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49111-2020</t>
        </is>
      </c>
      <c r="B1275" s="1" t="n">
        <v>44104</v>
      </c>
      <c r="C1275" s="1" t="n">
        <v>45757</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49115-2020</t>
        </is>
      </c>
      <c r="B1276" s="1" t="n">
        <v>44104</v>
      </c>
      <c r="C1276" s="1" t="n">
        <v>45757</v>
      </c>
      <c r="D1276" t="inlineStr">
        <is>
          <t>VÄSTMANLANDS LÄN</t>
        </is>
      </c>
      <c r="E1276" t="inlineStr">
        <is>
          <t>SKINNSKATTEBERG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49117-2020</t>
        </is>
      </c>
      <c r="B1277" s="1" t="n">
        <v>44104</v>
      </c>
      <c r="C1277" s="1" t="n">
        <v>45757</v>
      </c>
      <c r="D1277" t="inlineStr">
        <is>
          <t>VÄSTMANLANDS LÄN</t>
        </is>
      </c>
      <c r="E1277" t="inlineStr">
        <is>
          <t>SKINNSKATTEBERG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49110-2020</t>
        </is>
      </c>
      <c r="B1278" s="1" t="n">
        <v>44104</v>
      </c>
      <c r="C1278" s="1" t="n">
        <v>45757</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49114-2020</t>
        </is>
      </c>
      <c r="B1279" s="1" t="n">
        <v>44104</v>
      </c>
      <c r="C1279" s="1" t="n">
        <v>45757</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49373-2020</t>
        </is>
      </c>
      <c r="B1280" s="1" t="n">
        <v>44105</v>
      </c>
      <c r="C1280" s="1" t="n">
        <v>45757</v>
      </c>
      <c r="D1280" t="inlineStr">
        <is>
          <t>VÄSTMANLANDS LÄN</t>
        </is>
      </c>
      <c r="E1280" t="inlineStr">
        <is>
          <t>ARBOGA</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50172-2020</t>
        </is>
      </c>
      <c r="B1281" s="1" t="n">
        <v>44109</v>
      </c>
      <c r="C1281" s="1" t="n">
        <v>45757</v>
      </c>
      <c r="D1281" t="inlineStr">
        <is>
          <t>VÄSTMANLANDS LÄN</t>
        </is>
      </c>
      <c r="E1281" t="inlineStr">
        <is>
          <t>SKINNSKATTEBERG</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50357-2020</t>
        </is>
      </c>
      <c r="B1282" s="1" t="n">
        <v>44110</v>
      </c>
      <c r="C1282" s="1" t="n">
        <v>45757</v>
      </c>
      <c r="D1282" t="inlineStr">
        <is>
          <t>VÄSTMANLANDS LÄN</t>
        </is>
      </c>
      <c r="E1282" t="inlineStr">
        <is>
          <t>KÖPING</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50360-2020</t>
        </is>
      </c>
      <c r="B1283" s="1" t="n">
        <v>44110</v>
      </c>
      <c r="C1283" s="1" t="n">
        <v>45757</v>
      </c>
      <c r="D1283" t="inlineStr">
        <is>
          <t>VÄSTMANLANDS LÄN</t>
        </is>
      </c>
      <c r="E1283" t="inlineStr">
        <is>
          <t>KÖPING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50559-2020</t>
        </is>
      </c>
      <c r="B1284" s="1" t="n">
        <v>44110</v>
      </c>
      <c r="C1284" s="1" t="n">
        <v>45757</v>
      </c>
      <c r="D1284" t="inlineStr">
        <is>
          <t>VÄSTMANLANDS LÄN</t>
        </is>
      </c>
      <c r="E1284" t="inlineStr">
        <is>
          <t>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50801-2020</t>
        </is>
      </c>
      <c r="B1285" s="1" t="n">
        <v>44111</v>
      </c>
      <c r="C1285" s="1" t="n">
        <v>45757</v>
      </c>
      <c r="D1285" t="inlineStr">
        <is>
          <t>VÄSTMANLANDS LÄN</t>
        </is>
      </c>
      <c r="E1285" t="inlineStr">
        <is>
          <t>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50818-2020</t>
        </is>
      </c>
      <c r="B1286" s="1" t="n">
        <v>44111</v>
      </c>
      <c r="C1286" s="1" t="n">
        <v>45757</v>
      </c>
      <c r="D1286" t="inlineStr">
        <is>
          <t>VÄSTMANLANDS LÄN</t>
        </is>
      </c>
      <c r="E1286" t="inlineStr">
        <is>
          <t>SALA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50866-2020</t>
        </is>
      </c>
      <c r="B1287" s="1" t="n">
        <v>44111</v>
      </c>
      <c r="C1287" s="1" t="n">
        <v>45757</v>
      </c>
      <c r="D1287" t="inlineStr">
        <is>
          <t>VÄSTMANLANDS LÄN</t>
        </is>
      </c>
      <c r="E1287" t="inlineStr">
        <is>
          <t>ARBOGA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51349-2020</t>
        </is>
      </c>
      <c r="B1288" s="1" t="n">
        <v>44112</v>
      </c>
      <c r="C1288" s="1" t="n">
        <v>45757</v>
      </c>
      <c r="D1288" t="inlineStr">
        <is>
          <t>VÄSTMANLANDS LÄN</t>
        </is>
      </c>
      <c r="E1288" t="inlineStr">
        <is>
          <t>KÖPING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51350-2020</t>
        </is>
      </c>
      <c r="B1289" s="1" t="n">
        <v>44112</v>
      </c>
      <c r="C1289" s="1" t="n">
        <v>45757</v>
      </c>
      <c r="D1289" t="inlineStr">
        <is>
          <t>VÄSTMANLANDS LÄN</t>
        </is>
      </c>
      <c r="E1289" t="inlineStr">
        <is>
          <t>KÖPING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51624-2020</t>
        </is>
      </c>
      <c r="B1290" s="1" t="n">
        <v>44113</v>
      </c>
      <c r="C1290" s="1" t="n">
        <v>45757</v>
      </c>
      <c r="D1290" t="inlineStr">
        <is>
          <t>VÄSTMANLANDS LÄN</t>
        </is>
      </c>
      <c r="E1290" t="inlineStr">
        <is>
          <t>FAGERSTA</t>
        </is>
      </c>
      <c r="F1290" t="inlineStr">
        <is>
          <t>Sveaskog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51489-2020</t>
        </is>
      </c>
      <c r="B1291" s="1" t="n">
        <v>44113</v>
      </c>
      <c r="C1291" s="1" t="n">
        <v>45757</v>
      </c>
      <c r="D1291" t="inlineStr">
        <is>
          <t>VÄSTMANLANDS LÄN</t>
        </is>
      </c>
      <c r="E1291" t="inlineStr">
        <is>
          <t>VÄSTERÅS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51618-2020</t>
        </is>
      </c>
      <c r="B1292" s="1" t="n">
        <v>44113</v>
      </c>
      <c r="C1292" s="1" t="n">
        <v>45757</v>
      </c>
      <c r="D1292" t="inlineStr">
        <is>
          <t>VÄSTMANLANDS LÄN</t>
        </is>
      </c>
      <c r="E1292" t="inlineStr">
        <is>
          <t>FAGERSTA</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51634-2020</t>
        </is>
      </c>
      <c r="B1293" s="1" t="n">
        <v>44113</v>
      </c>
      <c r="C1293" s="1" t="n">
        <v>45757</v>
      </c>
      <c r="D1293" t="inlineStr">
        <is>
          <t>VÄSTMANLANDS LÄN</t>
        </is>
      </c>
      <c r="E1293" t="inlineStr">
        <is>
          <t>FAGERSTA</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51607-2020</t>
        </is>
      </c>
      <c r="B1294" s="1" t="n">
        <v>44113</v>
      </c>
      <c r="C1294" s="1" t="n">
        <v>45757</v>
      </c>
      <c r="D1294" t="inlineStr">
        <is>
          <t>VÄSTMANLANDS LÄN</t>
        </is>
      </c>
      <c r="E1294" t="inlineStr">
        <is>
          <t>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52016-2020</t>
        </is>
      </c>
      <c r="B1295" s="1" t="n">
        <v>44116</v>
      </c>
      <c r="C1295" s="1" t="n">
        <v>45757</v>
      </c>
      <c r="D1295" t="inlineStr">
        <is>
          <t>VÄSTMANLANDS LÄN</t>
        </is>
      </c>
      <c r="E1295" t="inlineStr">
        <is>
          <t>VÄSTERÅS</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51975-2020</t>
        </is>
      </c>
      <c r="B1296" s="1" t="n">
        <v>44116</v>
      </c>
      <c r="C1296" s="1" t="n">
        <v>45757</v>
      </c>
      <c r="D1296" t="inlineStr">
        <is>
          <t>VÄSTMANLANDS LÄN</t>
        </is>
      </c>
      <c r="E1296" t="inlineStr">
        <is>
          <t>VÄSTERÅS</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52006-2020</t>
        </is>
      </c>
      <c r="B1297" s="1" t="n">
        <v>44116</v>
      </c>
      <c r="C1297" s="1" t="n">
        <v>45757</v>
      </c>
      <c r="D1297" t="inlineStr">
        <is>
          <t>VÄSTMANLANDS LÄN</t>
        </is>
      </c>
      <c r="E1297" t="inlineStr">
        <is>
          <t>NORBERG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52084-2020</t>
        </is>
      </c>
      <c r="B1298" s="1" t="n">
        <v>44117</v>
      </c>
      <c r="C1298" s="1" t="n">
        <v>45757</v>
      </c>
      <c r="D1298" t="inlineStr">
        <is>
          <t>VÄSTMANLANDS LÄN</t>
        </is>
      </c>
      <c r="E1298" t="inlineStr">
        <is>
          <t>SKINNSKATTEBERG</t>
        </is>
      </c>
      <c r="F1298" t="inlineStr">
        <is>
          <t>Sveaskog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52076-2020</t>
        </is>
      </c>
      <c r="B1299" s="1" t="n">
        <v>44117</v>
      </c>
      <c r="C1299" s="1" t="n">
        <v>45757</v>
      </c>
      <c r="D1299" t="inlineStr">
        <is>
          <t>VÄSTMANLANDS LÄN</t>
        </is>
      </c>
      <c r="E1299" t="inlineStr">
        <is>
          <t>SURAHAMMAR</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52074-2020</t>
        </is>
      </c>
      <c r="B1300" s="1" t="n">
        <v>44117</v>
      </c>
      <c r="C1300" s="1" t="n">
        <v>45757</v>
      </c>
      <c r="D1300" t="inlineStr">
        <is>
          <t>VÄSTMANLANDS LÄN</t>
        </is>
      </c>
      <c r="E1300" t="inlineStr">
        <is>
          <t>SURAHAMMAR</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52289-2020</t>
        </is>
      </c>
      <c r="B1301" s="1" t="n">
        <v>44117</v>
      </c>
      <c r="C1301" s="1" t="n">
        <v>45757</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53224-2020</t>
        </is>
      </c>
      <c r="B1302" s="1" t="n">
        <v>44123</v>
      </c>
      <c r="C1302" s="1" t="n">
        <v>45757</v>
      </c>
      <c r="D1302" t="inlineStr">
        <is>
          <t>VÄSTMANLANDS LÄN</t>
        </is>
      </c>
      <c r="E1302" t="inlineStr">
        <is>
          <t>VÄSTERÅS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53306-2020</t>
        </is>
      </c>
      <c r="B1303" s="1" t="n">
        <v>44123</v>
      </c>
      <c r="C1303" s="1" t="n">
        <v>45757</v>
      </c>
      <c r="D1303" t="inlineStr">
        <is>
          <t>VÄSTMANLANDS LÄN</t>
        </is>
      </c>
      <c r="E1303" t="inlineStr">
        <is>
          <t>KÖPING</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54117-2020</t>
        </is>
      </c>
      <c r="B1304" s="1" t="n">
        <v>44123</v>
      </c>
      <c r="C1304" s="1" t="n">
        <v>45757</v>
      </c>
      <c r="D1304" t="inlineStr">
        <is>
          <t>VÄSTMANLANDS LÄN</t>
        </is>
      </c>
      <c r="E1304" t="inlineStr">
        <is>
          <t>KÖPING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53580-2020</t>
        </is>
      </c>
      <c r="B1305" s="1" t="n">
        <v>44124</v>
      </c>
      <c r="C1305" s="1" t="n">
        <v>45757</v>
      </c>
      <c r="D1305" t="inlineStr">
        <is>
          <t>VÄSTMANLANDS LÄN</t>
        </is>
      </c>
      <c r="E1305" t="inlineStr">
        <is>
          <t>HALLSTAHAMMAR</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54276-2020</t>
        </is>
      </c>
      <c r="B1306" s="1" t="n">
        <v>44126</v>
      </c>
      <c r="C1306" s="1" t="n">
        <v>45757</v>
      </c>
      <c r="D1306" t="inlineStr">
        <is>
          <t>VÄSTMANLANDS LÄN</t>
        </is>
      </c>
      <c r="E1306" t="inlineStr">
        <is>
          <t>KÖPING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54322-2020</t>
        </is>
      </c>
      <c r="B1307" s="1" t="n">
        <v>44126</v>
      </c>
      <c r="C1307" s="1" t="n">
        <v>45757</v>
      </c>
      <c r="D1307" t="inlineStr">
        <is>
          <t>VÄSTMANLANDS LÄN</t>
        </is>
      </c>
      <c r="E1307" t="inlineStr">
        <is>
          <t>SALA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54423-2020</t>
        </is>
      </c>
      <c r="B1308" s="1" t="n">
        <v>44126</v>
      </c>
      <c r="C1308" s="1" t="n">
        <v>45757</v>
      </c>
      <c r="D1308" t="inlineStr">
        <is>
          <t>VÄSTMANLANDS LÄN</t>
        </is>
      </c>
      <c r="E1308" t="inlineStr">
        <is>
          <t>SKINNSKATTEBERG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54706-2020</t>
        </is>
      </c>
      <c r="B1309" s="1" t="n">
        <v>44127</v>
      </c>
      <c r="C1309" s="1" t="n">
        <v>45757</v>
      </c>
      <c r="D1309" t="inlineStr">
        <is>
          <t>VÄSTMANLANDS LÄN</t>
        </is>
      </c>
      <c r="E1309" t="inlineStr">
        <is>
          <t>KUNGSÖR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54769-2020</t>
        </is>
      </c>
      <c r="B1310" s="1" t="n">
        <v>44127</v>
      </c>
      <c r="C1310" s="1" t="n">
        <v>45757</v>
      </c>
      <c r="D1310" t="inlineStr">
        <is>
          <t>VÄSTMANLANDS LÄN</t>
        </is>
      </c>
      <c r="E1310" t="inlineStr">
        <is>
          <t>KÖPING</t>
        </is>
      </c>
      <c r="F1310" t="inlineStr">
        <is>
          <t>Allmännings- och besparingsskogar</t>
        </is>
      </c>
      <c r="G1310" t="n">
        <v>23.2</v>
      </c>
      <c r="H1310" t="n">
        <v>0</v>
      </c>
      <c r="I1310" t="n">
        <v>0</v>
      </c>
      <c r="J1310" t="n">
        <v>0</v>
      </c>
      <c r="K1310" t="n">
        <v>0</v>
      </c>
      <c r="L1310" t="n">
        <v>0</v>
      </c>
      <c r="M1310" t="n">
        <v>0</v>
      </c>
      <c r="N1310" t="n">
        <v>0</v>
      </c>
      <c r="O1310" t="n">
        <v>0</v>
      </c>
      <c r="P1310" t="n">
        <v>0</v>
      </c>
      <c r="Q1310" t="n">
        <v>0</v>
      </c>
      <c r="R1310" s="2" t="inlineStr"/>
    </row>
    <row r="1311" ht="15" customHeight="1">
      <c r="A1311" t="inlineStr">
        <is>
          <t>A 54923-2020</t>
        </is>
      </c>
      <c r="B1311" s="1" t="n">
        <v>44127</v>
      </c>
      <c r="C1311" s="1" t="n">
        <v>45757</v>
      </c>
      <c r="D1311" t="inlineStr">
        <is>
          <t>VÄSTMANLANDS LÄN</t>
        </is>
      </c>
      <c r="E1311" t="inlineStr">
        <is>
          <t>SALA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54705-2020</t>
        </is>
      </c>
      <c r="B1312" s="1" t="n">
        <v>44127</v>
      </c>
      <c r="C1312" s="1" t="n">
        <v>45757</v>
      </c>
      <c r="D1312" t="inlineStr">
        <is>
          <t>VÄSTMANLANDS LÄN</t>
        </is>
      </c>
      <c r="E1312" t="inlineStr">
        <is>
          <t>KUNGSÖR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54931-2020</t>
        </is>
      </c>
      <c r="B1313" s="1" t="n">
        <v>44127</v>
      </c>
      <c r="C1313" s="1" t="n">
        <v>45757</v>
      </c>
      <c r="D1313" t="inlineStr">
        <is>
          <t>VÄSTMANLANDS LÄN</t>
        </is>
      </c>
      <c r="E1313" t="inlineStr">
        <is>
          <t>SALA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54962-2020</t>
        </is>
      </c>
      <c r="B1314" s="1" t="n">
        <v>44130</v>
      </c>
      <c r="C1314" s="1" t="n">
        <v>45757</v>
      </c>
      <c r="D1314" t="inlineStr">
        <is>
          <t>VÄSTMANLANDS LÄN</t>
        </is>
      </c>
      <c r="E1314" t="inlineStr">
        <is>
          <t>SURAHAMMAR</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54977-2020</t>
        </is>
      </c>
      <c r="B1315" s="1" t="n">
        <v>44130</v>
      </c>
      <c r="C1315" s="1" t="n">
        <v>45757</v>
      </c>
      <c r="D1315" t="inlineStr">
        <is>
          <t>VÄSTMANLANDS LÄN</t>
        </is>
      </c>
      <c r="E1315" t="inlineStr">
        <is>
          <t>SKINNSKATTEBERG</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55439-2020</t>
        </is>
      </c>
      <c r="B1316" s="1" t="n">
        <v>44130</v>
      </c>
      <c r="C1316" s="1" t="n">
        <v>45757</v>
      </c>
      <c r="D1316" t="inlineStr">
        <is>
          <t>VÄSTMANLANDS LÄN</t>
        </is>
      </c>
      <c r="E1316" t="inlineStr">
        <is>
          <t>SALA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55397-2020</t>
        </is>
      </c>
      <c r="B1317" s="1" t="n">
        <v>44131</v>
      </c>
      <c r="C1317" s="1" t="n">
        <v>45757</v>
      </c>
      <c r="D1317" t="inlineStr">
        <is>
          <t>VÄSTMANLANDS LÄN</t>
        </is>
      </c>
      <c r="E1317" t="inlineStr">
        <is>
          <t>SURAHAMMAR</t>
        </is>
      </c>
      <c r="F1317" t="inlineStr">
        <is>
          <t>Sveaskog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55881-2020</t>
        </is>
      </c>
      <c r="B1318" s="1" t="n">
        <v>44132</v>
      </c>
      <c r="C1318" s="1" t="n">
        <v>45757</v>
      </c>
      <c r="D1318" t="inlineStr">
        <is>
          <t>VÄSTMANLANDS LÄN</t>
        </is>
      </c>
      <c r="E1318" t="inlineStr">
        <is>
          <t>SALA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56134-2020</t>
        </is>
      </c>
      <c r="B1319" s="1" t="n">
        <v>44132</v>
      </c>
      <c r="C1319" s="1" t="n">
        <v>45757</v>
      </c>
      <c r="D1319" t="inlineStr">
        <is>
          <t>VÄSTMANLANDS LÄN</t>
        </is>
      </c>
      <c r="E1319" t="inlineStr">
        <is>
          <t>SALA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56098-2020</t>
        </is>
      </c>
      <c r="B1320" s="1" t="n">
        <v>44132</v>
      </c>
      <c r="C1320" s="1" t="n">
        <v>45757</v>
      </c>
      <c r="D1320" t="inlineStr">
        <is>
          <t>VÄSTMANLANDS LÄN</t>
        </is>
      </c>
      <c r="E1320" t="inlineStr">
        <is>
          <t>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56513-2020</t>
        </is>
      </c>
      <c r="B1321" s="1" t="n">
        <v>44137</v>
      </c>
      <c r="C1321" s="1" t="n">
        <v>45757</v>
      </c>
      <c r="D1321" t="inlineStr">
        <is>
          <t>VÄSTMANLANDS LÄN</t>
        </is>
      </c>
      <c r="E1321" t="inlineStr">
        <is>
          <t>VÄSTERÅS</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56446-2020</t>
        </is>
      </c>
      <c r="B1322" s="1" t="n">
        <v>44137</v>
      </c>
      <c r="C1322" s="1" t="n">
        <v>45757</v>
      </c>
      <c r="D1322" t="inlineStr">
        <is>
          <t>VÄSTMANLANDS LÄN</t>
        </is>
      </c>
      <c r="E1322" t="inlineStr">
        <is>
          <t>VÄSTERÅS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57629-2020</t>
        </is>
      </c>
      <c r="B1323" s="1" t="n">
        <v>44140</v>
      </c>
      <c r="C1323" s="1" t="n">
        <v>45757</v>
      </c>
      <c r="D1323" t="inlineStr">
        <is>
          <t>VÄSTMANLANDS LÄN</t>
        </is>
      </c>
      <c r="E1323" t="inlineStr">
        <is>
          <t>KÖPING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57800-2020</t>
        </is>
      </c>
      <c r="B1324" s="1" t="n">
        <v>44141</v>
      </c>
      <c r="C1324" s="1" t="n">
        <v>45757</v>
      </c>
      <c r="D1324" t="inlineStr">
        <is>
          <t>VÄSTMANLANDS LÄN</t>
        </is>
      </c>
      <c r="E1324" t="inlineStr">
        <is>
          <t>SALA</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57923-2020</t>
        </is>
      </c>
      <c r="B1325" s="1" t="n">
        <v>44141</v>
      </c>
      <c r="C1325" s="1" t="n">
        <v>45757</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57979-2020</t>
        </is>
      </c>
      <c r="B1326" s="1" t="n">
        <v>44143</v>
      </c>
      <c r="C1326" s="1" t="n">
        <v>45757</v>
      </c>
      <c r="D1326" t="inlineStr">
        <is>
          <t>VÄSTMANLANDS LÄN</t>
        </is>
      </c>
      <c r="E1326" t="inlineStr">
        <is>
          <t>KÖPING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58008-2020</t>
        </is>
      </c>
      <c r="B1327" s="1" t="n">
        <v>44144</v>
      </c>
      <c r="C1327" s="1" t="n">
        <v>45757</v>
      </c>
      <c r="D1327" t="inlineStr">
        <is>
          <t>VÄSTMANLANDS LÄN</t>
        </is>
      </c>
      <c r="E1327" t="inlineStr">
        <is>
          <t>SKINNSKATTEBERG</t>
        </is>
      </c>
      <c r="F1327" t="inlineStr">
        <is>
          <t>Sveaskog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58015-2020</t>
        </is>
      </c>
      <c r="B1328" s="1" t="n">
        <v>44144</v>
      </c>
      <c r="C1328" s="1" t="n">
        <v>45757</v>
      </c>
      <c r="D1328" t="inlineStr">
        <is>
          <t>VÄSTMANLANDS LÄN</t>
        </is>
      </c>
      <c r="E1328" t="inlineStr">
        <is>
          <t>SKINNSKATTEBERG</t>
        </is>
      </c>
      <c r="F1328" t="inlineStr">
        <is>
          <t>Sveaskog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58139-2020</t>
        </is>
      </c>
      <c r="B1329" s="1" t="n">
        <v>44144</v>
      </c>
      <c r="C1329" s="1" t="n">
        <v>45757</v>
      </c>
      <c r="D1329" t="inlineStr">
        <is>
          <t>VÄSTMANLANDS LÄN</t>
        </is>
      </c>
      <c r="E1329" t="inlineStr">
        <is>
          <t>HALLSTAHAMMAR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58040-2020</t>
        </is>
      </c>
      <c r="B1330" s="1" t="n">
        <v>44144</v>
      </c>
      <c r="C1330" s="1" t="n">
        <v>45757</v>
      </c>
      <c r="D1330" t="inlineStr">
        <is>
          <t>VÄSTMANLANDS LÄN</t>
        </is>
      </c>
      <c r="E1330" t="inlineStr">
        <is>
          <t>KUNGSÖR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58314-2020</t>
        </is>
      </c>
      <c r="B1331" s="1" t="n">
        <v>44145</v>
      </c>
      <c r="C1331" s="1" t="n">
        <v>45757</v>
      </c>
      <c r="D1331" t="inlineStr">
        <is>
          <t>VÄSTMANLANDS LÄN</t>
        </is>
      </c>
      <c r="E1331" t="inlineStr">
        <is>
          <t>SALA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58494-2020</t>
        </is>
      </c>
      <c r="B1332" s="1" t="n">
        <v>44145</v>
      </c>
      <c r="C1332" s="1" t="n">
        <v>45757</v>
      </c>
      <c r="D1332" t="inlineStr">
        <is>
          <t>VÄSTMANLANDS LÄN</t>
        </is>
      </c>
      <c r="E1332" t="inlineStr">
        <is>
          <t>SKINNSKATTEBERG</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58734-2020</t>
        </is>
      </c>
      <c r="B1333" s="1" t="n">
        <v>44146</v>
      </c>
      <c r="C1333" s="1" t="n">
        <v>45757</v>
      </c>
      <c r="D1333" t="inlineStr">
        <is>
          <t>VÄSTMANLANDS LÄN</t>
        </is>
      </c>
      <c r="E1333" t="inlineStr">
        <is>
          <t>SKINNSKATTEBERG</t>
        </is>
      </c>
      <c r="F1333" t="inlineStr">
        <is>
          <t>Sveaskog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58737-2020</t>
        </is>
      </c>
      <c r="B1334" s="1" t="n">
        <v>44146</v>
      </c>
      <c r="C1334" s="1" t="n">
        <v>45757</v>
      </c>
      <c r="D1334" t="inlineStr">
        <is>
          <t>VÄSTMANLANDS LÄN</t>
        </is>
      </c>
      <c r="E1334" t="inlineStr">
        <is>
          <t>SKINNSKATTEBERG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58781-2020</t>
        </is>
      </c>
      <c r="B1335" s="1" t="n">
        <v>44146</v>
      </c>
      <c r="C1335" s="1" t="n">
        <v>45757</v>
      </c>
      <c r="D1335" t="inlineStr">
        <is>
          <t>VÄSTMANLANDS LÄN</t>
        </is>
      </c>
      <c r="E1335" t="inlineStr">
        <is>
          <t>SALA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58912-2020</t>
        </is>
      </c>
      <c r="B1336" s="1" t="n">
        <v>44146</v>
      </c>
      <c r="C1336" s="1" t="n">
        <v>45757</v>
      </c>
      <c r="D1336" t="inlineStr">
        <is>
          <t>VÄSTMANLANDS LÄN</t>
        </is>
      </c>
      <c r="E1336" t="inlineStr">
        <is>
          <t>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59165-2020</t>
        </is>
      </c>
      <c r="B1337" s="1" t="n">
        <v>44147</v>
      </c>
      <c r="C1337" s="1" t="n">
        <v>45757</v>
      </c>
      <c r="D1337" t="inlineStr">
        <is>
          <t>VÄSTMANLANDS LÄN</t>
        </is>
      </c>
      <c r="E1337" t="inlineStr">
        <is>
          <t>VÄSTERÅS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59395-2020</t>
        </is>
      </c>
      <c r="B1338" s="1" t="n">
        <v>44147</v>
      </c>
      <c r="C1338" s="1" t="n">
        <v>45757</v>
      </c>
      <c r="D1338" t="inlineStr">
        <is>
          <t>VÄSTMANLANDS LÄN</t>
        </is>
      </c>
      <c r="E1338" t="inlineStr">
        <is>
          <t>SKINNSKATTEBERG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59512-2020</t>
        </is>
      </c>
      <c r="B1339" s="1" t="n">
        <v>44148</v>
      </c>
      <c r="C1339" s="1" t="n">
        <v>45757</v>
      </c>
      <c r="D1339" t="inlineStr">
        <is>
          <t>VÄSTMANLANDS LÄN</t>
        </is>
      </c>
      <c r="E1339" t="inlineStr">
        <is>
          <t>VÄSTERÅS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59543-2020</t>
        </is>
      </c>
      <c r="B1340" s="1" t="n">
        <v>44148</v>
      </c>
      <c r="C1340" s="1" t="n">
        <v>45757</v>
      </c>
      <c r="D1340" t="inlineStr">
        <is>
          <t>VÄSTMANLANDS LÄN</t>
        </is>
      </c>
      <c r="E1340" t="inlineStr">
        <is>
          <t>SURAHAMMAR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59740-2020</t>
        </is>
      </c>
      <c r="B1341" s="1" t="n">
        <v>44151</v>
      </c>
      <c r="C1341" s="1" t="n">
        <v>45757</v>
      </c>
      <c r="D1341" t="inlineStr">
        <is>
          <t>VÄSTMANLANDS LÄN</t>
        </is>
      </c>
      <c r="E1341" t="inlineStr">
        <is>
          <t>SURAHAMMAR</t>
        </is>
      </c>
      <c r="F1341" t="inlineStr">
        <is>
          <t>Sveaskog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59727-2020</t>
        </is>
      </c>
      <c r="B1342" s="1" t="n">
        <v>44151</v>
      </c>
      <c r="C1342" s="1" t="n">
        <v>45757</v>
      </c>
      <c r="D1342" t="inlineStr">
        <is>
          <t>VÄSTMANLANDS LÄN</t>
        </is>
      </c>
      <c r="E1342" t="inlineStr">
        <is>
          <t>SURAHAMMAR</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60161-2020</t>
        </is>
      </c>
      <c r="B1343" s="1" t="n">
        <v>44151</v>
      </c>
      <c r="C1343" s="1" t="n">
        <v>45757</v>
      </c>
      <c r="D1343" t="inlineStr">
        <is>
          <t>VÄSTMANLANDS LÄN</t>
        </is>
      </c>
      <c r="E1343" t="inlineStr">
        <is>
          <t>NORBERG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60442-2020</t>
        </is>
      </c>
      <c r="B1344" s="1" t="n">
        <v>44151</v>
      </c>
      <c r="C1344" s="1" t="n">
        <v>45757</v>
      </c>
      <c r="D1344" t="inlineStr">
        <is>
          <t>VÄSTMANLANDS LÄN</t>
        </is>
      </c>
      <c r="E1344" t="inlineStr">
        <is>
          <t>NORBERG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60363-2020</t>
        </is>
      </c>
      <c r="B1345" s="1" t="n">
        <v>44152</v>
      </c>
      <c r="C1345" s="1" t="n">
        <v>45757</v>
      </c>
      <c r="D1345" t="inlineStr">
        <is>
          <t>VÄSTMANLANDS LÄN</t>
        </is>
      </c>
      <c r="E1345" t="inlineStr">
        <is>
          <t>VÄSTERÅS</t>
        </is>
      </c>
      <c r="F1345" t="inlineStr">
        <is>
          <t>Övriga Aktiebolag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60134-2020</t>
        </is>
      </c>
      <c r="B1346" s="1" t="n">
        <v>44152</v>
      </c>
      <c r="C1346" s="1" t="n">
        <v>45757</v>
      </c>
      <c r="D1346" t="inlineStr">
        <is>
          <t>VÄSTMANLANDS LÄN</t>
        </is>
      </c>
      <c r="E1346" t="inlineStr">
        <is>
          <t>SKINNSKATTEBERG</t>
        </is>
      </c>
      <c r="F1346" t="inlineStr">
        <is>
          <t>Sveaskog</t>
        </is>
      </c>
      <c r="G1346" t="n">
        <v>1.2</v>
      </c>
      <c r="H1346" t="n">
        <v>0</v>
      </c>
      <c r="I1346" t="n">
        <v>0</v>
      </c>
      <c r="J1346" t="n">
        <v>0</v>
      </c>
      <c r="K1346" t="n">
        <v>0</v>
      </c>
      <c r="L1346" t="n">
        <v>0</v>
      </c>
      <c r="M1346" t="n">
        <v>0</v>
      </c>
      <c r="N1346" t="n">
        <v>0</v>
      </c>
      <c r="O1346" t="n">
        <v>0</v>
      </c>
      <c r="P1346" t="n">
        <v>0</v>
      </c>
      <c r="Q1346" t="n">
        <v>0</v>
      </c>
      <c r="R1346" s="2" t="inlineStr"/>
      <c r="U1346">
        <f>HYPERLINK("https://klasma.github.io/Logging_1904/knärot/A 60134-2020 karta knärot.png", "A 60134-2020")</f>
        <v/>
      </c>
      <c r="V1346">
        <f>HYPERLINK("https://klasma.github.io/Logging_1904/klagomål/A 60134-2020 FSC-klagomål.docx", "A 60134-2020")</f>
        <v/>
      </c>
      <c r="W1346">
        <f>HYPERLINK("https://klasma.github.io/Logging_1904/klagomålsmail/A 60134-2020 FSC-klagomål mail.docx", "A 60134-2020")</f>
        <v/>
      </c>
      <c r="X1346">
        <f>HYPERLINK("https://klasma.github.io/Logging_1904/tillsyn/A 60134-2020 tillsynsbegäran.docx", "A 60134-2020")</f>
        <v/>
      </c>
      <c r="Y1346">
        <f>HYPERLINK("https://klasma.github.io/Logging_1904/tillsynsmail/A 60134-2020 tillsynsbegäran mail.docx", "A 60134-2020")</f>
        <v/>
      </c>
    </row>
    <row r="1347" ht="15" customHeight="1">
      <c r="A1347" t="inlineStr">
        <is>
          <t>A 60355-2020</t>
        </is>
      </c>
      <c r="B1347" s="1" t="n">
        <v>44152</v>
      </c>
      <c r="C1347" s="1" t="n">
        <v>45757</v>
      </c>
      <c r="D1347" t="inlineStr">
        <is>
          <t>VÄSTMANLANDS LÄN</t>
        </is>
      </c>
      <c r="E1347" t="inlineStr">
        <is>
          <t>VÄSTERÅS</t>
        </is>
      </c>
      <c r="F1347" t="inlineStr">
        <is>
          <t>Övriga Aktiebolag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60555-2020</t>
        </is>
      </c>
      <c r="B1348" s="1" t="n">
        <v>44153</v>
      </c>
      <c r="C1348" s="1" t="n">
        <v>45757</v>
      </c>
      <c r="D1348" t="inlineStr">
        <is>
          <t>VÄSTMANLANDS LÄN</t>
        </is>
      </c>
      <c r="E1348" t="inlineStr">
        <is>
          <t>VÄSTERÅS</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60797-2020</t>
        </is>
      </c>
      <c r="B1349" s="1" t="n">
        <v>44154</v>
      </c>
      <c r="C1349" s="1" t="n">
        <v>45757</v>
      </c>
      <c r="D1349" t="inlineStr">
        <is>
          <t>VÄSTMANLANDS LÄN</t>
        </is>
      </c>
      <c r="E1349" t="inlineStr">
        <is>
          <t>SKINNSKATTEBERG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61327-2020</t>
        </is>
      </c>
      <c r="B1350" s="1" t="n">
        <v>44155</v>
      </c>
      <c r="C1350" s="1" t="n">
        <v>45757</v>
      </c>
      <c r="D1350" t="inlineStr">
        <is>
          <t>VÄSTMANLANDS LÄN</t>
        </is>
      </c>
      <c r="E1350" t="inlineStr">
        <is>
          <t>VÄSTERÅS</t>
        </is>
      </c>
      <c r="F1350" t="inlineStr">
        <is>
          <t>Övriga statliga verk och myndigheter</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61201-2020</t>
        </is>
      </c>
      <c r="B1351" s="1" t="n">
        <v>44155</v>
      </c>
      <c r="C1351" s="1" t="n">
        <v>45757</v>
      </c>
      <c r="D1351" t="inlineStr">
        <is>
          <t>VÄSTMANLANDS LÄN</t>
        </is>
      </c>
      <c r="E1351" t="inlineStr">
        <is>
          <t>KÖPING</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61202-2020</t>
        </is>
      </c>
      <c r="B1352" s="1" t="n">
        <v>44155</v>
      </c>
      <c r="C1352" s="1" t="n">
        <v>45757</v>
      </c>
      <c r="D1352" t="inlineStr">
        <is>
          <t>VÄSTMANLANDS LÄN</t>
        </is>
      </c>
      <c r="E1352" t="inlineStr">
        <is>
          <t>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61415-2020</t>
        </is>
      </c>
      <c r="B1353" s="1" t="n">
        <v>44156</v>
      </c>
      <c r="C1353" s="1" t="n">
        <v>45757</v>
      </c>
      <c r="D1353" t="inlineStr">
        <is>
          <t>VÄSTMANLANDS LÄN</t>
        </is>
      </c>
      <c r="E1353" t="inlineStr">
        <is>
          <t>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62275-2020</t>
        </is>
      </c>
      <c r="B1354" s="1" t="n">
        <v>44158</v>
      </c>
      <c r="C1354" s="1" t="n">
        <v>45757</v>
      </c>
      <c r="D1354" t="inlineStr">
        <is>
          <t>VÄSTMANLANDS LÄN</t>
        </is>
      </c>
      <c r="E1354" t="inlineStr">
        <is>
          <t>SALA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61858-2020</t>
        </is>
      </c>
      <c r="B1355" s="1" t="n">
        <v>44159</v>
      </c>
      <c r="C1355" s="1" t="n">
        <v>45757</v>
      </c>
      <c r="D1355" t="inlineStr">
        <is>
          <t>VÄSTMANLANDS LÄN</t>
        </is>
      </c>
      <c r="E1355" t="inlineStr">
        <is>
          <t>VÄSTERÅS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62395-2020</t>
        </is>
      </c>
      <c r="B1356" s="1" t="n">
        <v>44160</v>
      </c>
      <c r="C1356" s="1" t="n">
        <v>45757</v>
      </c>
      <c r="D1356" t="inlineStr">
        <is>
          <t>VÄSTMANLANDS LÄN</t>
        </is>
      </c>
      <c r="E1356" t="inlineStr">
        <is>
          <t>SKINNSKATTEBERG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62686-2020</t>
        </is>
      </c>
      <c r="B1357" s="1" t="n">
        <v>44161</v>
      </c>
      <c r="C1357" s="1" t="n">
        <v>45757</v>
      </c>
      <c r="D1357" t="inlineStr">
        <is>
          <t>VÄSTMANLANDS LÄN</t>
        </is>
      </c>
      <c r="E1357" t="inlineStr">
        <is>
          <t>FAGERSTA</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62680-2020</t>
        </is>
      </c>
      <c r="B1358" s="1" t="n">
        <v>44161</v>
      </c>
      <c r="C1358" s="1" t="n">
        <v>45757</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63035-2020</t>
        </is>
      </c>
      <c r="B1359" s="1" t="n">
        <v>44162</v>
      </c>
      <c r="C1359" s="1" t="n">
        <v>45757</v>
      </c>
      <c r="D1359" t="inlineStr">
        <is>
          <t>VÄSTMANLANDS LÄN</t>
        </is>
      </c>
      <c r="E1359" t="inlineStr">
        <is>
          <t>VÄSTERÅS</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63718-2020</t>
        </is>
      </c>
      <c r="B1360" s="1" t="n">
        <v>44162</v>
      </c>
      <c r="C1360" s="1" t="n">
        <v>45757</v>
      </c>
      <c r="D1360" t="inlineStr">
        <is>
          <t>VÄSTMANLANDS LÄN</t>
        </is>
      </c>
      <c r="E1360" t="inlineStr">
        <is>
          <t>NORBERG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63346-2020</t>
        </is>
      </c>
      <c r="B1361" s="1" t="n">
        <v>44165</v>
      </c>
      <c r="C1361" s="1" t="n">
        <v>45757</v>
      </c>
      <c r="D1361" t="inlineStr">
        <is>
          <t>VÄSTMANLANDS LÄN</t>
        </is>
      </c>
      <c r="E1361" t="inlineStr">
        <is>
          <t>VÄSTERÅS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63318-2020</t>
        </is>
      </c>
      <c r="B1362" s="1" t="n">
        <v>44165</v>
      </c>
      <c r="C1362" s="1" t="n">
        <v>45757</v>
      </c>
      <c r="D1362" t="inlineStr">
        <is>
          <t>VÄSTMANLANDS LÄN</t>
        </is>
      </c>
      <c r="E1362" t="inlineStr">
        <is>
          <t>VÄSTERÅS</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63457-2020</t>
        </is>
      </c>
      <c r="B1363" s="1" t="n">
        <v>44165</v>
      </c>
      <c r="C1363" s="1" t="n">
        <v>45757</v>
      </c>
      <c r="D1363" t="inlineStr">
        <is>
          <t>VÄSTMANLANDS LÄN</t>
        </is>
      </c>
      <c r="E1363" t="inlineStr">
        <is>
          <t>SKINNSKATTEBERG</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64317-2020</t>
        </is>
      </c>
      <c r="B1364" s="1" t="n">
        <v>44167</v>
      </c>
      <c r="C1364" s="1" t="n">
        <v>45757</v>
      </c>
      <c r="D1364" t="inlineStr">
        <is>
          <t>VÄSTMANLANDS LÄN</t>
        </is>
      </c>
      <c r="E1364" t="inlineStr">
        <is>
          <t>KÖPING</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64251-2020</t>
        </is>
      </c>
      <c r="B1365" s="1" t="n">
        <v>44168</v>
      </c>
      <c r="C1365" s="1" t="n">
        <v>45757</v>
      </c>
      <c r="D1365" t="inlineStr">
        <is>
          <t>VÄSTMANLANDS LÄN</t>
        </is>
      </c>
      <c r="E1365" t="inlineStr">
        <is>
          <t>KUNGSÖR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64306-2020</t>
        </is>
      </c>
      <c r="B1366" s="1" t="n">
        <v>44168</v>
      </c>
      <c r="C1366" s="1" t="n">
        <v>45757</v>
      </c>
      <c r="D1366" t="inlineStr">
        <is>
          <t>VÄSTMANLANDS LÄN</t>
        </is>
      </c>
      <c r="E1366" t="inlineStr">
        <is>
          <t>FAGERSTA</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64310-2020</t>
        </is>
      </c>
      <c r="B1367" s="1" t="n">
        <v>44168</v>
      </c>
      <c r="C1367" s="1" t="n">
        <v>45757</v>
      </c>
      <c r="D1367" t="inlineStr">
        <is>
          <t>VÄSTMANLANDS LÄN</t>
        </is>
      </c>
      <c r="E1367" t="inlineStr">
        <is>
          <t>FAGERSTA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64314-2020</t>
        </is>
      </c>
      <c r="B1368" s="1" t="n">
        <v>44168</v>
      </c>
      <c r="C1368" s="1" t="n">
        <v>45757</v>
      </c>
      <c r="D1368" t="inlineStr">
        <is>
          <t>VÄSTMANLANDS LÄN</t>
        </is>
      </c>
      <c r="E1368" t="inlineStr">
        <is>
          <t>ARBOGA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64464-2020</t>
        </is>
      </c>
      <c r="B1369" s="1" t="n">
        <v>44168</v>
      </c>
      <c r="C1369" s="1" t="n">
        <v>45757</v>
      </c>
      <c r="D1369" t="inlineStr">
        <is>
          <t>VÄSTMANLANDS LÄN</t>
        </is>
      </c>
      <c r="E1369" t="inlineStr">
        <is>
          <t>SKINNSKATTEBERG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64853-2020</t>
        </is>
      </c>
      <c r="B1370" s="1" t="n">
        <v>44171</v>
      </c>
      <c r="C1370" s="1" t="n">
        <v>45757</v>
      </c>
      <c r="D1370" t="inlineStr">
        <is>
          <t>VÄSTMANLANDS LÄN</t>
        </is>
      </c>
      <c r="E1370" t="inlineStr">
        <is>
          <t>VÄSTERÅS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64885-2020</t>
        </is>
      </c>
      <c r="B1371" s="1" t="n">
        <v>44171</v>
      </c>
      <c r="C1371" s="1" t="n">
        <v>45757</v>
      </c>
      <c r="D1371" t="inlineStr">
        <is>
          <t>VÄSTMANLANDS LÄN</t>
        </is>
      </c>
      <c r="E1371" t="inlineStr">
        <is>
          <t>NORBERG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64940-2020</t>
        </is>
      </c>
      <c r="B1372" s="1" t="n">
        <v>44172</v>
      </c>
      <c r="C1372" s="1" t="n">
        <v>45757</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65193-2020</t>
        </is>
      </c>
      <c r="B1373" s="1" t="n">
        <v>44172</v>
      </c>
      <c r="C1373" s="1" t="n">
        <v>45757</v>
      </c>
      <c r="D1373" t="inlineStr">
        <is>
          <t>VÄSTMANLANDS LÄN</t>
        </is>
      </c>
      <c r="E1373" t="inlineStr">
        <is>
          <t>KÖPING</t>
        </is>
      </c>
      <c r="F1373" t="inlineStr">
        <is>
          <t>Sveaskog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65113-2020</t>
        </is>
      </c>
      <c r="B1374" s="1" t="n">
        <v>44172</v>
      </c>
      <c r="C1374" s="1" t="n">
        <v>45757</v>
      </c>
      <c r="D1374" t="inlineStr">
        <is>
          <t>VÄSTMANLANDS LÄN</t>
        </is>
      </c>
      <c r="E1374" t="inlineStr">
        <is>
          <t>FAGERSTA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65829-2020</t>
        </is>
      </c>
      <c r="B1375" s="1" t="n">
        <v>44172</v>
      </c>
      <c r="C1375" s="1" t="n">
        <v>45757</v>
      </c>
      <c r="D1375" t="inlineStr">
        <is>
          <t>VÄSTMANLANDS LÄN</t>
        </is>
      </c>
      <c r="E1375" t="inlineStr">
        <is>
          <t>FAGERSTA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65521-2020</t>
        </is>
      </c>
      <c r="B1376" s="1" t="n">
        <v>44173</v>
      </c>
      <c r="C1376" s="1" t="n">
        <v>45757</v>
      </c>
      <c r="D1376" t="inlineStr">
        <is>
          <t>VÄSTMANLANDS LÄN</t>
        </is>
      </c>
      <c r="E1376" t="inlineStr">
        <is>
          <t>SKINNSKATTEBERG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66603-2020</t>
        </is>
      </c>
      <c r="B1377" s="1" t="n">
        <v>44179</v>
      </c>
      <c r="C1377" s="1" t="n">
        <v>45757</v>
      </c>
      <c r="D1377" t="inlineStr">
        <is>
          <t>VÄSTMANLANDS LÄN</t>
        </is>
      </c>
      <c r="E1377" t="inlineStr">
        <is>
          <t>ARBOGA</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66704-2020</t>
        </is>
      </c>
      <c r="B1378" s="1" t="n">
        <v>44179</v>
      </c>
      <c r="C1378" s="1" t="n">
        <v>45757</v>
      </c>
      <c r="D1378" t="inlineStr">
        <is>
          <t>VÄSTMANLANDS LÄN</t>
        </is>
      </c>
      <c r="E1378" t="inlineStr">
        <is>
          <t>SKINNSKATTEBERG</t>
        </is>
      </c>
      <c r="F1378" t="inlineStr">
        <is>
          <t>Sveaskog</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66574-2020</t>
        </is>
      </c>
      <c r="B1379" s="1" t="n">
        <v>44179</v>
      </c>
      <c r="C1379" s="1" t="n">
        <v>45757</v>
      </c>
      <c r="D1379" t="inlineStr">
        <is>
          <t>VÄSTMANLANDS LÄN</t>
        </is>
      </c>
      <c r="E1379" t="inlineStr">
        <is>
          <t>VÄSTERÅS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66595-2020</t>
        </is>
      </c>
      <c r="B1380" s="1" t="n">
        <v>44179</v>
      </c>
      <c r="C1380" s="1" t="n">
        <v>45757</v>
      </c>
      <c r="D1380" t="inlineStr">
        <is>
          <t>VÄSTMANLANDS LÄN</t>
        </is>
      </c>
      <c r="E1380" t="inlineStr">
        <is>
          <t>ARBOGA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66821-2020</t>
        </is>
      </c>
      <c r="B1381" s="1" t="n">
        <v>44179</v>
      </c>
      <c r="C1381" s="1" t="n">
        <v>45757</v>
      </c>
      <c r="D1381" t="inlineStr">
        <is>
          <t>VÄSTMANLANDS LÄN</t>
        </is>
      </c>
      <c r="E1381" t="inlineStr">
        <is>
          <t>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66974-2020</t>
        </is>
      </c>
      <c r="B1382" s="1" t="n">
        <v>44180</v>
      </c>
      <c r="C1382" s="1" t="n">
        <v>45757</v>
      </c>
      <c r="D1382" t="inlineStr">
        <is>
          <t>VÄSTMANLANDS LÄN</t>
        </is>
      </c>
      <c r="E1382" t="inlineStr">
        <is>
          <t>KUNGSÖR</t>
        </is>
      </c>
      <c r="F1382" t="inlineStr">
        <is>
          <t>Allmännings- och besparingsskogar</t>
        </is>
      </c>
      <c r="G1382" t="n">
        <v>28.1</v>
      </c>
      <c r="H1382" t="n">
        <v>0</v>
      </c>
      <c r="I1382" t="n">
        <v>0</v>
      </c>
      <c r="J1382" t="n">
        <v>0</v>
      </c>
      <c r="K1382" t="n">
        <v>0</v>
      </c>
      <c r="L1382" t="n">
        <v>0</v>
      </c>
      <c r="M1382" t="n">
        <v>0</v>
      </c>
      <c r="N1382" t="n">
        <v>0</v>
      </c>
      <c r="O1382" t="n">
        <v>0</v>
      </c>
      <c r="P1382" t="n">
        <v>0</v>
      </c>
      <c r="Q1382" t="n">
        <v>0</v>
      </c>
      <c r="R1382" s="2" t="inlineStr"/>
    </row>
    <row r="1383" ht="15" customHeight="1">
      <c r="A1383" t="inlineStr">
        <is>
          <t>A 67005-2020</t>
        </is>
      </c>
      <c r="B1383" s="1" t="n">
        <v>44180</v>
      </c>
      <c r="C1383" s="1" t="n">
        <v>45757</v>
      </c>
      <c r="D1383" t="inlineStr">
        <is>
          <t>VÄSTMANLANDS LÄN</t>
        </is>
      </c>
      <c r="E1383" t="inlineStr">
        <is>
          <t>KÖPING</t>
        </is>
      </c>
      <c r="F1383" t="inlineStr">
        <is>
          <t>Allmännings- och besparingsskogar</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66952-2020</t>
        </is>
      </c>
      <c r="B1384" s="1" t="n">
        <v>44180</v>
      </c>
      <c r="C1384" s="1" t="n">
        <v>45757</v>
      </c>
      <c r="D1384" t="inlineStr">
        <is>
          <t>VÄSTMANLANDS LÄN</t>
        </is>
      </c>
      <c r="E1384" t="inlineStr">
        <is>
          <t>SKINNSKATTEBERG</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67943-2020</t>
        </is>
      </c>
      <c r="B1385" s="1" t="n">
        <v>44182</v>
      </c>
      <c r="C1385" s="1" t="n">
        <v>45757</v>
      </c>
      <c r="D1385" t="inlineStr">
        <is>
          <t>VÄSTMANLANDS LÄN</t>
        </is>
      </c>
      <c r="E1385" t="inlineStr">
        <is>
          <t>VÄSTERÅS</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68113-2020</t>
        </is>
      </c>
      <c r="B1386" s="1" t="n">
        <v>44182</v>
      </c>
      <c r="C1386" s="1" t="n">
        <v>45757</v>
      </c>
      <c r="D1386" t="inlineStr">
        <is>
          <t>VÄSTMANLANDS LÄN</t>
        </is>
      </c>
      <c r="E1386" t="inlineStr">
        <is>
          <t>SALA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68193-2020</t>
        </is>
      </c>
      <c r="B1387" s="1" t="n">
        <v>44183</v>
      </c>
      <c r="C1387" s="1" t="n">
        <v>45757</v>
      </c>
      <c r="D1387" t="inlineStr">
        <is>
          <t>VÄSTMANLANDS LÄN</t>
        </is>
      </c>
      <c r="E1387" t="inlineStr">
        <is>
          <t>VÄSTERÅS</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68191-2020</t>
        </is>
      </c>
      <c r="B1388" s="1" t="n">
        <v>44183</v>
      </c>
      <c r="C1388" s="1" t="n">
        <v>45757</v>
      </c>
      <c r="D1388" t="inlineStr">
        <is>
          <t>VÄSTMANLANDS LÄN</t>
        </is>
      </c>
      <c r="E1388" t="inlineStr">
        <is>
          <t>VÄSTERÅS</t>
        </is>
      </c>
      <c r="G1388" t="n">
        <v>19.4</v>
      </c>
      <c r="H1388" t="n">
        <v>0</v>
      </c>
      <c r="I1388" t="n">
        <v>0</v>
      </c>
      <c r="J1388" t="n">
        <v>0</v>
      </c>
      <c r="K1388" t="n">
        <v>0</v>
      </c>
      <c r="L1388" t="n">
        <v>0</v>
      </c>
      <c r="M1388" t="n">
        <v>0</v>
      </c>
      <c r="N1388" t="n">
        <v>0</v>
      </c>
      <c r="O1388" t="n">
        <v>0</v>
      </c>
      <c r="P1388" t="n">
        <v>0</v>
      </c>
      <c r="Q1388" t="n">
        <v>0</v>
      </c>
      <c r="R1388" s="2" t="inlineStr"/>
    </row>
    <row r="1389" ht="15" customHeight="1">
      <c r="A1389" t="inlineStr">
        <is>
          <t>A 68513-2020</t>
        </is>
      </c>
      <c r="B1389" s="1" t="n">
        <v>44186</v>
      </c>
      <c r="C1389" s="1" t="n">
        <v>45757</v>
      </c>
      <c r="D1389" t="inlineStr">
        <is>
          <t>VÄSTMANLANDS LÄN</t>
        </is>
      </c>
      <c r="E1389" t="inlineStr">
        <is>
          <t>KÖPING</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68531-2020</t>
        </is>
      </c>
      <c r="B1390" s="1" t="n">
        <v>44186</v>
      </c>
      <c r="C1390" s="1" t="n">
        <v>45757</v>
      </c>
      <c r="D1390" t="inlineStr">
        <is>
          <t>VÄSTMANLANDS LÄN</t>
        </is>
      </c>
      <c r="E1390" t="inlineStr">
        <is>
          <t>KÖPING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68824-2020</t>
        </is>
      </c>
      <c r="B1391" s="1" t="n">
        <v>44186</v>
      </c>
      <c r="C1391" s="1" t="n">
        <v>45757</v>
      </c>
      <c r="D1391" t="inlineStr">
        <is>
          <t>VÄSTMANLANDS LÄN</t>
        </is>
      </c>
      <c r="E1391" t="inlineStr">
        <is>
          <t>SKINNSKATTEBERG</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68934-2020</t>
        </is>
      </c>
      <c r="B1392" s="1" t="n">
        <v>44187</v>
      </c>
      <c r="C1392" s="1" t="n">
        <v>45757</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69194-2020</t>
        </is>
      </c>
      <c r="B1393" s="1" t="n">
        <v>44191</v>
      </c>
      <c r="C1393" s="1" t="n">
        <v>45757</v>
      </c>
      <c r="D1393" t="inlineStr">
        <is>
          <t>VÄSTMANLANDS LÄN</t>
        </is>
      </c>
      <c r="E1393" t="inlineStr">
        <is>
          <t>SALA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69192-2020</t>
        </is>
      </c>
      <c r="B1394" s="1" t="n">
        <v>44191</v>
      </c>
      <c r="C1394" s="1" t="n">
        <v>45757</v>
      </c>
      <c r="D1394" t="inlineStr">
        <is>
          <t>VÄSTMANLANDS LÄN</t>
        </is>
      </c>
      <c r="E1394" t="inlineStr">
        <is>
          <t>SALA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69195-2020</t>
        </is>
      </c>
      <c r="B1395" s="1" t="n">
        <v>44191</v>
      </c>
      <c r="C1395" s="1" t="n">
        <v>45757</v>
      </c>
      <c r="D1395" t="inlineStr">
        <is>
          <t>VÄSTMANLANDS LÄN</t>
        </is>
      </c>
      <c r="E1395" t="inlineStr">
        <is>
          <t>SALA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69319-2020</t>
        </is>
      </c>
      <c r="B1396" s="1" t="n">
        <v>44193</v>
      </c>
      <c r="C1396" s="1" t="n">
        <v>45757</v>
      </c>
      <c r="D1396" t="inlineStr">
        <is>
          <t>VÄSTMANLANDS LÄN</t>
        </is>
      </c>
      <c r="E1396" t="inlineStr">
        <is>
          <t>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69318-2020</t>
        </is>
      </c>
      <c r="B1397" s="1" t="n">
        <v>44193</v>
      </c>
      <c r="C1397" s="1" t="n">
        <v>45757</v>
      </c>
      <c r="D1397" t="inlineStr">
        <is>
          <t>VÄSTMANLANDS LÄN</t>
        </is>
      </c>
      <c r="E1397" t="inlineStr">
        <is>
          <t>SALA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69514-2020</t>
        </is>
      </c>
      <c r="B1398" s="1" t="n">
        <v>44193</v>
      </c>
      <c r="C1398" s="1" t="n">
        <v>45757</v>
      </c>
      <c r="D1398" t="inlineStr">
        <is>
          <t>VÄSTMANLANDS LÄN</t>
        </is>
      </c>
      <c r="E1398" t="inlineStr">
        <is>
          <t>NORBERG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69450-2020</t>
        </is>
      </c>
      <c r="B1399" s="1" t="n">
        <v>44194</v>
      </c>
      <c r="C1399" s="1" t="n">
        <v>45757</v>
      </c>
      <c r="D1399" t="inlineStr">
        <is>
          <t>VÄSTMANLANDS LÄN</t>
        </is>
      </c>
      <c r="E1399" t="inlineStr">
        <is>
          <t>NORBERG</t>
        </is>
      </c>
      <c r="F1399" t="inlineStr">
        <is>
          <t>Kyrkan</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69590-2020</t>
        </is>
      </c>
      <c r="B1400" s="1" t="n">
        <v>44194</v>
      </c>
      <c r="C1400" s="1" t="n">
        <v>45757</v>
      </c>
      <c r="D1400" t="inlineStr">
        <is>
          <t>VÄSTMANLANDS LÄN</t>
        </is>
      </c>
      <c r="E1400" t="inlineStr">
        <is>
          <t>NORBERG</t>
        </is>
      </c>
      <c r="F1400" t="inlineStr">
        <is>
          <t>Kyrkan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69631-2020</t>
        </is>
      </c>
      <c r="B1401" s="1" t="n">
        <v>44195</v>
      </c>
      <c r="C1401" s="1" t="n">
        <v>45757</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11-2021</t>
        </is>
      </c>
      <c r="B1402" s="1" t="n">
        <v>44197</v>
      </c>
      <c r="C1402" s="1" t="n">
        <v>45757</v>
      </c>
      <c r="D1402" t="inlineStr">
        <is>
          <t>VÄSTMANLANDS LÄN</t>
        </is>
      </c>
      <c r="E1402" t="inlineStr">
        <is>
          <t>ARBOGA</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238-2021</t>
        </is>
      </c>
      <c r="B1403" s="1" t="n">
        <v>44200</v>
      </c>
      <c r="C1403" s="1" t="n">
        <v>45757</v>
      </c>
      <c r="D1403" t="inlineStr">
        <is>
          <t>VÄSTMANLANDS LÄN</t>
        </is>
      </c>
      <c r="E1403" t="inlineStr">
        <is>
          <t>SKINNSKATTEBERG</t>
        </is>
      </c>
      <c r="F1403" t="inlineStr">
        <is>
          <t>Sveaskog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263-2021</t>
        </is>
      </c>
      <c r="B1404" s="1" t="n">
        <v>44200</v>
      </c>
      <c r="C1404" s="1" t="n">
        <v>45757</v>
      </c>
      <c r="D1404" t="inlineStr">
        <is>
          <t>VÄSTMANLANDS LÄN</t>
        </is>
      </c>
      <c r="E1404" t="inlineStr">
        <is>
          <t>KÖPING</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503-2021</t>
        </is>
      </c>
      <c r="B1405" s="1" t="n">
        <v>44203</v>
      </c>
      <c r="C1405" s="1" t="n">
        <v>45757</v>
      </c>
      <c r="D1405" t="inlineStr">
        <is>
          <t>VÄSTMANLANDS LÄN</t>
        </is>
      </c>
      <c r="E1405" t="inlineStr">
        <is>
          <t>ARBOGA</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509-2021</t>
        </is>
      </c>
      <c r="B1406" s="1" t="n">
        <v>44203</v>
      </c>
      <c r="C1406" s="1" t="n">
        <v>45757</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852-2021</t>
        </is>
      </c>
      <c r="B1407" s="1" t="n">
        <v>44204</v>
      </c>
      <c r="C1407" s="1" t="n">
        <v>45757</v>
      </c>
      <c r="D1407" t="inlineStr">
        <is>
          <t>VÄSTMANLANDS LÄN</t>
        </is>
      </c>
      <c r="E1407" t="inlineStr">
        <is>
          <t>SKINNSKATTEBERG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1492-2021</t>
        </is>
      </c>
      <c r="B1408" s="1" t="n">
        <v>44209</v>
      </c>
      <c r="C1408" s="1" t="n">
        <v>45757</v>
      </c>
      <c r="D1408" t="inlineStr">
        <is>
          <t>VÄSTMANLANDS LÄN</t>
        </is>
      </c>
      <c r="E1408" t="inlineStr">
        <is>
          <t>SURAHAMMAR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1599-2021</t>
        </is>
      </c>
      <c r="B1409" s="1" t="n">
        <v>44209</v>
      </c>
      <c r="C1409" s="1" t="n">
        <v>45757</v>
      </c>
      <c r="D1409" t="inlineStr">
        <is>
          <t>VÄSTMANLANDS LÄN</t>
        </is>
      </c>
      <c r="E1409" t="inlineStr">
        <is>
          <t>SALA</t>
        </is>
      </c>
      <c r="G1409" t="n">
        <v>9.6</v>
      </c>
      <c r="H1409" t="n">
        <v>0</v>
      </c>
      <c r="I1409" t="n">
        <v>0</v>
      </c>
      <c r="J1409" t="n">
        <v>0</v>
      </c>
      <c r="K1409" t="n">
        <v>0</v>
      </c>
      <c r="L1409" t="n">
        <v>0</v>
      </c>
      <c r="M1409" t="n">
        <v>0</v>
      </c>
      <c r="N1409" t="n">
        <v>0</v>
      </c>
      <c r="O1409" t="n">
        <v>0</v>
      </c>
      <c r="P1409" t="n">
        <v>0</v>
      </c>
      <c r="Q1409" t="n">
        <v>0</v>
      </c>
      <c r="R1409" s="2" t="inlineStr"/>
      <c r="U1409">
        <f>HYPERLINK("https://klasma.github.io/Logging_1981/knärot/A 1599-2021 karta knärot.png", "A 1599-2021")</f>
        <v/>
      </c>
      <c r="V1409">
        <f>HYPERLINK("https://klasma.github.io/Logging_1981/klagomål/A 1599-2021 FSC-klagomål.docx", "A 1599-2021")</f>
        <v/>
      </c>
      <c r="W1409">
        <f>HYPERLINK("https://klasma.github.io/Logging_1981/klagomålsmail/A 1599-2021 FSC-klagomål mail.docx", "A 1599-2021")</f>
        <v/>
      </c>
      <c r="X1409">
        <f>HYPERLINK("https://klasma.github.io/Logging_1981/tillsyn/A 1599-2021 tillsynsbegäran.docx", "A 1599-2021")</f>
        <v/>
      </c>
      <c r="Y1409">
        <f>HYPERLINK("https://klasma.github.io/Logging_1981/tillsynsmail/A 1599-2021 tillsynsbegäran mail.docx", "A 1599-2021")</f>
        <v/>
      </c>
    </row>
    <row r="1410" ht="15" customHeight="1">
      <c r="A1410" t="inlineStr">
        <is>
          <t>A 1527-2021</t>
        </is>
      </c>
      <c r="B1410" s="1" t="n">
        <v>44209</v>
      </c>
      <c r="C1410" s="1" t="n">
        <v>45757</v>
      </c>
      <c r="D1410" t="inlineStr">
        <is>
          <t>VÄSTMANLANDS LÄN</t>
        </is>
      </c>
      <c r="E1410" t="inlineStr">
        <is>
          <t>VÄSTERÅS</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2443-2021</t>
        </is>
      </c>
      <c r="B1411" s="1" t="n">
        <v>44214</v>
      </c>
      <c r="C1411" s="1" t="n">
        <v>45757</v>
      </c>
      <c r="D1411" t="inlineStr">
        <is>
          <t>VÄSTMANLANDS LÄN</t>
        </is>
      </c>
      <c r="E1411" t="inlineStr">
        <is>
          <t>SALA</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3223-2021</t>
        </is>
      </c>
      <c r="B1412" s="1" t="n">
        <v>44217</v>
      </c>
      <c r="C1412" s="1" t="n">
        <v>45757</v>
      </c>
      <c r="D1412" t="inlineStr">
        <is>
          <t>VÄSTMANLANDS LÄN</t>
        </is>
      </c>
      <c r="E1412" t="inlineStr">
        <is>
          <t>KUNGSÖR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3170-2021</t>
        </is>
      </c>
      <c r="B1413" s="1" t="n">
        <v>44217</v>
      </c>
      <c r="C1413" s="1" t="n">
        <v>45757</v>
      </c>
      <c r="D1413" t="inlineStr">
        <is>
          <t>VÄSTMANLANDS LÄN</t>
        </is>
      </c>
      <c r="E1413" t="inlineStr">
        <is>
          <t>HALLSTAHAMMAR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3187-2021</t>
        </is>
      </c>
      <c r="B1414" s="1" t="n">
        <v>44217</v>
      </c>
      <c r="C1414" s="1" t="n">
        <v>45757</v>
      </c>
      <c r="D1414" t="inlineStr">
        <is>
          <t>VÄSTMANLANDS LÄN</t>
        </is>
      </c>
      <c r="E1414" t="inlineStr">
        <is>
          <t>HALLSTAHAMMAR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3906-2021</t>
        </is>
      </c>
      <c r="B1415" s="1" t="n">
        <v>44217</v>
      </c>
      <c r="C1415" s="1" t="n">
        <v>45757</v>
      </c>
      <c r="D1415" t="inlineStr">
        <is>
          <t>VÄSTMANLANDS LÄN</t>
        </is>
      </c>
      <c r="E1415" t="inlineStr">
        <is>
          <t>VÄSTERÅS</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3901-2021</t>
        </is>
      </c>
      <c r="B1416" s="1" t="n">
        <v>44217</v>
      </c>
      <c r="C1416" s="1" t="n">
        <v>45757</v>
      </c>
      <c r="D1416" t="inlineStr">
        <is>
          <t>VÄSTMANLANDS LÄN</t>
        </is>
      </c>
      <c r="E1416" t="inlineStr">
        <is>
          <t>VÄSTERÅS</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3909-2021</t>
        </is>
      </c>
      <c r="B1417" s="1" t="n">
        <v>44217</v>
      </c>
      <c r="C1417" s="1" t="n">
        <v>45757</v>
      </c>
      <c r="D1417" t="inlineStr">
        <is>
          <t>VÄSTMANLANDS LÄN</t>
        </is>
      </c>
      <c r="E1417" t="inlineStr">
        <is>
          <t>VÄSTERÅS</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4183-2021</t>
        </is>
      </c>
      <c r="B1418" s="1" t="n">
        <v>44218</v>
      </c>
      <c r="C1418" s="1" t="n">
        <v>45757</v>
      </c>
      <c r="D1418" t="inlineStr">
        <is>
          <t>VÄSTMANLANDS LÄN</t>
        </is>
      </c>
      <c r="E1418" t="inlineStr">
        <is>
          <t>NORBERG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4036-2021</t>
        </is>
      </c>
      <c r="B1419" s="1" t="n">
        <v>44222</v>
      </c>
      <c r="C1419" s="1" t="n">
        <v>45757</v>
      </c>
      <c r="D1419" t="inlineStr">
        <is>
          <t>VÄSTMANLANDS LÄN</t>
        </is>
      </c>
      <c r="E1419" t="inlineStr">
        <is>
          <t>ARBOGA</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4051-2021</t>
        </is>
      </c>
      <c r="B1420" s="1" t="n">
        <v>44222</v>
      </c>
      <c r="C1420" s="1" t="n">
        <v>45757</v>
      </c>
      <c r="D1420" t="inlineStr">
        <is>
          <t>VÄSTMANLANDS LÄN</t>
        </is>
      </c>
      <c r="E1420" t="inlineStr">
        <is>
          <t>ARBOGA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4508-2021</t>
        </is>
      </c>
      <c r="B1421" s="1" t="n">
        <v>44224</v>
      </c>
      <c r="C1421" s="1" t="n">
        <v>45757</v>
      </c>
      <c r="D1421" t="inlineStr">
        <is>
          <t>VÄSTMANLANDS LÄN</t>
        </is>
      </c>
      <c r="E1421" t="inlineStr">
        <is>
          <t>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4471-2021</t>
        </is>
      </c>
      <c r="B1422" s="1" t="n">
        <v>44224</v>
      </c>
      <c r="C1422" s="1" t="n">
        <v>45757</v>
      </c>
      <c r="D1422" t="inlineStr">
        <is>
          <t>VÄSTMANLANDS LÄN</t>
        </is>
      </c>
      <c r="E1422" t="inlineStr">
        <is>
          <t>NORBERG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4736-2021</t>
        </is>
      </c>
      <c r="B1423" s="1" t="n">
        <v>44225</v>
      </c>
      <c r="C1423" s="1" t="n">
        <v>45757</v>
      </c>
      <c r="D1423" t="inlineStr">
        <is>
          <t>VÄSTMANLANDS LÄN</t>
        </is>
      </c>
      <c r="E1423" t="inlineStr">
        <is>
          <t>SALA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4759-2021</t>
        </is>
      </c>
      <c r="B1424" s="1" t="n">
        <v>44225</v>
      </c>
      <c r="C1424" s="1" t="n">
        <v>45757</v>
      </c>
      <c r="D1424" t="inlineStr">
        <is>
          <t>VÄSTMANLANDS LÄN</t>
        </is>
      </c>
      <c r="E1424" t="inlineStr">
        <is>
          <t>VÄSTERÅS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4778-2021</t>
        </is>
      </c>
      <c r="B1425" s="1" t="n">
        <v>44225</v>
      </c>
      <c r="C1425" s="1" t="n">
        <v>45757</v>
      </c>
      <c r="D1425" t="inlineStr">
        <is>
          <t>VÄSTMANLANDS LÄN</t>
        </is>
      </c>
      <c r="E1425" t="inlineStr">
        <is>
          <t>VÄSTERÅS</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4776-2021</t>
        </is>
      </c>
      <c r="B1426" s="1" t="n">
        <v>44225</v>
      </c>
      <c r="C1426" s="1" t="n">
        <v>45757</v>
      </c>
      <c r="D1426" t="inlineStr">
        <is>
          <t>VÄSTMANLANDS LÄN</t>
        </is>
      </c>
      <c r="E1426" t="inlineStr">
        <is>
          <t>VÄSTERÅS</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5700-2021</t>
        </is>
      </c>
      <c r="B1427" s="1" t="n">
        <v>44230</v>
      </c>
      <c r="C1427" s="1" t="n">
        <v>45757</v>
      </c>
      <c r="D1427" t="inlineStr">
        <is>
          <t>VÄSTMANLANDS LÄN</t>
        </is>
      </c>
      <c r="E1427" t="inlineStr">
        <is>
          <t>SKINNSKATTEBERG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5687-2021</t>
        </is>
      </c>
      <c r="B1428" s="1" t="n">
        <v>44230</v>
      </c>
      <c r="C1428" s="1" t="n">
        <v>45757</v>
      </c>
      <c r="D1428" t="inlineStr">
        <is>
          <t>VÄSTMANLANDS LÄN</t>
        </is>
      </c>
      <c r="E1428" t="inlineStr">
        <is>
          <t>SKINNSKATTEBERG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6088-2021</t>
        </is>
      </c>
      <c r="B1429" s="1" t="n">
        <v>44232</v>
      </c>
      <c r="C1429" s="1" t="n">
        <v>45757</v>
      </c>
      <c r="D1429" t="inlineStr">
        <is>
          <t>VÄSTMANLANDS LÄN</t>
        </is>
      </c>
      <c r="E1429" t="inlineStr">
        <is>
          <t>SALA</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6061-2021</t>
        </is>
      </c>
      <c r="B1430" s="1" t="n">
        <v>44232</v>
      </c>
      <c r="C1430" s="1" t="n">
        <v>45757</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6191-2021</t>
        </is>
      </c>
      <c r="B1431" s="1" t="n">
        <v>44234</v>
      </c>
      <c r="C1431" s="1" t="n">
        <v>45757</v>
      </c>
      <c r="D1431" t="inlineStr">
        <is>
          <t>VÄSTMANLANDS LÄN</t>
        </is>
      </c>
      <c r="E1431" t="inlineStr">
        <is>
          <t>ARBOGA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6308-2021</t>
        </is>
      </c>
      <c r="B1432" s="1" t="n">
        <v>44235</v>
      </c>
      <c r="C1432" s="1" t="n">
        <v>45757</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6516-2021</t>
        </is>
      </c>
      <c r="B1433" s="1" t="n">
        <v>44236</v>
      </c>
      <c r="C1433" s="1" t="n">
        <v>45757</v>
      </c>
      <c r="D1433" t="inlineStr">
        <is>
          <t>VÄSTMANLANDS LÄN</t>
        </is>
      </c>
      <c r="E1433" t="inlineStr">
        <is>
          <t>SKINNSKATTEBERG</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6518-2021</t>
        </is>
      </c>
      <c r="B1434" s="1" t="n">
        <v>44236</v>
      </c>
      <c r="C1434" s="1" t="n">
        <v>45757</v>
      </c>
      <c r="D1434" t="inlineStr">
        <is>
          <t>VÄSTMANLANDS LÄN</t>
        </is>
      </c>
      <c r="E1434" t="inlineStr">
        <is>
          <t>SKINNSKATTEBERG</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6785-2021</t>
        </is>
      </c>
      <c r="B1435" s="1" t="n">
        <v>44236</v>
      </c>
      <c r="C1435" s="1" t="n">
        <v>45757</v>
      </c>
      <c r="D1435" t="inlineStr">
        <is>
          <t>VÄSTMANLANDS LÄN</t>
        </is>
      </c>
      <c r="E1435" t="inlineStr">
        <is>
          <t>VÄSTERÅS</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6834-2021</t>
        </is>
      </c>
      <c r="B1436" s="1" t="n">
        <v>44236</v>
      </c>
      <c r="C1436" s="1" t="n">
        <v>45757</v>
      </c>
      <c r="D1436" t="inlineStr">
        <is>
          <t>VÄSTMANLANDS LÄN</t>
        </is>
      </c>
      <c r="E1436" t="inlineStr">
        <is>
          <t>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6830-2021</t>
        </is>
      </c>
      <c r="B1437" s="1" t="n">
        <v>44236</v>
      </c>
      <c r="C1437" s="1" t="n">
        <v>45757</v>
      </c>
      <c r="D1437" t="inlineStr">
        <is>
          <t>VÄSTMANLANDS LÄN</t>
        </is>
      </c>
      <c r="E1437" t="inlineStr">
        <is>
          <t>KÖPING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6913-2021</t>
        </is>
      </c>
      <c r="B1438" s="1" t="n">
        <v>44237</v>
      </c>
      <c r="C1438" s="1" t="n">
        <v>45757</v>
      </c>
      <c r="D1438" t="inlineStr">
        <is>
          <t>VÄSTMANLANDS LÄN</t>
        </is>
      </c>
      <c r="E1438" t="inlineStr">
        <is>
          <t>KÖPING</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6934-2021</t>
        </is>
      </c>
      <c r="B1439" s="1" t="n">
        <v>44237</v>
      </c>
      <c r="C1439" s="1" t="n">
        <v>45757</v>
      </c>
      <c r="D1439" t="inlineStr">
        <is>
          <t>VÄSTMANLANDS LÄN</t>
        </is>
      </c>
      <c r="E1439" t="inlineStr">
        <is>
          <t>HALLSTAHAMMAR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7275-2021</t>
        </is>
      </c>
      <c r="B1440" s="1" t="n">
        <v>44238</v>
      </c>
      <c r="C1440" s="1" t="n">
        <v>45757</v>
      </c>
      <c r="D1440" t="inlineStr">
        <is>
          <t>VÄSTMANLANDS LÄN</t>
        </is>
      </c>
      <c r="E1440" t="inlineStr">
        <is>
          <t>VÄSTERÅS</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7642-2021</t>
        </is>
      </c>
      <c r="B1441" s="1" t="n">
        <v>44239</v>
      </c>
      <c r="C1441" s="1" t="n">
        <v>45757</v>
      </c>
      <c r="D1441" t="inlineStr">
        <is>
          <t>VÄSTMANLANDS LÄN</t>
        </is>
      </c>
      <c r="E1441" t="inlineStr">
        <is>
          <t>NORBERG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7556-2021</t>
        </is>
      </c>
      <c r="B1442" s="1" t="n">
        <v>44239</v>
      </c>
      <c r="C1442" s="1" t="n">
        <v>45757</v>
      </c>
      <c r="D1442" t="inlineStr">
        <is>
          <t>VÄSTMANLANDS LÄN</t>
        </is>
      </c>
      <c r="E1442" t="inlineStr">
        <is>
          <t>VÄSTERÅS</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7690-2021</t>
        </is>
      </c>
      <c r="B1443" s="1" t="n">
        <v>44242</v>
      </c>
      <c r="C1443" s="1" t="n">
        <v>45757</v>
      </c>
      <c r="D1443" t="inlineStr">
        <is>
          <t>VÄSTMANLANDS LÄN</t>
        </is>
      </c>
      <c r="E1443" t="inlineStr">
        <is>
          <t>VÄSTERÅS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7712-2021</t>
        </is>
      </c>
      <c r="B1444" s="1" t="n">
        <v>44242</v>
      </c>
      <c r="C1444" s="1" t="n">
        <v>45757</v>
      </c>
      <c r="D1444" t="inlineStr">
        <is>
          <t>VÄSTMANLANDS LÄN</t>
        </is>
      </c>
      <c r="E1444" t="inlineStr">
        <is>
          <t>ARBOGA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7722-2021</t>
        </is>
      </c>
      <c r="B1445" s="1" t="n">
        <v>44242</v>
      </c>
      <c r="C1445" s="1" t="n">
        <v>45757</v>
      </c>
      <c r="D1445" t="inlineStr">
        <is>
          <t>VÄSTMANLANDS LÄN</t>
        </is>
      </c>
      <c r="E1445" t="inlineStr">
        <is>
          <t>ARBOGA</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7681-2021</t>
        </is>
      </c>
      <c r="B1446" s="1" t="n">
        <v>44242</v>
      </c>
      <c r="C1446" s="1" t="n">
        <v>45757</v>
      </c>
      <c r="D1446" t="inlineStr">
        <is>
          <t>VÄSTMANLANDS LÄN</t>
        </is>
      </c>
      <c r="E1446" t="inlineStr">
        <is>
          <t>SALA</t>
        </is>
      </c>
      <c r="F1446" t="inlineStr">
        <is>
          <t>Sveaskog</t>
        </is>
      </c>
      <c r="G1446" t="n">
        <v>16.1</v>
      </c>
      <c r="H1446" t="n">
        <v>0</v>
      </c>
      <c r="I1446" t="n">
        <v>0</v>
      </c>
      <c r="J1446" t="n">
        <v>0</v>
      </c>
      <c r="K1446" t="n">
        <v>0</v>
      </c>
      <c r="L1446" t="n">
        <v>0</v>
      </c>
      <c r="M1446" t="n">
        <v>0</v>
      </c>
      <c r="N1446" t="n">
        <v>0</v>
      </c>
      <c r="O1446" t="n">
        <v>0</v>
      </c>
      <c r="P1446" t="n">
        <v>0</v>
      </c>
      <c r="Q1446" t="n">
        <v>0</v>
      </c>
      <c r="R1446" s="2" t="inlineStr"/>
    </row>
    <row r="1447" ht="15" customHeight="1">
      <c r="A1447" t="inlineStr">
        <is>
          <t>A 7720-2021</t>
        </is>
      </c>
      <c r="B1447" s="1" t="n">
        <v>44242</v>
      </c>
      <c r="C1447" s="1" t="n">
        <v>45757</v>
      </c>
      <c r="D1447" t="inlineStr">
        <is>
          <t>VÄSTMANLANDS LÄN</t>
        </is>
      </c>
      <c r="E1447" t="inlineStr">
        <is>
          <t>ARBOGA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7968-2021</t>
        </is>
      </c>
      <c r="B1448" s="1" t="n">
        <v>44243</v>
      </c>
      <c r="C1448" s="1" t="n">
        <v>45757</v>
      </c>
      <c r="D1448" t="inlineStr">
        <is>
          <t>VÄSTMANLANDS LÄN</t>
        </is>
      </c>
      <c r="E1448" t="inlineStr">
        <is>
          <t>SALA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7955-2021</t>
        </is>
      </c>
      <c r="B1449" s="1" t="n">
        <v>44243</v>
      </c>
      <c r="C1449" s="1" t="n">
        <v>45757</v>
      </c>
      <c r="D1449" t="inlineStr">
        <is>
          <t>VÄSTMANLANDS LÄN</t>
        </is>
      </c>
      <c r="E1449" t="inlineStr">
        <is>
          <t>SALA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8205-2021</t>
        </is>
      </c>
      <c r="B1450" s="1" t="n">
        <v>44244</v>
      </c>
      <c r="C1450" s="1" t="n">
        <v>45757</v>
      </c>
      <c r="D1450" t="inlineStr">
        <is>
          <t>VÄSTMANLANDS LÄN</t>
        </is>
      </c>
      <c r="E1450" t="inlineStr">
        <is>
          <t>NORBERG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8513-2021</t>
        </is>
      </c>
      <c r="B1451" s="1" t="n">
        <v>44244</v>
      </c>
      <c r="C1451" s="1" t="n">
        <v>45757</v>
      </c>
      <c r="D1451" t="inlineStr">
        <is>
          <t>VÄSTMANLANDS LÄN</t>
        </is>
      </c>
      <c r="E1451" t="inlineStr">
        <is>
          <t>SALA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8731-2021</t>
        </is>
      </c>
      <c r="B1452" s="1" t="n">
        <v>44246</v>
      </c>
      <c r="C1452" s="1" t="n">
        <v>45757</v>
      </c>
      <c r="D1452" t="inlineStr">
        <is>
          <t>VÄSTMANLANDS LÄN</t>
        </is>
      </c>
      <c r="E1452" t="inlineStr">
        <is>
          <t>KÖPING</t>
        </is>
      </c>
      <c r="F1452" t="inlineStr">
        <is>
          <t>Sveaskog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8681-2021</t>
        </is>
      </c>
      <c r="B1453" s="1" t="n">
        <v>44246</v>
      </c>
      <c r="C1453" s="1" t="n">
        <v>45757</v>
      </c>
      <c r="D1453" t="inlineStr">
        <is>
          <t>VÄSTMANLANDS LÄN</t>
        </is>
      </c>
      <c r="E1453" t="inlineStr">
        <is>
          <t>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9152-2021</t>
        </is>
      </c>
      <c r="B1454" s="1" t="n">
        <v>44249</v>
      </c>
      <c r="C1454" s="1" t="n">
        <v>45757</v>
      </c>
      <c r="D1454" t="inlineStr">
        <is>
          <t>VÄSTMANLANDS LÄN</t>
        </is>
      </c>
      <c r="E1454" t="inlineStr">
        <is>
          <t>VÄSTERÅS</t>
        </is>
      </c>
      <c r="F1454" t="inlineStr">
        <is>
          <t>Kyrkan</t>
        </is>
      </c>
      <c r="G1454" t="n">
        <v>14.8</v>
      </c>
      <c r="H1454" t="n">
        <v>0</v>
      </c>
      <c r="I1454" t="n">
        <v>0</v>
      </c>
      <c r="J1454" t="n">
        <v>0</v>
      </c>
      <c r="K1454" t="n">
        <v>0</v>
      </c>
      <c r="L1454" t="n">
        <v>0</v>
      </c>
      <c r="M1454" t="n">
        <v>0</v>
      </c>
      <c r="N1454" t="n">
        <v>0</v>
      </c>
      <c r="O1454" t="n">
        <v>0</v>
      </c>
      <c r="P1454" t="n">
        <v>0</v>
      </c>
      <c r="Q1454" t="n">
        <v>0</v>
      </c>
      <c r="R1454" s="2" t="inlineStr"/>
    </row>
    <row r="1455" ht="15" customHeight="1">
      <c r="A1455" t="inlineStr">
        <is>
          <t>A 9149-2021</t>
        </is>
      </c>
      <c r="B1455" s="1" t="n">
        <v>44249</v>
      </c>
      <c r="C1455" s="1" t="n">
        <v>45757</v>
      </c>
      <c r="D1455" t="inlineStr">
        <is>
          <t>VÄSTMANLANDS LÄN</t>
        </is>
      </c>
      <c r="E1455" t="inlineStr">
        <is>
          <t>VÄSTERÅS</t>
        </is>
      </c>
      <c r="F1455" t="inlineStr">
        <is>
          <t>Kyrkan</t>
        </is>
      </c>
      <c r="G1455" t="n">
        <v>14.8</v>
      </c>
      <c r="H1455" t="n">
        <v>0</v>
      </c>
      <c r="I1455" t="n">
        <v>0</v>
      </c>
      <c r="J1455" t="n">
        <v>0</v>
      </c>
      <c r="K1455" t="n">
        <v>0</v>
      </c>
      <c r="L1455" t="n">
        <v>0</v>
      </c>
      <c r="M1455" t="n">
        <v>0</v>
      </c>
      <c r="N1455" t="n">
        <v>0</v>
      </c>
      <c r="O1455" t="n">
        <v>0</v>
      </c>
      <c r="P1455" t="n">
        <v>0</v>
      </c>
      <c r="Q1455" t="n">
        <v>0</v>
      </c>
      <c r="R1455" s="2" t="inlineStr"/>
    </row>
    <row r="1456" ht="15" customHeight="1">
      <c r="A1456" t="inlineStr">
        <is>
          <t>A 9761-2021</t>
        </is>
      </c>
      <c r="B1456" s="1" t="n">
        <v>44252</v>
      </c>
      <c r="C1456" s="1" t="n">
        <v>45757</v>
      </c>
      <c r="D1456" t="inlineStr">
        <is>
          <t>VÄSTMANLANDS LÄN</t>
        </is>
      </c>
      <c r="E1456" t="inlineStr">
        <is>
          <t>HALLSTAHAMMAR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9967-2021</t>
        </is>
      </c>
      <c r="B1457" s="1" t="n">
        <v>44253</v>
      </c>
      <c r="C1457" s="1" t="n">
        <v>45757</v>
      </c>
      <c r="D1457" t="inlineStr">
        <is>
          <t>VÄSTMANLANDS LÄN</t>
        </is>
      </c>
      <c r="E1457" t="inlineStr">
        <is>
          <t>VÄSTERÅS</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9969-2021</t>
        </is>
      </c>
      <c r="B1458" s="1" t="n">
        <v>44253</v>
      </c>
      <c r="C1458" s="1" t="n">
        <v>45757</v>
      </c>
      <c r="D1458" t="inlineStr">
        <is>
          <t>VÄSTMANLANDS LÄN</t>
        </is>
      </c>
      <c r="E1458" t="inlineStr">
        <is>
          <t>VÄSTERÅS</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10154-2021</t>
        </is>
      </c>
      <c r="B1459" s="1" t="n">
        <v>44256</v>
      </c>
      <c r="C1459" s="1" t="n">
        <v>45757</v>
      </c>
      <c r="D1459" t="inlineStr">
        <is>
          <t>VÄSTMANLANDS LÄN</t>
        </is>
      </c>
      <c r="E1459" t="inlineStr">
        <is>
          <t>SALA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10339-2021</t>
        </is>
      </c>
      <c r="B1460" s="1" t="n">
        <v>44257</v>
      </c>
      <c r="C1460" s="1" t="n">
        <v>45757</v>
      </c>
      <c r="D1460" t="inlineStr">
        <is>
          <t>VÄSTMANLANDS LÄN</t>
        </is>
      </c>
      <c r="E1460" t="inlineStr">
        <is>
          <t>NORBERG</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10349-2021</t>
        </is>
      </c>
      <c r="B1461" s="1" t="n">
        <v>44257</v>
      </c>
      <c r="C1461" s="1" t="n">
        <v>45757</v>
      </c>
      <c r="D1461" t="inlineStr">
        <is>
          <t>VÄSTMANLANDS LÄN</t>
        </is>
      </c>
      <c r="E1461" t="inlineStr">
        <is>
          <t>ARBOGA</t>
        </is>
      </c>
      <c r="F1461" t="inlineStr">
        <is>
          <t>Sveaskog</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10352-2021</t>
        </is>
      </c>
      <c r="B1462" s="1" t="n">
        <v>44257</v>
      </c>
      <c r="C1462" s="1" t="n">
        <v>45757</v>
      </c>
      <c r="D1462" t="inlineStr">
        <is>
          <t>VÄSTMANLANDS LÄN</t>
        </is>
      </c>
      <c r="E1462" t="inlineStr">
        <is>
          <t>ARBOGA</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10359-2021</t>
        </is>
      </c>
      <c r="B1463" s="1" t="n">
        <v>44257</v>
      </c>
      <c r="C1463" s="1" t="n">
        <v>45757</v>
      </c>
      <c r="D1463" t="inlineStr">
        <is>
          <t>VÄSTMANLANDS LÄN</t>
        </is>
      </c>
      <c r="E1463" t="inlineStr">
        <is>
          <t>ARBOGA</t>
        </is>
      </c>
      <c r="F1463" t="inlineStr">
        <is>
          <t>Sveaskog</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10366-2021</t>
        </is>
      </c>
      <c r="B1464" s="1" t="n">
        <v>44257</v>
      </c>
      <c r="C1464" s="1" t="n">
        <v>45757</v>
      </c>
      <c r="D1464" t="inlineStr">
        <is>
          <t>VÄSTMANLANDS LÄN</t>
        </is>
      </c>
      <c r="E1464" t="inlineStr">
        <is>
          <t>ARBOGA</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10355-2021</t>
        </is>
      </c>
      <c r="B1465" s="1" t="n">
        <v>44257</v>
      </c>
      <c r="C1465" s="1" t="n">
        <v>45757</v>
      </c>
      <c r="D1465" t="inlineStr">
        <is>
          <t>VÄSTMANLANDS LÄN</t>
        </is>
      </c>
      <c r="E1465" t="inlineStr">
        <is>
          <t>ARBOGA</t>
        </is>
      </c>
      <c r="F1465" t="inlineStr">
        <is>
          <t>Sveaskog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10362-2021</t>
        </is>
      </c>
      <c r="B1466" s="1" t="n">
        <v>44257</v>
      </c>
      <c r="C1466" s="1" t="n">
        <v>45757</v>
      </c>
      <c r="D1466" t="inlineStr">
        <is>
          <t>VÄSTMANLANDS LÄN</t>
        </is>
      </c>
      <c r="E1466" t="inlineStr">
        <is>
          <t>ARBOGA</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10447-2021</t>
        </is>
      </c>
      <c r="B1467" s="1" t="n">
        <v>44257</v>
      </c>
      <c r="C1467" s="1" t="n">
        <v>45757</v>
      </c>
      <c r="D1467" t="inlineStr">
        <is>
          <t>VÄSTMANLANDS LÄN</t>
        </is>
      </c>
      <c r="E1467" t="inlineStr">
        <is>
          <t>ARBOGA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10435-2021</t>
        </is>
      </c>
      <c r="B1468" s="1" t="n">
        <v>44257</v>
      </c>
      <c r="C1468" s="1" t="n">
        <v>45757</v>
      </c>
      <c r="D1468" t="inlineStr">
        <is>
          <t>VÄSTMANLANDS LÄN</t>
        </is>
      </c>
      <c r="E1468" t="inlineStr">
        <is>
          <t>KÖPING</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10357-2021</t>
        </is>
      </c>
      <c r="B1469" s="1" t="n">
        <v>44257</v>
      </c>
      <c r="C1469" s="1" t="n">
        <v>45757</v>
      </c>
      <c r="D1469" t="inlineStr">
        <is>
          <t>VÄSTMANLANDS LÄN</t>
        </is>
      </c>
      <c r="E1469" t="inlineStr">
        <is>
          <t>ARBOGA</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10431-2021</t>
        </is>
      </c>
      <c r="B1470" s="1" t="n">
        <v>44257</v>
      </c>
      <c r="C1470" s="1" t="n">
        <v>45757</v>
      </c>
      <c r="D1470" t="inlineStr">
        <is>
          <t>VÄSTMANLANDS LÄN</t>
        </is>
      </c>
      <c r="E1470" t="inlineStr">
        <is>
          <t>KÖPING</t>
        </is>
      </c>
      <c r="F1470" t="inlineStr">
        <is>
          <t>Kyrkan</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10812-2021</t>
        </is>
      </c>
      <c r="B1471" s="1" t="n">
        <v>44259</v>
      </c>
      <c r="C1471" s="1" t="n">
        <v>45757</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10753-2021</t>
        </is>
      </c>
      <c r="B1472" s="1" t="n">
        <v>44259</v>
      </c>
      <c r="C1472" s="1" t="n">
        <v>45757</v>
      </c>
      <c r="D1472" t="inlineStr">
        <is>
          <t>VÄSTMANLANDS LÄN</t>
        </is>
      </c>
      <c r="E1472" t="inlineStr">
        <is>
          <t>VÄSTERÅS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10972-2021</t>
        </is>
      </c>
      <c r="B1473" s="1" t="n">
        <v>44260</v>
      </c>
      <c r="C1473" s="1" t="n">
        <v>45757</v>
      </c>
      <c r="D1473" t="inlineStr">
        <is>
          <t>VÄSTMANLANDS LÄN</t>
        </is>
      </c>
      <c r="E1473" t="inlineStr">
        <is>
          <t>KÖPING</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11017-2021</t>
        </is>
      </c>
      <c r="B1474" s="1" t="n">
        <v>44260</v>
      </c>
      <c r="C1474" s="1" t="n">
        <v>45757</v>
      </c>
      <c r="D1474" t="inlineStr">
        <is>
          <t>VÄSTMANLANDS LÄN</t>
        </is>
      </c>
      <c r="E1474" t="inlineStr">
        <is>
          <t>SALA</t>
        </is>
      </c>
      <c r="F1474" t="inlineStr">
        <is>
          <t>Kyrkan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11007-2021</t>
        </is>
      </c>
      <c r="B1475" s="1" t="n">
        <v>44260</v>
      </c>
      <c r="C1475" s="1" t="n">
        <v>45757</v>
      </c>
      <c r="D1475" t="inlineStr">
        <is>
          <t>VÄSTMANLANDS LÄN</t>
        </is>
      </c>
      <c r="E1475" t="inlineStr">
        <is>
          <t>SALA</t>
        </is>
      </c>
      <c r="F1475" t="inlineStr">
        <is>
          <t>Kyrkan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11284-2021</t>
        </is>
      </c>
      <c r="B1476" s="1" t="n">
        <v>44263</v>
      </c>
      <c r="C1476" s="1" t="n">
        <v>45757</v>
      </c>
      <c r="D1476" t="inlineStr">
        <is>
          <t>VÄSTMANLANDS LÄN</t>
        </is>
      </c>
      <c r="E1476" t="inlineStr">
        <is>
          <t>VÄSTERÅS</t>
        </is>
      </c>
      <c r="G1476" t="n">
        <v>17.3</v>
      </c>
      <c r="H1476" t="n">
        <v>0</v>
      </c>
      <c r="I1476" t="n">
        <v>0</v>
      </c>
      <c r="J1476" t="n">
        <v>0</v>
      </c>
      <c r="K1476" t="n">
        <v>0</v>
      </c>
      <c r="L1476" t="n">
        <v>0</v>
      </c>
      <c r="M1476" t="n">
        <v>0</v>
      </c>
      <c r="N1476" t="n">
        <v>0</v>
      </c>
      <c r="O1476" t="n">
        <v>0</v>
      </c>
      <c r="P1476" t="n">
        <v>0</v>
      </c>
      <c r="Q1476" t="n">
        <v>0</v>
      </c>
      <c r="R1476" s="2" t="inlineStr"/>
    </row>
    <row r="1477" ht="15" customHeight="1">
      <c r="A1477" t="inlineStr">
        <is>
          <t>A 11311-2021</t>
        </is>
      </c>
      <c r="B1477" s="1" t="n">
        <v>44263</v>
      </c>
      <c r="C1477" s="1" t="n">
        <v>45757</v>
      </c>
      <c r="D1477" t="inlineStr">
        <is>
          <t>VÄSTMANLANDS LÄN</t>
        </is>
      </c>
      <c r="E1477" t="inlineStr">
        <is>
          <t>ARBOGA</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11322-2021</t>
        </is>
      </c>
      <c r="B1478" s="1" t="n">
        <v>44263</v>
      </c>
      <c r="C1478" s="1" t="n">
        <v>45757</v>
      </c>
      <c r="D1478" t="inlineStr">
        <is>
          <t>VÄSTMANLANDS LÄN</t>
        </is>
      </c>
      <c r="E1478" t="inlineStr">
        <is>
          <t>ARBOGA</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11381-2021</t>
        </is>
      </c>
      <c r="B1479" s="1" t="n">
        <v>44263</v>
      </c>
      <c r="C1479" s="1" t="n">
        <v>45757</v>
      </c>
      <c r="D1479" t="inlineStr">
        <is>
          <t>VÄSTMANLANDS LÄN</t>
        </is>
      </c>
      <c r="E1479" t="inlineStr">
        <is>
          <t>SKINNSKATTEBERG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11323-2021</t>
        </is>
      </c>
      <c r="B1480" s="1" t="n">
        <v>44263</v>
      </c>
      <c r="C1480" s="1" t="n">
        <v>45757</v>
      </c>
      <c r="D1480" t="inlineStr">
        <is>
          <t>VÄSTMANLANDS LÄN</t>
        </is>
      </c>
      <c r="E1480" t="inlineStr">
        <is>
          <t>ARBOGA</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11448-2021</t>
        </is>
      </c>
      <c r="B1481" s="1" t="n">
        <v>44264</v>
      </c>
      <c r="C1481" s="1" t="n">
        <v>45757</v>
      </c>
      <c r="D1481" t="inlineStr">
        <is>
          <t>VÄSTMANLANDS LÄN</t>
        </is>
      </c>
      <c r="E1481" t="inlineStr">
        <is>
          <t>NORBERG</t>
        </is>
      </c>
      <c r="F1481" t="inlineStr">
        <is>
          <t>Övriga Aktiebolag</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11560-2021</t>
        </is>
      </c>
      <c r="B1482" s="1" t="n">
        <v>44264</v>
      </c>
      <c r="C1482" s="1" t="n">
        <v>45757</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11636-2021</t>
        </is>
      </c>
      <c r="B1483" s="1" t="n">
        <v>44264</v>
      </c>
      <c r="C1483" s="1" t="n">
        <v>45757</v>
      </c>
      <c r="D1483" t="inlineStr">
        <is>
          <t>VÄSTMANLANDS LÄN</t>
        </is>
      </c>
      <c r="E1483" t="inlineStr">
        <is>
          <t>ARBOGA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11625-2021</t>
        </is>
      </c>
      <c r="B1484" s="1" t="n">
        <v>44264</v>
      </c>
      <c r="C1484" s="1" t="n">
        <v>45757</v>
      </c>
      <c r="D1484" t="inlineStr">
        <is>
          <t>VÄSTMANLANDS LÄN</t>
        </is>
      </c>
      <c r="E1484" t="inlineStr">
        <is>
          <t>VÄSTERÅS</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11752-2021</t>
        </is>
      </c>
      <c r="B1485" s="1" t="n">
        <v>44265</v>
      </c>
      <c r="C1485" s="1" t="n">
        <v>45757</v>
      </c>
      <c r="D1485" t="inlineStr">
        <is>
          <t>VÄSTMANLANDS LÄN</t>
        </is>
      </c>
      <c r="E1485" t="inlineStr">
        <is>
          <t>VÄSTERÅS</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11890-2021</t>
        </is>
      </c>
      <c r="B1486" s="1" t="n">
        <v>44265</v>
      </c>
      <c r="C1486" s="1" t="n">
        <v>45757</v>
      </c>
      <c r="D1486" t="inlineStr">
        <is>
          <t>VÄSTMANLANDS LÄN</t>
        </is>
      </c>
      <c r="E1486" t="inlineStr">
        <is>
          <t>KÖPING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11922-2021</t>
        </is>
      </c>
      <c r="B1487" s="1" t="n">
        <v>44266</v>
      </c>
      <c r="C1487" s="1" t="n">
        <v>45757</v>
      </c>
      <c r="D1487" t="inlineStr">
        <is>
          <t>VÄSTMANLANDS LÄN</t>
        </is>
      </c>
      <c r="E1487" t="inlineStr">
        <is>
          <t>KÖPING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12244-2021</t>
        </is>
      </c>
      <c r="B1488" s="1" t="n">
        <v>44266</v>
      </c>
      <c r="C1488" s="1" t="n">
        <v>45757</v>
      </c>
      <c r="D1488" t="inlineStr">
        <is>
          <t>VÄSTMANLANDS LÄN</t>
        </is>
      </c>
      <c r="E1488" t="inlineStr">
        <is>
          <t>VÄSTERÅS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12357-2021</t>
        </is>
      </c>
      <c r="B1489" s="1" t="n">
        <v>44267</v>
      </c>
      <c r="C1489" s="1" t="n">
        <v>45757</v>
      </c>
      <c r="D1489" t="inlineStr">
        <is>
          <t>VÄSTMANLANDS LÄN</t>
        </is>
      </c>
      <c r="E1489" t="inlineStr">
        <is>
          <t>KÖPING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12655-2021</t>
        </is>
      </c>
      <c r="B1490" s="1" t="n">
        <v>44267</v>
      </c>
      <c r="C1490" s="1" t="n">
        <v>45757</v>
      </c>
      <c r="D1490" t="inlineStr">
        <is>
          <t>VÄSTMANLANDS LÄN</t>
        </is>
      </c>
      <c r="E1490" t="inlineStr">
        <is>
          <t>KÖPING</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12641-2021</t>
        </is>
      </c>
      <c r="B1491" s="1" t="n">
        <v>44267</v>
      </c>
      <c r="C1491" s="1" t="n">
        <v>45757</v>
      </c>
      <c r="D1491" t="inlineStr">
        <is>
          <t>VÄSTMANLANDS LÄN</t>
        </is>
      </c>
      <c r="E1491" t="inlineStr">
        <is>
          <t>KÖPING</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12671-2021</t>
        </is>
      </c>
      <c r="B1492" s="1" t="n">
        <v>44267</v>
      </c>
      <c r="C1492" s="1" t="n">
        <v>45757</v>
      </c>
      <c r="D1492" t="inlineStr">
        <is>
          <t>VÄSTMANLANDS LÄN</t>
        </is>
      </c>
      <c r="E1492" t="inlineStr">
        <is>
          <t>SKINNSKATTEBERG</t>
        </is>
      </c>
      <c r="G1492" t="n">
        <v>14.7</v>
      </c>
      <c r="H1492" t="n">
        <v>0</v>
      </c>
      <c r="I1492" t="n">
        <v>0</v>
      </c>
      <c r="J1492" t="n">
        <v>0</v>
      </c>
      <c r="K1492" t="n">
        <v>0</v>
      </c>
      <c r="L1492" t="n">
        <v>0</v>
      </c>
      <c r="M1492" t="n">
        <v>0</v>
      </c>
      <c r="N1492" t="n">
        <v>0</v>
      </c>
      <c r="O1492" t="n">
        <v>0</v>
      </c>
      <c r="P1492" t="n">
        <v>0</v>
      </c>
      <c r="Q1492" t="n">
        <v>0</v>
      </c>
      <c r="R1492" s="2" t="inlineStr"/>
    </row>
    <row r="1493" ht="15" customHeight="1">
      <c r="A1493" t="inlineStr">
        <is>
          <t>A 12672-2021</t>
        </is>
      </c>
      <c r="B1493" s="1" t="n">
        <v>44267</v>
      </c>
      <c r="C1493" s="1" t="n">
        <v>45757</v>
      </c>
      <c r="D1493" t="inlineStr">
        <is>
          <t>VÄSTMANLANDS LÄN</t>
        </is>
      </c>
      <c r="E1493" t="inlineStr">
        <is>
          <t>SKINNSKATTEBERG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12500-2021</t>
        </is>
      </c>
      <c r="B1494" s="1" t="n">
        <v>44268</v>
      </c>
      <c r="C1494" s="1" t="n">
        <v>45757</v>
      </c>
      <c r="D1494" t="inlineStr">
        <is>
          <t>VÄSTMANLANDS LÄN</t>
        </is>
      </c>
      <c r="E1494" t="inlineStr">
        <is>
          <t>SKINNSKATTEBERG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12756-2021</t>
        </is>
      </c>
      <c r="B1495" s="1" t="n">
        <v>44270</v>
      </c>
      <c r="C1495" s="1" t="n">
        <v>45757</v>
      </c>
      <c r="D1495" t="inlineStr">
        <is>
          <t>VÄSTMANLANDS LÄN</t>
        </is>
      </c>
      <c r="E1495" t="inlineStr">
        <is>
          <t>FAGERSTA</t>
        </is>
      </c>
      <c r="F1495" t="inlineStr">
        <is>
          <t>Sveaskog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12777-2021</t>
        </is>
      </c>
      <c r="B1496" s="1" t="n">
        <v>44270</v>
      </c>
      <c r="C1496" s="1" t="n">
        <v>45757</v>
      </c>
      <c r="D1496" t="inlineStr">
        <is>
          <t>VÄSTMANLANDS LÄN</t>
        </is>
      </c>
      <c r="E1496" t="inlineStr">
        <is>
          <t>ARBOGA</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13112-2021</t>
        </is>
      </c>
      <c r="B1497" s="1" t="n">
        <v>44272</v>
      </c>
      <c r="C1497" s="1" t="n">
        <v>45757</v>
      </c>
      <c r="D1497" t="inlineStr">
        <is>
          <t>VÄSTMANLANDS LÄN</t>
        </is>
      </c>
      <c r="E1497" t="inlineStr">
        <is>
          <t>SALA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13252-2021</t>
        </is>
      </c>
      <c r="B1498" s="1" t="n">
        <v>44272</v>
      </c>
      <c r="C1498" s="1" t="n">
        <v>45757</v>
      </c>
      <c r="D1498" t="inlineStr">
        <is>
          <t>VÄSTMANLANDS LÄN</t>
        </is>
      </c>
      <c r="E1498" t="inlineStr">
        <is>
          <t>VÄSTERÅS</t>
        </is>
      </c>
      <c r="G1498" t="n">
        <v>24.2</v>
      </c>
      <c r="H1498" t="n">
        <v>0</v>
      </c>
      <c r="I1498" t="n">
        <v>0</v>
      </c>
      <c r="J1498" t="n">
        <v>0</v>
      </c>
      <c r="K1498" t="n">
        <v>0</v>
      </c>
      <c r="L1498" t="n">
        <v>0</v>
      </c>
      <c r="M1498" t="n">
        <v>0</v>
      </c>
      <c r="N1498" t="n">
        <v>0</v>
      </c>
      <c r="O1498" t="n">
        <v>0</v>
      </c>
      <c r="P1498" t="n">
        <v>0</v>
      </c>
      <c r="Q1498" t="n">
        <v>0</v>
      </c>
      <c r="R1498" s="2" t="inlineStr"/>
    </row>
    <row r="1499" ht="15" customHeight="1">
      <c r="A1499" t="inlineStr">
        <is>
          <t>A 13168-2021</t>
        </is>
      </c>
      <c r="B1499" s="1" t="n">
        <v>44272</v>
      </c>
      <c r="C1499" s="1" t="n">
        <v>45757</v>
      </c>
      <c r="D1499" t="inlineStr">
        <is>
          <t>VÄSTMANLANDS LÄN</t>
        </is>
      </c>
      <c r="E1499" t="inlineStr">
        <is>
          <t>ARBOGA</t>
        </is>
      </c>
      <c r="F1499" t="inlineStr">
        <is>
          <t>Allmännings- och besparingsskogar</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13622-2021</t>
        </is>
      </c>
      <c r="B1500" s="1" t="n">
        <v>44274</v>
      </c>
      <c r="C1500" s="1" t="n">
        <v>45757</v>
      </c>
      <c r="D1500" t="inlineStr">
        <is>
          <t>VÄSTMANLANDS LÄN</t>
        </is>
      </c>
      <c r="E1500" t="inlineStr">
        <is>
          <t>NORBERG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14010-2021</t>
        </is>
      </c>
      <c r="B1501" s="1" t="n">
        <v>44277</v>
      </c>
      <c r="C1501" s="1" t="n">
        <v>45757</v>
      </c>
      <c r="D1501" t="inlineStr">
        <is>
          <t>VÄSTMANLANDS LÄN</t>
        </is>
      </c>
      <c r="E1501" t="inlineStr">
        <is>
          <t>SALA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14124-2021</t>
        </is>
      </c>
      <c r="B1502" s="1" t="n">
        <v>44278</v>
      </c>
      <c r="C1502" s="1" t="n">
        <v>45757</v>
      </c>
      <c r="D1502" t="inlineStr">
        <is>
          <t>VÄSTMANLANDS LÄN</t>
        </is>
      </c>
      <c r="E1502" t="inlineStr">
        <is>
          <t>SKINNSKATTEBERG</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14314-2021</t>
        </is>
      </c>
      <c r="B1503" s="1" t="n">
        <v>44278</v>
      </c>
      <c r="C1503" s="1" t="n">
        <v>45757</v>
      </c>
      <c r="D1503" t="inlineStr">
        <is>
          <t>VÄSTMANLANDS LÄN</t>
        </is>
      </c>
      <c r="E1503" t="inlineStr">
        <is>
          <t>KÖPING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14313-2021</t>
        </is>
      </c>
      <c r="B1504" s="1" t="n">
        <v>44278</v>
      </c>
      <c r="C1504" s="1" t="n">
        <v>45757</v>
      </c>
      <c r="D1504" t="inlineStr">
        <is>
          <t>VÄSTMANLANDS LÄN</t>
        </is>
      </c>
      <c r="E1504" t="inlineStr">
        <is>
          <t>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14407-2021</t>
        </is>
      </c>
      <c r="B1505" s="1" t="n">
        <v>44279</v>
      </c>
      <c r="C1505" s="1" t="n">
        <v>45757</v>
      </c>
      <c r="D1505" t="inlineStr">
        <is>
          <t>VÄSTMANLANDS LÄN</t>
        </is>
      </c>
      <c r="E1505" t="inlineStr">
        <is>
          <t>FAGERSTA</t>
        </is>
      </c>
      <c r="F1505" t="inlineStr">
        <is>
          <t>Övriga Aktiebolag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14405-2021</t>
        </is>
      </c>
      <c r="B1506" s="1" t="n">
        <v>44279</v>
      </c>
      <c r="C1506" s="1" t="n">
        <v>45757</v>
      </c>
      <c r="D1506" t="inlineStr">
        <is>
          <t>VÄSTMANLANDS LÄN</t>
        </is>
      </c>
      <c r="E1506" t="inlineStr">
        <is>
          <t>NORBERG</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15354-2021</t>
        </is>
      </c>
      <c r="B1507" s="1" t="n">
        <v>44284</v>
      </c>
      <c r="C1507" s="1" t="n">
        <v>45757</v>
      </c>
      <c r="D1507" t="inlineStr">
        <is>
          <t>VÄSTMANLANDS LÄN</t>
        </is>
      </c>
      <c r="E1507" t="inlineStr">
        <is>
          <t>SALA</t>
        </is>
      </c>
      <c r="F1507" t="inlineStr">
        <is>
          <t>Kyrkan</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15347-2021</t>
        </is>
      </c>
      <c r="B1508" s="1" t="n">
        <v>44284</v>
      </c>
      <c r="C1508" s="1" t="n">
        <v>45757</v>
      </c>
      <c r="D1508" t="inlineStr">
        <is>
          <t>VÄSTMANLANDS LÄN</t>
        </is>
      </c>
      <c r="E1508" t="inlineStr">
        <is>
          <t>VÄSTERÅS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15483-2021</t>
        </is>
      </c>
      <c r="B1509" s="1" t="n">
        <v>44285</v>
      </c>
      <c r="C1509" s="1" t="n">
        <v>45757</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15584-2021</t>
        </is>
      </c>
      <c r="B1510" s="1" t="n">
        <v>44285</v>
      </c>
      <c r="C1510" s="1" t="n">
        <v>45757</v>
      </c>
      <c r="D1510" t="inlineStr">
        <is>
          <t>VÄSTMANLANDS LÄN</t>
        </is>
      </c>
      <c r="E1510" t="inlineStr">
        <is>
          <t>SALA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15575-2021</t>
        </is>
      </c>
      <c r="B1511" s="1" t="n">
        <v>44285</v>
      </c>
      <c r="C1511" s="1" t="n">
        <v>45757</v>
      </c>
      <c r="D1511" t="inlineStr">
        <is>
          <t>VÄSTMANLANDS LÄN</t>
        </is>
      </c>
      <c r="E1511" t="inlineStr">
        <is>
          <t>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15809-2021</t>
        </is>
      </c>
      <c r="B1512" s="1" t="n">
        <v>44286</v>
      </c>
      <c r="C1512" s="1" t="n">
        <v>45757</v>
      </c>
      <c r="D1512" t="inlineStr">
        <is>
          <t>VÄSTMANLANDS LÄN</t>
        </is>
      </c>
      <c r="E1512" t="inlineStr">
        <is>
          <t>KUNGSÖR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15847-2021</t>
        </is>
      </c>
      <c r="B1513" s="1" t="n">
        <v>44286</v>
      </c>
      <c r="C1513" s="1" t="n">
        <v>45757</v>
      </c>
      <c r="D1513" t="inlineStr">
        <is>
          <t>VÄSTMANLANDS LÄN</t>
        </is>
      </c>
      <c r="E1513" t="inlineStr">
        <is>
          <t>KÖPING</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15793-2021</t>
        </is>
      </c>
      <c r="B1514" s="1" t="n">
        <v>44286</v>
      </c>
      <c r="C1514" s="1" t="n">
        <v>45757</v>
      </c>
      <c r="D1514" t="inlineStr">
        <is>
          <t>VÄSTMANLANDS LÄN</t>
        </is>
      </c>
      <c r="E1514" t="inlineStr">
        <is>
          <t>SKINNSKATTEBERG</t>
        </is>
      </c>
      <c r="F1514" t="inlineStr">
        <is>
          <t>Kyrkan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15840-2021</t>
        </is>
      </c>
      <c r="B1515" s="1" t="n">
        <v>44286</v>
      </c>
      <c r="C1515" s="1" t="n">
        <v>45757</v>
      </c>
      <c r="D1515" t="inlineStr">
        <is>
          <t>VÄSTMANLANDS LÄN</t>
        </is>
      </c>
      <c r="E1515" t="inlineStr">
        <is>
          <t>SKINNSKATTEBERG</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15832-2021</t>
        </is>
      </c>
      <c r="B1516" s="1" t="n">
        <v>44286</v>
      </c>
      <c r="C1516" s="1" t="n">
        <v>45757</v>
      </c>
      <c r="D1516" t="inlineStr">
        <is>
          <t>VÄSTMANLANDS LÄN</t>
        </is>
      </c>
      <c r="E1516" t="inlineStr">
        <is>
          <t>KUNGSÖR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16315-2021</t>
        </is>
      </c>
      <c r="B1517" s="1" t="n">
        <v>44292</v>
      </c>
      <c r="C1517" s="1" t="n">
        <v>45757</v>
      </c>
      <c r="D1517" t="inlineStr">
        <is>
          <t>VÄSTMANLANDS LÄN</t>
        </is>
      </c>
      <c r="E1517" t="inlineStr">
        <is>
          <t>SKINNSKATTEBERG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16415-2021</t>
        </is>
      </c>
      <c r="B1518" s="1" t="n">
        <v>44293</v>
      </c>
      <c r="C1518" s="1" t="n">
        <v>45757</v>
      </c>
      <c r="D1518" t="inlineStr">
        <is>
          <t>VÄSTMANLANDS LÄN</t>
        </is>
      </c>
      <c r="E1518" t="inlineStr">
        <is>
          <t>SKINNSKATTEBERG</t>
        </is>
      </c>
      <c r="F1518" t="inlineStr">
        <is>
          <t>Sveaskog</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16450-2021</t>
        </is>
      </c>
      <c r="B1519" s="1" t="n">
        <v>44293</v>
      </c>
      <c r="C1519" s="1" t="n">
        <v>45757</v>
      </c>
      <c r="D1519" t="inlineStr">
        <is>
          <t>VÄSTMANLANDS LÄN</t>
        </is>
      </c>
      <c r="E1519" t="inlineStr">
        <is>
          <t>ARBOGA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16601-2021</t>
        </is>
      </c>
      <c r="B1520" s="1" t="n">
        <v>44294</v>
      </c>
      <c r="C1520" s="1" t="n">
        <v>45757</v>
      </c>
      <c r="D1520" t="inlineStr">
        <is>
          <t>VÄSTMANLANDS LÄN</t>
        </is>
      </c>
      <c r="E1520" t="inlineStr">
        <is>
          <t>VÄSTERÅS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16651-2021</t>
        </is>
      </c>
      <c r="B1521" s="1" t="n">
        <v>44294</v>
      </c>
      <c r="C1521" s="1" t="n">
        <v>45757</v>
      </c>
      <c r="D1521" t="inlineStr">
        <is>
          <t>VÄSTMANLANDS LÄN</t>
        </is>
      </c>
      <c r="E1521" t="inlineStr">
        <is>
          <t>SALA</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16798-2021</t>
        </is>
      </c>
      <c r="B1522" s="1" t="n">
        <v>44295</v>
      </c>
      <c r="C1522" s="1" t="n">
        <v>45757</v>
      </c>
      <c r="D1522" t="inlineStr">
        <is>
          <t>VÄSTMANLANDS LÄN</t>
        </is>
      </c>
      <c r="E1522" t="inlineStr">
        <is>
          <t>FAGERSTA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17103-2021</t>
        </is>
      </c>
      <c r="B1523" s="1" t="n">
        <v>44298</v>
      </c>
      <c r="C1523" s="1" t="n">
        <v>45757</v>
      </c>
      <c r="D1523" t="inlineStr">
        <is>
          <t>VÄSTMANLANDS LÄN</t>
        </is>
      </c>
      <c r="E1523" t="inlineStr">
        <is>
          <t>NORBERG</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17506-2021</t>
        </is>
      </c>
      <c r="B1524" s="1" t="n">
        <v>44298</v>
      </c>
      <c r="C1524" s="1" t="n">
        <v>45757</v>
      </c>
      <c r="D1524" t="inlineStr">
        <is>
          <t>VÄSTMANLANDS LÄN</t>
        </is>
      </c>
      <c r="E1524" t="inlineStr">
        <is>
          <t>SKINNSKATTEBERG</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17786-2021</t>
        </is>
      </c>
      <c r="B1525" s="1" t="n">
        <v>44300</v>
      </c>
      <c r="C1525" s="1" t="n">
        <v>45757</v>
      </c>
      <c r="D1525" t="inlineStr">
        <is>
          <t>VÄSTMANLANDS LÄN</t>
        </is>
      </c>
      <c r="E1525" t="inlineStr">
        <is>
          <t>FAGERSTA</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17778-2021</t>
        </is>
      </c>
      <c r="B1526" s="1" t="n">
        <v>44300</v>
      </c>
      <c r="C1526" s="1" t="n">
        <v>45757</v>
      </c>
      <c r="D1526" t="inlineStr">
        <is>
          <t>VÄSTMANLANDS LÄN</t>
        </is>
      </c>
      <c r="E1526" t="inlineStr">
        <is>
          <t>FAGERSTA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18046-2021</t>
        </is>
      </c>
      <c r="B1527" s="1" t="n">
        <v>44301</v>
      </c>
      <c r="C1527" s="1" t="n">
        <v>45757</v>
      </c>
      <c r="D1527" t="inlineStr">
        <is>
          <t>VÄSTMANLANDS LÄN</t>
        </is>
      </c>
      <c r="E1527" t="inlineStr">
        <is>
          <t>SALA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18189-2021</t>
        </is>
      </c>
      <c r="B1528" s="1" t="n">
        <v>44302</v>
      </c>
      <c r="C1528" s="1" t="n">
        <v>45757</v>
      </c>
      <c r="D1528" t="inlineStr">
        <is>
          <t>VÄSTMANLANDS LÄN</t>
        </is>
      </c>
      <c r="E1528" t="inlineStr">
        <is>
          <t>SALA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18259-2021</t>
        </is>
      </c>
      <c r="B1529" s="1" t="n">
        <v>44305</v>
      </c>
      <c r="C1529" s="1" t="n">
        <v>45757</v>
      </c>
      <c r="D1529" t="inlineStr">
        <is>
          <t>VÄSTMANLANDS LÄN</t>
        </is>
      </c>
      <c r="E1529" t="inlineStr">
        <is>
          <t>SALA</t>
        </is>
      </c>
      <c r="G1529" t="n">
        <v>0</v>
      </c>
      <c r="H1529" t="n">
        <v>0</v>
      </c>
      <c r="I1529" t="n">
        <v>0</v>
      </c>
      <c r="J1529" t="n">
        <v>0</v>
      </c>
      <c r="K1529" t="n">
        <v>0</v>
      </c>
      <c r="L1529" t="n">
        <v>0</v>
      </c>
      <c r="M1529" t="n">
        <v>0</v>
      </c>
      <c r="N1529" t="n">
        <v>0</v>
      </c>
      <c r="O1529" t="n">
        <v>0</v>
      </c>
      <c r="P1529" t="n">
        <v>0</v>
      </c>
      <c r="Q1529" t="n">
        <v>0</v>
      </c>
      <c r="R1529" s="2" t="inlineStr"/>
    </row>
    <row r="1530" ht="15" customHeight="1">
      <c r="A1530" t="inlineStr">
        <is>
          <t>A 18378-2021</t>
        </is>
      </c>
      <c r="B1530" s="1" t="n">
        <v>44305</v>
      </c>
      <c r="C1530" s="1" t="n">
        <v>45757</v>
      </c>
      <c r="D1530" t="inlineStr">
        <is>
          <t>VÄSTMANLANDS LÄN</t>
        </is>
      </c>
      <c r="E1530" t="inlineStr">
        <is>
          <t>SALA</t>
        </is>
      </c>
      <c r="F1530" t="inlineStr">
        <is>
          <t>Kommuner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18385-2021</t>
        </is>
      </c>
      <c r="B1531" s="1" t="n">
        <v>44305</v>
      </c>
      <c r="C1531" s="1" t="n">
        <v>45757</v>
      </c>
      <c r="D1531" t="inlineStr">
        <is>
          <t>VÄSTMANLANDS LÄN</t>
        </is>
      </c>
      <c r="E1531" t="inlineStr">
        <is>
          <t>SALA</t>
        </is>
      </c>
      <c r="F1531" t="inlineStr">
        <is>
          <t>Kommuner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18723-2021</t>
        </is>
      </c>
      <c r="B1532" s="1" t="n">
        <v>44306</v>
      </c>
      <c r="C1532" s="1" t="n">
        <v>45757</v>
      </c>
      <c r="D1532" t="inlineStr">
        <is>
          <t>VÄSTMANLANDS LÄN</t>
        </is>
      </c>
      <c r="E1532" t="inlineStr">
        <is>
          <t>SURAHAMMAR</t>
        </is>
      </c>
      <c r="F1532" t="inlineStr">
        <is>
          <t>Bergvik skog väst AB</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18951-2021</t>
        </is>
      </c>
      <c r="B1533" s="1" t="n">
        <v>44308</v>
      </c>
      <c r="C1533" s="1" t="n">
        <v>45757</v>
      </c>
      <c r="D1533" t="inlineStr">
        <is>
          <t>VÄSTMANLANDS LÄN</t>
        </is>
      </c>
      <c r="E1533" t="inlineStr">
        <is>
          <t>SALA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19002-2021</t>
        </is>
      </c>
      <c r="B1534" s="1" t="n">
        <v>44308</v>
      </c>
      <c r="C1534" s="1" t="n">
        <v>45757</v>
      </c>
      <c r="D1534" t="inlineStr">
        <is>
          <t>VÄSTMANLANDS LÄN</t>
        </is>
      </c>
      <c r="E1534" t="inlineStr">
        <is>
          <t>SKINNSKATTEBERG</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19030-2021</t>
        </is>
      </c>
      <c r="B1535" s="1" t="n">
        <v>44308</v>
      </c>
      <c r="C1535" s="1" t="n">
        <v>45757</v>
      </c>
      <c r="D1535" t="inlineStr">
        <is>
          <t>VÄSTMANLANDS LÄN</t>
        </is>
      </c>
      <c r="E1535" t="inlineStr">
        <is>
          <t>NORBERG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19038-2021</t>
        </is>
      </c>
      <c r="B1536" s="1" t="n">
        <v>44308</v>
      </c>
      <c r="C1536" s="1" t="n">
        <v>45757</v>
      </c>
      <c r="D1536" t="inlineStr">
        <is>
          <t>VÄSTMANLANDS LÄN</t>
        </is>
      </c>
      <c r="E1536" t="inlineStr">
        <is>
          <t>SKINNSKATTEBERG</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19000-2021</t>
        </is>
      </c>
      <c r="B1537" s="1" t="n">
        <v>44308</v>
      </c>
      <c r="C1537" s="1" t="n">
        <v>45757</v>
      </c>
      <c r="D1537" t="inlineStr">
        <is>
          <t>VÄSTMANLANDS LÄN</t>
        </is>
      </c>
      <c r="E1537" t="inlineStr">
        <is>
          <t>SKINNSKATTEBERG</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19016-2021</t>
        </is>
      </c>
      <c r="B1538" s="1" t="n">
        <v>44308</v>
      </c>
      <c r="C1538" s="1" t="n">
        <v>45757</v>
      </c>
      <c r="D1538" t="inlineStr">
        <is>
          <t>VÄSTMANLANDS LÄN</t>
        </is>
      </c>
      <c r="E1538" t="inlineStr">
        <is>
          <t>SKINNSKATTEBERG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19035-2021</t>
        </is>
      </c>
      <c r="B1539" s="1" t="n">
        <v>44308</v>
      </c>
      <c r="C1539" s="1" t="n">
        <v>45757</v>
      </c>
      <c r="D1539" t="inlineStr">
        <is>
          <t>VÄSTMANLANDS LÄN</t>
        </is>
      </c>
      <c r="E1539" t="inlineStr">
        <is>
          <t>SKINNSKATTEBERG</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19013-2021</t>
        </is>
      </c>
      <c r="B1540" s="1" t="n">
        <v>44308</v>
      </c>
      <c r="C1540" s="1" t="n">
        <v>45757</v>
      </c>
      <c r="D1540" t="inlineStr">
        <is>
          <t>VÄSTMANLANDS LÄN</t>
        </is>
      </c>
      <c r="E1540" t="inlineStr">
        <is>
          <t>SKINNSKATTEBERG</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18957-2021</t>
        </is>
      </c>
      <c r="B1541" s="1" t="n">
        <v>44308</v>
      </c>
      <c r="C1541" s="1" t="n">
        <v>45757</v>
      </c>
      <c r="D1541" t="inlineStr">
        <is>
          <t>VÄSTMANLANDS LÄN</t>
        </is>
      </c>
      <c r="E1541" t="inlineStr">
        <is>
          <t>SKINNSKATTEBERG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18965-2021</t>
        </is>
      </c>
      <c r="B1542" s="1" t="n">
        <v>44308</v>
      </c>
      <c r="C1542" s="1" t="n">
        <v>45757</v>
      </c>
      <c r="D1542" t="inlineStr">
        <is>
          <t>VÄSTMANLANDS LÄN</t>
        </is>
      </c>
      <c r="E1542" t="inlineStr">
        <is>
          <t>HALLSTAHAMMAR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20478-2021</t>
        </is>
      </c>
      <c r="B1543" s="1" t="n">
        <v>44315</v>
      </c>
      <c r="C1543" s="1" t="n">
        <v>45757</v>
      </c>
      <c r="D1543" t="inlineStr">
        <is>
          <t>VÄSTMANLANDS LÄN</t>
        </is>
      </c>
      <c r="E1543" t="inlineStr">
        <is>
          <t>SURAHAMMAR</t>
        </is>
      </c>
      <c r="F1543" t="inlineStr">
        <is>
          <t>Sveaskog</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20871-2021</t>
        </is>
      </c>
      <c r="B1544" s="1" t="n">
        <v>44316</v>
      </c>
      <c r="C1544" s="1" t="n">
        <v>45757</v>
      </c>
      <c r="D1544" t="inlineStr">
        <is>
          <t>VÄSTMANLANDS LÄN</t>
        </is>
      </c>
      <c r="E1544" t="inlineStr">
        <is>
          <t>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21043-2021</t>
        </is>
      </c>
      <c r="B1545" s="1" t="n">
        <v>44319</v>
      </c>
      <c r="C1545" s="1" t="n">
        <v>45757</v>
      </c>
      <c r="D1545" t="inlineStr">
        <is>
          <t>VÄSTMANLANDS LÄN</t>
        </is>
      </c>
      <c r="E1545" t="inlineStr">
        <is>
          <t>ARBOGA</t>
        </is>
      </c>
      <c r="F1545" t="inlineStr">
        <is>
          <t>Sveaskog</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20878-2021</t>
        </is>
      </c>
      <c r="B1546" s="1" t="n">
        <v>44319</v>
      </c>
      <c r="C1546" s="1" t="n">
        <v>45757</v>
      </c>
      <c r="D1546" t="inlineStr">
        <is>
          <t>VÄSTMANLANDS LÄN</t>
        </is>
      </c>
      <c r="E1546" t="inlineStr">
        <is>
          <t>ARBOGA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21045-2021</t>
        </is>
      </c>
      <c r="B1547" s="1" t="n">
        <v>44319</v>
      </c>
      <c r="C1547" s="1" t="n">
        <v>45757</v>
      </c>
      <c r="D1547" t="inlineStr">
        <is>
          <t>VÄSTMANLANDS LÄN</t>
        </is>
      </c>
      <c r="E1547" t="inlineStr">
        <is>
          <t>ARBOGA</t>
        </is>
      </c>
      <c r="F1547" t="inlineStr">
        <is>
          <t>Sveaskog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21435-2021</t>
        </is>
      </c>
      <c r="B1548" s="1" t="n">
        <v>44321</v>
      </c>
      <c r="C1548" s="1" t="n">
        <v>45757</v>
      </c>
      <c r="D1548" t="inlineStr">
        <is>
          <t>VÄSTMANLANDS LÄN</t>
        </is>
      </c>
      <c r="E1548" t="inlineStr">
        <is>
          <t>KÖPING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21458-2021</t>
        </is>
      </c>
      <c r="B1549" s="1" t="n">
        <v>44321</v>
      </c>
      <c r="C1549" s="1" t="n">
        <v>45757</v>
      </c>
      <c r="D1549" t="inlineStr">
        <is>
          <t>VÄSTMANLANDS LÄN</t>
        </is>
      </c>
      <c r="E1549" t="inlineStr">
        <is>
          <t>SALA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21478-2021</t>
        </is>
      </c>
      <c r="B1550" s="1" t="n">
        <v>44321</v>
      </c>
      <c r="C1550" s="1" t="n">
        <v>45757</v>
      </c>
      <c r="D1550" t="inlineStr">
        <is>
          <t>VÄSTMANLANDS LÄN</t>
        </is>
      </c>
      <c r="E1550" t="inlineStr">
        <is>
          <t>SALA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21551-2021</t>
        </is>
      </c>
      <c r="B1551" s="1" t="n">
        <v>44321</v>
      </c>
      <c r="C1551" s="1" t="n">
        <v>45757</v>
      </c>
      <c r="D1551" t="inlineStr">
        <is>
          <t>VÄSTMANLANDS LÄN</t>
        </is>
      </c>
      <c r="E1551" t="inlineStr">
        <is>
          <t>VÄSTERÅS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21595-2021</t>
        </is>
      </c>
      <c r="B1552" s="1" t="n">
        <v>44321</v>
      </c>
      <c r="C1552" s="1" t="n">
        <v>45757</v>
      </c>
      <c r="D1552" t="inlineStr">
        <is>
          <t>VÄSTMANLANDS LÄN</t>
        </is>
      </c>
      <c r="E1552" t="inlineStr">
        <is>
          <t>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21839-2021</t>
        </is>
      </c>
      <c r="B1553" s="1" t="n">
        <v>44322</v>
      </c>
      <c r="C1553" s="1" t="n">
        <v>45757</v>
      </c>
      <c r="D1553" t="inlineStr">
        <is>
          <t>VÄSTMANLANDS LÄN</t>
        </is>
      </c>
      <c r="E1553" t="inlineStr">
        <is>
          <t>SURAHAMMAR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22019-2021</t>
        </is>
      </c>
      <c r="B1554" s="1" t="n">
        <v>44323</v>
      </c>
      <c r="C1554" s="1" t="n">
        <v>45757</v>
      </c>
      <c r="D1554" t="inlineStr">
        <is>
          <t>VÄSTMANLANDS LÄN</t>
        </is>
      </c>
      <c r="E1554" t="inlineStr">
        <is>
          <t>SALA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22026-2021</t>
        </is>
      </c>
      <c r="B1555" s="1" t="n">
        <v>44323</v>
      </c>
      <c r="C1555" s="1" t="n">
        <v>45757</v>
      </c>
      <c r="D1555" t="inlineStr">
        <is>
          <t>VÄSTMANLANDS LÄN</t>
        </is>
      </c>
      <c r="E1555" t="inlineStr">
        <is>
          <t>SALA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22097-2021</t>
        </is>
      </c>
      <c r="B1556" s="1" t="n">
        <v>44323</v>
      </c>
      <c r="C1556" s="1" t="n">
        <v>45757</v>
      </c>
      <c r="D1556" t="inlineStr">
        <is>
          <t>VÄSTMANLANDS LÄN</t>
        </is>
      </c>
      <c r="E1556" t="inlineStr">
        <is>
          <t>SKINNSKATTEBERG</t>
        </is>
      </c>
      <c r="F1556" t="inlineStr">
        <is>
          <t>Sveaskog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22017-2021</t>
        </is>
      </c>
      <c r="B1557" s="1" t="n">
        <v>44323</v>
      </c>
      <c r="C1557" s="1" t="n">
        <v>45757</v>
      </c>
      <c r="D1557" t="inlineStr">
        <is>
          <t>VÄSTMANLANDS LÄN</t>
        </is>
      </c>
      <c r="E1557" t="inlineStr">
        <is>
          <t>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22154-2021</t>
        </is>
      </c>
      <c r="B1558" s="1" t="n">
        <v>44325</v>
      </c>
      <c r="C1558" s="1" t="n">
        <v>45757</v>
      </c>
      <c r="D1558" t="inlineStr">
        <is>
          <t>VÄSTMANLANDS LÄN</t>
        </is>
      </c>
      <c r="E1558" t="inlineStr">
        <is>
          <t>ARBOGA</t>
        </is>
      </c>
      <c r="G1558" t="n">
        <v>19.3</v>
      </c>
      <c r="H1558" t="n">
        <v>0</v>
      </c>
      <c r="I1558" t="n">
        <v>0</v>
      </c>
      <c r="J1558" t="n">
        <v>0</v>
      </c>
      <c r="K1558" t="n">
        <v>0</v>
      </c>
      <c r="L1558" t="n">
        <v>0</v>
      </c>
      <c r="M1558" t="n">
        <v>0</v>
      </c>
      <c r="N1558" t="n">
        <v>0</v>
      </c>
      <c r="O1558" t="n">
        <v>0</v>
      </c>
      <c r="P1558" t="n">
        <v>0</v>
      </c>
      <c r="Q1558" t="n">
        <v>0</v>
      </c>
      <c r="R1558" s="2" t="inlineStr"/>
    </row>
    <row r="1559" ht="15" customHeight="1">
      <c r="A1559" t="inlineStr">
        <is>
          <t>A 22362-2021</t>
        </is>
      </c>
      <c r="B1559" s="1" t="n">
        <v>44326</v>
      </c>
      <c r="C1559" s="1" t="n">
        <v>45757</v>
      </c>
      <c r="D1559" t="inlineStr">
        <is>
          <t>VÄSTMANLANDS LÄN</t>
        </is>
      </c>
      <c r="E1559" t="inlineStr">
        <is>
          <t>SALA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23098-2021</t>
        </is>
      </c>
      <c r="B1560" s="1" t="n">
        <v>44330</v>
      </c>
      <c r="C1560" s="1" t="n">
        <v>45757</v>
      </c>
      <c r="D1560" t="inlineStr">
        <is>
          <t>VÄSTMANLANDS LÄN</t>
        </is>
      </c>
      <c r="E1560" t="inlineStr">
        <is>
          <t>VÄSTERÅS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23110-2021</t>
        </is>
      </c>
      <c r="B1561" s="1" t="n">
        <v>44330</v>
      </c>
      <c r="C1561" s="1" t="n">
        <v>45757</v>
      </c>
      <c r="D1561" t="inlineStr">
        <is>
          <t>VÄSTMANLANDS LÄN</t>
        </is>
      </c>
      <c r="E1561" t="inlineStr">
        <is>
          <t>SKINNSKATTEBERG</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23240-2021</t>
        </is>
      </c>
      <c r="B1562" s="1" t="n">
        <v>44333</v>
      </c>
      <c r="C1562" s="1" t="n">
        <v>45757</v>
      </c>
      <c r="D1562" t="inlineStr">
        <is>
          <t>VÄSTMANLANDS LÄN</t>
        </is>
      </c>
      <c r="E1562" t="inlineStr">
        <is>
          <t>SKINNSKATTEBERG</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23374-2021</t>
        </is>
      </c>
      <c r="B1563" s="1" t="n">
        <v>44333</v>
      </c>
      <c r="C1563" s="1" t="n">
        <v>45757</v>
      </c>
      <c r="D1563" t="inlineStr">
        <is>
          <t>VÄSTMANLANDS LÄN</t>
        </is>
      </c>
      <c r="E1563" t="inlineStr">
        <is>
          <t>HALLSTAHAMMAR</t>
        </is>
      </c>
      <c r="F1563" t="inlineStr">
        <is>
          <t>Kommuner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23592-2021</t>
        </is>
      </c>
      <c r="B1564" s="1" t="n">
        <v>44333</v>
      </c>
      <c r="C1564" s="1" t="n">
        <v>45757</v>
      </c>
      <c r="D1564" t="inlineStr">
        <is>
          <t>VÄSTMANLANDS LÄN</t>
        </is>
      </c>
      <c r="E1564" t="inlineStr">
        <is>
          <t>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23596-2021</t>
        </is>
      </c>
      <c r="B1565" s="1" t="n">
        <v>44333</v>
      </c>
      <c r="C1565" s="1" t="n">
        <v>45757</v>
      </c>
      <c r="D1565" t="inlineStr">
        <is>
          <t>VÄSTMANLANDS LÄN</t>
        </is>
      </c>
      <c r="E1565" t="inlineStr">
        <is>
          <t>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23696-2021</t>
        </is>
      </c>
      <c r="B1566" s="1" t="n">
        <v>44334</v>
      </c>
      <c r="C1566" s="1" t="n">
        <v>45757</v>
      </c>
      <c r="D1566" t="inlineStr">
        <is>
          <t>VÄSTMANLANDS LÄN</t>
        </is>
      </c>
      <c r="E1566" t="inlineStr">
        <is>
          <t>SALA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23693-2021</t>
        </is>
      </c>
      <c r="B1567" s="1" t="n">
        <v>44334</v>
      </c>
      <c r="C1567" s="1" t="n">
        <v>45757</v>
      </c>
      <c r="D1567" t="inlineStr">
        <is>
          <t>VÄSTMANLANDS LÄN</t>
        </is>
      </c>
      <c r="E1567" t="inlineStr">
        <is>
          <t>SALA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23795-2021</t>
        </is>
      </c>
      <c r="B1568" s="1" t="n">
        <v>44335</v>
      </c>
      <c r="C1568" s="1" t="n">
        <v>45757</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23965-2021</t>
        </is>
      </c>
      <c r="B1569" s="1" t="n">
        <v>44335</v>
      </c>
      <c r="C1569" s="1" t="n">
        <v>45757</v>
      </c>
      <c r="D1569" t="inlineStr">
        <is>
          <t>VÄSTMANLANDS LÄN</t>
        </is>
      </c>
      <c r="E1569" t="inlineStr">
        <is>
          <t>SKINNSKATTEBERG</t>
        </is>
      </c>
      <c r="F1569" t="inlineStr">
        <is>
          <t>Sveaskog</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24163-2021</t>
        </is>
      </c>
      <c r="B1570" s="1" t="n">
        <v>44336</v>
      </c>
      <c r="C1570" s="1" t="n">
        <v>45757</v>
      </c>
      <c r="D1570" t="inlineStr">
        <is>
          <t>VÄSTMANLANDS LÄN</t>
        </is>
      </c>
      <c r="E1570" t="inlineStr">
        <is>
          <t>ARBOGA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24229-2021</t>
        </is>
      </c>
      <c r="B1571" s="1" t="n">
        <v>44336</v>
      </c>
      <c r="C1571" s="1" t="n">
        <v>45757</v>
      </c>
      <c r="D1571" t="inlineStr">
        <is>
          <t>VÄSTMANLANDS LÄN</t>
        </is>
      </c>
      <c r="E1571" t="inlineStr">
        <is>
          <t>VÄSTERÅS</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24740-2021</t>
        </is>
      </c>
      <c r="B1572" s="1" t="n">
        <v>44340</v>
      </c>
      <c r="C1572" s="1" t="n">
        <v>45757</v>
      </c>
      <c r="D1572" t="inlineStr">
        <is>
          <t>VÄSTMANLANDS LÄN</t>
        </is>
      </c>
      <c r="E1572" t="inlineStr">
        <is>
          <t>SALA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24804-2021</t>
        </is>
      </c>
      <c r="B1573" s="1" t="n">
        <v>44340</v>
      </c>
      <c r="C1573" s="1" t="n">
        <v>45757</v>
      </c>
      <c r="D1573" t="inlineStr">
        <is>
          <t>VÄSTMANLANDS LÄN</t>
        </is>
      </c>
      <c r="E1573" t="inlineStr">
        <is>
          <t>SURAHAMMAR</t>
        </is>
      </c>
      <c r="F1573" t="inlineStr">
        <is>
          <t>Bergvik skog väst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24823-2021</t>
        </is>
      </c>
      <c r="B1574" s="1" t="n">
        <v>44340</v>
      </c>
      <c r="C1574" s="1" t="n">
        <v>45757</v>
      </c>
      <c r="D1574" t="inlineStr">
        <is>
          <t>VÄSTMANLANDS LÄN</t>
        </is>
      </c>
      <c r="E1574" t="inlineStr">
        <is>
          <t>SALA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24755-2021</t>
        </is>
      </c>
      <c r="B1575" s="1" t="n">
        <v>44340</v>
      </c>
      <c r="C1575" s="1" t="n">
        <v>45757</v>
      </c>
      <c r="D1575" t="inlineStr">
        <is>
          <t>VÄSTMANLANDS LÄN</t>
        </is>
      </c>
      <c r="E1575" t="inlineStr">
        <is>
          <t>SALA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24834-2021</t>
        </is>
      </c>
      <c r="B1576" s="1" t="n">
        <v>44340</v>
      </c>
      <c r="C1576" s="1" t="n">
        <v>45757</v>
      </c>
      <c r="D1576" t="inlineStr">
        <is>
          <t>VÄSTMANLANDS LÄN</t>
        </is>
      </c>
      <c r="E1576" t="inlineStr">
        <is>
          <t>VÄSTERÅS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24838-2021</t>
        </is>
      </c>
      <c r="B1577" s="1" t="n">
        <v>44340</v>
      </c>
      <c r="C1577" s="1" t="n">
        <v>45757</v>
      </c>
      <c r="D1577" t="inlineStr">
        <is>
          <t>VÄSTMANLANDS LÄN</t>
        </is>
      </c>
      <c r="E1577" t="inlineStr">
        <is>
          <t>VÄSTERÅS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25052-2021</t>
        </is>
      </c>
      <c r="B1578" s="1" t="n">
        <v>44341</v>
      </c>
      <c r="C1578" s="1" t="n">
        <v>45757</v>
      </c>
      <c r="D1578" t="inlineStr">
        <is>
          <t>VÄSTMANLANDS LÄN</t>
        </is>
      </c>
      <c r="E1578" t="inlineStr">
        <is>
          <t>ARBOGA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25015-2021</t>
        </is>
      </c>
      <c r="B1579" s="1" t="n">
        <v>44341</v>
      </c>
      <c r="C1579" s="1" t="n">
        <v>45757</v>
      </c>
      <c r="D1579" t="inlineStr">
        <is>
          <t>VÄSTMANLANDS LÄN</t>
        </is>
      </c>
      <c r="E1579" t="inlineStr">
        <is>
          <t>VÄSTERÅS</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25219-2021</t>
        </is>
      </c>
      <c r="B1580" s="1" t="n">
        <v>44342</v>
      </c>
      <c r="C1580" s="1" t="n">
        <v>45757</v>
      </c>
      <c r="D1580" t="inlineStr">
        <is>
          <t>VÄSTMANLANDS LÄN</t>
        </is>
      </c>
      <c r="E1580" t="inlineStr">
        <is>
          <t>SKINNSKATTEBERG</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25340-2021</t>
        </is>
      </c>
      <c r="B1581" s="1" t="n">
        <v>44342</v>
      </c>
      <c r="C1581" s="1" t="n">
        <v>45757</v>
      </c>
      <c r="D1581" t="inlineStr">
        <is>
          <t>VÄSTMANLANDS LÄN</t>
        </is>
      </c>
      <c r="E1581" t="inlineStr">
        <is>
          <t>VÄSTERÅS</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25382-2021</t>
        </is>
      </c>
      <c r="B1582" s="1" t="n">
        <v>44342</v>
      </c>
      <c r="C1582" s="1" t="n">
        <v>45757</v>
      </c>
      <c r="D1582" t="inlineStr">
        <is>
          <t>VÄSTMANLANDS LÄN</t>
        </is>
      </c>
      <c r="E1582" t="inlineStr">
        <is>
          <t>VÄSTERÅS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25386-2021</t>
        </is>
      </c>
      <c r="B1583" s="1" t="n">
        <v>44342</v>
      </c>
      <c r="C1583" s="1" t="n">
        <v>45757</v>
      </c>
      <c r="D1583" t="inlineStr">
        <is>
          <t>VÄSTMANLANDS LÄN</t>
        </is>
      </c>
      <c r="E1583" t="inlineStr">
        <is>
          <t>SKINNSKATTEBERG</t>
        </is>
      </c>
      <c r="F1583" t="inlineStr">
        <is>
          <t>Sveaskog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25364-2021</t>
        </is>
      </c>
      <c r="B1584" s="1" t="n">
        <v>44342</v>
      </c>
      <c r="C1584" s="1" t="n">
        <v>45757</v>
      </c>
      <c r="D1584" t="inlineStr">
        <is>
          <t>VÄSTMANLANDS LÄN</t>
        </is>
      </c>
      <c r="E1584" t="inlineStr">
        <is>
          <t>NORBERG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25421-2021</t>
        </is>
      </c>
      <c r="B1585" s="1" t="n">
        <v>44342</v>
      </c>
      <c r="C1585" s="1" t="n">
        <v>45757</v>
      </c>
      <c r="D1585" t="inlineStr">
        <is>
          <t>VÄSTMANLANDS LÄN</t>
        </is>
      </c>
      <c r="E1585" t="inlineStr">
        <is>
          <t>HALLSTAHAMMAR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25536-2021</t>
        </is>
      </c>
      <c r="B1586" s="1" t="n">
        <v>44343</v>
      </c>
      <c r="C1586" s="1" t="n">
        <v>45757</v>
      </c>
      <c r="D1586" t="inlineStr">
        <is>
          <t>VÄSTMANLANDS LÄN</t>
        </is>
      </c>
      <c r="E1586" t="inlineStr">
        <is>
          <t>SKINNSKATTEBERG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26579-2021</t>
        </is>
      </c>
      <c r="B1587" s="1" t="n">
        <v>44348</v>
      </c>
      <c r="C1587" s="1" t="n">
        <v>45757</v>
      </c>
      <c r="D1587" t="inlineStr">
        <is>
          <t>VÄSTMANLANDS LÄN</t>
        </is>
      </c>
      <c r="E1587" t="inlineStr">
        <is>
          <t>SALA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26520-2021</t>
        </is>
      </c>
      <c r="B1588" s="1" t="n">
        <v>44348</v>
      </c>
      <c r="C1588" s="1" t="n">
        <v>45757</v>
      </c>
      <c r="D1588" t="inlineStr">
        <is>
          <t>VÄSTMANLANDS LÄN</t>
        </is>
      </c>
      <c r="E1588" t="inlineStr">
        <is>
          <t>VÄSTERÅS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26444-2021</t>
        </is>
      </c>
      <c r="B1589" s="1" t="n">
        <v>44348</v>
      </c>
      <c r="C1589" s="1" t="n">
        <v>45757</v>
      </c>
      <c r="D1589" t="inlineStr">
        <is>
          <t>VÄSTMANLANDS LÄN</t>
        </is>
      </c>
      <c r="E1589" t="inlineStr">
        <is>
          <t>NORBERG</t>
        </is>
      </c>
      <c r="F1589" t="inlineStr">
        <is>
          <t>Övriga Aktiebolag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26495-2021</t>
        </is>
      </c>
      <c r="B1590" s="1" t="n">
        <v>44348</v>
      </c>
      <c r="C1590" s="1" t="n">
        <v>45757</v>
      </c>
      <c r="D1590" t="inlineStr">
        <is>
          <t>VÄSTMANLANDS LÄN</t>
        </is>
      </c>
      <c r="E1590" t="inlineStr">
        <is>
          <t>KUNGSÖR</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26570-2021</t>
        </is>
      </c>
      <c r="B1591" s="1" t="n">
        <v>44348</v>
      </c>
      <c r="C1591" s="1" t="n">
        <v>45757</v>
      </c>
      <c r="D1591" t="inlineStr">
        <is>
          <t>VÄSTMANLANDS LÄN</t>
        </is>
      </c>
      <c r="E1591" t="inlineStr">
        <is>
          <t>SALA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26575-2021</t>
        </is>
      </c>
      <c r="B1592" s="1" t="n">
        <v>44348</v>
      </c>
      <c r="C1592" s="1" t="n">
        <v>45757</v>
      </c>
      <c r="D1592" t="inlineStr">
        <is>
          <t>VÄSTMANLANDS LÄN</t>
        </is>
      </c>
      <c r="E1592" t="inlineStr">
        <is>
          <t>SALA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26859-2021</t>
        </is>
      </c>
      <c r="B1593" s="1" t="n">
        <v>44349</v>
      </c>
      <c r="C1593" s="1" t="n">
        <v>45757</v>
      </c>
      <c r="D1593" t="inlineStr">
        <is>
          <t>VÄSTMANLANDS LÄN</t>
        </is>
      </c>
      <c r="E1593" t="inlineStr">
        <is>
          <t>ARBOGA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26910-2021</t>
        </is>
      </c>
      <c r="B1594" s="1" t="n">
        <v>44349</v>
      </c>
      <c r="C1594" s="1" t="n">
        <v>45757</v>
      </c>
      <c r="D1594" t="inlineStr">
        <is>
          <t>VÄSTMANLANDS LÄN</t>
        </is>
      </c>
      <c r="E1594" t="inlineStr">
        <is>
          <t>NORBERG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26891-2021</t>
        </is>
      </c>
      <c r="B1595" s="1" t="n">
        <v>44349</v>
      </c>
      <c r="C1595" s="1" t="n">
        <v>45757</v>
      </c>
      <c r="D1595" t="inlineStr">
        <is>
          <t>VÄSTMANLANDS LÄN</t>
        </is>
      </c>
      <c r="E1595" t="inlineStr">
        <is>
          <t>NORBERG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26899-2021</t>
        </is>
      </c>
      <c r="B1596" s="1" t="n">
        <v>44349</v>
      </c>
      <c r="C1596" s="1" t="n">
        <v>45757</v>
      </c>
      <c r="D1596" t="inlineStr">
        <is>
          <t>VÄSTMANLANDS LÄN</t>
        </is>
      </c>
      <c r="E1596" t="inlineStr">
        <is>
          <t>NORBERG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27213-2021</t>
        </is>
      </c>
      <c r="B1597" s="1" t="n">
        <v>44350</v>
      </c>
      <c r="C1597" s="1" t="n">
        <v>45757</v>
      </c>
      <c r="D1597" t="inlineStr">
        <is>
          <t>VÄSTMANLANDS LÄN</t>
        </is>
      </c>
      <c r="E1597" t="inlineStr">
        <is>
          <t>SKINNSKATTEBERG</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27212-2021</t>
        </is>
      </c>
      <c r="B1598" s="1" t="n">
        <v>44350</v>
      </c>
      <c r="C1598" s="1" t="n">
        <v>45757</v>
      </c>
      <c r="D1598" t="inlineStr">
        <is>
          <t>VÄSTMANLANDS LÄN</t>
        </is>
      </c>
      <c r="E1598" t="inlineStr">
        <is>
          <t>KÖPING</t>
        </is>
      </c>
      <c r="F1598" t="inlineStr">
        <is>
          <t>Sveaskog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27065-2021</t>
        </is>
      </c>
      <c r="B1599" s="1" t="n">
        <v>44350</v>
      </c>
      <c r="C1599" s="1" t="n">
        <v>45757</v>
      </c>
      <c r="D1599" t="inlineStr">
        <is>
          <t>VÄSTMANLANDS LÄN</t>
        </is>
      </c>
      <c r="E1599" t="inlineStr">
        <is>
          <t>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27209-2021</t>
        </is>
      </c>
      <c r="B1600" s="1" t="n">
        <v>44350</v>
      </c>
      <c r="C1600" s="1" t="n">
        <v>45757</v>
      </c>
      <c r="D1600" t="inlineStr">
        <is>
          <t>VÄSTMANLANDS LÄN</t>
        </is>
      </c>
      <c r="E1600" t="inlineStr">
        <is>
          <t>KÖPING</t>
        </is>
      </c>
      <c r="F1600" t="inlineStr">
        <is>
          <t>Sveaskog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27402-2021</t>
        </is>
      </c>
      <c r="B1601" s="1" t="n">
        <v>44351</v>
      </c>
      <c r="C1601" s="1" t="n">
        <v>45757</v>
      </c>
      <c r="D1601" t="inlineStr">
        <is>
          <t>VÄSTMANLANDS LÄN</t>
        </is>
      </c>
      <c r="E1601" t="inlineStr">
        <is>
          <t>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27525-2021</t>
        </is>
      </c>
      <c r="B1602" s="1" t="n">
        <v>44351</v>
      </c>
      <c r="C1602" s="1" t="n">
        <v>45757</v>
      </c>
      <c r="D1602" t="inlineStr">
        <is>
          <t>VÄSTMANLANDS LÄN</t>
        </is>
      </c>
      <c r="E1602" t="inlineStr">
        <is>
          <t>FAGERSTA</t>
        </is>
      </c>
      <c r="F1602" t="inlineStr">
        <is>
          <t>Sveaskog</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27604-2021</t>
        </is>
      </c>
      <c r="B1603" s="1" t="n">
        <v>44351</v>
      </c>
      <c r="C1603" s="1" t="n">
        <v>45757</v>
      </c>
      <c r="D1603" t="inlineStr">
        <is>
          <t>VÄSTMANLANDS LÄN</t>
        </is>
      </c>
      <c r="E1603" t="inlineStr">
        <is>
          <t>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27793-2021</t>
        </is>
      </c>
      <c r="B1604" s="1" t="n">
        <v>44354</v>
      </c>
      <c r="C1604" s="1" t="n">
        <v>45757</v>
      </c>
      <c r="D1604" t="inlineStr">
        <is>
          <t>VÄSTMANLANDS LÄN</t>
        </is>
      </c>
      <c r="E1604" t="inlineStr">
        <is>
          <t>ARBOGA</t>
        </is>
      </c>
      <c r="F1604" t="inlineStr">
        <is>
          <t>Allmännings- och besparingsskogar</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27911-2021</t>
        </is>
      </c>
      <c r="B1605" s="1" t="n">
        <v>44354</v>
      </c>
      <c r="C1605" s="1" t="n">
        <v>45757</v>
      </c>
      <c r="D1605" t="inlineStr">
        <is>
          <t>VÄSTMANLANDS LÄN</t>
        </is>
      </c>
      <c r="E1605" t="inlineStr">
        <is>
          <t>KÖPING</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28054-2021</t>
        </is>
      </c>
      <c r="B1606" s="1" t="n">
        <v>44355</v>
      </c>
      <c r="C1606" s="1" t="n">
        <v>45757</v>
      </c>
      <c r="D1606" t="inlineStr">
        <is>
          <t>VÄSTMANLANDS LÄN</t>
        </is>
      </c>
      <c r="E1606" t="inlineStr">
        <is>
          <t>ARBOGA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28051-2021</t>
        </is>
      </c>
      <c r="B1607" s="1" t="n">
        <v>44355</v>
      </c>
      <c r="C1607" s="1" t="n">
        <v>45757</v>
      </c>
      <c r="D1607" t="inlineStr">
        <is>
          <t>VÄSTMANLANDS LÄN</t>
        </is>
      </c>
      <c r="E1607" t="inlineStr">
        <is>
          <t>ARBOGA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28173-2021</t>
        </is>
      </c>
      <c r="B1608" s="1" t="n">
        <v>44355</v>
      </c>
      <c r="C1608" s="1" t="n">
        <v>45757</v>
      </c>
      <c r="D1608" t="inlineStr">
        <is>
          <t>VÄSTMANLANDS LÄN</t>
        </is>
      </c>
      <c r="E1608" t="inlineStr">
        <is>
          <t>SKINNSKATTEBERG</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28232-2021</t>
        </is>
      </c>
      <c r="B1609" s="1" t="n">
        <v>44355</v>
      </c>
      <c r="C1609" s="1" t="n">
        <v>45757</v>
      </c>
      <c r="D1609" t="inlineStr">
        <is>
          <t>VÄSTMANLANDS LÄN</t>
        </is>
      </c>
      <c r="E1609" t="inlineStr">
        <is>
          <t>KÖPING</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28324-2021</t>
        </is>
      </c>
      <c r="B1610" s="1" t="n">
        <v>44356</v>
      </c>
      <c r="C1610" s="1" t="n">
        <v>45757</v>
      </c>
      <c r="D1610" t="inlineStr">
        <is>
          <t>VÄSTMANLANDS LÄN</t>
        </is>
      </c>
      <c r="E1610" t="inlineStr">
        <is>
          <t>ARBOGA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28425-2021</t>
        </is>
      </c>
      <c r="B1611" s="1" t="n">
        <v>44356</v>
      </c>
      <c r="C1611" s="1" t="n">
        <v>45757</v>
      </c>
      <c r="D1611" t="inlineStr">
        <is>
          <t>VÄSTMANLANDS LÄN</t>
        </is>
      </c>
      <c r="E1611" t="inlineStr">
        <is>
          <t>SALA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28458-2021</t>
        </is>
      </c>
      <c r="B1612" s="1" t="n">
        <v>44356</v>
      </c>
      <c r="C1612" s="1" t="n">
        <v>45757</v>
      </c>
      <c r="D1612" t="inlineStr">
        <is>
          <t>VÄSTMANLANDS LÄN</t>
        </is>
      </c>
      <c r="E1612" t="inlineStr">
        <is>
          <t>NORBERG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29035-2021</t>
        </is>
      </c>
      <c r="B1613" s="1" t="n">
        <v>44358</v>
      </c>
      <c r="C1613" s="1" t="n">
        <v>45757</v>
      </c>
      <c r="D1613" t="inlineStr">
        <is>
          <t>VÄSTMANLANDS LÄN</t>
        </is>
      </c>
      <c r="E1613" t="inlineStr">
        <is>
          <t>HALLSTAHAMMAR</t>
        </is>
      </c>
      <c r="F1613" t="inlineStr">
        <is>
          <t>Allmännings- och besparingsskogar</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29197-2021</t>
        </is>
      </c>
      <c r="B1614" s="1" t="n">
        <v>44359</v>
      </c>
      <c r="C1614" s="1" t="n">
        <v>45757</v>
      </c>
      <c r="D1614" t="inlineStr">
        <is>
          <t>VÄSTMANLANDS LÄN</t>
        </is>
      </c>
      <c r="E1614" t="inlineStr">
        <is>
          <t>FAGERSTA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29244-2021</t>
        </is>
      </c>
      <c r="B1615" s="1" t="n">
        <v>44360</v>
      </c>
      <c r="C1615" s="1" t="n">
        <v>45757</v>
      </c>
      <c r="D1615" t="inlineStr">
        <is>
          <t>VÄSTMANLANDS LÄN</t>
        </is>
      </c>
      <c r="E1615" t="inlineStr">
        <is>
          <t>NORBERG</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29791-2021</t>
        </is>
      </c>
      <c r="B1616" s="1" t="n">
        <v>44362</v>
      </c>
      <c r="C1616" s="1" t="n">
        <v>45757</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29894-2021</t>
        </is>
      </c>
      <c r="B1617" s="1" t="n">
        <v>44362</v>
      </c>
      <c r="C1617" s="1" t="n">
        <v>45757</v>
      </c>
      <c r="D1617" t="inlineStr">
        <is>
          <t>VÄSTMANLANDS LÄN</t>
        </is>
      </c>
      <c r="E1617" t="inlineStr">
        <is>
          <t>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30087-2021</t>
        </is>
      </c>
      <c r="B1618" s="1" t="n">
        <v>44363</v>
      </c>
      <c r="C1618" s="1" t="n">
        <v>45757</v>
      </c>
      <c r="D1618" t="inlineStr">
        <is>
          <t>VÄSTMANLANDS LÄN</t>
        </is>
      </c>
      <c r="E1618" t="inlineStr">
        <is>
          <t>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30170-2021</t>
        </is>
      </c>
      <c r="B1619" s="1" t="n">
        <v>44363</v>
      </c>
      <c r="C1619" s="1" t="n">
        <v>45757</v>
      </c>
      <c r="D1619" t="inlineStr">
        <is>
          <t>VÄSTMANLANDS LÄN</t>
        </is>
      </c>
      <c r="E1619" t="inlineStr">
        <is>
          <t>SALA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30174-2021</t>
        </is>
      </c>
      <c r="B1620" s="1" t="n">
        <v>44363</v>
      </c>
      <c r="C1620" s="1" t="n">
        <v>45757</v>
      </c>
      <c r="D1620" t="inlineStr">
        <is>
          <t>VÄSTMANLANDS LÄN</t>
        </is>
      </c>
      <c r="E1620" t="inlineStr">
        <is>
          <t>HALLSTAHAMMAR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30465-2021</t>
        </is>
      </c>
      <c r="B1621" s="1" t="n">
        <v>44364</v>
      </c>
      <c r="C1621" s="1" t="n">
        <v>45757</v>
      </c>
      <c r="D1621" t="inlineStr">
        <is>
          <t>VÄSTMANLANDS LÄN</t>
        </is>
      </c>
      <c r="E1621" t="inlineStr">
        <is>
          <t>VÄSTERÅS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30482-2021</t>
        </is>
      </c>
      <c r="B1622" s="1" t="n">
        <v>44364</v>
      </c>
      <c r="C1622" s="1" t="n">
        <v>45757</v>
      </c>
      <c r="D1622" t="inlineStr">
        <is>
          <t>VÄSTMANLANDS LÄN</t>
        </is>
      </c>
      <c r="E1622" t="inlineStr">
        <is>
          <t>KÖPING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30503-2021</t>
        </is>
      </c>
      <c r="B1623" s="1" t="n">
        <v>44364</v>
      </c>
      <c r="C1623" s="1" t="n">
        <v>45757</v>
      </c>
      <c r="D1623" t="inlineStr">
        <is>
          <t>VÄSTMANLANDS LÄN</t>
        </is>
      </c>
      <c r="E1623" t="inlineStr">
        <is>
          <t>FAGERSTA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30743-2021</t>
        </is>
      </c>
      <c r="B1624" s="1" t="n">
        <v>44365</v>
      </c>
      <c r="C1624" s="1" t="n">
        <v>45757</v>
      </c>
      <c r="D1624" t="inlineStr">
        <is>
          <t>VÄSTMANLANDS LÄN</t>
        </is>
      </c>
      <c r="E1624" t="inlineStr">
        <is>
          <t>HALLSTAHAMMAR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30782-2021</t>
        </is>
      </c>
      <c r="B1625" s="1" t="n">
        <v>44365</v>
      </c>
      <c r="C1625" s="1" t="n">
        <v>45757</v>
      </c>
      <c r="D1625" t="inlineStr">
        <is>
          <t>VÄSTMANLANDS LÄN</t>
        </is>
      </c>
      <c r="E1625" t="inlineStr">
        <is>
          <t>HALLSTAHAMMAR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30859-2021</t>
        </is>
      </c>
      <c r="B1626" s="1" t="n">
        <v>44365</v>
      </c>
      <c r="C1626" s="1" t="n">
        <v>45757</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30904-2021</t>
        </is>
      </c>
      <c r="B1627" s="1" t="n">
        <v>44365</v>
      </c>
      <c r="C1627" s="1" t="n">
        <v>45757</v>
      </c>
      <c r="D1627" t="inlineStr">
        <is>
          <t>VÄSTMANLANDS LÄN</t>
        </is>
      </c>
      <c r="E1627" t="inlineStr">
        <is>
          <t>SALA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30915-2021</t>
        </is>
      </c>
      <c r="B1628" s="1" t="n">
        <v>44365</v>
      </c>
      <c r="C1628" s="1" t="n">
        <v>45757</v>
      </c>
      <c r="D1628" t="inlineStr">
        <is>
          <t>VÄSTMANLANDS LÄN</t>
        </is>
      </c>
      <c r="E1628" t="inlineStr">
        <is>
          <t>SALA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30925-2021</t>
        </is>
      </c>
      <c r="B1629" s="1" t="n">
        <v>44365</v>
      </c>
      <c r="C1629" s="1" t="n">
        <v>45757</v>
      </c>
      <c r="D1629" t="inlineStr">
        <is>
          <t>VÄSTMANLANDS LÄN</t>
        </is>
      </c>
      <c r="E1629" t="inlineStr">
        <is>
          <t>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30918-2021</t>
        </is>
      </c>
      <c r="B1630" s="1" t="n">
        <v>44365</v>
      </c>
      <c r="C1630" s="1" t="n">
        <v>45757</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31072-2021</t>
        </is>
      </c>
      <c r="B1631" s="1" t="n">
        <v>44368</v>
      </c>
      <c r="C1631" s="1" t="n">
        <v>45757</v>
      </c>
      <c r="D1631" t="inlineStr">
        <is>
          <t>VÄSTMANLANDS LÄN</t>
        </is>
      </c>
      <c r="E1631" t="inlineStr">
        <is>
          <t>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31082-2021</t>
        </is>
      </c>
      <c r="B1632" s="1" t="n">
        <v>44368</v>
      </c>
      <c r="C1632" s="1" t="n">
        <v>45757</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31257-2021</t>
        </is>
      </c>
      <c r="B1633" s="1" t="n">
        <v>44368</v>
      </c>
      <c r="C1633" s="1" t="n">
        <v>45757</v>
      </c>
      <c r="D1633" t="inlineStr">
        <is>
          <t>VÄSTMANLANDS LÄN</t>
        </is>
      </c>
      <c r="E1633" t="inlineStr">
        <is>
          <t>NORBERG</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31452-2021</t>
        </is>
      </c>
      <c r="B1634" s="1" t="n">
        <v>44369</v>
      </c>
      <c r="C1634" s="1" t="n">
        <v>45757</v>
      </c>
      <c r="D1634" t="inlineStr">
        <is>
          <t>VÄSTMANLANDS LÄN</t>
        </is>
      </c>
      <c r="E1634" t="inlineStr">
        <is>
          <t>SALA</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31470-2021</t>
        </is>
      </c>
      <c r="B1635" s="1" t="n">
        <v>44369</v>
      </c>
      <c r="C1635" s="1" t="n">
        <v>45757</v>
      </c>
      <c r="D1635" t="inlineStr">
        <is>
          <t>VÄSTMANLANDS LÄN</t>
        </is>
      </c>
      <c r="E1635" t="inlineStr">
        <is>
          <t>SALA</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31468-2021</t>
        </is>
      </c>
      <c r="B1636" s="1" t="n">
        <v>44369</v>
      </c>
      <c r="C1636" s="1" t="n">
        <v>45757</v>
      </c>
      <c r="D1636" t="inlineStr">
        <is>
          <t>VÄSTMANLANDS LÄN</t>
        </is>
      </c>
      <c r="E1636" t="inlineStr">
        <is>
          <t>SURAHAMMAR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31424-2021</t>
        </is>
      </c>
      <c r="B1637" s="1" t="n">
        <v>44369</v>
      </c>
      <c r="C1637" s="1" t="n">
        <v>45757</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31626-2021</t>
        </is>
      </c>
      <c r="B1638" s="1" t="n">
        <v>44369</v>
      </c>
      <c r="C1638" s="1" t="n">
        <v>45757</v>
      </c>
      <c r="D1638" t="inlineStr">
        <is>
          <t>VÄSTMANLANDS LÄN</t>
        </is>
      </c>
      <c r="E1638" t="inlineStr">
        <is>
          <t>VÄSTERÅS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31680-2021</t>
        </is>
      </c>
      <c r="B1639" s="1" t="n">
        <v>44369</v>
      </c>
      <c r="C1639" s="1" t="n">
        <v>45757</v>
      </c>
      <c r="D1639" t="inlineStr">
        <is>
          <t>VÄSTMANLANDS LÄN</t>
        </is>
      </c>
      <c r="E1639" t="inlineStr">
        <is>
          <t>VÄSTERÅS</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31904-2021</t>
        </is>
      </c>
      <c r="B1640" s="1" t="n">
        <v>44370</v>
      </c>
      <c r="C1640" s="1" t="n">
        <v>45757</v>
      </c>
      <c r="D1640" t="inlineStr">
        <is>
          <t>VÄSTMANLANDS LÄN</t>
        </is>
      </c>
      <c r="E1640" t="inlineStr">
        <is>
          <t>SALA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31880-2021</t>
        </is>
      </c>
      <c r="B1641" s="1" t="n">
        <v>44370</v>
      </c>
      <c r="C1641" s="1" t="n">
        <v>45757</v>
      </c>
      <c r="D1641" t="inlineStr">
        <is>
          <t>VÄSTMANLANDS LÄN</t>
        </is>
      </c>
      <c r="E1641" t="inlineStr">
        <is>
          <t>VÄSTERÅS</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31918-2021</t>
        </is>
      </c>
      <c r="B1642" s="1" t="n">
        <v>44370</v>
      </c>
      <c r="C1642" s="1" t="n">
        <v>45757</v>
      </c>
      <c r="D1642" t="inlineStr">
        <is>
          <t>VÄSTMANLANDS LÄN</t>
        </is>
      </c>
      <c r="E1642" t="inlineStr">
        <is>
          <t>KÖPING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32312-2021</t>
        </is>
      </c>
      <c r="B1643" s="1" t="n">
        <v>44371</v>
      </c>
      <c r="C1643" s="1" t="n">
        <v>45757</v>
      </c>
      <c r="D1643" t="inlineStr">
        <is>
          <t>VÄSTMANLANDS LÄN</t>
        </is>
      </c>
      <c r="E1643" t="inlineStr">
        <is>
          <t>VÄSTERÅS</t>
        </is>
      </c>
      <c r="F1643" t="inlineStr">
        <is>
          <t>Övriga Aktiebolag</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32436-2021</t>
        </is>
      </c>
      <c r="B1644" s="1" t="n">
        <v>44371</v>
      </c>
      <c r="C1644" s="1" t="n">
        <v>45757</v>
      </c>
      <c r="D1644" t="inlineStr">
        <is>
          <t>VÄSTMANLANDS LÄN</t>
        </is>
      </c>
      <c r="E1644" t="inlineStr">
        <is>
          <t>VÄSTERÅS</t>
        </is>
      </c>
      <c r="F1644" t="inlineStr">
        <is>
          <t>Övriga Aktiebolag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32610-2021</t>
        </is>
      </c>
      <c r="B1645" s="1" t="n">
        <v>44375</v>
      </c>
      <c r="C1645" s="1" t="n">
        <v>45757</v>
      </c>
      <c r="D1645" t="inlineStr">
        <is>
          <t>VÄSTMANLANDS LÄN</t>
        </is>
      </c>
      <c r="E1645" t="inlineStr">
        <is>
          <t>SALA</t>
        </is>
      </c>
      <c r="F1645" t="inlineStr">
        <is>
          <t>Sveaskog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33512-2021</t>
        </is>
      </c>
      <c r="B1646" s="1" t="n">
        <v>44377</v>
      </c>
      <c r="C1646" s="1" t="n">
        <v>45757</v>
      </c>
      <c r="D1646" t="inlineStr">
        <is>
          <t>VÄSTMANLANDS LÄN</t>
        </is>
      </c>
      <c r="E1646" t="inlineStr">
        <is>
          <t>VÄSTERÅS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33762-2021</t>
        </is>
      </c>
      <c r="B1647" s="1" t="n">
        <v>44378</v>
      </c>
      <c r="C1647" s="1" t="n">
        <v>45757</v>
      </c>
      <c r="D1647" t="inlineStr">
        <is>
          <t>VÄSTMANLANDS LÄN</t>
        </is>
      </c>
      <c r="E1647" t="inlineStr">
        <is>
          <t>SALA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33998-2021</t>
        </is>
      </c>
      <c r="B1648" s="1" t="n">
        <v>44378</v>
      </c>
      <c r="C1648" s="1" t="n">
        <v>45757</v>
      </c>
      <c r="D1648" t="inlineStr">
        <is>
          <t>VÄSTMANLANDS LÄN</t>
        </is>
      </c>
      <c r="E1648" t="inlineStr">
        <is>
          <t>SURAHAMMAR</t>
        </is>
      </c>
      <c r="F1648" t="inlineStr">
        <is>
          <t>Bergvik skog väst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34001-2021</t>
        </is>
      </c>
      <c r="B1649" s="1" t="n">
        <v>44378</v>
      </c>
      <c r="C1649" s="1" t="n">
        <v>45757</v>
      </c>
      <c r="D1649" t="inlineStr">
        <is>
          <t>VÄSTMANLANDS LÄN</t>
        </is>
      </c>
      <c r="E1649" t="inlineStr">
        <is>
          <t>SURAHAMMAR</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33953-2021</t>
        </is>
      </c>
      <c r="B1650" s="1" t="n">
        <v>44378</v>
      </c>
      <c r="C1650" s="1" t="n">
        <v>45757</v>
      </c>
      <c r="D1650" t="inlineStr">
        <is>
          <t>VÄSTMANLANDS LÄN</t>
        </is>
      </c>
      <c r="E1650" t="inlineStr">
        <is>
          <t>HALLSTAHAMMAR</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34215-2021</t>
        </is>
      </c>
      <c r="B1651" s="1" t="n">
        <v>44379</v>
      </c>
      <c r="C1651" s="1" t="n">
        <v>45757</v>
      </c>
      <c r="D1651" t="inlineStr">
        <is>
          <t>VÄSTMANLANDS LÄN</t>
        </is>
      </c>
      <c r="E1651" t="inlineStr">
        <is>
          <t>KÖPING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34426-2021</t>
        </is>
      </c>
      <c r="B1652" s="1" t="n">
        <v>44380</v>
      </c>
      <c r="C1652" s="1" t="n">
        <v>45757</v>
      </c>
      <c r="D1652" t="inlineStr">
        <is>
          <t>VÄSTMANLANDS LÄN</t>
        </is>
      </c>
      <c r="E1652" t="inlineStr">
        <is>
          <t>FAGERSTA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34897-2021</t>
        </is>
      </c>
      <c r="B1653" s="1" t="n">
        <v>44383</v>
      </c>
      <c r="C1653" s="1" t="n">
        <v>45757</v>
      </c>
      <c r="D1653" t="inlineStr">
        <is>
          <t>VÄSTMANLANDS LÄN</t>
        </is>
      </c>
      <c r="E1653" t="inlineStr">
        <is>
          <t>SKINNSKATTEBERG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34814-2021</t>
        </is>
      </c>
      <c r="B1654" s="1" t="n">
        <v>44383</v>
      </c>
      <c r="C1654" s="1" t="n">
        <v>45757</v>
      </c>
      <c r="D1654" t="inlineStr">
        <is>
          <t>VÄSTMANLANDS LÄN</t>
        </is>
      </c>
      <c r="E1654" t="inlineStr">
        <is>
          <t>SALA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35207-2021</t>
        </is>
      </c>
      <c r="B1655" s="1" t="n">
        <v>44384</v>
      </c>
      <c r="C1655" s="1" t="n">
        <v>45757</v>
      </c>
      <c r="D1655" t="inlineStr">
        <is>
          <t>VÄSTMANLANDS LÄN</t>
        </is>
      </c>
      <c r="E1655" t="inlineStr">
        <is>
          <t>SALA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35211-2021</t>
        </is>
      </c>
      <c r="B1656" s="1" t="n">
        <v>44384</v>
      </c>
      <c r="C1656" s="1" t="n">
        <v>45757</v>
      </c>
      <c r="D1656" t="inlineStr">
        <is>
          <t>VÄSTMANLANDS LÄN</t>
        </is>
      </c>
      <c r="E1656" t="inlineStr">
        <is>
          <t>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35451-2021</t>
        </is>
      </c>
      <c r="B1657" s="1" t="n">
        <v>44384</v>
      </c>
      <c r="C1657" s="1" t="n">
        <v>45757</v>
      </c>
      <c r="D1657" t="inlineStr">
        <is>
          <t>VÄSTMANLANDS LÄN</t>
        </is>
      </c>
      <c r="E1657" t="inlineStr">
        <is>
          <t>SALA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35487-2021</t>
        </is>
      </c>
      <c r="B1658" s="1" t="n">
        <v>44384</v>
      </c>
      <c r="C1658" s="1" t="n">
        <v>45757</v>
      </c>
      <c r="D1658" t="inlineStr">
        <is>
          <t>VÄSTMANLANDS LÄN</t>
        </is>
      </c>
      <c r="E1658" t="inlineStr">
        <is>
          <t>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35482-2021</t>
        </is>
      </c>
      <c r="B1659" s="1" t="n">
        <v>44384</v>
      </c>
      <c r="C1659" s="1" t="n">
        <v>45757</v>
      </c>
      <c r="D1659" t="inlineStr">
        <is>
          <t>VÄSTMANLANDS LÄN</t>
        </is>
      </c>
      <c r="E1659" t="inlineStr">
        <is>
          <t>SALA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35656-2021</t>
        </is>
      </c>
      <c r="B1660" s="1" t="n">
        <v>44386</v>
      </c>
      <c r="C1660" s="1" t="n">
        <v>45757</v>
      </c>
      <c r="D1660" t="inlineStr">
        <is>
          <t>VÄSTMANLANDS LÄN</t>
        </is>
      </c>
      <c r="E1660" t="inlineStr">
        <is>
          <t>NORBERG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35600-2021</t>
        </is>
      </c>
      <c r="B1661" s="1" t="n">
        <v>44386</v>
      </c>
      <c r="C1661" s="1" t="n">
        <v>45757</v>
      </c>
      <c r="D1661" t="inlineStr">
        <is>
          <t>VÄSTMANLANDS LÄN</t>
        </is>
      </c>
      <c r="E1661" t="inlineStr">
        <is>
          <t>ARBOGA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35905-2021</t>
        </is>
      </c>
      <c r="B1662" s="1" t="n">
        <v>44387</v>
      </c>
      <c r="C1662" s="1" t="n">
        <v>45757</v>
      </c>
      <c r="D1662" t="inlineStr">
        <is>
          <t>VÄSTMANLANDS LÄN</t>
        </is>
      </c>
      <c r="E1662" t="inlineStr">
        <is>
          <t>FAGERSTA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35896-2021</t>
        </is>
      </c>
      <c r="B1663" s="1" t="n">
        <v>44387</v>
      </c>
      <c r="C1663" s="1" t="n">
        <v>45757</v>
      </c>
      <c r="D1663" t="inlineStr">
        <is>
          <t>VÄSTMANLANDS LÄN</t>
        </is>
      </c>
      <c r="E1663" t="inlineStr">
        <is>
          <t>FAGERSTA</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35921-2021</t>
        </is>
      </c>
      <c r="B1664" s="1" t="n">
        <v>44388</v>
      </c>
      <c r="C1664" s="1" t="n">
        <v>45757</v>
      </c>
      <c r="D1664" t="inlineStr">
        <is>
          <t>VÄSTMANLANDS LÄN</t>
        </is>
      </c>
      <c r="E1664" t="inlineStr">
        <is>
          <t>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36507-2021</t>
        </is>
      </c>
      <c r="B1665" s="1" t="n">
        <v>44391</v>
      </c>
      <c r="C1665" s="1" t="n">
        <v>45757</v>
      </c>
      <c r="D1665" t="inlineStr">
        <is>
          <t>VÄSTMANLANDS LÄN</t>
        </is>
      </c>
      <c r="E1665" t="inlineStr">
        <is>
          <t>VÄSTERÅS</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36539-2021</t>
        </is>
      </c>
      <c r="B1666" s="1" t="n">
        <v>44391</v>
      </c>
      <c r="C1666" s="1" t="n">
        <v>45757</v>
      </c>
      <c r="D1666" t="inlineStr">
        <is>
          <t>VÄSTMANLANDS LÄN</t>
        </is>
      </c>
      <c r="E1666" t="inlineStr">
        <is>
          <t>KUNGSÖR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36532-2021</t>
        </is>
      </c>
      <c r="B1667" s="1" t="n">
        <v>44391</v>
      </c>
      <c r="C1667" s="1" t="n">
        <v>45757</v>
      </c>
      <c r="D1667" t="inlineStr">
        <is>
          <t>VÄSTMANLANDS LÄN</t>
        </is>
      </c>
      <c r="E1667" t="inlineStr">
        <is>
          <t>KUNGSÖR</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36639-2021</t>
        </is>
      </c>
      <c r="B1668" s="1" t="n">
        <v>44392</v>
      </c>
      <c r="C1668" s="1" t="n">
        <v>45757</v>
      </c>
      <c r="D1668" t="inlineStr">
        <is>
          <t>VÄSTMANLANDS LÄN</t>
        </is>
      </c>
      <c r="E1668" t="inlineStr">
        <is>
          <t>KUNGSÖR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36638-2021</t>
        </is>
      </c>
      <c r="B1669" s="1" t="n">
        <v>44392</v>
      </c>
      <c r="C1669" s="1" t="n">
        <v>45757</v>
      </c>
      <c r="D1669" t="inlineStr">
        <is>
          <t>VÄSTMANLANDS LÄN</t>
        </is>
      </c>
      <c r="E1669" t="inlineStr">
        <is>
          <t>KUNGSÖR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36866-2021</t>
        </is>
      </c>
      <c r="B1670" s="1" t="n">
        <v>44393</v>
      </c>
      <c r="C1670" s="1" t="n">
        <v>45757</v>
      </c>
      <c r="D1670" t="inlineStr">
        <is>
          <t>VÄSTMANLANDS LÄN</t>
        </is>
      </c>
      <c r="E1670" t="inlineStr">
        <is>
          <t>KÖPING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37414-2021</t>
        </is>
      </c>
      <c r="B1671" s="1" t="n">
        <v>44398</v>
      </c>
      <c r="C1671" s="1" t="n">
        <v>45757</v>
      </c>
      <c r="D1671" t="inlineStr">
        <is>
          <t>VÄSTMANLANDS LÄN</t>
        </is>
      </c>
      <c r="E1671" t="inlineStr">
        <is>
          <t>ARBOGA</t>
        </is>
      </c>
      <c r="F1671" t="inlineStr">
        <is>
          <t>Kyrkan</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37602-2021</t>
        </is>
      </c>
      <c r="B1672" s="1" t="n">
        <v>44399</v>
      </c>
      <c r="C1672" s="1" t="n">
        <v>45757</v>
      </c>
      <c r="D1672" t="inlineStr">
        <is>
          <t>VÄSTMANLANDS LÄN</t>
        </is>
      </c>
      <c r="E1672" t="inlineStr">
        <is>
          <t>FAGERSTA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37653-2021</t>
        </is>
      </c>
      <c r="B1673" s="1" t="n">
        <v>44400</v>
      </c>
      <c r="C1673" s="1" t="n">
        <v>45757</v>
      </c>
      <c r="D1673" t="inlineStr">
        <is>
          <t>VÄSTMANLANDS LÄN</t>
        </is>
      </c>
      <c r="E1673" t="inlineStr">
        <is>
          <t>ARBOGA</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37703-2021</t>
        </is>
      </c>
      <c r="B1674" s="1" t="n">
        <v>44400</v>
      </c>
      <c r="C1674" s="1" t="n">
        <v>45757</v>
      </c>
      <c r="D1674" t="inlineStr">
        <is>
          <t>VÄSTMANLANDS LÄN</t>
        </is>
      </c>
      <c r="E1674" t="inlineStr">
        <is>
          <t>SALA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37798-2021</t>
        </is>
      </c>
      <c r="B1675" s="1" t="n">
        <v>44402</v>
      </c>
      <c r="C1675" s="1" t="n">
        <v>45757</v>
      </c>
      <c r="D1675" t="inlineStr">
        <is>
          <t>VÄSTMANLANDS LÄN</t>
        </is>
      </c>
      <c r="E1675" t="inlineStr">
        <is>
          <t>SURAHAMMAR</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37799-2021</t>
        </is>
      </c>
      <c r="B1676" s="1" t="n">
        <v>44402</v>
      </c>
      <c r="C1676" s="1" t="n">
        <v>45757</v>
      </c>
      <c r="D1676" t="inlineStr">
        <is>
          <t>VÄSTMANLANDS LÄN</t>
        </is>
      </c>
      <c r="E1676" t="inlineStr">
        <is>
          <t>SURAHAMMAR</t>
        </is>
      </c>
      <c r="F1676" t="inlineStr">
        <is>
          <t>Kommuner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37856-2021</t>
        </is>
      </c>
      <c r="B1677" s="1" t="n">
        <v>44403</v>
      </c>
      <c r="C1677" s="1" t="n">
        <v>45757</v>
      </c>
      <c r="D1677" t="inlineStr">
        <is>
          <t>VÄSTMANLANDS LÄN</t>
        </is>
      </c>
      <c r="E1677" t="inlineStr">
        <is>
          <t>SALA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37872-2021</t>
        </is>
      </c>
      <c r="B1678" s="1" t="n">
        <v>44403</v>
      </c>
      <c r="C1678" s="1" t="n">
        <v>45757</v>
      </c>
      <c r="D1678" t="inlineStr">
        <is>
          <t>VÄSTMANLANDS LÄN</t>
        </is>
      </c>
      <c r="E1678" t="inlineStr">
        <is>
          <t>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37881-2021</t>
        </is>
      </c>
      <c r="B1679" s="1" t="n">
        <v>44403</v>
      </c>
      <c r="C1679" s="1" t="n">
        <v>45757</v>
      </c>
      <c r="D1679" t="inlineStr">
        <is>
          <t>VÄSTMANLANDS LÄN</t>
        </is>
      </c>
      <c r="E1679" t="inlineStr">
        <is>
          <t>SALA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38067-2021</t>
        </is>
      </c>
      <c r="B1680" s="1" t="n">
        <v>44404</v>
      </c>
      <c r="C1680" s="1" t="n">
        <v>45757</v>
      </c>
      <c r="D1680" t="inlineStr">
        <is>
          <t>VÄSTMANLANDS LÄN</t>
        </is>
      </c>
      <c r="E1680" t="inlineStr">
        <is>
          <t>ARBOGA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38068-2021</t>
        </is>
      </c>
      <c r="B1681" s="1" t="n">
        <v>44404</v>
      </c>
      <c r="C1681" s="1" t="n">
        <v>45757</v>
      </c>
      <c r="D1681" t="inlineStr">
        <is>
          <t>VÄSTMANLANDS LÄN</t>
        </is>
      </c>
      <c r="E1681" t="inlineStr">
        <is>
          <t>ARBOGA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38066-2021</t>
        </is>
      </c>
      <c r="B1682" s="1" t="n">
        <v>44404</v>
      </c>
      <c r="C1682" s="1" t="n">
        <v>45757</v>
      </c>
      <c r="D1682" t="inlineStr">
        <is>
          <t>VÄSTMANLANDS LÄN</t>
        </is>
      </c>
      <c r="E1682" t="inlineStr">
        <is>
          <t>ARBOGA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38074-2021</t>
        </is>
      </c>
      <c r="B1683" s="1" t="n">
        <v>44404</v>
      </c>
      <c r="C1683" s="1" t="n">
        <v>45757</v>
      </c>
      <c r="D1683" t="inlineStr">
        <is>
          <t>VÄSTMANLANDS LÄN</t>
        </is>
      </c>
      <c r="E1683" t="inlineStr">
        <is>
          <t>ARBOGA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38195-2021</t>
        </is>
      </c>
      <c r="B1684" s="1" t="n">
        <v>44405</v>
      </c>
      <c r="C1684" s="1" t="n">
        <v>45757</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38126-2021</t>
        </is>
      </c>
      <c r="B1685" s="1" t="n">
        <v>44405</v>
      </c>
      <c r="C1685" s="1" t="n">
        <v>45757</v>
      </c>
      <c r="D1685" t="inlineStr">
        <is>
          <t>VÄSTMANLANDS LÄN</t>
        </is>
      </c>
      <c r="E1685" t="inlineStr">
        <is>
          <t>FAGERSTA</t>
        </is>
      </c>
      <c r="F1685" t="inlineStr">
        <is>
          <t>Sveaskog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38150-2021</t>
        </is>
      </c>
      <c r="B1686" s="1" t="n">
        <v>44405</v>
      </c>
      <c r="C1686" s="1" t="n">
        <v>45757</v>
      </c>
      <c r="D1686" t="inlineStr">
        <is>
          <t>VÄSTMANLANDS LÄN</t>
        </is>
      </c>
      <c r="E1686" t="inlineStr">
        <is>
          <t>SURAHAMMAR</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38178-2021</t>
        </is>
      </c>
      <c r="B1687" s="1" t="n">
        <v>44405</v>
      </c>
      <c r="C1687" s="1" t="n">
        <v>45757</v>
      </c>
      <c r="D1687" t="inlineStr">
        <is>
          <t>VÄSTMANLANDS LÄN</t>
        </is>
      </c>
      <c r="E1687" t="inlineStr">
        <is>
          <t>SURAHAMMAR</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38128-2021</t>
        </is>
      </c>
      <c r="B1688" s="1" t="n">
        <v>44405</v>
      </c>
      <c r="C1688" s="1" t="n">
        <v>45757</v>
      </c>
      <c r="D1688" t="inlineStr">
        <is>
          <t>VÄSTMANLANDS LÄN</t>
        </is>
      </c>
      <c r="E1688" t="inlineStr">
        <is>
          <t>FAGERSTA</t>
        </is>
      </c>
      <c r="F1688" t="inlineStr">
        <is>
          <t>Sveaskog</t>
        </is>
      </c>
      <c r="G1688" t="n">
        <v>0.8</v>
      </c>
      <c r="H1688" t="n">
        <v>0</v>
      </c>
      <c r="I1688" t="n">
        <v>0</v>
      </c>
      <c r="J1688" t="n">
        <v>0</v>
      </c>
      <c r="K1688" t="n">
        <v>0</v>
      </c>
      <c r="L1688" t="n">
        <v>0</v>
      </c>
      <c r="M1688" t="n">
        <v>0</v>
      </c>
      <c r="N1688" t="n">
        <v>0</v>
      </c>
      <c r="O1688" t="n">
        <v>0</v>
      </c>
      <c r="P1688" t="n">
        <v>0</v>
      </c>
      <c r="Q1688" t="n">
        <v>0</v>
      </c>
      <c r="R1688" s="2" t="inlineStr"/>
      <c r="U1688">
        <f>HYPERLINK("https://klasma.github.io/Logging_1982/knärot/A 38128-2021 karta knärot.png", "A 38128-2021")</f>
        <v/>
      </c>
      <c r="V1688">
        <f>HYPERLINK("https://klasma.github.io/Logging_1982/klagomål/A 38128-2021 FSC-klagomål.docx", "A 38128-2021")</f>
        <v/>
      </c>
      <c r="W1688">
        <f>HYPERLINK("https://klasma.github.io/Logging_1982/klagomålsmail/A 38128-2021 FSC-klagomål mail.docx", "A 38128-2021")</f>
        <v/>
      </c>
      <c r="X1688">
        <f>HYPERLINK("https://klasma.github.io/Logging_1982/tillsyn/A 38128-2021 tillsynsbegäran.docx", "A 38128-2021")</f>
        <v/>
      </c>
      <c r="Y1688">
        <f>HYPERLINK("https://klasma.github.io/Logging_1982/tillsynsmail/A 38128-2021 tillsynsbegäran mail.docx", "A 38128-2021")</f>
        <v/>
      </c>
    </row>
    <row r="1689" ht="15" customHeight="1">
      <c r="A1689" t="inlineStr">
        <is>
          <t>A 38149-2021</t>
        </is>
      </c>
      <c r="B1689" s="1" t="n">
        <v>44405</v>
      </c>
      <c r="C1689" s="1" t="n">
        <v>45757</v>
      </c>
      <c r="D1689" t="inlineStr">
        <is>
          <t>VÄSTMANLANDS LÄN</t>
        </is>
      </c>
      <c r="E1689" t="inlineStr">
        <is>
          <t>SURAHAMMAR</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38163-2021</t>
        </is>
      </c>
      <c r="B1690" s="1" t="n">
        <v>44405</v>
      </c>
      <c r="C1690" s="1" t="n">
        <v>45757</v>
      </c>
      <c r="D1690" t="inlineStr">
        <is>
          <t>VÄSTMANLANDS LÄN</t>
        </is>
      </c>
      <c r="E1690" t="inlineStr">
        <is>
          <t>SURAHAMMAR</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38176-2021</t>
        </is>
      </c>
      <c r="B1691" s="1" t="n">
        <v>44405</v>
      </c>
      <c r="C1691" s="1" t="n">
        <v>45757</v>
      </c>
      <c r="D1691" t="inlineStr">
        <is>
          <t>VÄSTMANLANDS LÄN</t>
        </is>
      </c>
      <c r="E1691" t="inlineStr">
        <is>
          <t>VÄSTERÅS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38154-2021</t>
        </is>
      </c>
      <c r="B1692" s="1" t="n">
        <v>44405</v>
      </c>
      <c r="C1692" s="1" t="n">
        <v>45757</v>
      </c>
      <c r="D1692" t="inlineStr">
        <is>
          <t>VÄSTMANLANDS LÄN</t>
        </is>
      </c>
      <c r="E1692" t="inlineStr">
        <is>
          <t>SURAHAMMAR</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38329-2021</t>
        </is>
      </c>
      <c r="B1693" s="1" t="n">
        <v>44405</v>
      </c>
      <c r="C1693" s="1" t="n">
        <v>45757</v>
      </c>
      <c r="D1693" t="inlineStr">
        <is>
          <t>VÄSTMANLANDS LÄN</t>
        </is>
      </c>
      <c r="E1693" t="inlineStr">
        <is>
          <t>VÄSTERÅS</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38634-2021</t>
        </is>
      </c>
      <c r="B1694" s="1" t="n">
        <v>44410</v>
      </c>
      <c r="C1694" s="1" t="n">
        <v>45757</v>
      </c>
      <c r="D1694" t="inlineStr">
        <is>
          <t>VÄSTMANLANDS LÄN</t>
        </is>
      </c>
      <c r="E1694" t="inlineStr">
        <is>
          <t>SALA</t>
        </is>
      </c>
      <c r="F1694" t="inlineStr">
        <is>
          <t>Sveaskog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38724-2021</t>
        </is>
      </c>
      <c r="B1695" s="1" t="n">
        <v>44410</v>
      </c>
      <c r="C1695" s="1" t="n">
        <v>45757</v>
      </c>
      <c r="D1695" t="inlineStr">
        <is>
          <t>VÄSTMANLANDS LÄN</t>
        </is>
      </c>
      <c r="E1695" t="inlineStr">
        <is>
          <t>SKINNSKATTEBERG</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38738-2021</t>
        </is>
      </c>
      <c r="B1696" s="1" t="n">
        <v>44410</v>
      </c>
      <c r="C1696" s="1" t="n">
        <v>45757</v>
      </c>
      <c r="D1696" t="inlineStr">
        <is>
          <t>VÄSTMANLANDS LÄN</t>
        </is>
      </c>
      <c r="E1696" t="inlineStr">
        <is>
          <t>SKINNSKATTEBERG</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38727-2021</t>
        </is>
      </c>
      <c r="B1697" s="1" t="n">
        <v>44410</v>
      </c>
      <c r="C1697" s="1" t="n">
        <v>45757</v>
      </c>
      <c r="D1697" t="inlineStr">
        <is>
          <t>VÄSTMANLANDS LÄN</t>
        </is>
      </c>
      <c r="E1697" t="inlineStr">
        <is>
          <t>SKINNSKATTEBERG</t>
        </is>
      </c>
      <c r="F1697" t="inlineStr">
        <is>
          <t>Sveaskog</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38732-2021</t>
        </is>
      </c>
      <c r="B1698" s="1" t="n">
        <v>44410</v>
      </c>
      <c r="C1698" s="1" t="n">
        <v>45757</v>
      </c>
      <c r="D1698" t="inlineStr">
        <is>
          <t>VÄSTMANLANDS LÄN</t>
        </is>
      </c>
      <c r="E1698" t="inlineStr">
        <is>
          <t>SKINNSKATTEBERG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38728-2021</t>
        </is>
      </c>
      <c r="B1699" s="1" t="n">
        <v>44410</v>
      </c>
      <c r="C1699" s="1" t="n">
        <v>45757</v>
      </c>
      <c r="D1699" t="inlineStr">
        <is>
          <t>VÄSTMANLANDS LÄN</t>
        </is>
      </c>
      <c r="E1699" t="inlineStr">
        <is>
          <t>SKINNSKATTEBERG</t>
        </is>
      </c>
      <c r="F1699" t="inlineStr">
        <is>
          <t>Sveaskog</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38785-2021</t>
        </is>
      </c>
      <c r="B1700" s="1" t="n">
        <v>44410</v>
      </c>
      <c r="C1700" s="1" t="n">
        <v>45757</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38938-2021</t>
        </is>
      </c>
      <c r="B1701" s="1" t="n">
        <v>44411</v>
      </c>
      <c r="C1701" s="1" t="n">
        <v>45757</v>
      </c>
      <c r="D1701" t="inlineStr">
        <is>
          <t>VÄSTMANLANDS LÄN</t>
        </is>
      </c>
      <c r="E1701" t="inlineStr">
        <is>
          <t>KUNGSÖR</t>
        </is>
      </c>
      <c r="F1701" t="inlineStr">
        <is>
          <t>Allmännings- och besparingsskogar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39206-2021</t>
        </is>
      </c>
      <c r="B1702" s="1" t="n">
        <v>44413</v>
      </c>
      <c r="C1702" s="1" t="n">
        <v>45757</v>
      </c>
      <c r="D1702" t="inlineStr">
        <is>
          <t>VÄSTMANLANDS LÄN</t>
        </is>
      </c>
      <c r="E1702" t="inlineStr">
        <is>
          <t>VÄSTERÅS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39439-2021</t>
        </is>
      </c>
      <c r="B1703" s="1" t="n">
        <v>44414</v>
      </c>
      <c r="C1703" s="1" t="n">
        <v>45757</v>
      </c>
      <c r="D1703" t="inlineStr">
        <is>
          <t>VÄSTMANLANDS LÄN</t>
        </is>
      </c>
      <c r="E1703" t="inlineStr">
        <is>
          <t>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39807-2021</t>
        </is>
      </c>
      <c r="B1704" s="1" t="n">
        <v>44417</v>
      </c>
      <c r="C1704" s="1" t="n">
        <v>45757</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40157-2021</t>
        </is>
      </c>
      <c r="B1705" s="1" t="n">
        <v>44418</v>
      </c>
      <c r="C1705" s="1" t="n">
        <v>45757</v>
      </c>
      <c r="D1705" t="inlineStr">
        <is>
          <t>VÄSTMANLANDS LÄN</t>
        </is>
      </c>
      <c r="E1705" t="inlineStr">
        <is>
          <t>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40153-2021</t>
        </is>
      </c>
      <c r="B1706" s="1" t="n">
        <v>44418</v>
      </c>
      <c r="C1706" s="1" t="n">
        <v>45757</v>
      </c>
      <c r="D1706" t="inlineStr">
        <is>
          <t>VÄSTMANLANDS LÄN</t>
        </is>
      </c>
      <c r="E1706" t="inlineStr">
        <is>
          <t>SALA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40398-2021</t>
        </is>
      </c>
      <c r="B1707" s="1" t="n">
        <v>44419</v>
      </c>
      <c r="C1707" s="1" t="n">
        <v>45757</v>
      </c>
      <c r="D1707" t="inlineStr">
        <is>
          <t>VÄSTMANLANDS LÄN</t>
        </is>
      </c>
      <c r="E1707" t="inlineStr">
        <is>
          <t>SALA</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40659-2021</t>
        </is>
      </c>
      <c r="B1708" s="1" t="n">
        <v>44420</v>
      </c>
      <c r="C1708" s="1" t="n">
        <v>45757</v>
      </c>
      <c r="D1708" t="inlineStr">
        <is>
          <t>VÄSTMANLANDS LÄN</t>
        </is>
      </c>
      <c r="E1708" t="inlineStr">
        <is>
          <t>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40910-2021</t>
        </is>
      </c>
      <c r="B1709" s="1" t="n">
        <v>44421</v>
      </c>
      <c r="C1709" s="1" t="n">
        <v>45757</v>
      </c>
      <c r="D1709" t="inlineStr">
        <is>
          <t>VÄSTMANLANDS LÄN</t>
        </is>
      </c>
      <c r="E1709" t="inlineStr">
        <is>
          <t>SKINNSKATTEBERG</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40918-2021</t>
        </is>
      </c>
      <c r="B1710" s="1" t="n">
        <v>44421</v>
      </c>
      <c r="C1710" s="1" t="n">
        <v>45757</v>
      </c>
      <c r="D1710" t="inlineStr">
        <is>
          <t>VÄSTMANLANDS LÄN</t>
        </is>
      </c>
      <c r="E1710" t="inlineStr">
        <is>
          <t>SKINNSKATTEBERG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40909-2021</t>
        </is>
      </c>
      <c r="B1711" s="1" t="n">
        <v>44421</v>
      </c>
      <c r="C1711" s="1" t="n">
        <v>45757</v>
      </c>
      <c r="D1711" t="inlineStr">
        <is>
          <t>VÄSTMANLANDS LÄN</t>
        </is>
      </c>
      <c r="E1711" t="inlineStr">
        <is>
          <t>SKINNSKATTEBERG</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40871-2021</t>
        </is>
      </c>
      <c r="B1712" s="1" t="n">
        <v>44421</v>
      </c>
      <c r="C1712" s="1" t="n">
        <v>45757</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40901-2021</t>
        </is>
      </c>
      <c r="B1713" s="1" t="n">
        <v>44421</v>
      </c>
      <c r="C1713" s="1" t="n">
        <v>45757</v>
      </c>
      <c r="D1713" t="inlineStr">
        <is>
          <t>VÄSTMANLANDS LÄN</t>
        </is>
      </c>
      <c r="E1713" t="inlineStr">
        <is>
          <t>SKINNSKATTEBERG</t>
        </is>
      </c>
      <c r="F1713" t="inlineStr">
        <is>
          <t>Sveaskog</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40907-2021</t>
        </is>
      </c>
      <c r="B1714" s="1" t="n">
        <v>44421</v>
      </c>
      <c r="C1714" s="1" t="n">
        <v>45757</v>
      </c>
      <c r="D1714" t="inlineStr">
        <is>
          <t>VÄSTMANLANDS LÄN</t>
        </is>
      </c>
      <c r="E1714" t="inlineStr">
        <is>
          <t>SKINNSKATTEBERG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40913-2021</t>
        </is>
      </c>
      <c r="B1715" s="1" t="n">
        <v>44421</v>
      </c>
      <c r="C1715" s="1" t="n">
        <v>45757</v>
      </c>
      <c r="D1715" t="inlineStr">
        <is>
          <t>VÄSTMANLANDS LÄN</t>
        </is>
      </c>
      <c r="E1715" t="inlineStr">
        <is>
          <t>SKINNSKATTEBERG</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41097-2021</t>
        </is>
      </c>
      <c r="B1716" s="1" t="n">
        <v>44422</v>
      </c>
      <c r="C1716" s="1" t="n">
        <v>45757</v>
      </c>
      <c r="D1716" t="inlineStr">
        <is>
          <t>VÄSTMANLANDS LÄN</t>
        </is>
      </c>
      <c r="E1716" t="inlineStr">
        <is>
          <t>FAGERSTA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41292-2021</t>
        </is>
      </c>
      <c r="B1717" s="1" t="n">
        <v>44424</v>
      </c>
      <c r="C1717" s="1" t="n">
        <v>45757</v>
      </c>
      <c r="D1717" t="inlineStr">
        <is>
          <t>VÄSTMANLANDS LÄN</t>
        </is>
      </c>
      <c r="E1717" t="inlineStr">
        <is>
          <t>SALA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41518-2021</t>
        </is>
      </c>
      <c r="B1718" s="1" t="n">
        <v>44425</v>
      </c>
      <c r="C1718" s="1" t="n">
        <v>45757</v>
      </c>
      <c r="D1718" t="inlineStr">
        <is>
          <t>VÄSTMANLANDS LÄN</t>
        </is>
      </c>
      <c r="E1718" t="inlineStr">
        <is>
          <t>NORBERG</t>
        </is>
      </c>
      <c r="G1718" t="n">
        <v>11.5</v>
      </c>
      <c r="H1718" t="n">
        <v>0</v>
      </c>
      <c r="I1718" t="n">
        <v>0</v>
      </c>
      <c r="J1718" t="n">
        <v>0</v>
      </c>
      <c r="K1718" t="n">
        <v>0</v>
      </c>
      <c r="L1718" t="n">
        <v>0</v>
      </c>
      <c r="M1718" t="n">
        <v>0</v>
      </c>
      <c r="N1718" t="n">
        <v>0</v>
      </c>
      <c r="O1718" t="n">
        <v>0</v>
      </c>
      <c r="P1718" t="n">
        <v>0</v>
      </c>
      <c r="Q1718" t="n">
        <v>0</v>
      </c>
      <c r="R1718" s="2" t="inlineStr"/>
    </row>
    <row r="1719" ht="15" customHeight="1">
      <c r="A1719" t="inlineStr">
        <is>
          <t>A 41583-2021</t>
        </is>
      </c>
      <c r="B1719" s="1" t="n">
        <v>44425</v>
      </c>
      <c r="C1719" s="1" t="n">
        <v>45757</v>
      </c>
      <c r="D1719" t="inlineStr">
        <is>
          <t>VÄSTMANLANDS LÄN</t>
        </is>
      </c>
      <c r="E1719" t="inlineStr">
        <is>
          <t>SALA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42071-2021</t>
        </is>
      </c>
      <c r="B1720" s="1" t="n">
        <v>44426</v>
      </c>
      <c r="C1720" s="1" t="n">
        <v>45757</v>
      </c>
      <c r="D1720" t="inlineStr">
        <is>
          <t>VÄSTMANLANDS LÄN</t>
        </is>
      </c>
      <c r="E1720" t="inlineStr">
        <is>
          <t>SKINNSKATTEBERG</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42078-2021</t>
        </is>
      </c>
      <c r="B1721" s="1" t="n">
        <v>44426</v>
      </c>
      <c r="C1721" s="1" t="n">
        <v>45757</v>
      </c>
      <c r="D1721" t="inlineStr">
        <is>
          <t>VÄSTMANLANDS LÄN</t>
        </is>
      </c>
      <c r="E1721" t="inlineStr">
        <is>
          <t>SKINNSKATTEBERG</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42338-2021</t>
        </is>
      </c>
      <c r="B1722" s="1" t="n">
        <v>44427</v>
      </c>
      <c r="C1722" s="1" t="n">
        <v>45757</v>
      </c>
      <c r="D1722" t="inlineStr">
        <is>
          <t>VÄSTMANLANDS LÄN</t>
        </is>
      </c>
      <c r="E1722" t="inlineStr">
        <is>
          <t>ARBOGA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42279-2021</t>
        </is>
      </c>
      <c r="B1723" s="1" t="n">
        <v>44427</v>
      </c>
      <c r="C1723" s="1" t="n">
        <v>45757</v>
      </c>
      <c r="D1723" t="inlineStr">
        <is>
          <t>VÄSTMANLANDS LÄN</t>
        </is>
      </c>
      <c r="E1723" t="inlineStr">
        <is>
          <t>ARBOGA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42386-2021</t>
        </is>
      </c>
      <c r="B1724" s="1" t="n">
        <v>44427</v>
      </c>
      <c r="C1724" s="1" t="n">
        <v>45757</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42379-2021</t>
        </is>
      </c>
      <c r="B1725" s="1" t="n">
        <v>44427</v>
      </c>
      <c r="C1725" s="1" t="n">
        <v>45757</v>
      </c>
      <c r="D1725" t="inlineStr">
        <is>
          <t>VÄSTMANLANDS LÄN</t>
        </is>
      </c>
      <c r="E1725" t="inlineStr">
        <is>
          <t>ARBOGA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42621-2021</t>
        </is>
      </c>
      <c r="B1726" s="1" t="n">
        <v>44428</v>
      </c>
      <c r="C1726" s="1" t="n">
        <v>45757</v>
      </c>
      <c r="D1726" t="inlineStr">
        <is>
          <t>VÄSTMANLANDS LÄN</t>
        </is>
      </c>
      <c r="E1726" t="inlineStr">
        <is>
          <t>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42650-2021</t>
        </is>
      </c>
      <c r="B1727" s="1" t="n">
        <v>44428</v>
      </c>
      <c r="C1727" s="1" t="n">
        <v>45757</v>
      </c>
      <c r="D1727" t="inlineStr">
        <is>
          <t>VÄSTMANLANDS LÄN</t>
        </is>
      </c>
      <c r="E1727" t="inlineStr">
        <is>
          <t>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42659-2021</t>
        </is>
      </c>
      <c r="B1728" s="1" t="n">
        <v>44428</v>
      </c>
      <c r="C1728" s="1" t="n">
        <v>45757</v>
      </c>
      <c r="D1728" t="inlineStr">
        <is>
          <t>VÄSTMANLANDS LÄN</t>
        </is>
      </c>
      <c r="E1728" t="inlineStr">
        <is>
          <t>VÄSTERÅS</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42645-2021</t>
        </is>
      </c>
      <c r="B1729" s="1" t="n">
        <v>44428</v>
      </c>
      <c r="C1729" s="1" t="n">
        <v>45757</v>
      </c>
      <c r="D1729" t="inlineStr">
        <is>
          <t>VÄSTMANLANDS LÄN</t>
        </is>
      </c>
      <c r="E1729" t="inlineStr">
        <is>
          <t>KÖPING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42699-2021</t>
        </is>
      </c>
      <c r="B1730" s="1" t="n">
        <v>44428</v>
      </c>
      <c r="C1730" s="1" t="n">
        <v>45757</v>
      </c>
      <c r="D1730" t="inlineStr">
        <is>
          <t>VÄSTMANLANDS LÄN</t>
        </is>
      </c>
      <c r="E1730" t="inlineStr">
        <is>
          <t>NORBERG</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43354-2021</t>
        </is>
      </c>
      <c r="B1731" s="1" t="n">
        <v>44432</v>
      </c>
      <c r="C1731" s="1" t="n">
        <v>45757</v>
      </c>
      <c r="D1731" t="inlineStr">
        <is>
          <t>VÄSTMANLANDS LÄN</t>
        </is>
      </c>
      <c r="E1731" t="inlineStr">
        <is>
          <t>VÄSTERÅS</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43355-2021</t>
        </is>
      </c>
      <c r="B1732" s="1" t="n">
        <v>44432</v>
      </c>
      <c r="C1732" s="1" t="n">
        <v>45757</v>
      </c>
      <c r="D1732" t="inlineStr">
        <is>
          <t>VÄSTMANLANDS LÄN</t>
        </is>
      </c>
      <c r="E1732" t="inlineStr">
        <is>
          <t>VÄSTERÅS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43292-2021</t>
        </is>
      </c>
      <c r="B1733" s="1" t="n">
        <v>44432</v>
      </c>
      <c r="C1733" s="1" t="n">
        <v>45757</v>
      </c>
      <c r="D1733" t="inlineStr">
        <is>
          <t>VÄSTMANLANDS LÄN</t>
        </is>
      </c>
      <c r="E1733" t="inlineStr">
        <is>
          <t>SALA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43509-2021</t>
        </is>
      </c>
      <c r="B1734" s="1" t="n">
        <v>44433</v>
      </c>
      <c r="C1734" s="1" t="n">
        <v>45757</v>
      </c>
      <c r="D1734" t="inlineStr">
        <is>
          <t>VÄSTMANLANDS LÄN</t>
        </is>
      </c>
      <c r="E1734" t="inlineStr">
        <is>
          <t>SALA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43973-2021</t>
        </is>
      </c>
      <c r="B1735" s="1" t="n">
        <v>44434</v>
      </c>
      <c r="C1735" s="1" t="n">
        <v>45757</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44075-2021</t>
        </is>
      </c>
      <c r="B1736" s="1" t="n">
        <v>44434</v>
      </c>
      <c r="C1736" s="1" t="n">
        <v>45757</v>
      </c>
      <c r="D1736" t="inlineStr">
        <is>
          <t>VÄSTMANLANDS LÄN</t>
        </is>
      </c>
      <c r="E1736" t="inlineStr">
        <is>
          <t>HALLSTAHAMMAR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44069-2021</t>
        </is>
      </c>
      <c r="B1737" s="1" t="n">
        <v>44434</v>
      </c>
      <c r="C1737" s="1" t="n">
        <v>45757</v>
      </c>
      <c r="D1737" t="inlineStr">
        <is>
          <t>VÄSTMANLANDS LÄN</t>
        </is>
      </c>
      <c r="E1737" t="inlineStr">
        <is>
          <t>HALLSTAHAMMAR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44720-2021</t>
        </is>
      </c>
      <c r="B1738" s="1" t="n">
        <v>44438</v>
      </c>
      <c r="C1738" s="1" t="n">
        <v>45757</v>
      </c>
      <c r="D1738" t="inlineStr">
        <is>
          <t>VÄSTMANLANDS LÄN</t>
        </is>
      </c>
      <c r="E1738" t="inlineStr">
        <is>
          <t>KUNGSÖR</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44749-2021</t>
        </is>
      </c>
      <c r="B1739" s="1" t="n">
        <v>44438</v>
      </c>
      <c r="C1739" s="1" t="n">
        <v>45757</v>
      </c>
      <c r="D1739" t="inlineStr">
        <is>
          <t>VÄSTMANLANDS LÄN</t>
        </is>
      </c>
      <c r="E1739" t="inlineStr">
        <is>
          <t>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45159-2021</t>
        </is>
      </c>
      <c r="B1740" s="1" t="n">
        <v>44439</v>
      </c>
      <c r="C1740" s="1" t="n">
        <v>45757</v>
      </c>
      <c r="D1740" t="inlineStr">
        <is>
          <t>VÄSTMANLANDS LÄN</t>
        </is>
      </c>
      <c r="E1740" t="inlineStr">
        <is>
          <t>KUNGSÖR</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45714-2021</t>
        </is>
      </c>
      <c r="B1741" s="1" t="n">
        <v>44441</v>
      </c>
      <c r="C1741" s="1" t="n">
        <v>45757</v>
      </c>
      <c r="D1741" t="inlineStr">
        <is>
          <t>VÄSTMANLANDS LÄN</t>
        </is>
      </c>
      <c r="E1741" t="inlineStr">
        <is>
          <t>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45904-2021</t>
        </is>
      </c>
      <c r="B1742" s="1" t="n">
        <v>44441</v>
      </c>
      <c r="C1742" s="1" t="n">
        <v>45757</v>
      </c>
      <c r="D1742" t="inlineStr">
        <is>
          <t>VÄSTMANLANDS LÄN</t>
        </is>
      </c>
      <c r="E1742" t="inlineStr">
        <is>
          <t>KÖPING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45929-2021</t>
        </is>
      </c>
      <c r="B1743" s="1" t="n">
        <v>44441</v>
      </c>
      <c r="C1743" s="1" t="n">
        <v>45757</v>
      </c>
      <c r="D1743" t="inlineStr">
        <is>
          <t>VÄSTMANLANDS LÄN</t>
        </is>
      </c>
      <c r="E1743" t="inlineStr">
        <is>
          <t>NORBERG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45910-2021</t>
        </is>
      </c>
      <c r="B1744" s="1" t="n">
        <v>44441</v>
      </c>
      <c r="C1744" s="1" t="n">
        <v>45757</v>
      </c>
      <c r="D1744" t="inlineStr">
        <is>
          <t>VÄSTMANLANDS LÄN</t>
        </is>
      </c>
      <c r="E1744" t="inlineStr">
        <is>
          <t>KÖPING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45934-2021</t>
        </is>
      </c>
      <c r="B1745" s="1" t="n">
        <v>44441</v>
      </c>
      <c r="C1745" s="1" t="n">
        <v>45757</v>
      </c>
      <c r="D1745" t="inlineStr">
        <is>
          <t>VÄSTMANLANDS LÄN</t>
        </is>
      </c>
      <c r="E1745" t="inlineStr">
        <is>
          <t>NORBERG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46200-2021</t>
        </is>
      </c>
      <c r="B1746" s="1" t="n">
        <v>44442</v>
      </c>
      <c r="C1746" s="1" t="n">
        <v>45757</v>
      </c>
      <c r="D1746" t="inlineStr">
        <is>
          <t>VÄSTMANLANDS LÄN</t>
        </is>
      </c>
      <c r="E1746" t="inlineStr">
        <is>
          <t>VÄSTERÅS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46279-2021</t>
        </is>
      </c>
      <c r="B1747" s="1" t="n">
        <v>44442</v>
      </c>
      <c r="C1747" s="1" t="n">
        <v>45757</v>
      </c>
      <c r="D1747" t="inlineStr">
        <is>
          <t>VÄSTMANLANDS LÄN</t>
        </is>
      </c>
      <c r="E1747" t="inlineStr">
        <is>
          <t>SALA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46343-2021</t>
        </is>
      </c>
      <c r="B1748" s="1" t="n">
        <v>44442</v>
      </c>
      <c r="C1748" s="1" t="n">
        <v>45757</v>
      </c>
      <c r="D1748" t="inlineStr">
        <is>
          <t>VÄSTMANLANDS LÄN</t>
        </is>
      </c>
      <c r="E1748" t="inlineStr">
        <is>
          <t>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46469-2021</t>
        </is>
      </c>
      <c r="B1749" s="1" t="n">
        <v>44445</v>
      </c>
      <c r="C1749" s="1" t="n">
        <v>45757</v>
      </c>
      <c r="D1749" t="inlineStr">
        <is>
          <t>VÄSTMANLANDS LÄN</t>
        </is>
      </c>
      <c r="E1749" t="inlineStr">
        <is>
          <t>SKINNSKATTEBERG</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46616-2021</t>
        </is>
      </c>
      <c r="B1750" s="1" t="n">
        <v>44445</v>
      </c>
      <c r="C1750" s="1" t="n">
        <v>45757</v>
      </c>
      <c r="D1750" t="inlineStr">
        <is>
          <t>VÄSTMANLANDS LÄN</t>
        </is>
      </c>
      <c r="E1750" t="inlineStr">
        <is>
          <t>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46661-2021</t>
        </is>
      </c>
      <c r="B1751" s="1" t="n">
        <v>44445</v>
      </c>
      <c r="C1751" s="1" t="n">
        <v>45757</v>
      </c>
      <c r="D1751" t="inlineStr">
        <is>
          <t>VÄSTMANLANDS LÄN</t>
        </is>
      </c>
      <c r="E1751" t="inlineStr">
        <is>
          <t>KÖPING</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46658-2021</t>
        </is>
      </c>
      <c r="B1752" s="1" t="n">
        <v>44445</v>
      </c>
      <c r="C1752" s="1" t="n">
        <v>45757</v>
      </c>
      <c r="D1752" t="inlineStr">
        <is>
          <t>VÄSTMANLANDS LÄN</t>
        </is>
      </c>
      <c r="E1752" t="inlineStr">
        <is>
          <t>KÖPING</t>
        </is>
      </c>
      <c r="F1752" t="inlineStr">
        <is>
          <t>Sveaskog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47136-2021</t>
        </is>
      </c>
      <c r="B1753" s="1" t="n">
        <v>44446</v>
      </c>
      <c r="C1753" s="1" t="n">
        <v>45757</v>
      </c>
      <c r="D1753" t="inlineStr">
        <is>
          <t>VÄSTMANLANDS LÄN</t>
        </is>
      </c>
      <c r="E1753" t="inlineStr">
        <is>
          <t>SKINNSKATTEBERG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47701-2021</t>
        </is>
      </c>
      <c r="B1754" s="1" t="n">
        <v>44448</v>
      </c>
      <c r="C1754" s="1" t="n">
        <v>45757</v>
      </c>
      <c r="D1754" t="inlineStr">
        <is>
          <t>VÄSTMANLANDS LÄN</t>
        </is>
      </c>
      <c r="E1754" t="inlineStr">
        <is>
          <t>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47683-2021</t>
        </is>
      </c>
      <c r="B1755" s="1" t="n">
        <v>44448</v>
      </c>
      <c r="C1755" s="1" t="n">
        <v>45757</v>
      </c>
      <c r="D1755" t="inlineStr">
        <is>
          <t>VÄSTMANLANDS LÄN</t>
        </is>
      </c>
      <c r="E1755" t="inlineStr">
        <is>
          <t>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47852-2021</t>
        </is>
      </c>
      <c r="B1756" s="1" t="n">
        <v>44448</v>
      </c>
      <c r="C1756" s="1" t="n">
        <v>45757</v>
      </c>
      <c r="D1756" t="inlineStr">
        <is>
          <t>VÄSTMANLANDS LÄN</t>
        </is>
      </c>
      <c r="E1756" t="inlineStr">
        <is>
          <t>SURAHAMMAR</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47785-2021</t>
        </is>
      </c>
      <c r="B1757" s="1" t="n">
        <v>44448</v>
      </c>
      <c r="C1757" s="1" t="n">
        <v>45757</v>
      </c>
      <c r="D1757" t="inlineStr">
        <is>
          <t>VÄSTMANLANDS LÄN</t>
        </is>
      </c>
      <c r="E1757" t="inlineStr">
        <is>
          <t>SURAHAMMAR</t>
        </is>
      </c>
      <c r="F1757" t="inlineStr">
        <is>
          <t>Kommuner</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48055-2021</t>
        </is>
      </c>
      <c r="B1758" s="1" t="n">
        <v>44449</v>
      </c>
      <c r="C1758" s="1" t="n">
        <v>45757</v>
      </c>
      <c r="D1758" t="inlineStr">
        <is>
          <t>VÄSTMANLANDS LÄN</t>
        </is>
      </c>
      <c r="E1758" t="inlineStr">
        <is>
          <t>VÄSTERÅS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48143-2021</t>
        </is>
      </c>
      <c r="B1759" s="1" t="n">
        <v>44449</v>
      </c>
      <c r="C1759" s="1" t="n">
        <v>45757</v>
      </c>
      <c r="D1759" t="inlineStr">
        <is>
          <t>VÄSTMANLANDS LÄN</t>
        </is>
      </c>
      <c r="E1759" t="inlineStr">
        <is>
          <t>NORBERG</t>
        </is>
      </c>
      <c r="F1759" t="inlineStr">
        <is>
          <t>Bergvik skog väst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48400-2021</t>
        </is>
      </c>
      <c r="B1760" s="1" t="n">
        <v>44449</v>
      </c>
      <c r="C1760" s="1" t="n">
        <v>45757</v>
      </c>
      <c r="D1760" t="inlineStr">
        <is>
          <t>VÄSTMANLANDS LÄN</t>
        </is>
      </c>
      <c r="E1760" t="inlineStr">
        <is>
          <t>SALA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48544-2021</t>
        </is>
      </c>
      <c r="B1761" s="1" t="n">
        <v>44452</v>
      </c>
      <c r="C1761" s="1" t="n">
        <v>45757</v>
      </c>
      <c r="D1761" t="inlineStr">
        <is>
          <t>VÄSTMANLANDS LÄN</t>
        </is>
      </c>
      <c r="E1761" t="inlineStr">
        <is>
          <t>NORBERG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49284-2021</t>
        </is>
      </c>
      <c r="B1762" s="1" t="n">
        <v>44454</v>
      </c>
      <c r="C1762" s="1" t="n">
        <v>45757</v>
      </c>
      <c r="D1762" t="inlineStr">
        <is>
          <t>VÄSTMANLANDS LÄN</t>
        </is>
      </c>
      <c r="E1762" t="inlineStr">
        <is>
          <t>VÄSTERÅS</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49717-2021</t>
        </is>
      </c>
      <c r="B1763" s="1" t="n">
        <v>44455</v>
      </c>
      <c r="C1763" s="1" t="n">
        <v>45757</v>
      </c>
      <c r="D1763" t="inlineStr">
        <is>
          <t>VÄSTMANLANDS LÄN</t>
        </is>
      </c>
      <c r="E1763" t="inlineStr">
        <is>
          <t>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49847-2021</t>
        </is>
      </c>
      <c r="B1764" s="1" t="n">
        <v>44455</v>
      </c>
      <c r="C1764" s="1" t="n">
        <v>45757</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50049-2021</t>
        </is>
      </c>
      <c r="B1765" s="1" t="n">
        <v>44456</v>
      </c>
      <c r="C1765" s="1" t="n">
        <v>45757</v>
      </c>
      <c r="D1765" t="inlineStr">
        <is>
          <t>VÄSTMANLANDS LÄN</t>
        </is>
      </c>
      <c r="E1765" t="inlineStr">
        <is>
          <t>ARBOGA</t>
        </is>
      </c>
      <c r="F1765" t="inlineStr">
        <is>
          <t>Allmännings- och besparingsskogar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50058-2021</t>
        </is>
      </c>
      <c r="B1766" s="1" t="n">
        <v>44456</v>
      </c>
      <c r="C1766" s="1" t="n">
        <v>45757</v>
      </c>
      <c r="D1766" t="inlineStr">
        <is>
          <t>VÄSTMANLANDS LÄN</t>
        </is>
      </c>
      <c r="E1766" t="inlineStr">
        <is>
          <t>KUNGSÖR</t>
        </is>
      </c>
      <c r="F1766" t="inlineStr">
        <is>
          <t>Allmännings- och besparingsskogar</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50011-2021</t>
        </is>
      </c>
      <c r="B1767" s="1" t="n">
        <v>44456</v>
      </c>
      <c r="C1767" s="1" t="n">
        <v>45757</v>
      </c>
      <c r="D1767" t="inlineStr">
        <is>
          <t>VÄSTMANLANDS LÄN</t>
        </is>
      </c>
      <c r="E1767" t="inlineStr">
        <is>
          <t>ARBOGA</t>
        </is>
      </c>
      <c r="F1767" t="inlineStr">
        <is>
          <t>Allmännings- och besparingsskogar</t>
        </is>
      </c>
      <c r="G1767" t="n">
        <v>15.7</v>
      </c>
      <c r="H1767" t="n">
        <v>0</v>
      </c>
      <c r="I1767" t="n">
        <v>0</v>
      </c>
      <c r="J1767" t="n">
        <v>0</v>
      </c>
      <c r="K1767" t="n">
        <v>0</v>
      </c>
      <c r="L1767" t="n">
        <v>0</v>
      </c>
      <c r="M1767" t="n">
        <v>0</v>
      </c>
      <c r="N1767" t="n">
        <v>0</v>
      </c>
      <c r="O1767" t="n">
        <v>0</v>
      </c>
      <c r="P1767" t="n">
        <v>0</v>
      </c>
      <c r="Q1767" t="n">
        <v>0</v>
      </c>
      <c r="R1767" s="2" t="inlineStr"/>
    </row>
    <row r="1768" ht="15" customHeight="1">
      <c r="A1768" t="inlineStr">
        <is>
          <t>A 50007-2021</t>
        </is>
      </c>
      <c r="B1768" s="1" t="n">
        <v>44456</v>
      </c>
      <c r="C1768" s="1" t="n">
        <v>45757</v>
      </c>
      <c r="D1768" t="inlineStr">
        <is>
          <t>VÄSTMANLANDS LÄN</t>
        </is>
      </c>
      <c r="E1768" t="inlineStr">
        <is>
          <t>ARBOGA</t>
        </is>
      </c>
      <c r="F1768" t="inlineStr">
        <is>
          <t>Allmännings- och besparingsskogar</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50962-2021</t>
        </is>
      </c>
      <c r="B1769" s="1" t="n">
        <v>44460</v>
      </c>
      <c r="C1769" s="1" t="n">
        <v>45757</v>
      </c>
      <c r="D1769" t="inlineStr">
        <is>
          <t>VÄSTMANLANDS LÄN</t>
        </is>
      </c>
      <c r="E1769" t="inlineStr">
        <is>
          <t>SALA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51112-2021</t>
        </is>
      </c>
      <c r="B1770" s="1" t="n">
        <v>44461</v>
      </c>
      <c r="C1770" s="1" t="n">
        <v>45757</v>
      </c>
      <c r="D1770" t="inlineStr">
        <is>
          <t>VÄSTMANLANDS LÄN</t>
        </is>
      </c>
      <c r="E1770" t="inlineStr">
        <is>
          <t>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51508-2021</t>
        </is>
      </c>
      <c r="B1771" s="1" t="n">
        <v>44462</v>
      </c>
      <c r="C1771" s="1" t="n">
        <v>45757</v>
      </c>
      <c r="D1771" t="inlineStr">
        <is>
          <t>VÄSTMANLANDS LÄN</t>
        </is>
      </c>
      <c r="E1771" t="inlineStr">
        <is>
          <t>SKINNSKATTEBERG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51861-2021</t>
        </is>
      </c>
      <c r="B1772" s="1" t="n">
        <v>44462</v>
      </c>
      <c r="C1772" s="1" t="n">
        <v>45757</v>
      </c>
      <c r="D1772" t="inlineStr">
        <is>
          <t>VÄSTMANLANDS LÄN</t>
        </is>
      </c>
      <c r="E1772" t="inlineStr">
        <is>
          <t>VÄSTERÅS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52587-2021</t>
        </is>
      </c>
      <c r="B1773" s="1" t="n">
        <v>44466</v>
      </c>
      <c r="C1773" s="1" t="n">
        <v>45757</v>
      </c>
      <c r="D1773" t="inlineStr">
        <is>
          <t>VÄSTMANLANDS LÄN</t>
        </is>
      </c>
      <c r="E1773" t="inlineStr">
        <is>
          <t>SKINNSKATTEBERG</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52600-2021</t>
        </is>
      </c>
      <c r="B1774" s="1" t="n">
        <v>44466</v>
      </c>
      <c r="C1774" s="1" t="n">
        <v>45757</v>
      </c>
      <c r="D1774" t="inlineStr">
        <is>
          <t>VÄSTMANLANDS LÄN</t>
        </is>
      </c>
      <c r="E1774" t="inlineStr">
        <is>
          <t>SKINNSKATTEBERG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52799-2021</t>
        </is>
      </c>
      <c r="B1775" s="1" t="n">
        <v>44467</v>
      </c>
      <c r="C1775" s="1" t="n">
        <v>45757</v>
      </c>
      <c r="D1775" t="inlineStr">
        <is>
          <t>VÄSTMANLANDS LÄN</t>
        </is>
      </c>
      <c r="E1775" t="inlineStr">
        <is>
          <t>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52811-2021</t>
        </is>
      </c>
      <c r="B1776" s="1" t="n">
        <v>44467</v>
      </c>
      <c r="C1776" s="1" t="n">
        <v>45757</v>
      </c>
      <c r="D1776" t="inlineStr">
        <is>
          <t>VÄSTMANLANDS LÄN</t>
        </is>
      </c>
      <c r="E1776" t="inlineStr">
        <is>
          <t>VÄSTERÅS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53297-2021</t>
        </is>
      </c>
      <c r="B1777" s="1" t="n">
        <v>44467</v>
      </c>
      <c r="C1777" s="1" t="n">
        <v>45757</v>
      </c>
      <c r="D1777" t="inlineStr">
        <is>
          <t>VÄSTMANLANDS LÄN</t>
        </is>
      </c>
      <c r="E1777" t="inlineStr">
        <is>
          <t>NORBERG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53183-2021</t>
        </is>
      </c>
      <c r="B1778" s="1" t="n">
        <v>44468</v>
      </c>
      <c r="C1778" s="1" t="n">
        <v>45757</v>
      </c>
      <c r="D1778" t="inlineStr">
        <is>
          <t>VÄSTMANLANDS LÄN</t>
        </is>
      </c>
      <c r="E1778" t="inlineStr">
        <is>
          <t>SKINNSKATTEBERG</t>
        </is>
      </c>
      <c r="F1778" t="inlineStr">
        <is>
          <t>Sveaskog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53243-2021</t>
        </is>
      </c>
      <c r="B1779" s="1" t="n">
        <v>44468</v>
      </c>
      <c r="C1779" s="1" t="n">
        <v>45757</v>
      </c>
      <c r="D1779" t="inlineStr">
        <is>
          <t>VÄSTMANLANDS LÄN</t>
        </is>
      </c>
      <c r="E1779" t="inlineStr">
        <is>
          <t>SKINNSKATTEBERG</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53148-2021</t>
        </is>
      </c>
      <c r="B1780" s="1" t="n">
        <v>44468</v>
      </c>
      <c r="C1780" s="1" t="n">
        <v>45757</v>
      </c>
      <c r="D1780" t="inlineStr">
        <is>
          <t>VÄSTMANLANDS LÄN</t>
        </is>
      </c>
      <c r="E1780" t="inlineStr">
        <is>
          <t>KÖPING</t>
        </is>
      </c>
      <c r="F1780" t="inlineStr">
        <is>
          <t>Sveaskog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53142-2021</t>
        </is>
      </c>
      <c r="B1781" s="1" t="n">
        <v>44468</v>
      </c>
      <c r="C1781" s="1" t="n">
        <v>45757</v>
      </c>
      <c r="D1781" t="inlineStr">
        <is>
          <t>VÄSTMANLANDS LÄN</t>
        </is>
      </c>
      <c r="E1781" t="inlineStr">
        <is>
          <t>SKINNSKATTEBERG</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53145-2021</t>
        </is>
      </c>
      <c r="B1782" s="1" t="n">
        <v>44468</v>
      </c>
      <c r="C1782" s="1" t="n">
        <v>45757</v>
      </c>
      <c r="D1782" t="inlineStr">
        <is>
          <t>VÄSTMANLANDS LÄN</t>
        </is>
      </c>
      <c r="E1782" t="inlineStr">
        <is>
          <t>SKINNSKATTEBERG</t>
        </is>
      </c>
      <c r="F1782" t="inlineStr">
        <is>
          <t>Sveaskog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53686-2021</t>
        </is>
      </c>
      <c r="B1783" s="1" t="n">
        <v>44469</v>
      </c>
      <c r="C1783" s="1" t="n">
        <v>45757</v>
      </c>
      <c r="D1783" t="inlineStr">
        <is>
          <t>VÄSTMANLANDS LÄN</t>
        </is>
      </c>
      <c r="E1783" t="inlineStr">
        <is>
          <t>VÄSTERÅS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53885-2021</t>
        </is>
      </c>
      <c r="B1784" s="1" t="n">
        <v>44469</v>
      </c>
      <c r="C1784" s="1" t="n">
        <v>45757</v>
      </c>
      <c r="D1784" t="inlineStr">
        <is>
          <t>VÄSTMANLANDS LÄN</t>
        </is>
      </c>
      <c r="E1784" t="inlineStr">
        <is>
          <t>SKINNSKATTEBERG</t>
        </is>
      </c>
      <c r="F1784" t="inlineStr">
        <is>
          <t>Sveaskog</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53880-2021</t>
        </is>
      </c>
      <c r="B1785" s="1" t="n">
        <v>44469</v>
      </c>
      <c r="C1785" s="1" t="n">
        <v>45757</v>
      </c>
      <c r="D1785" t="inlineStr">
        <is>
          <t>VÄSTMANLANDS LÄN</t>
        </is>
      </c>
      <c r="E1785" t="inlineStr">
        <is>
          <t>SKINNSKATTEBERG</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53996-2021</t>
        </is>
      </c>
      <c r="B1786" s="1" t="n">
        <v>44470</v>
      </c>
      <c r="C1786" s="1" t="n">
        <v>45757</v>
      </c>
      <c r="D1786" t="inlineStr">
        <is>
          <t>VÄSTMANLANDS LÄN</t>
        </is>
      </c>
      <c r="E1786" t="inlineStr">
        <is>
          <t>KÖPING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54030-2021</t>
        </is>
      </c>
      <c r="B1787" s="1" t="n">
        <v>44470</v>
      </c>
      <c r="C1787" s="1" t="n">
        <v>45757</v>
      </c>
      <c r="D1787" t="inlineStr">
        <is>
          <t>VÄSTMANLANDS LÄN</t>
        </is>
      </c>
      <c r="E1787" t="inlineStr">
        <is>
          <t>SALA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54079-2021</t>
        </is>
      </c>
      <c r="B1788" s="1" t="n">
        <v>44470</v>
      </c>
      <c r="C1788" s="1" t="n">
        <v>45757</v>
      </c>
      <c r="D1788" t="inlineStr">
        <is>
          <t>VÄSTMANLANDS LÄN</t>
        </is>
      </c>
      <c r="E1788" t="inlineStr">
        <is>
          <t>ARBOGA</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54188-2021</t>
        </is>
      </c>
      <c r="B1789" s="1" t="n">
        <v>44470</v>
      </c>
      <c r="C1789" s="1" t="n">
        <v>45757</v>
      </c>
      <c r="D1789" t="inlineStr">
        <is>
          <t>VÄSTMANLANDS LÄN</t>
        </is>
      </c>
      <c r="E1789" t="inlineStr">
        <is>
          <t>KUNGSÖR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54301-2021</t>
        </is>
      </c>
      <c r="B1790" s="1" t="n">
        <v>44472</v>
      </c>
      <c r="C1790" s="1" t="n">
        <v>45757</v>
      </c>
      <c r="D1790" t="inlineStr">
        <is>
          <t>VÄSTMANLANDS LÄN</t>
        </is>
      </c>
      <c r="E1790" t="inlineStr">
        <is>
          <t>KÖPING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54520-2021</t>
        </is>
      </c>
      <c r="B1791" s="1" t="n">
        <v>44473</v>
      </c>
      <c r="C1791" s="1" t="n">
        <v>45757</v>
      </c>
      <c r="D1791" t="inlineStr">
        <is>
          <t>VÄSTMANLANDS LÄN</t>
        </is>
      </c>
      <c r="E1791" t="inlineStr">
        <is>
          <t>SALA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54864-2021</t>
        </is>
      </c>
      <c r="B1792" s="1" t="n">
        <v>44473</v>
      </c>
      <c r="C1792" s="1" t="n">
        <v>45757</v>
      </c>
      <c r="D1792" t="inlineStr">
        <is>
          <t>VÄSTMANLANDS LÄN</t>
        </is>
      </c>
      <c r="E1792" t="inlineStr">
        <is>
          <t>NORBERG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55079-2021</t>
        </is>
      </c>
      <c r="B1793" s="1" t="n">
        <v>44474</v>
      </c>
      <c r="C1793" s="1" t="n">
        <v>45757</v>
      </c>
      <c r="D1793" t="inlineStr">
        <is>
          <t>VÄSTMANLANDS LÄN</t>
        </is>
      </c>
      <c r="E1793" t="inlineStr">
        <is>
          <t>KUNGSÖR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55072-2021</t>
        </is>
      </c>
      <c r="B1794" s="1" t="n">
        <v>44474</v>
      </c>
      <c r="C1794" s="1" t="n">
        <v>45757</v>
      </c>
      <c r="D1794" t="inlineStr">
        <is>
          <t>VÄSTMANLANDS LÄN</t>
        </is>
      </c>
      <c r="E1794" t="inlineStr">
        <is>
          <t>KUNGSÖR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55369-2021</t>
        </is>
      </c>
      <c r="B1795" s="1" t="n">
        <v>44475</v>
      </c>
      <c r="C1795" s="1" t="n">
        <v>45757</v>
      </c>
      <c r="D1795" t="inlineStr">
        <is>
          <t>VÄSTMANLANDS LÄN</t>
        </is>
      </c>
      <c r="E1795" t="inlineStr">
        <is>
          <t>SKINNSKATTEBERG</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55428-2021</t>
        </is>
      </c>
      <c r="B1796" s="1" t="n">
        <v>44475</v>
      </c>
      <c r="C1796" s="1" t="n">
        <v>45757</v>
      </c>
      <c r="D1796" t="inlineStr">
        <is>
          <t>VÄSTMANLANDS LÄN</t>
        </is>
      </c>
      <c r="E1796" t="inlineStr">
        <is>
          <t>SKINNSKATTEBERG</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55693-2021</t>
        </is>
      </c>
      <c r="B1797" s="1" t="n">
        <v>44476</v>
      </c>
      <c r="C1797" s="1" t="n">
        <v>45757</v>
      </c>
      <c r="D1797" t="inlineStr">
        <is>
          <t>VÄSTMANLANDS LÄN</t>
        </is>
      </c>
      <c r="E1797" t="inlineStr">
        <is>
          <t>VÄSTERÅS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55835-2021</t>
        </is>
      </c>
      <c r="B1798" s="1" t="n">
        <v>44476</v>
      </c>
      <c r="C1798" s="1" t="n">
        <v>45757</v>
      </c>
      <c r="D1798" t="inlineStr">
        <is>
          <t>VÄSTMANLANDS LÄN</t>
        </is>
      </c>
      <c r="E1798" t="inlineStr">
        <is>
          <t>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56249-2021</t>
        </is>
      </c>
      <c r="B1799" s="1" t="n">
        <v>44479</v>
      </c>
      <c r="C1799" s="1" t="n">
        <v>45757</v>
      </c>
      <c r="D1799" t="inlineStr">
        <is>
          <t>VÄSTMANLANDS LÄN</t>
        </is>
      </c>
      <c r="E1799" t="inlineStr">
        <is>
          <t>KÖPING</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56940-2021</t>
        </is>
      </c>
      <c r="B1800" s="1" t="n">
        <v>44480</v>
      </c>
      <c r="C1800" s="1" t="n">
        <v>45757</v>
      </c>
      <c r="D1800" t="inlineStr">
        <is>
          <t>VÄSTMANLANDS LÄN</t>
        </is>
      </c>
      <c r="E1800" t="inlineStr">
        <is>
          <t>NORBERG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56936-2021</t>
        </is>
      </c>
      <c r="B1801" s="1" t="n">
        <v>44480</v>
      </c>
      <c r="C1801" s="1" t="n">
        <v>45757</v>
      </c>
      <c r="D1801" t="inlineStr">
        <is>
          <t>VÄSTMANLANDS LÄN</t>
        </is>
      </c>
      <c r="E1801" t="inlineStr">
        <is>
          <t>NORBERG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56929-2021</t>
        </is>
      </c>
      <c r="B1802" s="1" t="n">
        <v>44480</v>
      </c>
      <c r="C1802" s="1" t="n">
        <v>45757</v>
      </c>
      <c r="D1802" t="inlineStr">
        <is>
          <t>VÄSTMANLANDS LÄN</t>
        </is>
      </c>
      <c r="E1802" t="inlineStr">
        <is>
          <t>NORBERG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56733-2021</t>
        </is>
      </c>
      <c r="B1803" s="1" t="n">
        <v>44481</v>
      </c>
      <c r="C1803" s="1" t="n">
        <v>45757</v>
      </c>
      <c r="D1803" t="inlineStr">
        <is>
          <t>VÄSTMANLANDS LÄN</t>
        </is>
      </c>
      <c r="E1803" t="inlineStr">
        <is>
          <t>FAGERSTA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56739-2021</t>
        </is>
      </c>
      <c r="B1804" s="1" t="n">
        <v>44481</v>
      </c>
      <c r="C1804" s="1" t="n">
        <v>45757</v>
      </c>
      <c r="D1804" t="inlineStr">
        <is>
          <t>VÄSTMANLANDS LÄN</t>
        </is>
      </c>
      <c r="E1804" t="inlineStr">
        <is>
          <t>FAGERSTA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56862-2021</t>
        </is>
      </c>
      <c r="B1805" s="1" t="n">
        <v>44481</v>
      </c>
      <c r="C1805" s="1" t="n">
        <v>45757</v>
      </c>
      <c r="D1805" t="inlineStr">
        <is>
          <t>VÄSTMANLANDS LÄN</t>
        </is>
      </c>
      <c r="E1805" t="inlineStr">
        <is>
          <t>VÄSTERÅS</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56980-2021</t>
        </is>
      </c>
      <c r="B1806" s="1" t="n">
        <v>44482</v>
      </c>
      <c r="C1806" s="1" t="n">
        <v>45757</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57049-2021</t>
        </is>
      </c>
      <c r="B1807" s="1" t="n">
        <v>44482</v>
      </c>
      <c r="C1807" s="1" t="n">
        <v>45757</v>
      </c>
      <c r="D1807" t="inlineStr">
        <is>
          <t>VÄSTMANLANDS LÄN</t>
        </is>
      </c>
      <c r="E1807" t="inlineStr">
        <is>
          <t>SALA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57056-2021</t>
        </is>
      </c>
      <c r="B1808" s="1" t="n">
        <v>44482</v>
      </c>
      <c r="C1808" s="1" t="n">
        <v>45757</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57000-2021</t>
        </is>
      </c>
      <c r="B1809" s="1" t="n">
        <v>44482</v>
      </c>
      <c r="C1809" s="1" t="n">
        <v>45757</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56967-2021</t>
        </is>
      </c>
      <c r="B1810" s="1" t="n">
        <v>44482</v>
      </c>
      <c r="C1810" s="1" t="n">
        <v>45757</v>
      </c>
      <c r="D1810" t="inlineStr">
        <is>
          <t>VÄSTMANLANDS LÄN</t>
        </is>
      </c>
      <c r="E1810" t="inlineStr">
        <is>
          <t>VÄSTERÅS</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57131-2021</t>
        </is>
      </c>
      <c r="B1811" s="1" t="n">
        <v>44482</v>
      </c>
      <c r="C1811" s="1" t="n">
        <v>45757</v>
      </c>
      <c r="D1811" t="inlineStr">
        <is>
          <t>VÄSTMANLANDS LÄN</t>
        </is>
      </c>
      <c r="E1811" t="inlineStr">
        <is>
          <t>SALA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57517-2021</t>
        </is>
      </c>
      <c r="B1812" s="1" t="n">
        <v>44483</v>
      </c>
      <c r="C1812" s="1" t="n">
        <v>45757</v>
      </c>
      <c r="D1812" t="inlineStr">
        <is>
          <t>VÄSTMANLANDS LÄN</t>
        </is>
      </c>
      <c r="E1812" t="inlineStr">
        <is>
          <t>SALA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57596-2021</t>
        </is>
      </c>
      <c r="B1813" s="1" t="n">
        <v>44483</v>
      </c>
      <c r="C1813" s="1" t="n">
        <v>45757</v>
      </c>
      <c r="D1813" t="inlineStr">
        <is>
          <t>VÄSTMANLANDS LÄN</t>
        </is>
      </c>
      <c r="E1813" t="inlineStr">
        <is>
          <t>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57651-2021</t>
        </is>
      </c>
      <c r="B1814" s="1" t="n">
        <v>44484</v>
      </c>
      <c r="C1814" s="1" t="n">
        <v>45757</v>
      </c>
      <c r="D1814" t="inlineStr">
        <is>
          <t>VÄSTMANLANDS LÄN</t>
        </is>
      </c>
      <c r="E1814" t="inlineStr">
        <is>
          <t>ARBOGA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57646-2021</t>
        </is>
      </c>
      <c r="B1815" s="1" t="n">
        <v>44484</v>
      </c>
      <c r="C1815" s="1" t="n">
        <v>45757</v>
      </c>
      <c r="D1815" t="inlineStr">
        <is>
          <t>VÄSTMANLANDS LÄN</t>
        </is>
      </c>
      <c r="E1815" t="inlineStr">
        <is>
          <t>ARBOGA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57769-2021</t>
        </is>
      </c>
      <c r="B1816" s="1" t="n">
        <v>44484</v>
      </c>
      <c r="C1816" s="1" t="n">
        <v>45757</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57788-2021</t>
        </is>
      </c>
      <c r="B1817" s="1" t="n">
        <v>44484</v>
      </c>
      <c r="C1817" s="1" t="n">
        <v>45757</v>
      </c>
      <c r="D1817" t="inlineStr">
        <is>
          <t>VÄSTMANLANDS LÄN</t>
        </is>
      </c>
      <c r="E1817" t="inlineStr">
        <is>
          <t>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57789-2021</t>
        </is>
      </c>
      <c r="B1818" s="1" t="n">
        <v>44484</v>
      </c>
      <c r="C1818" s="1" t="n">
        <v>45757</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58107-2021</t>
        </is>
      </c>
      <c r="B1819" s="1" t="n">
        <v>44487</v>
      </c>
      <c r="C1819" s="1" t="n">
        <v>45757</v>
      </c>
      <c r="D1819" t="inlineStr">
        <is>
          <t>VÄSTMANLANDS LÄN</t>
        </is>
      </c>
      <c r="E1819" t="inlineStr">
        <is>
          <t>SALA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58106-2021</t>
        </is>
      </c>
      <c r="B1820" s="1" t="n">
        <v>44487</v>
      </c>
      <c r="C1820" s="1" t="n">
        <v>45757</v>
      </c>
      <c r="D1820" t="inlineStr">
        <is>
          <t>VÄSTMANLANDS LÄN</t>
        </is>
      </c>
      <c r="E1820" t="inlineStr">
        <is>
          <t>SALA</t>
        </is>
      </c>
      <c r="F1820" t="inlineStr">
        <is>
          <t>Sveaskog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58366-2021</t>
        </is>
      </c>
      <c r="B1821" s="1" t="n">
        <v>44488</v>
      </c>
      <c r="C1821" s="1" t="n">
        <v>45757</v>
      </c>
      <c r="D1821" t="inlineStr">
        <is>
          <t>VÄSTMANLANDS LÄN</t>
        </is>
      </c>
      <c r="E1821" t="inlineStr">
        <is>
          <t>KÖPING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58371-2021</t>
        </is>
      </c>
      <c r="B1822" s="1" t="n">
        <v>44488</v>
      </c>
      <c r="C1822" s="1" t="n">
        <v>45757</v>
      </c>
      <c r="D1822" t="inlineStr">
        <is>
          <t>VÄSTMANLANDS LÄN</t>
        </is>
      </c>
      <c r="E1822" t="inlineStr">
        <is>
          <t>KÖPING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58522-2021</t>
        </is>
      </c>
      <c r="B1823" s="1" t="n">
        <v>44488</v>
      </c>
      <c r="C1823" s="1" t="n">
        <v>45757</v>
      </c>
      <c r="D1823" t="inlineStr">
        <is>
          <t>VÄSTMANLANDS LÄN</t>
        </is>
      </c>
      <c r="E1823" t="inlineStr">
        <is>
          <t>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58514-2021</t>
        </is>
      </c>
      <c r="B1824" s="1" t="n">
        <v>44488</v>
      </c>
      <c r="C1824" s="1" t="n">
        <v>45757</v>
      </c>
      <c r="D1824" t="inlineStr">
        <is>
          <t>VÄSTMANLANDS LÄN</t>
        </is>
      </c>
      <c r="E1824" t="inlineStr">
        <is>
          <t>NORBERG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58551-2021</t>
        </is>
      </c>
      <c r="B1825" s="1" t="n">
        <v>44488</v>
      </c>
      <c r="C1825" s="1" t="n">
        <v>45757</v>
      </c>
      <c r="D1825" t="inlineStr">
        <is>
          <t>VÄSTMANLANDS LÄN</t>
        </is>
      </c>
      <c r="E1825" t="inlineStr">
        <is>
          <t>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58701-2021</t>
        </is>
      </c>
      <c r="B1826" s="1" t="n">
        <v>44489</v>
      </c>
      <c r="C1826" s="1" t="n">
        <v>45757</v>
      </c>
      <c r="D1826" t="inlineStr">
        <is>
          <t>VÄSTMANLANDS LÄN</t>
        </is>
      </c>
      <c r="E1826" t="inlineStr">
        <is>
          <t>SALA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59119-2021</t>
        </is>
      </c>
      <c r="B1827" s="1" t="n">
        <v>44489</v>
      </c>
      <c r="C1827" s="1" t="n">
        <v>45757</v>
      </c>
      <c r="D1827" t="inlineStr">
        <is>
          <t>VÄSTMANLANDS LÄN</t>
        </is>
      </c>
      <c r="E1827" t="inlineStr">
        <is>
          <t>SKINNSKATTEBERG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59428-2021</t>
        </is>
      </c>
      <c r="B1828" s="1" t="n">
        <v>44491</v>
      </c>
      <c r="C1828" s="1" t="n">
        <v>45757</v>
      </c>
      <c r="D1828" t="inlineStr">
        <is>
          <t>VÄSTMANLANDS LÄN</t>
        </is>
      </c>
      <c r="E1828" t="inlineStr">
        <is>
          <t>SKINNSKATTEBERG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59417-2021</t>
        </is>
      </c>
      <c r="B1829" s="1" t="n">
        <v>44491</v>
      </c>
      <c r="C1829" s="1" t="n">
        <v>45757</v>
      </c>
      <c r="D1829" t="inlineStr">
        <is>
          <t>VÄSTMANLANDS LÄN</t>
        </is>
      </c>
      <c r="E1829" t="inlineStr">
        <is>
          <t>SKINNSKATTEBERG</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59423-2021</t>
        </is>
      </c>
      <c r="B1830" s="1" t="n">
        <v>44491</v>
      </c>
      <c r="C1830" s="1" t="n">
        <v>45757</v>
      </c>
      <c r="D1830" t="inlineStr">
        <is>
          <t>VÄSTMANLANDS LÄN</t>
        </is>
      </c>
      <c r="E1830" t="inlineStr">
        <is>
          <t>SKINNSKATTEBERG</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59597-2021</t>
        </is>
      </c>
      <c r="B1831" s="1" t="n">
        <v>44491</v>
      </c>
      <c r="C1831" s="1" t="n">
        <v>45757</v>
      </c>
      <c r="D1831" t="inlineStr">
        <is>
          <t>VÄSTMANLANDS LÄN</t>
        </is>
      </c>
      <c r="E1831" t="inlineStr">
        <is>
          <t>KUNGSÖR</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59603-2021</t>
        </is>
      </c>
      <c r="B1832" s="1" t="n">
        <v>44491</v>
      </c>
      <c r="C1832" s="1" t="n">
        <v>45757</v>
      </c>
      <c r="D1832" t="inlineStr">
        <is>
          <t>VÄSTMANLANDS LÄN</t>
        </is>
      </c>
      <c r="E1832" t="inlineStr">
        <is>
          <t>KUNGSÖR</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59612-2021</t>
        </is>
      </c>
      <c r="B1833" s="1" t="n">
        <v>44491</v>
      </c>
      <c r="C1833" s="1" t="n">
        <v>45757</v>
      </c>
      <c r="D1833" t="inlineStr">
        <is>
          <t>VÄSTMANLANDS LÄN</t>
        </is>
      </c>
      <c r="E1833" t="inlineStr">
        <is>
          <t>KUNGSÖR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59609-2021</t>
        </is>
      </c>
      <c r="B1834" s="1" t="n">
        <v>44491</v>
      </c>
      <c r="C1834" s="1" t="n">
        <v>45757</v>
      </c>
      <c r="D1834" t="inlineStr">
        <is>
          <t>VÄSTMANLANDS LÄN</t>
        </is>
      </c>
      <c r="E1834" t="inlineStr">
        <is>
          <t>KUNGSÖR</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59615-2021</t>
        </is>
      </c>
      <c r="B1835" s="1" t="n">
        <v>44491</v>
      </c>
      <c r="C1835" s="1" t="n">
        <v>45757</v>
      </c>
      <c r="D1835" t="inlineStr">
        <is>
          <t>VÄSTMANLANDS LÄN</t>
        </is>
      </c>
      <c r="E1835" t="inlineStr">
        <is>
          <t>KUNGSÖR</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59715-2021</t>
        </is>
      </c>
      <c r="B1836" s="1" t="n">
        <v>44494</v>
      </c>
      <c r="C1836" s="1" t="n">
        <v>45757</v>
      </c>
      <c r="D1836" t="inlineStr">
        <is>
          <t>VÄSTMANLANDS LÄN</t>
        </is>
      </c>
      <c r="E1836" t="inlineStr">
        <is>
          <t>ARBOGA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60031-2021</t>
        </is>
      </c>
      <c r="B1837" s="1" t="n">
        <v>44495</v>
      </c>
      <c r="C1837" s="1" t="n">
        <v>45757</v>
      </c>
      <c r="D1837" t="inlineStr">
        <is>
          <t>VÄSTMANLANDS LÄN</t>
        </is>
      </c>
      <c r="E1837" t="inlineStr">
        <is>
          <t>SALA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60627-2021</t>
        </is>
      </c>
      <c r="B1838" s="1" t="n">
        <v>44496</v>
      </c>
      <c r="C1838" s="1" t="n">
        <v>45757</v>
      </c>
      <c r="D1838" t="inlineStr">
        <is>
          <t>VÄSTMANLANDS LÄN</t>
        </is>
      </c>
      <c r="E1838" t="inlineStr">
        <is>
          <t>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60951-2021</t>
        </is>
      </c>
      <c r="B1839" s="1" t="n">
        <v>44497</v>
      </c>
      <c r="C1839" s="1" t="n">
        <v>45757</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61249-2021</t>
        </is>
      </c>
      <c r="B1840" s="1" t="n">
        <v>44498</v>
      </c>
      <c r="C1840" s="1" t="n">
        <v>45757</v>
      </c>
      <c r="D1840" t="inlineStr">
        <is>
          <t>VÄSTMANLANDS LÄN</t>
        </is>
      </c>
      <c r="E1840" t="inlineStr">
        <is>
          <t>VÄSTERÅS</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61181-2021</t>
        </is>
      </c>
      <c r="B1841" s="1" t="n">
        <v>44498</v>
      </c>
      <c r="C1841" s="1" t="n">
        <v>45757</v>
      </c>
      <c r="D1841" t="inlineStr">
        <is>
          <t>VÄSTMANLANDS LÄN</t>
        </is>
      </c>
      <c r="E1841" t="inlineStr">
        <is>
          <t>SKINNSKATTEBERG</t>
        </is>
      </c>
      <c r="F1841" t="inlineStr">
        <is>
          <t>Sveaskog</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61389-2021</t>
        </is>
      </c>
      <c r="B1842" s="1" t="n">
        <v>44500</v>
      </c>
      <c r="C1842" s="1" t="n">
        <v>45757</v>
      </c>
      <c r="D1842" t="inlineStr">
        <is>
          <t>VÄSTMANLANDS LÄN</t>
        </is>
      </c>
      <c r="E1842" t="inlineStr">
        <is>
          <t>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61892-2021</t>
        </is>
      </c>
      <c r="B1843" s="1" t="n">
        <v>44502</v>
      </c>
      <c r="C1843" s="1" t="n">
        <v>45757</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61874-2021</t>
        </is>
      </c>
      <c r="B1844" s="1" t="n">
        <v>44502</v>
      </c>
      <c r="C1844" s="1" t="n">
        <v>45757</v>
      </c>
      <c r="D1844" t="inlineStr">
        <is>
          <t>VÄSTMANLANDS LÄN</t>
        </is>
      </c>
      <c r="E1844" t="inlineStr">
        <is>
          <t>SALA</t>
        </is>
      </c>
      <c r="F1844" t="inlineStr">
        <is>
          <t>Kyrkan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61897-2021</t>
        </is>
      </c>
      <c r="B1845" s="1" t="n">
        <v>44502</v>
      </c>
      <c r="C1845" s="1" t="n">
        <v>45757</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68488-2021</t>
        </is>
      </c>
      <c r="B1846" s="1" t="n">
        <v>44502</v>
      </c>
      <c r="C1846" s="1" t="n">
        <v>45757</v>
      </c>
      <c r="D1846" t="inlineStr">
        <is>
          <t>VÄSTMANLANDS LÄN</t>
        </is>
      </c>
      <c r="E1846" t="inlineStr">
        <is>
          <t>HALLSTAHAMMAR</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62150-2021</t>
        </is>
      </c>
      <c r="B1847" s="1" t="n">
        <v>44502</v>
      </c>
      <c r="C1847" s="1" t="n">
        <v>45757</v>
      </c>
      <c r="D1847" t="inlineStr">
        <is>
          <t>VÄSTMANLANDS LÄN</t>
        </is>
      </c>
      <c r="E1847" t="inlineStr">
        <is>
          <t>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62705-2021</t>
        </is>
      </c>
      <c r="B1848" s="1" t="n">
        <v>44502</v>
      </c>
      <c r="C1848" s="1" t="n">
        <v>45757</v>
      </c>
      <c r="D1848" t="inlineStr">
        <is>
          <t>VÄSTMANLANDS LÄN</t>
        </is>
      </c>
      <c r="E1848" t="inlineStr">
        <is>
          <t>HALLSTAHAMMAR</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68621-2021</t>
        </is>
      </c>
      <c r="B1849" s="1" t="n">
        <v>44502</v>
      </c>
      <c r="C1849" s="1" t="n">
        <v>45757</v>
      </c>
      <c r="D1849" t="inlineStr">
        <is>
          <t>VÄSTMANLANDS LÄN</t>
        </is>
      </c>
      <c r="E1849" t="inlineStr">
        <is>
          <t>HALLSTAHAMMAR</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68624-2021</t>
        </is>
      </c>
      <c r="B1850" s="1" t="n">
        <v>44502</v>
      </c>
      <c r="C1850" s="1" t="n">
        <v>45757</v>
      </c>
      <c r="D1850" t="inlineStr">
        <is>
          <t>VÄSTMANLANDS LÄN</t>
        </is>
      </c>
      <c r="E1850" t="inlineStr">
        <is>
          <t>HALLSTAHAMMAR</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68619-2021</t>
        </is>
      </c>
      <c r="B1851" s="1" t="n">
        <v>44502</v>
      </c>
      <c r="C1851" s="1" t="n">
        <v>45757</v>
      </c>
      <c r="D1851" t="inlineStr">
        <is>
          <t>VÄSTMANLANDS LÄN</t>
        </is>
      </c>
      <c r="E1851" t="inlineStr">
        <is>
          <t>HALLSTAHAMMAR</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62306-2021</t>
        </is>
      </c>
      <c r="B1852" s="1" t="n">
        <v>44503</v>
      </c>
      <c r="C1852" s="1" t="n">
        <v>45757</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62499-2021</t>
        </is>
      </c>
      <c r="B1853" s="1" t="n">
        <v>44503</v>
      </c>
      <c r="C1853" s="1" t="n">
        <v>45757</v>
      </c>
      <c r="D1853" t="inlineStr">
        <is>
          <t>VÄSTMANLANDS LÄN</t>
        </is>
      </c>
      <c r="E1853" t="inlineStr">
        <is>
          <t>VÄSTERÅS</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62470-2021</t>
        </is>
      </c>
      <c r="B1854" s="1" t="n">
        <v>44503</v>
      </c>
      <c r="C1854" s="1" t="n">
        <v>45757</v>
      </c>
      <c r="D1854" t="inlineStr">
        <is>
          <t>VÄSTMANLANDS LÄN</t>
        </is>
      </c>
      <c r="E1854" t="inlineStr">
        <is>
          <t>FAGERSTA</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62312-2021</t>
        </is>
      </c>
      <c r="B1855" s="1" t="n">
        <v>44503</v>
      </c>
      <c r="C1855" s="1" t="n">
        <v>45757</v>
      </c>
      <c r="D1855" t="inlineStr">
        <is>
          <t>VÄSTMANLANDS LÄN</t>
        </is>
      </c>
      <c r="E1855" t="inlineStr">
        <is>
          <t>SKINNSKATTEBERG</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62528-2021</t>
        </is>
      </c>
      <c r="B1856" s="1" t="n">
        <v>44503</v>
      </c>
      <c r="C1856" s="1" t="n">
        <v>45757</v>
      </c>
      <c r="D1856" t="inlineStr">
        <is>
          <t>VÄSTMANLANDS LÄN</t>
        </is>
      </c>
      <c r="E1856" t="inlineStr">
        <is>
          <t>VÄSTERÅS</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62842-2021</t>
        </is>
      </c>
      <c r="B1857" s="1" t="n">
        <v>44504</v>
      </c>
      <c r="C1857" s="1" t="n">
        <v>45757</v>
      </c>
      <c r="D1857" t="inlineStr">
        <is>
          <t>VÄSTMANLANDS LÄN</t>
        </is>
      </c>
      <c r="E1857" t="inlineStr">
        <is>
          <t>SALA</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62793-2021</t>
        </is>
      </c>
      <c r="B1858" s="1" t="n">
        <v>44504</v>
      </c>
      <c r="C1858" s="1" t="n">
        <v>45757</v>
      </c>
      <c r="D1858" t="inlineStr">
        <is>
          <t>VÄSTMANLANDS LÄN</t>
        </is>
      </c>
      <c r="E1858" t="inlineStr">
        <is>
          <t>SALA</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62833-2021</t>
        </is>
      </c>
      <c r="B1859" s="1" t="n">
        <v>44504</v>
      </c>
      <c r="C1859" s="1" t="n">
        <v>45757</v>
      </c>
      <c r="D1859" t="inlineStr">
        <is>
          <t>VÄSTMANLANDS LÄN</t>
        </is>
      </c>
      <c r="E1859" t="inlineStr">
        <is>
          <t>SALA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62850-2021</t>
        </is>
      </c>
      <c r="B1860" s="1" t="n">
        <v>44504</v>
      </c>
      <c r="C1860" s="1" t="n">
        <v>45757</v>
      </c>
      <c r="D1860" t="inlineStr">
        <is>
          <t>VÄSTMANLANDS LÄN</t>
        </is>
      </c>
      <c r="E1860" t="inlineStr">
        <is>
          <t>SALA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62967-2021</t>
        </is>
      </c>
      <c r="B1861" s="1" t="n">
        <v>44505</v>
      </c>
      <c r="C1861" s="1" t="n">
        <v>45757</v>
      </c>
      <c r="D1861" t="inlineStr">
        <is>
          <t>VÄSTMANLANDS LÄN</t>
        </is>
      </c>
      <c r="E1861" t="inlineStr">
        <is>
          <t>SALA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63139-2021</t>
        </is>
      </c>
      <c r="B1862" s="1" t="n">
        <v>44505</v>
      </c>
      <c r="C1862" s="1" t="n">
        <v>45757</v>
      </c>
      <c r="D1862" t="inlineStr">
        <is>
          <t>VÄSTMANLANDS LÄN</t>
        </is>
      </c>
      <c r="E1862" t="inlineStr">
        <is>
          <t>SKINNSKATTEBERG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63290-2021</t>
        </is>
      </c>
      <c r="B1863" s="1" t="n">
        <v>44505</v>
      </c>
      <c r="C1863" s="1" t="n">
        <v>45757</v>
      </c>
      <c r="D1863" t="inlineStr">
        <is>
          <t>VÄSTMANLANDS LÄN</t>
        </is>
      </c>
      <c r="E1863" t="inlineStr">
        <is>
          <t>SALA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63561-2021</t>
        </is>
      </c>
      <c r="B1864" s="1" t="n">
        <v>44508</v>
      </c>
      <c r="C1864" s="1" t="n">
        <v>45757</v>
      </c>
      <c r="D1864" t="inlineStr">
        <is>
          <t>VÄSTMANLANDS LÄN</t>
        </is>
      </c>
      <c r="E1864" t="inlineStr">
        <is>
          <t>KÖPING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63492-2021</t>
        </is>
      </c>
      <c r="B1865" s="1" t="n">
        <v>44508</v>
      </c>
      <c r="C1865" s="1" t="n">
        <v>45757</v>
      </c>
      <c r="D1865" t="inlineStr">
        <is>
          <t>VÄSTMANLANDS LÄN</t>
        </is>
      </c>
      <c r="E1865" t="inlineStr">
        <is>
          <t>VÄSTERÅS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63756-2021</t>
        </is>
      </c>
      <c r="B1866" s="1" t="n">
        <v>44509</v>
      </c>
      <c r="C1866" s="1" t="n">
        <v>45757</v>
      </c>
      <c r="D1866" t="inlineStr">
        <is>
          <t>VÄSTMANLANDS LÄN</t>
        </is>
      </c>
      <c r="E1866" t="inlineStr">
        <is>
          <t>FAGERSTA</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63811-2021</t>
        </is>
      </c>
      <c r="B1867" s="1" t="n">
        <v>44509</v>
      </c>
      <c r="C1867" s="1" t="n">
        <v>45757</v>
      </c>
      <c r="D1867" t="inlineStr">
        <is>
          <t>VÄSTMANLANDS LÄN</t>
        </is>
      </c>
      <c r="E1867" t="inlineStr">
        <is>
          <t>ARBOGA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63851-2021</t>
        </is>
      </c>
      <c r="B1868" s="1" t="n">
        <v>44509</v>
      </c>
      <c r="C1868" s="1" t="n">
        <v>45757</v>
      </c>
      <c r="D1868" t="inlineStr">
        <is>
          <t>VÄSTMANLANDS LÄN</t>
        </is>
      </c>
      <c r="E1868" t="inlineStr">
        <is>
          <t>VÄSTERÅS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64073-2021</t>
        </is>
      </c>
      <c r="B1869" s="1" t="n">
        <v>44509</v>
      </c>
      <c r="C1869" s="1" t="n">
        <v>45757</v>
      </c>
      <c r="D1869" t="inlineStr">
        <is>
          <t>VÄSTMANLANDS LÄN</t>
        </is>
      </c>
      <c r="E1869" t="inlineStr">
        <is>
          <t>SURAHAMMAR</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64471-2021</t>
        </is>
      </c>
      <c r="B1870" s="1" t="n">
        <v>44511</v>
      </c>
      <c r="C1870" s="1" t="n">
        <v>45757</v>
      </c>
      <c r="D1870" t="inlineStr">
        <is>
          <t>VÄSTMANLANDS LÄN</t>
        </is>
      </c>
      <c r="E1870" t="inlineStr">
        <is>
          <t>ARBOGA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64341-2021</t>
        </is>
      </c>
      <c r="B1871" s="1" t="n">
        <v>44511</v>
      </c>
      <c r="C1871" s="1" t="n">
        <v>45757</v>
      </c>
      <c r="D1871" t="inlineStr">
        <is>
          <t>VÄSTMANLANDS LÄN</t>
        </is>
      </c>
      <c r="E1871" t="inlineStr">
        <is>
          <t>KÖPING</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64461-2021</t>
        </is>
      </c>
      <c r="B1872" s="1" t="n">
        <v>44511</v>
      </c>
      <c r="C1872" s="1" t="n">
        <v>45757</v>
      </c>
      <c r="D1872" t="inlineStr">
        <is>
          <t>VÄSTMANLANDS LÄN</t>
        </is>
      </c>
      <c r="E1872" t="inlineStr">
        <is>
          <t>ARBOGA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64833-2021</t>
        </is>
      </c>
      <c r="B1873" s="1" t="n">
        <v>44512</v>
      </c>
      <c r="C1873" s="1" t="n">
        <v>45757</v>
      </c>
      <c r="D1873" t="inlineStr">
        <is>
          <t>VÄSTMANLANDS LÄN</t>
        </is>
      </c>
      <c r="E1873" t="inlineStr">
        <is>
          <t>ARBOGA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64931-2021</t>
        </is>
      </c>
      <c r="B1874" s="1" t="n">
        <v>44512</v>
      </c>
      <c r="C1874" s="1" t="n">
        <v>45757</v>
      </c>
      <c r="D1874" t="inlineStr">
        <is>
          <t>VÄSTMANLANDS LÄN</t>
        </is>
      </c>
      <c r="E1874" t="inlineStr">
        <is>
          <t>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64839-2021</t>
        </is>
      </c>
      <c r="B1875" s="1" t="n">
        <v>44512</v>
      </c>
      <c r="C1875" s="1" t="n">
        <v>45757</v>
      </c>
      <c r="D1875" t="inlineStr">
        <is>
          <t>VÄSTMANLANDS LÄN</t>
        </is>
      </c>
      <c r="E1875" t="inlineStr">
        <is>
          <t>ARBOGA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64932-2021</t>
        </is>
      </c>
      <c r="B1876" s="1" t="n">
        <v>44512</v>
      </c>
      <c r="C1876" s="1" t="n">
        <v>45757</v>
      </c>
      <c r="D1876" t="inlineStr">
        <is>
          <t>VÄSTMANLANDS LÄN</t>
        </is>
      </c>
      <c r="E1876" t="inlineStr">
        <is>
          <t>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65023-2021</t>
        </is>
      </c>
      <c r="B1877" s="1" t="n">
        <v>44512</v>
      </c>
      <c r="C1877" s="1" t="n">
        <v>45757</v>
      </c>
      <c r="D1877" t="inlineStr">
        <is>
          <t>VÄSTMANLANDS LÄN</t>
        </is>
      </c>
      <c r="E1877" t="inlineStr">
        <is>
          <t>KÖPING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65213-2021</t>
        </is>
      </c>
      <c r="B1878" s="1" t="n">
        <v>44515</v>
      </c>
      <c r="C1878" s="1" t="n">
        <v>45757</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65321-2021</t>
        </is>
      </c>
      <c r="B1879" s="1" t="n">
        <v>44515</v>
      </c>
      <c r="C1879" s="1" t="n">
        <v>45757</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65338-2021</t>
        </is>
      </c>
      <c r="B1880" s="1" t="n">
        <v>44515</v>
      </c>
      <c r="C1880" s="1" t="n">
        <v>45757</v>
      </c>
      <c r="D1880" t="inlineStr">
        <is>
          <t>VÄSTMANLANDS LÄN</t>
        </is>
      </c>
      <c r="E1880" t="inlineStr">
        <is>
          <t>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65387-2021</t>
        </is>
      </c>
      <c r="B1881" s="1" t="n">
        <v>44515</v>
      </c>
      <c r="C1881" s="1" t="n">
        <v>45757</v>
      </c>
      <c r="D1881" t="inlineStr">
        <is>
          <t>VÄSTMANLANDS LÄN</t>
        </is>
      </c>
      <c r="E1881" t="inlineStr">
        <is>
          <t>SKINNSKATTEBERG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65353-2021</t>
        </is>
      </c>
      <c r="B1882" s="1" t="n">
        <v>44515</v>
      </c>
      <c r="C1882" s="1" t="n">
        <v>45757</v>
      </c>
      <c r="D1882" t="inlineStr">
        <is>
          <t>VÄSTMANLANDS LÄN</t>
        </is>
      </c>
      <c r="E1882" t="inlineStr">
        <is>
          <t>SALA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65490-2021</t>
        </is>
      </c>
      <c r="B1883" s="1" t="n">
        <v>44515</v>
      </c>
      <c r="C1883" s="1" t="n">
        <v>45757</v>
      </c>
      <c r="D1883" t="inlineStr">
        <is>
          <t>VÄSTMANLANDS LÄN</t>
        </is>
      </c>
      <c r="E1883" t="inlineStr">
        <is>
          <t>SALA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65678-2021</t>
        </is>
      </c>
      <c r="B1884" s="1" t="n">
        <v>44516</v>
      </c>
      <c r="C1884" s="1" t="n">
        <v>45757</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65582-2021</t>
        </is>
      </c>
      <c r="B1885" s="1" t="n">
        <v>44516</v>
      </c>
      <c r="C1885" s="1" t="n">
        <v>45757</v>
      </c>
      <c r="D1885" t="inlineStr">
        <is>
          <t>VÄSTMANLANDS LÄN</t>
        </is>
      </c>
      <c r="E1885" t="inlineStr">
        <is>
          <t>KÖPING</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65663-2021</t>
        </is>
      </c>
      <c r="B1886" s="1" t="n">
        <v>44516</v>
      </c>
      <c r="C1886" s="1" t="n">
        <v>45757</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65740-2021</t>
        </is>
      </c>
      <c r="B1887" s="1" t="n">
        <v>44516</v>
      </c>
      <c r="C1887" s="1" t="n">
        <v>45757</v>
      </c>
      <c r="D1887" t="inlineStr">
        <is>
          <t>VÄSTMANLANDS LÄN</t>
        </is>
      </c>
      <c r="E1887" t="inlineStr">
        <is>
          <t>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65748-2021</t>
        </is>
      </c>
      <c r="B1888" s="1" t="n">
        <v>44516</v>
      </c>
      <c r="C1888" s="1" t="n">
        <v>45757</v>
      </c>
      <c r="D1888" t="inlineStr">
        <is>
          <t>VÄSTMANLANDS LÄN</t>
        </is>
      </c>
      <c r="E1888" t="inlineStr">
        <is>
          <t>ARBOGA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65856-2021</t>
        </is>
      </c>
      <c r="B1889" s="1" t="n">
        <v>44517</v>
      </c>
      <c r="C1889" s="1" t="n">
        <v>45757</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65818-2021</t>
        </is>
      </c>
      <c r="B1890" s="1" t="n">
        <v>44517</v>
      </c>
      <c r="C1890" s="1" t="n">
        <v>45757</v>
      </c>
      <c r="D1890" t="inlineStr">
        <is>
          <t>VÄSTMANLANDS LÄN</t>
        </is>
      </c>
      <c r="E1890" t="inlineStr">
        <is>
          <t>SALA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65835-2021</t>
        </is>
      </c>
      <c r="B1891" s="1" t="n">
        <v>44517</v>
      </c>
      <c r="C1891" s="1" t="n">
        <v>45757</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65860-2021</t>
        </is>
      </c>
      <c r="B1892" s="1" t="n">
        <v>44517</v>
      </c>
      <c r="C1892" s="1" t="n">
        <v>45757</v>
      </c>
      <c r="D1892" t="inlineStr">
        <is>
          <t>VÄSTMANLANDS LÄN</t>
        </is>
      </c>
      <c r="E1892" t="inlineStr">
        <is>
          <t>SALA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66307-2021</t>
        </is>
      </c>
      <c r="B1893" s="1" t="n">
        <v>44518</v>
      </c>
      <c r="C1893" s="1" t="n">
        <v>45757</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66342-2021</t>
        </is>
      </c>
      <c r="B1894" s="1" t="n">
        <v>44518</v>
      </c>
      <c r="C1894" s="1" t="n">
        <v>45757</v>
      </c>
      <c r="D1894" t="inlineStr">
        <is>
          <t>VÄSTMANLANDS LÄN</t>
        </is>
      </c>
      <c r="E1894" t="inlineStr">
        <is>
          <t>SURAHAMMAR</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66350-2021</t>
        </is>
      </c>
      <c r="B1895" s="1" t="n">
        <v>44518</v>
      </c>
      <c r="C1895" s="1" t="n">
        <v>45757</v>
      </c>
      <c r="D1895" t="inlineStr">
        <is>
          <t>VÄSTMANLANDS LÄN</t>
        </is>
      </c>
      <c r="E1895" t="inlineStr">
        <is>
          <t>SURAHAMMAR</t>
        </is>
      </c>
      <c r="F1895" t="inlineStr">
        <is>
          <t>Sveaskog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66508-2021</t>
        </is>
      </c>
      <c r="B1896" s="1" t="n">
        <v>44519</v>
      </c>
      <c r="C1896" s="1" t="n">
        <v>45757</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66571-2021</t>
        </is>
      </c>
      <c r="B1897" s="1" t="n">
        <v>44519</v>
      </c>
      <c r="C1897" s="1" t="n">
        <v>45757</v>
      </c>
      <c r="D1897" t="inlineStr">
        <is>
          <t>VÄSTMANLANDS LÄN</t>
        </is>
      </c>
      <c r="E1897" t="inlineStr">
        <is>
          <t>SKINNSKATTEBERG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66580-2021</t>
        </is>
      </c>
      <c r="B1898" s="1" t="n">
        <v>44519</v>
      </c>
      <c r="C1898" s="1" t="n">
        <v>45757</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66563-2021</t>
        </is>
      </c>
      <c r="B1899" s="1" t="n">
        <v>44519</v>
      </c>
      <c r="C1899" s="1" t="n">
        <v>45757</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66587-2021</t>
        </is>
      </c>
      <c r="B1900" s="1" t="n">
        <v>44519</v>
      </c>
      <c r="C1900" s="1" t="n">
        <v>45757</v>
      </c>
      <c r="D1900" t="inlineStr">
        <is>
          <t>VÄSTMANLANDS LÄN</t>
        </is>
      </c>
      <c r="E1900" t="inlineStr">
        <is>
          <t>SKINNSKATTEBERG</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66561-2021</t>
        </is>
      </c>
      <c r="B1901" s="1" t="n">
        <v>44519</v>
      </c>
      <c r="C1901" s="1" t="n">
        <v>45757</v>
      </c>
      <c r="D1901" t="inlineStr">
        <is>
          <t>VÄSTMANLANDS LÄN</t>
        </is>
      </c>
      <c r="E1901" t="inlineStr">
        <is>
          <t>SALA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66574-2021</t>
        </is>
      </c>
      <c r="B1902" s="1" t="n">
        <v>44519</v>
      </c>
      <c r="C1902" s="1" t="n">
        <v>45757</v>
      </c>
      <c r="D1902" t="inlineStr">
        <is>
          <t>VÄSTMANLANDS LÄN</t>
        </is>
      </c>
      <c r="E1902" t="inlineStr">
        <is>
          <t>SKINNSKATTEBERG</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66584-2021</t>
        </is>
      </c>
      <c r="B1903" s="1" t="n">
        <v>44519</v>
      </c>
      <c r="C1903" s="1" t="n">
        <v>45757</v>
      </c>
      <c r="D1903" t="inlineStr">
        <is>
          <t>VÄSTMANLANDS LÄN</t>
        </is>
      </c>
      <c r="E1903" t="inlineStr">
        <is>
          <t>SKINNSKATTEBERG</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66572-2021</t>
        </is>
      </c>
      <c r="B1904" s="1" t="n">
        <v>44519</v>
      </c>
      <c r="C1904" s="1" t="n">
        <v>45757</v>
      </c>
      <c r="D1904" t="inlineStr">
        <is>
          <t>VÄSTMANLANDS LÄN</t>
        </is>
      </c>
      <c r="E1904" t="inlineStr">
        <is>
          <t>SKINNSKATTEBERG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66908-2021</t>
        </is>
      </c>
      <c r="B1905" s="1" t="n">
        <v>44522</v>
      </c>
      <c r="C1905" s="1" t="n">
        <v>45757</v>
      </c>
      <c r="D1905" t="inlineStr">
        <is>
          <t>VÄSTMANLANDS LÄN</t>
        </is>
      </c>
      <c r="E1905" t="inlineStr">
        <is>
          <t>SALA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66830-2021</t>
        </is>
      </c>
      <c r="B1906" s="1" t="n">
        <v>44522</v>
      </c>
      <c r="C1906" s="1" t="n">
        <v>45757</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66997-2021</t>
        </is>
      </c>
      <c r="B1907" s="1" t="n">
        <v>44522</v>
      </c>
      <c r="C1907" s="1" t="n">
        <v>45757</v>
      </c>
      <c r="D1907" t="inlineStr">
        <is>
          <t>VÄSTMANLANDS LÄN</t>
        </is>
      </c>
      <c r="E1907" t="inlineStr">
        <is>
          <t>KÖPING</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67037-2021</t>
        </is>
      </c>
      <c r="B1908" s="1" t="n">
        <v>44522</v>
      </c>
      <c r="C1908" s="1" t="n">
        <v>45757</v>
      </c>
      <c r="D1908" t="inlineStr">
        <is>
          <t>VÄSTMANLANDS LÄN</t>
        </is>
      </c>
      <c r="E1908" t="inlineStr">
        <is>
          <t>SALA</t>
        </is>
      </c>
      <c r="G1908" t="n">
        <v>1.4</v>
      </c>
      <c r="H1908" t="n">
        <v>0</v>
      </c>
      <c r="I1908" t="n">
        <v>0</v>
      </c>
      <c r="J1908" t="n">
        <v>0</v>
      </c>
      <c r="K1908" t="n">
        <v>0</v>
      </c>
      <c r="L1908" t="n">
        <v>0</v>
      </c>
      <c r="M1908" t="n">
        <v>0</v>
      </c>
      <c r="N1908" t="n">
        <v>0</v>
      </c>
      <c r="O1908" t="n">
        <v>0</v>
      </c>
      <c r="P1908" t="n">
        <v>0</v>
      </c>
      <c r="Q1908" t="n">
        <v>0</v>
      </c>
      <c r="R1908" s="2" t="inlineStr"/>
      <c r="U1908">
        <f>HYPERLINK("https://klasma.github.io/Logging_1981/knärot/A 67037-2021 karta knärot.png", "A 67037-2021")</f>
        <v/>
      </c>
      <c r="V1908">
        <f>HYPERLINK("https://klasma.github.io/Logging_1981/klagomål/A 67037-2021 FSC-klagomål.docx", "A 67037-2021")</f>
        <v/>
      </c>
      <c r="W1908">
        <f>HYPERLINK("https://klasma.github.io/Logging_1981/klagomålsmail/A 67037-2021 FSC-klagomål mail.docx", "A 67037-2021")</f>
        <v/>
      </c>
      <c r="X1908">
        <f>HYPERLINK("https://klasma.github.io/Logging_1981/tillsyn/A 67037-2021 tillsynsbegäran.docx", "A 67037-2021")</f>
        <v/>
      </c>
      <c r="Y1908">
        <f>HYPERLINK("https://klasma.github.io/Logging_1981/tillsynsmail/A 67037-2021 tillsynsbegäran mail.docx", "A 67037-2021")</f>
        <v/>
      </c>
    </row>
    <row r="1909" ht="15" customHeight="1">
      <c r="A1909" t="inlineStr">
        <is>
          <t>A 67350-2021</t>
        </is>
      </c>
      <c r="B1909" s="1" t="n">
        <v>44523</v>
      </c>
      <c r="C1909" s="1" t="n">
        <v>45757</v>
      </c>
      <c r="D1909" t="inlineStr">
        <is>
          <t>VÄSTMANLANDS LÄN</t>
        </is>
      </c>
      <c r="E1909" t="inlineStr">
        <is>
          <t>VÄSTERÅS</t>
        </is>
      </c>
      <c r="F1909" t="inlineStr">
        <is>
          <t>Övriga Aktiebolag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67352-2021</t>
        </is>
      </c>
      <c r="B1910" s="1" t="n">
        <v>44523</v>
      </c>
      <c r="C1910" s="1" t="n">
        <v>45757</v>
      </c>
      <c r="D1910" t="inlineStr">
        <is>
          <t>VÄSTMANLANDS LÄN</t>
        </is>
      </c>
      <c r="E1910" t="inlineStr">
        <is>
          <t>VÄSTERÅS</t>
        </is>
      </c>
      <c r="F1910" t="inlineStr">
        <is>
          <t>Övriga Aktiebolag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67361-2021</t>
        </is>
      </c>
      <c r="B1911" s="1" t="n">
        <v>44523</v>
      </c>
      <c r="C1911" s="1" t="n">
        <v>45757</v>
      </c>
      <c r="D1911" t="inlineStr">
        <is>
          <t>VÄSTMANLANDS LÄN</t>
        </is>
      </c>
      <c r="E1911" t="inlineStr">
        <is>
          <t>NORBERG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67356-2021</t>
        </is>
      </c>
      <c r="B1912" s="1" t="n">
        <v>44523</v>
      </c>
      <c r="C1912" s="1" t="n">
        <v>45757</v>
      </c>
      <c r="D1912" t="inlineStr">
        <is>
          <t>VÄSTMANLANDS LÄN</t>
        </is>
      </c>
      <c r="E1912" t="inlineStr">
        <is>
          <t>NORBERG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67353-2021</t>
        </is>
      </c>
      <c r="B1913" s="1" t="n">
        <v>44523</v>
      </c>
      <c r="C1913" s="1" t="n">
        <v>45757</v>
      </c>
      <c r="D1913" t="inlineStr">
        <is>
          <t>VÄSTMANLANDS LÄN</t>
        </is>
      </c>
      <c r="E1913" t="inlineStr">
        <is>
          <t>VÄSTERÅS</t>
        </is>
      </c>
      <c r="F1913" t="inlineStr">
        <is>
          <t>Övriga Aktiebolag</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67611-2021</t>
        </is>
      </c>
      <c r="B1914" s="1" t="n">
        <v>44524</v>
      </c>
      <c r="C1914" s="1" t="n">
        <v>45757</v>
      </c>
      <c r="D1914" t="inlineStr">
        <is>
          <t>VÄSTMANLANDS LÄN</t>
        </is>
      </c>
      <c r="E1914" t="inlineStr">
        <is>
          <t>SURAHAMMAR</t>
        </is>
      </c>
      <c r="F1914" t="inlineStr">
        <is>
          <t>Kommuner</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67965-2021</t>
        </is>
      </c>
      <c r="B1915" s="1" t="n">
        <v>44525</v>
      </c>
      <c r="C1915" s="1" t="n">
        <v>45757</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67958-2021</t>
        </is>
      </c>
      <c r="B1916" s="1" t="n">
        <v>44525</v>
      </c>
      <c r="C1916" s="1" t="n">
        <v>45757</v>
      </c>
      <c r="D1916" t="inlineStr">
        <is>
          <t>VÄSTMANLANDS LÄN</t>
        </is>
      </c>
      <c r="E1916" t="inlineStr">
        <is>
          <t>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67943-2021</t>
        </is>
      </c>
      <c r="B1917" s="1" t="n">
        <v>44525</v>
      </c>
      <c r="C1917" s="1" t="n">
        <v>45757</v>
      </c>
      <c r="D1917" t="inlineStr">
        <is>
          <t>VÄSTMANLANDS LÄN</t>
        </is>
      </c>
      <c r="E1917" t="inlineStr">
        <is>
          <t>VÄSTERÅS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67946-2021</t>
        </is>
      </c>
      <c r="B1918" s="1" t="n">
        <v>44525</v>
      </c>
      <c r="C1918" s="1" t="n">
        <v>45757</v>
      </c>
      <c r="D1918" t="inlineStr">
        <is>
          <t>VÄSTMANLANDS LÄN</t>
        </is>
      </c>
      <c r="E1918" t="inlineStr">
        <is>
          <t>KÖPING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67962-2021</t>
        </is>
      </c>
      <c r="B1919" s="1" t="n">
        <v>44525</v>
      </c>
      <c r="C1919" s="1" t="n">
        <v>45757</v>
      </c>
      <c r="D1919" t="inlineStr">
        <is>
          <t>VÄSTMANLANDS LÄN</t>
        </is>
      </c>
      <c r="E1919" t="inlineStr">
        <is>
          <t>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68174-2021</t>
        </is>
      </c>
      <c r="B1920" s="1" t="n">
        <v>44526</v>
      </c>
      <c r="C1920" s="1" t="n">
        <v>45757</v>
      </c>
      <c r="D1920" t="inlineStr">
        <is>
          <t>VÄSTMANLANDS LÄN</t>
        </is>
      </c>
      <c r="E1920" t="inlineStr">
        <is>
          <t>FAGERSTA</t>
        </is>
      </c>
      <c r="F1920" t="inlineStr">
        <is>
          <t>Kyrkan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68237-2021</t>
        </is>
      </c>
      <c r="B1921" s="1" t="n">
        <v>44526</v>
      </c>
      <c r="C1921" s="1" t="n">
        <v>45757</v>
      </c>
      <c r="D1921" t="inlineStr">
        <is>
          <t>VÄSTMANLANDS LÄN</t>
        </is>
      </c>
      <c r="E1921" t="inlineStr">
        <is>
          <t>ARBOGA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68256-2021</t>
        </is>
      </c>
      <c r="B1922" s="1" t="n">
        <v>44526</v>
      </c>
      <c r="C1922" s="1" t="n">
        <v>45757</v>
      </c>
      <c r="D1922" t="inlineStr">
        <is>
          <t>VÄSTMANLANDS LÄN</t>
        </is>
      </c>
      <c r="E1922" t="inlineStr">
        <is>
          <t>ARBOGA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68355-2021</t>
        </is>
      </c>
      <c r="B1923" s="1" t="n">
        <v>44528</v>
      </c>
      <c r="C1923" s="1" t="n">
        <v>45757</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68484-2021</t>
        </is>
      </c>
      <c r="B1924" s="1" t="n">
        <v>44529</v>
      </c>
      <c r="C1924" s="1" t="n">
        <v>45757</v>
      </c>
      <c r="D1924" t="inlineStr">
        <is>
          <t>VÄSTMANLANDS LÄN</t>
        </is>
      </c>
      <c r="E1924" t="inlineStr">
        <is>
          <t>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68714-2021</t>
        </is>
      </c>
      <c r="B1925" s="1" t="n">
        <v>44529</v>
      </c>
      <c r="C1925" s="1" t="n">
        <v>45757</v>
      </c>
      <c r="D1925" t="inlineStr">
        <is>
          <t>VÄSTMANLANDS LÄN</t>
        </is>
      </c>
      <c r="E1925" t="inlineStr">
        <is>
          <t>KÖPING</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68540-2021</t>
        </is>
      </c>
      <c r="B1926" s="1" t="n">
        <v>44529</v>
      </c>
      <c r="C1926" s="1" t="n">
        <v>45757</v>
      </c>
      <c r="D1926" t="inlineStr">
        <is>
          <t>VÄSTMANLANDS LÄN</t>
        </is>
      </c>
      <c r="E1926" t="inlineStr">
        <is>
          <t>SKINNSKATTEBERG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68525-2021</t>
        </is>
      </c>
      <c r="B1927" s="1" t="n">
        <v>44529</v>
      </c>
      <c r="C1927" s="1" t="n">
        <v>45757</v>
      </c>
      <c r="D1927" t="inlineStr">
        <is>
          <t>VÄSTMANLANDS LÄN</t>
        </is>
      </c>
      <c r="E1927" t="inlineStr">
        <is>
          <t>SKINNSKATTEBERG</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68980-2021</t>
        </is>
      </c>
      <c r="B1928" s="1" t="n">
        <v>44529</v>
      </c>
      <c r="C1928" s="1" t="n">
        <v>45757</v>
      </c>
      <c r="D1928" t="inlineStr">
        <is>
          <t>VÄSTMANLANDS LÄN</t>
        </is>
      </c>
      <c r="E1928" t="inlineStr">
        <is>
          <t>SALA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68976-2021</t>
        </is>
      </c>
      <c r="B1929" s="1" t="n">
        <v>44530</v>
      </c>
      <c r="C1929" s="1" t="n">
        <v>45757</v>
      </c>
      <c r="D1929" t="inlineStr">
        <is>
          <t>VÄSTMANLANDS LÄN</t>
        </is>
      </c>
      <c r="E1929" t="inlineStr">
        <is>
          <t>KÖPING</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68864-2021</t>
        </is>
      </c>
      <c r="B1930" s="1" t="n">
        <v>44530</v>
      </c>
      <c r="C1930" s="1" t="n">
        <v>45757</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68954-2021</t>
        </is>
      </c>
      <c r="B1931" s="1" t="n">
        <v>44530</v>
      </c>
      <c r="C1931" s="1" t="n">
        <v>45757</v>
      </c>
      <c r="D1931" t="inlineStr">
        <is>
          <t>VÄSTMANLANDS LÄN</t>
        </is>
      </c>
      <c r="E1931" t="inlineStr">
        <is>
          <t>KÖPING</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69104-2021</t>
        </is>
      </c>
      <c r="B1932" s="1" t="n">
        <v>44530</v>
      </c>
      <c r="C1932" s="1" t="n">
        <v>45757</v>
      </c>
      <c r="D1932" t="inlineStr">
        <is>
          <t>VÄSTMANLANDS LÄN</t>
        </is>
      </c>
      <c r="E1932" t="inlineStr">
        <is>
          <t>FAGERSTA</t>
        </is>
      </c>
      <c r="F1932" t="inlineStr">
        <is>
          <t>Kommuner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69168-2021</t>
        </is>
      </c>
      <c r="B1933" s="1" t="n">
        <v>44530</v>
      </c>
      <c r="C1933" s="1" t="n">
        <v>45757</v>
      </c>
      <c r="D1933" t="inlineStr">
        <is>
          <t>VÄSTMANLANDS LÄN</t>
        </is>
      </c>
      <c r="E1933" t="inlineStr">
        <is>
          <t>ARBOGA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69169-2021</t>
        </is>
      </c>
      <c r="B1934" s="1" t="n">
        <v>44530</v>
      </c>
      <c r="C1934" s="1" t="n">
        <v>45757</v>
      </c>
      <c r="D1934" t="inlineStr">
        <is>
          <t>VÄSTMANLANDS LÄN</t>
        </is>
      </c>
      <c r="E1934" t="inlineStr">
        <is>
          <t>ARBOGA</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69232-2021</t>
        </is>
      </c>
      <c r="B1935" s="1" t="n">
        <v>44531</v>
      </c>
      <c r="C1935" s="1" t="n">
        <v>45757</v>
      </c>
      <c r="D1935" t="inlineStr">
        <is>
          <t>VÄSTMANLANDS LÄN</t>
        </is>
      </c>
      <c r="E1935" t="inlineStr">
        <is>
          <t>SALA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69256-2021</t>
        </is>
      </c>
      <c r="B1936" s="1" t="n">
        <v>44531</v>
      </c>
      <c r="C1936" s="1" t="n">
        <v>45757</v>
      </c>
      <c r="D1936" t="inlineStr">
        <is>
          <t>VÄSTMANLANDS LÄN</t>
        </is>
      </c>
      <c r="E1936" t="inlineStr">
        <is>
          <t>SKINNSKATTEBERG</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69236-2021</t>
        </is>
      </c>
      <c r="B1937" s="1" t="n">
        <v>44531</v>
      </c>
      <c r="C1937" s="1" t="n">
        <v>45757</v>
      </c>
      <c r="D1937" t="inlineStr">
        <is>
          <t>VÄSTMANLANDS LÄN</t>
        </is>
      </c>
      <c r="E1937" t="inlineStr">
        <is>
          <t>SALA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69259-2021</t>
        </is>
      </c>
      <c r="B1938" s="1" t="n">
        <v>44531</v>
      </c>
      <c r="C1938" s="1" t="n">
        <v>45757</v>
      </c>
      <c r="D1938" t="inlineStr">
        <is>
          <t>VÄSTMANLANDS LÄN</t>
        </is>
      </c>
      <c r="E1938" t="inlineStr">
        <is>
          <t>SKINNSKATTEBERG</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69276-2021</t>
        </is>
      </c>
      <c r="B1939" s="1" t="n">
        <v>44531</v>
      </c>
      <c r="C1939" s="1" t="n">
        <v>45757</v>
      </c>
      <c r="D1939" t="inlineStr">
        <is>
          <t>VÄSTMANLANDS LÄN</t>
        </is>
      </c>
      <c r="E1939" t="inlineStr">
        <is>
          <t>SKINNSKATTEBERG</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69565-2021</t>
        </is>
      </c>
      <c r="B1940" s="1" t="n">
        <v>44531</v>
      </c>
      <c r="C1940" s="1" t="n">
        <v>45757</v>
      </c>
      <c r="D1940" t="inlineStr">
        <is>
          <t>VÄSTMANLANDS LÄN</t>
        </is>
      </c>
      <c r="E1940" t="inlineStr">
        <is>
          <t>VÄSTERÅS</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69645-2021</t>
        </is>
      </c>
      <c r="B1941" s="1" t="n">
        <v>44532</v>
      </c>
      <c r="C1941" s="1" t="n">
        <v>45757</v>
      </c>
      <c r="D1941" t="inlineStr">
        <is>
          <t>VÄSTMANLANDS LÄN</t>
        </is>
      </c>
      <c r="E1941" t="inlineStr">
        <is>
          <t>KÖPING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69656-2021</t>
        </is>
      </c>
      <c r="B1942" s="1" t="n">
        <v>44532</v>
      </c>
      <c r="C1942" s="1" t="n">
        <v>45757</v>
      </c>
      <c r="D1942" t="inlineStr">
        <is>
          <t>VÄSTMANLANDS LÄN</t>
        </is>
      </c>
      <c r="E1942" t="inlineStr">
        <is>
          <t>KÖPING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69758-2021</t>
        </is>
      </c>
      <c r="B1943" s="1" t="n">
        <v>44532</v>
      </c>
      <c r="C1943" s="1" t="n">
        <v>45757</v>
      </c>
      <c r="D1943" t="inlineStr">
        <is>
          <t>VÄSTMANLANDS LÄN</t>
        </is>
      </c>
      <c r="E1943" t="inlineStr">
        <is>
          <t>NORBERG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74421-2021</t>
        </is>
      </c>
      <c r="B1944" s="1" t="n">
        <v>44533</v>
      </c>
      <c r="C1944" s="1" t="n">
        <v>45757</v>
      </c>
      <c r="D1944" t="inlineStr">
        <is>
          <t>VÄSTMANLANDS LÄN</t>
        </is>
      </c>
      <c r="E1944" t="inlineStr">
        <is>
          <t>FAGERSTA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70012-2021</t>
        </is>
      </c>
      <c r="B1945" s="1" t="n">
        <v>44533</v>
      </c>
      <c r="C1945" s="1" t="n">
        <v>45757</v>
      </c>
      <c r="D1945" t="inlineStr">
        <is>
          <t>VÄSTMANLANDS LÄN</t>
        </is>
      </c>
      <c r="E1945" t="inlineStr">
        <is>
          <t>FAGERSTA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70218-2021</t>
        </is>
      </c>
      <c r="B1946" s="1" t="n">
        <v>44535</v>
      </c>
      <c r="C1946" s="1" t="n">
        <v>45757</v>
      </c>
      <c r="D1946" t="inlineStr">
        <is>
          <t>VÄSTMANLANDS LÄN</t>
        </is>
      </c>
      <c r="E1946" t="inlineStr">
        <is>
          <t>SALA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70266-2021</t>
        </is>
      </c>
      <c r="B1947" s="1" t="n">
        <v>44536</v>
      </c>
      <c r="C1947" s="1" t="n">
        <v>45757</v>
      </c>
      <c r="D1947" t="inlineStr">
        <is>
          <t>VÄSTMANLANDS LÄN</t>
        </is>
      </c>
      <c r="E1947" t="inlineStr">
        <is>
          <t>ARBOGA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70319-2021</t>
        </is>
      </c>
      <c r="B1948" s="1" t="n">
        <v>44536</v>
      </c>
      <c r="C1948" s="1" t="n">
        <v>45757</v>
      </c>
      <c r="D1948" t="inlineStr">
        <is>
          <t>VÄSTMANLANDS LÄN</t>
        </is>
      </c>
      <c r="E1948" t="inlineStr">
        <is>
          <t>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70642-2021</t>
        </is>
      </c>
      <c r="B1949" s="1" t="n">
        <v>44537</v>
      </c>
      <c r="C1949" s="1" t="n">
        <v>45757</v>
      </c>
      <c r="D1949" t="inlineStr">
        <is>
          <t>VÄSTMANLANDS LÄN</t>
        </is>
      </c>
      <c r="E1949" t="inlineStr">
        <is>
          <t>HALLSTAHAMMAR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70655-2021</t>
        </is>
      </c>
      <c r="B1950" s="1" t="n">
        <v>44537</v>
      </c>
      <c r="C1950" s="1" t="n">
        <v>45757</v>
      </c>
      <c r="D1950" t="inlineStr">
        <is>
          <t>VÄSTMANLANDS LÄN</t>
        </is>
      </c>
      <c r="E1950" t="inlineStr">
        <is>
          <t>SALA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70661-2021</t>
        </is>
      </c>
      <c r="B1951" s="1" t="n">
        <v>44537</v>
      </c>
      <c r="C1951" s="1" t="n">
        <v>45757</v>
      </c>
      <c r="D1951" t="inlineStr">
        <is>
          <t>VÄSTMANLANDS LÄN</t>
        </is>
      </c>
      <c r="E1951" t="inlineStr">
        <is>
          <t>NORBERG</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70958-2021</t>
        </is>
      </c>
      <c r="B1952" s="1" t="n">
        <v>44538</v>
      </c>
      <c r="C1952" s="1" t="n">
        <v>45757</v>
      </c>
      <c r="D1952" t="inlineStr">
        <is>
          <t>VÄSTMANLANDS LÄN</t>
        </is>
      </c>
      <c r="E1952" t="inlineStr">
        <is>
          <t>SALA</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70909-2021</t>
        </is>
      </c>
      <c r="B1953" s="1" t="n">
        <v>44538</v>
      </c>
      <c r="C1953" s="1" t="n">
        <v>45757</v>
      </c>
      <c r="D1953" t="inlineStr">
        <is>
          <t>VÄSTMANLANDS LÄN</t>
        </is>
      </c>
      <c r="E1953" t="inlineStr">
        <is>
          <t>KÖPING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71717-2021</t>
        </is>
      </c>
      <c r="B1954" s="1" t="n">
        <v>44539</v>
      </c>
      <c r="C1954" s="1" t="n">
        <v>45757</v>
      </c>
      <c r="D1954" t="inlineStr">
        <is>
          <t>VÄSTMANLANDS LÄN</t>
        </is>
      </c>
      <c r="E1954" t="inlineStr">
        <is>
          <t>KÖPING</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71735-2021</t>
        </is>
      </c>
      <c r="B1955" s="1" t="n">
        <v>44539</v>
      </c>
      <c r="C1955" s="1" t="n">
        <v>45757</v>
      </c>
      <c r="D1955" t="inlineStr">
        <is>
          <t>VÄSTMANLANDS LÄN</t>
        </is>
      </c>
      <c r="E1955" t="inlineStr">
        <is>
          <t>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71471-2021</t>
        </is>
      </c>
      <c r="B1956" s="1" t="n">
        <v>44540</v>
      </c>
      <c r="C1956" s="1" t="n">
        <v>45757</v>
      </c>
      <c r="D1956" t="inlineStr">
        <is>
          <t>VÄSTMANLANDS LÄN</t>
        </is>
      </c>
      <c r="E1956" t="inlineStr">
        <is>
          <t>SALA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72019-2021</t>
        </is>
      </c>
      <c r="B1957" s="1" t="n">
        <v>44540</v>
      </c>
      <c r="C1957" s="1" t="n">
        <v>45757</v>
      </c>
      <c r="D1957" t="inlineStr">
        <is>
          <t>VÄSTMANLANDS LÄN</t>
        </is>
      </c>
      <c r="E1957" t="inlineStr">
        <is>
          <t>VÄSTERÅS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71853-2021</t>
        </is>
      </c>
      <c r="B1958" s="1" t="n">
        <v>44543</v>
      </c>
      <c r="C1958" s="1" t="n">
        <v>45757</v>
      </c>
      <c r="D1958" t="inlineStr">
        <is>
          <t>VÄSTMANLANDS LÄN</t>
        </is>
      </c>
      <c r="E1958" t="inlineStr">
        <is>
          <t>SALA</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71997-2021</t>
        </is>
      </c>
      <c r="B1959" s="1" t="n">
        <v>44543</v>
      </c>
      <c r="C1959" s="1" t="n">
        <v>45757</v>
      </c>
      <c r="D1959" t="inlineStr">
        <is>
          <t>VÄSTMANLANDS LÄN</t>
        </is>
      </c>
      <c r="E1959" t="inlineStr">
        <is>
          <t>VÄSTERÅS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71999-2021</t>
        </is>
      </c>
      <c r="B1960" s="1" t="n">
        <v>44544</v>
      </c>
      <c r="C1960" s="1" t="n">
        <v>45757</v>
      </c>
      <c r="D1960" t="inlineStr">
        <is>
          <t>VÄSTMANLANDS LÄN</t>
        </is>
      </c>
      <c r="E1960" t="inlineStr">
        <is>
          <t>SKINNSKATTEBERG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72071-2021</t>
        </is>
      </c>
      <c r="B1961" s="1" t="n">
        <v>44544</v>
      </c>
      <c r="C1961" s="1" t="n">
        <v>45757</v>
      </c>
      <c r="D1961" t="inlineStr">
        <is>
          <t>VÄSTMANLANDS LÄN</t>
        </is>
      </c>
      <c r="E1961" t="inlineStr">
        <is>
          <t>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71996-2021</t>
        </is>
      </c>
      <c r="B1962" s="1" t="n">
        <v>44544</v>
      </c>
      <c r="C1962" s="1" t="n">
        <v>45757</v>
      </c>
      <c r="D1962" t="inlineStr">
        <is>
          <t>VÄSTMANLANDS LÄN</t>
        </is>
      </c>
      <c r="E1962" t="inlineStr">
        <is>
          <t>SKINNSKATTEBERG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72405-2021</t>
        </is>
      </c>
      <c r="B1963" s="1" t="n">
        <v>44545</v>
      </c>
      <c r="C1963" s="1" t="n">
        <v>45757</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72367-2021</t>
        </is>
      </c>
      <c r="B1964" s="1" t="n">
        <v>44545</v>
      </c>
      <c r="C1964" s="1" t="n">
        <v>45757</v>
      </c>
      <c r="D1964" t="inlineStr">
        <is>
          <t>VÄSTMANLANDS LÄN</t>
        </is>
      </c>
      <c r="E1964" t="inlineStr">
        <is>
          <t>SURAHAMMAR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72389-2021</t>
        </is>
      </c>
      <c r="B1965" s="1" t="n">
        <v>44545</v>
      </c>
      <c r="C1965" s="1" t="n">
        <v>45757</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72460-2021</t>
        </is>
      </c>
      <c r="B1966" s="1" t="n">
        <v>44545</v>
      </c>
      <c r="C1966" s="1" t="n">
        <v>45757</v>
      </c>
      <c r="D1966" t="inlineStr">
        <is>
          <t>VÄSTMANLANDS LÄN</t>
        </is>
      </c>
      <c r="E1966" t="inlineStr">
        <is>
          <t>KÖPING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72710-2021</t>
        </is>
      </c>
      <c r="B1967" s="1" t="n">
        <v>44545</v>
      </c>
      <c r="C1967" s="1" t="n">
        <v>45757</v>
      </c>
      <c r="D1967" t="inlineStr">
        <is>
          <t>VÄSTMANLANDS LÄN</t>
        </is>
      </c>
      <c r="E1967" t="inlineStr">
        <is>
          <t>SKINNSKATTEBERG</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72503-2021</t>
        </is>
      </c>
      <c r="B1968" s="1" t="n">
        <v>44545</v>
      </c>
      <c r="C1968" s="1" t="n">
        <v>45757</v>
      </c>
      <c r="D1968" t="inlineStr">
        <is>
          <t>VÄSTMANLANDS LÄN</t>
        </is>
      </c>
      <c r="E1968" t="inlineStr">
        <is>
          <t>SKINNSKATTEBERG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72684-2021</t>
        </is>
      </c>
      <c r="B1969" s="1" t="n">
        <v>44545</v>
      </c>
      <c r="C1969" s="1" t="n">
        <v>45757</v>
      </c>
      <c r="D1969" t="inlineStr">
        <is>
          <t>VÄSTMANLANDS LÄN</t>
        </is>
      </c>
      <c r="E1969" t="inlineStr">
        <is>
          <t>SKINNSKATTEBERG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72463-2021</t>
        </is>
      </c>
      <c r="B1970" s="1" t="n">
        <v>44545</v>
      </c>
      <c r="C1970" s="1" t="n">
        <v>45757</v>
      </c>
      <c r="D1970" t="inlineStr">
        <is>
          <t>VÄSTMANLANDS LÄN</t>
        </is>
      </c>
      <c r="E1970" t="inlineStr">
        <is>
          <t>KÖPING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72700-2021</t>
        </is>
      </c>
      <c r="B1971" s="1" t="n">
        <v>44545</v>
      </c>
      <c r="C1971" s="1" t="n">
        <v>45757</v>
      </c>
      <c r="D1971" t="inlineStr">
        <is>
          <t>VÄSTMANLANDS LÄN</t>
        </is>
      </c>
      <c r="E1971" t="inlineStr">
        <is>
          <t>KUNGSÖR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72634-2021</t>
        </is>
      </c>
      <c r="B1972" s="1" t="n">
        <v>44545</v>
      </c>
      <c r="C1972" s="1" t="n">
        <v>45757</v>
      </c>
      <c r="D1972" t="inlineStr">
        <is>
          <t>VÄSTMANLANDS LÄN</t>
        </is>
      </c>
      <c r="E1972" t="inlineStr">
        <is>
          <t>SKINNSKATTEBERG</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72810-2021</t>
        </is>
      </c>
      <c r="B1973" s="1" t="n">
        <v>44546</v>
      </c>
      <c r="C1973" s="1" t="n">
        <v>45757</v>
      </c>
      <c r="D1973" t="inlineStr">
        <is>
          <t>VÄSTMANLANDS LÄN</t>
        </is>
      </c>
      <c r="E1973" t="inlineStr">
        <is>
          <t>SALA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72805-2021</t>
        </is>
      </c>
      <c r="B1974" s="1" t="n">
        <v>44546</v>
      </c>
      <c r="C1974" s="1" t="n">
        <v>45757</v>
      </c>
      <c r="D1974" t="inlineStr">
        <is>
          <t>VÄSTMANLANDS LÄN</t>
        </is>
      </c>
      <c r="E1974" t="inlineStr">
        <is>
          <t>SALA</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72808-2021</t>
        </is>
      </c>
      <c r="B1975" s="1" t="n">
        <v>44546</v>
      </c>
      <c r="C1975" s="1" t="n">
        <v>45757</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72776-2021</t>
        </is>
      </c>
      <c r="B1976" s="1" t="n">
        <v>44547</v>
      </c>
      <c r="C1976" s="1" t="n">
        <v>45757</v>
      </c>
      <c r="D1976" t="inlineStr">
        <is>
          <t>VÄSTMANLANDS LÄN</t>
        </is>
      </c>
      <c r="E1976" t="inlineStr">
        <is>
          <t>SALA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73156-2021</t>
        </is>
      </c>
      <c r="B1977" s="1" t="n">
        <v>44550</v>
      </c>
      <c r="C1977" s="1" t="n">
        <v>45757</v>
      </c>
      <c r="D1977" t="inlineStr">
        <is>
          <t>VÄSTMANLANDS LÄN</t>
        </is>
      </c>
      <c r="E1977" t="inlineStr">
        <is>
          <t>SURAHAMMAR</t>
        </is>
      </c>
      <c r="F1977" t="inlineStr">
        <is>
          <t>Övriga Aktiebolag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73008-2021</t>
        </is>
      </c>
      <c r="B1978" s="1" t="n">
        <v>44550</v>
      </c>
      <c r="C1978" s="1" t="n">
        <v>45757</v>
      </c>
      <c r="D1978" t="inlineStr">
        <is>
          <t>VÄSTMANLANDS LÄN</t>
        </is>
      </c>
      <c r="E1978" t="inlineStr">
        <is>
          <t>SKINNSKATTEBERG</t>
        </is>
      </c>
      <c r="F1978" t="inlineStr">
        <is>
          <t>Sveaskog</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73029-2021</t>
        </is>
      </c>
      <c r="B1979" s="1" t="n">
        <v>44550</v>
      </c>
      <c r="C1979" s="1" t="n">
        <v>45757</v>
      </c>
      <c r="D1979" t="inlineStr">
        <is>
          <t>VÄSTMANLANDS LÄN</t>
        </is>
      </c>
      <c r="E1979" t="inlineStr">
        <is>
          <t>SALA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73124-2021</t>
        </is>
      </c>
      <c r="B1980" s="1" t="n">
        <v>44550</v>
      </c>
      <c r="C1980" s="1" t="n">
        <v>45757</v>
      </c>
      <c r="D1980" t="inlineStr">
        <is>
          <t>VÄSTMANLANDS LÄN</t>
        </is>
      </c>
      <c r="E1980" t="inlineStr">
        <is>
          <t>SALA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73073-2021</t>
        </is>
      </c>
      <c r="B1981" s="1" t="n">
        <v>44550</v>
      </c>
      <c r="C1981" s="1" t="n">
        <v>45757</v>
      </c>
      <c r="D1981" t="inlineStr">
        <is>
          <t>VÄSTMANLANDS LÄN</t>
        </is>
      </c>
      <c r="E1981" t="inlineStr">
        <is>
          <t>NORBERG</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73083-2021</t>
        </is>
      </c>
      <c r="B1982" s="1" t="n">
        <v>44550</v>
      </c>
      <c r="C1982" s="1" t="n">
        <v>45757</v>
      </c>
      <c r="D1982" t="inlineStr">
        <is>
          <t>VÄSTMANLANDS LÄN</t>
        </is>
      </c>
      <c r="E1982" t="inlineStr">
        <is>
          <t>NORBERG</t>
        </is>
      </c>
      <c r="F1982" t="inlineStr">
        <is>
          <t>Bergvik skog väst AB</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73219-2021</t>
        </is>
      </c>
      <c r="B1983" s="1" t="n">
        <v>44550</v>
      </c>
      <c r="C1983" s="1" t="n">
        <v>45757</v>
      </c>
      <c r="D1983" t="inlineStr">
        <is>
          <t>VÄSTMANLANDS LÄN</t>
        </is>
      </c>
      <c r="E1983" t="inlineStr">
        <is>
          <t>SALA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73293-2021</t>
        </is>
      </c>
      <c r="B1984" s="1" t="n">
        <v>44550</v>
      </c>
      <c r="C1984" s="1" t="n">
        <v>45757</v>
      </c>
      <c r="D1984" t="inlineStr">
        <is>
          <t>VÄSTMANLANDS LÄN</t>
        </is>
      </c>
      <c r="E1984" t="inlineStr">
        <is>
          <t>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73334-2021</t>
        </is>
      </c>
      <c r="B1985" s="1" t="n">
        <v>44551</v>
      </c>
      <c r="C1985" s="1" t="n">
        <v>45757</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73423-2021</t>
        </is>
      </c>
      <c r="B1986" s="1" t="n">
        <v>44551</v>
      </c>
      <c r="C1986" s="1" t="n">
        <v>45757</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73519-2021</t>
        </is>
      </c>
      <c r="B1987" s="1" t="n">
        <v>44551</v>
      </c>
      <c r="C1987" s="1" t="n">
        <v>45757</v>
      </c>
      <c r="D1987" t="inlineStr">
        <is>
          <t>VÄSTMANLANDS LÄN</t>
        </is>
      </c>
      <c r="E1987" t="inlineStr">
        <is>
          <t>SALA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73597-2021</t>
        </is>
      </c>
      <c r="B1988" s="1" t="n">
        <v>44552</v>
      </c>
      <c r="C1988" s="1" t="n">
        <v>45757</v>
      </c>
      <c r="D1988" t="inlineStr">
        <is>
          <t>VÄSTMANLANDS LÄN</t>
        </is>
      </c>
      <c r="E1988" t="inlineStr">
        <is>
          <t>VÄSTERÅS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73683-2021</t>
        </is>
      </c>
      <c r="B1989" s="1" t="n">
        <v>44552</v>
      </c>
      <c r="C1989" s="1" t="n">
        <v>45757</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73569-2021</t>
        </is>
      </c>
      <c r="B1990" s="1" t="n">
        <v>44552</v>
      </c>
      <c r="C1990" s="1" t="n">
        <v>45757</v>
      </c>
      <c r="D1990" t="inlineStr">
        <is>
          <t>VÄSTMANLANDS LÄN</t>
        </is>
      </c>
      <c r="E1990" t="inlineStr">
        <is>
          <t>KÖPING</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73663-2021</t>
        </is>
      </c>
      <c r="B1991" s="1" t="n">
        <v>44552</v>
      </c>
      <c r="C1991" s="1" t="n">
        <v>45757</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73679-2021</t>
        </is>
      </c>
      <c r="B1992" s="1" t="n">
        <v>44552</v>
      </c>
      <c r="C1992" s="1" t="n">
        <v>45757</v>
      </c>
      <c r="D1992" t="inlineStr">
        <is>
          <t>VÄSTMANLANDS LÄN</t>
        </is>
      </c>
      <c r="E1992" t="inlineStr">
        <is>
          <t>VÄSTERÅS</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73601-2021</t>
        </is>
      </c>
      <c r="B1993" s="1" t="n">
        <v>44552</v>
      </c>
      <c r="C1993" s="1" t="n">
        <v>45757</v>
      </c>
      <c r="D1993" t="inlineStr">
        <is>
          <t>VÄSTMANLANDS LÄN</t>
        </is>
      </c>
      <c r="E1993" t="inlineStr">
        <is>
          <t>VÄSTERÅS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73673-2021</t>
        </is>
      </c>
      <c r="B1994" s="1" t="n">
        <v>44552</v>
      </c>
      <c r="C1994" s="1" t="n">
        <v>45757</v>
      </c>
      <c r="D1994" t="inlineStr">
        <is>
          <t>VÄSTMANLANDS LÄN</t>
        </is>
      </c>
      <c r="E1994" t="inlineStr">
        <is>
          <t>SALA</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73606-2021</t>
        </is>
      </c>
      <c r="B1995" s="1" t="n">
        <v>44552</v>
      </c>
      <c r="C1995" s="1" t="n">
        <v>45757</v>
      </c>
      <c r="D1995" t="inlineStr">
        <is>
          <t>VÄSTMANLANDS LÄN</t>
        </is>
      </c>
      <c r="E1995" t="inlineStr">
        <is>
          <t>SALA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73668-2021</t>
        </is>
      </c>
      <c r="B1996" s="1" t="n">
        <v>44552</v>
      </c>
      <c r="C1996" s="1" t="n">
        <v>45757</v>
      </c>
      <c r="D1996" t="inlineStr">
        <is>
          <t>VÄSTMANLANDS LÄN</t>
        </is>
      </c>
      <c r="E1996" t="inlineStr">
        <is>
          <t>SALA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73797-2021</t>
        </is>
      </c>
      <c r="B1997" s="1" t="n">
        <v>44552</v>
      </c>
      <c r="C1997" s="1" t="n">
        <v>45757</v>
      </c>
      <c r="D1997" t="inlineStr">
        <is>
          <t>VÄSTMANLANDS LÄN</t>
        </is>
      </c>
      <c r="E1997" t="inlineStr">
        <is>
          <t>NORBERG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73687-2021</t>
        </is>
      </c>
      <c r="B1998" s="1" t="n">
        <v>44552</v>
      </c>
      <c r="C1998" s="1" t="n">
        <v>45757</v>
      </c>
      <c r="D1998" t="inlineStr">
        <is>
          <t>VÄSTMANLANDS LÄN</t>
        </is>
      </c>
      <c r="E1998" t="inlineStr">
        <is>
          <t>SALA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73788-2021</t>
        </is>
      </c>
      <c r="B1999" s="1" t="n">
        <v>44552</v>
      </c>
      <c r="C1999" s="1" t="n">
        <v>45757</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73835-2021</t>
        </is>
      </c>
      <c r="B2000" s="1" t="n">
        <v>44552</v>
      </c>
      <c r="C2000" s="1" t="n">
        <v>45757</v>
      </c>
      <c r="D2000" t="inlineStr">
        <is>
          <t>VÄSTMANLANDS LÄN</t>
        </is>
      </c>
      <c r="E2000" t="inlineStr">
        <is>
          <t>SALA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73890-2021</t>
        </is>
      </c>
      <c r="B2001" s="1" t="n">
        <v>44553</v>
      </c>
      <c r="C2001" s="1" t="n">
        <v>45757</v>
      </c>
      <c r="D2001" t="inlineStr">
        <is>
          <t>VÄSTMANLANDS LÄN</t>
        </is>
      </c>
      <c r="E2001" t="inlineStr">
        <is>
          <t>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73888-2021</t>
        </is>
      </c>
      <c r="B2002" s="1" t="n">
        <v>44553</v>
      </c>
      <c r="C2002" s="1" t="n">
        <v>45757</v>
      </c>
      <c r="D2002" t="inlineStr">
        <is>
          <t>VÄSTMANLANDS LÄN</t>
        </is>
      </c>
      <c r="E2002" t="inlineStr">
        <is>
          <t>KÖPING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73994-2021</t>
        </is>
      </c>
      <c r="B2003" s="1" t="n">
        <v>44556</v>
      </c>
      <c r="C2003" s="1" t="n">
        <v>45757</v>
      </c>
      <c r="D2003" t="inlineStr">
        <is>
          <t>VÄSTMANLANDS LÄN</t>
        </is>
      </c>
      <c r="E2003" t="inlineStr">
        <is>
          <t>VÄSTERÅS</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74123-2021</t>
        </is>
      </c>
      <c r="B2004" s="1" t="n">
        <v>44557</v>
      </c>
      <c r="C2004" s="1" t="n">
        <v>45757</v>
      </c>
      <c r="D2004" t="inlineStr">
        <is>
          <t>VÄSTMANLANDS LÄN</t>
        </is>
      </c>
      <c r="E2004" t="inlineStr">
        <is>
          <t>SALA</t>
        </is>
      </c>
      <c r="F2004" t="inlineStr">
        <is>
          <t>Kommuner</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74277-2021</t>
        </is>
      </c>
      <c r="B2005" s="1" t="n">
        <v>44558</v>
      </c>
      <c r="C2005" s="1" t="n">
        <v>45757</v>
      </c>
      <c r="D2005" t="inlineStr">
        <is>
          <t>VÄSTMANLANDS LÄN</t>
        </is>
      </c>
      <c r="E2005" t="inlineStr">
        <is>
          <t>SALA</t>
        </is>
      </c>
      <c r="F2005" t="inlineStr">
        <is>
          <t>Kommuner</t>
        </is>
      </c>
      <c r="G2005" t="n">
        <v>24.4</v>
      </c>
      <c r="H2005" t="n">
        <v>0</v>
      </c>
      <c r="I2005" t="n">
        <v>0</v>
      </c>
      <c r="J2005" t="n">
        <v>0</v>
      </c>
      <c r="K2005" t="n">
        <v>0</v>
      </c>
      <c r="L2005" t="n">
        <v>0</v>
      </c>
      <c r="M2005" t="n">
        <v>0</v>
      </c>
      <c r="N2005" t="n">
        <v>0</v>
      </c>
      <c r="O2005" t="n">
        <v>0</v>
      </c>
      <c r="P2005" t="n">
        <v>0</v>
      </c>
      <c r="Q2005" t="n">
        <v>0</v>
      </c>
      <c r="R2005" s="2" t="inlineStr"/>
    </row>
    <row r="2006" ht="15" customHeight="1">
      <c r="A2006" t="inlineStr">
        <is>
          <t>A 74279-2021</t>
        </is>
      </c>
      <c r="B2006" s="1" t="n">
        <v>44558</v>
      </c>
      <c r="C2006" s="1" t="n">
        <v>45757</v>
      </c>
      <c r="D2006" t="inlineStr">
        <is>
          <t>VÄSTMANLANDS LÄN</t>
        </is>
      </c>
      <c r="E2006" t="inlineStr">
        <is>
          <t>KÖPING</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74314-2021</t>
        </is>
      </c>
      <c r="B2007" s="1" t="n">
        <v>44559</v>
      </c>
      <c r="C2007" s="1" t="n">
        <v>45757</v>
      </c>
      <c r="D2007" t="inlineStr">
        <is>
          <t>VÄSTMANLANDS LÄN</t>
        </is>
      </c>
      <c r="E2007" t="inlineStr">
        <is>
          <t>VÄSTERÅS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74356-2021</t>
        </is>
      </c>
      <c r="B2008" s="1" t="n">
        <v>44559</v>
      </c>
      <c r="C2008" s="1" t="n">
        <v>45757</v>
      </c>
      <c r="D2008" t="inlineStr">
        <is>
          <t>VÄSTMANLANDS LÄN</t>
        </is>
      </c>
      <c r="E2008" t="inlineStr">
        <is>
          <t>FAGERSTA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74423-2021</t>
        </is>
      </c>
      <c r="B2009" s="1" t="n">
        <v>44564</v>
      </c>
      <c r="C2009" s="1" t="n">
        <v>45757</v>
      </c>
      <c r="D2009" t="inlineStr">
        <is>
          <t>VÄSTMANLANDS LÄN</t>
        </is>
      </c>
      <c r="E2009" t="inlineStr">
        <is>
          <t>FAGERSTA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74425-2021</t>
        </is>
      </c>
      <c r="B2010" s="1" t="n">
        <v>44564</v>
      </c>
      <c r="C2010" s="1" t="n">
        <v>45757</v>
      </c>
      <c r="D2010" t="inlineStr">
        <is>
          <t>VÄSTMANLANDS LÄN</t>
        </is>
      </c>
      <c r="E2010" t="inlineStr">
        <is>
          <t>FAGERSTA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617-2022</t>
        </is>
      </c>
      <c r="B2011" s="1" t="n">
        <v>44567</v>
      </c>
      <c r="C2011" s="1" t="n">
        <v>45757</v>
      </c>
      <c r="D2011" t="inlineStr">
        <is>
          <t>VÄSTMANLANDS LÄN</t>
        </is>
      </c>
      <c r="E2011" t="inlineStr">
        <is>
          <t>SALA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822-2022</t>
        </is>
      </c>
      <c r="B2012" s="1" t="n">
        <v>44571</v>
      </c>
      <c r="C2012" s="1" t="n">
        <v>45757</v>
      </c>
      <c r="D2012" t="inlineStr">
        <is>
          <t>VÄSTMANLANDS LÄN</t>
        </is>
      </c>
      <c r="E2012" t="inlineStr">
        <is>
          <t>VÄSTERÅS</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836-2022</t>
        </is>
      </c>
      <c r="B2013" s="1" t="n">
        <v>44571</v>
      </c>
      <c r="C2013" s="1" t="n">
        <v>45757</v>
      </c>
      <c r="D2013" t="inlineStr">
        <is>
          <t>VÄSTMANLANDS LÄN</t>
        </is>
      </c>
      <c r="E2013" t="inlineStr">
        <is>
          <t>VÄSTERÅS</t>
        </is>
      </c>
      <c r="G2013" t="n">
        <v>11.3</v>
      </c>
      <c r="H2013" t="n">
        <v>0</v>
      </c>
      <c r="I2013" t="n">
        <v>0</v>
      </c>
      <c r="J2013" t="n">
        <v>0</v>
      </c>
      <c r="K2013" t="n">
        <v>0</v>
      </c>
      <c r="L2013" t="n">
        <v>0</v>
      </c>
      <c r="M2013" t="n">
        <v>0</v>
      </c>
      <c r="N2013" t="n">
        <v>0</v>
      </c>
      <c r="O2013" t="n">
        <v>0</v>
      </c>
      <c r="P2013" t="n">
        <v>0</v>
      </c>
      <c r="Q2013" t="n">
        <v>0</v>
      </c>
      <c r="R2013" s="2" t="inlineStr"/>
    </row>
    <row r="2014" ht="15" customHeight="1">
      <c r="A2014" t="inlineStr">
        <is>
          <t>A 939-2022</t>
        </is>
      </c>
      <c r="B2014" s="1" t="n">
        <v>44571</v>
      </c>
      <c r="C2014" s="1" t="n">
        <v>45757</v>
      </c>
      <c r="D2014" t="inlineStr">
        <is>
          <t>VÄSTMANLANDS LÄN</t>
        </is>
      </c>
      <c r="E2014" t="inlineStr">
        <is>
          <t>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1043-2022</t>
        </is>
      </c>
      <c r="B2015" s="1" t="n">
        <v>44571</v>
      </c>
      <c r="C2015" s="1" t="n">
        <v>45757</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1195-2022</t>
        </is>
      </c>
      <c r="B2016" s="1" t="n">
        <v>44572</v>
      </c>
      <c r="C2016" s="1" t="n">
        <v>45757</v>
      </c>
      <c r="D2016" t="inlineStr">
        <is>
          <t>VÄSTMANLANDS LÄN</t>
        </is>
      </c>
      <c r="E2016" t="inlineStr">
        <is>
          <t>VÄSTERÅS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1198-2022</t>
        </is>
      </c>
      <c r="B2017" s="1" t="n">
        <v>44572</v>
      </c>
      <c r="C2017" s="1" t="n">
        <v>45757</v>
      </c>
      <c r="D2017" t="inlineStr">
        <is>
          <t>VÄSTMANLANDS LÄN</t>
        </is>
      </c>
      <c r="E2017" t="inlineStr">
        <is>
          <t>VÄSTERÅS</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1162-2022</t>
        </is>
      </c>
      <c r="B2018" s="1" t="n">
        <v>44572</v>
      </c>
      <c r="C2018" s="1" t="n">
        <v>45757</v>
      </c>
      <c r="D2018" t="inlineStr">
        <is>
          <t>VÄSTMANLANDS LÄN</t>
        </is>
      </c>
      <c r="E2018" t="inlineStr">
        <is>
          <t>SALA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1186-2022</t>
        </is>
      </c>
      <c r="B2019" s="1" t="n">
        <v>44572</v>
      </c>
      <c r="C2019" s="1" t="n">
        <v>45757</v>
      </c>
      <c r="D2019" t="inlineStr">
        <is>
          <t>VÄSTMANLANDS LÄN</t>
        </is>
      </c>
      <c r="E2019" t="inlineStr">
        <is>
          <t>VÄSTERÅS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1470-2022</t>
        </is>
      </c>
      <c r="B2020" s="1" t="n">
        <v>44573</v>
      </c>
      <c r="C2020" s="1" t="n">
        <v>45757</v>
      </c>
      <c r="D2020" t="inlineStr">
        <is>
          <t>VÄSTMANLANDS LÄN</t>
        </is>
      </c>
      <c r="E2020" t="inlineStr">
        <is>
          <t>ARBOGA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1652-2022</t>
        </is>
      </c>
      <c r="B2021" s="1" t="n">
        <v>44574</v>
      </c>
      <c r="C2021" s="1" t="n">
        <v>45757</v>
      </c>
      <c r="D2021" t="inlineStr">
        <is>
          <t>VÄSTMANLANDS LÄN</t>
        </is>
      </c>
      <c r="E2021" t="inlineStr">
        <is>
          <t>VÄSTERÅS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1812-2022</t>
        </is>
      </c>
      <c r="B2022" s="1" t="n">
        <v>44574</v>
      </c>
      <c r="C2022" s="1" t="n">
        <v>45757</v>
      </c>
      <c r="D2022" t="inlineStr">
        <is>
          <t>VÄSTMANLANDS LÄN</t>
        </is>
      </c>
      <c r="E2022" t="inlineStr">
        <is>
          <t>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1906-2022</t>
        </is>
      </c>
      <c r="B2023" s="1" t="n">
        <v>44575</v>
      </c>
      <c r="C2023" s="1" t="n">
        <v>45757</v>
      </c>
      <c r="D2023" t="inlineStr">
        <is>
          <t>VÄSTMANLANDS LÄN</t>
        </is>
      </c>
      <c r="E2023" t="inlineStr">
        <is>
          <t>KUNGSÖR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1985-2022</t>
        </is>
      </c>
      <c r="B2024" s="1" t="n">
        <v>44575</v>
      </c>
      <c r="C2024" s="1" t="n">
        <v>45757</v>
      </c>
      <c r="D2024" t="inlineStr">
        <is>
          <t>VÄSTMANLANDS LÄN</t>
        </is>
      </c>
      <c r="E2024" t="inlineStr">
        <is>
          <t>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1993-2022</t>
        </is>
      </c>
      <c r="B2025" s="1" t="n">
        <v>44575</v>
      </c>
      <c r="C2025" s="1" t="n">
        <v>45757</v>
      </c>
      <c r="D2025" t="inlineStr">
        <is>
          <t>VÄSTMANLANDS LÄN</t>
        </is>
      </c>
      <c r="E2025" t="inlineStr">
        <is>
          <t>SALA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2312-2022</t>
        </is>
      </c>
      <c r="B2026" s="1" t="n">
        <v>44578</v>
      </c>
      <c r="C2026" s="1" t="n">
        <v>45757</v>
      </c>
      <c r="D2026" t="inlineStr">
        <is>
          <t>VÄSTMANLANDS LÄN</t>
        </is>
      </c>
      <c r="E2026" t="inlineStr">
        <is>
          <t>NORBERG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2529-2022</t>
        </is>
      </c>
      <c r="B2027" s="1" t="n">
        <v>44579</v>
      </c>
      <c r="C2027" s="1" t="n">
        <v>45757</v>
      </c>
      <c r="D2027" t="inlineStr">
        <is>
          <t>VÄSTMANLANDS LÄN</t>
        </is>
      </c>
      <c r="E2027" t="inlineStr">
        <is>
          <t>SALA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2854-2022</t>
        </is>
      </c>
      <c r="B2028" s="1" t="n">
        <v>44581</v>
      </c>
      <c r="C2028" s="1" t="n">
        <v>45757</v>
      </c>
      <c r="D2028" t="inlineStr">
        <is>
          <t>VÄSTMANLANDS LÄN</t>
        </is>
      </c>
      <c r="E2028" t="inlineStr">
        <is>
          <t>KÖPING</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3050-2022</t>
        </is>
      </c>
      <c r="B2029" s="1" t="n">
        <v>44582</v>
      </c>
      <c r="C2029" s="1" t="n">
        <v>45757</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3113-2022</t>
        </is>
      </c>
      <c r="B2030" s="1" t="n">
        <v>44582</v>
      </c>
      <c r="C2030" s="1" t="n">
        <v>45757</v>
      </c>
      <c r="D2030" t="inlineStr">
        <is>
          <t>VÄSTMANLANDS LÄN</t>
        </is>
      </c>
      <c r="E2030" t="inlineStr">
        <is>
          <t>ARBOGA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3118-2022</t>
        </is>
      </c>
      <c r="B2031" s="1" t="n">
        <v>44582</v>
      </c>
      <c r="C2031" s="1" t="n">
        <v>45757</v>
      </c>
      <c r="D2031" t="inlineStr">
        <is>
          <t>VÄSTMANLANDS LÄN</t>
        </is>
      </c>
      <c r="E2031" t="inlineStr">
        <is>
          <t>VÄSTERÅS</t>
        </is>
      </c>
      <c r="F2031" t="inlineStr">
        <is>
          <t>Övriga Aktiebolag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3128-2022</t>
        </is>
      </c>
      <c r="B2032" s="1" t="n">
        <v>44582</v>
      </c>
      <c r="C2032" s="1" t="n">
        <v>45757</v>
      </c>
      <c r="D2032" t="inlineStr">
        <is>
          <t>VÄSTMANLANDS LÄN</t>
        </is>
      </c>
      <c r="E2032" t="inlineStr">
        <is>
          <t>ARBOGA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3155-2022</t>
        </is>
      </c>
      <c r="B2033" s="1" t="n">
        <v>44582</v>
      </c>
      <c r="C2033" s="1" t="n">
        <v>45757</v>
      </c>
      <c r="D2033" t="inlineStr">
        <is>
          <t>VÄSTMANLANDS LÄN</t>
        </is>
      </c>
      <c r="E2033" t="inlineStr">
        <is>
          <t>SURAHAMMAR</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3201-2022</t>
        </is>
      </c>
      <c r="B2034" s="1" t="n">
        <v>44582</v>
      </c>
      <c r="C2034" s="1" t="n">
        <v>45757</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3196-2022</t>
        </is>
      </c>
      <c r="B2035" s="1" t="n">
        <v>44582</v>
      </c>
      <c r="C2035" s="1" t="n">
        <v>45757</v>
      </c>
      <c r="D2035" t="inlineStr">
        <is>
          <t>VÄSTMANLANDS LÄN</t>
        </is>
      </c>
      <c r="E2035" t="inlineStr">
        <is>
          <t>KÖPING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3204-2022</t>
        </is>
      </c>
      <c r="B2036" s="1" t="n">
        <v>44582</v>
      </c>
      <c r="C2036" s="1" t="n">
        <v>45757</v>
      </c>
      <c r="D2036" t="inlineStr">
        <is>
          <t>VÄSTMANLANDS LÄN</t>
        </is>
      </c>
      <c r="E2036" t="inlineStr">
        <is>
          <t>SALA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3595-2022</t>
        </is>
      </c>
      <c r="B2037" s="1" t="n">
        <v>44586</v>
      </c>
      <c r="C2037" s="1" t="n">
        <v>45757</v>
      </c>
      <c r="D2037" t="inlineStr">
        <is>
          <t>VÄSTMANLANDS LÄN</t>
        </is>
      </c>
      <c r="E2037" t="inlineStr">
        <is>
          <t>SURAHAMMAR</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3682-2022</t>
        </is>
      </c>
      <c r="B2038" s="1" t="n">
        <v>44586</v>
      </c>
      <c r="C2038" s="1" t="n">
        <v>45757</v>
      </c>
      <c r="D2038" t="inlineStr">
        <is>
          <t>VÄSTMANLANDS LÄN</t>
        </is>
      </c>
      <c r="E2038" t="inlineStr">
        <is>
          <t>FAGERSTA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3647-2022</t>
        </is>
      </c>
      <c r="B2039" s="1" t="n">
        <v>44586</v>
      </c>
      <c r="C2039" s="1" t="n">
        <v>45757</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3818-2022</t>
        </is>
      </c>
      <c r="B2040" s="1" t="n">
        <v>44587</v>
      </c>
      <c r="C2040" s="1" t="n">
        <v>45757</v>
      </c>
      <c r="D2040" t="inlineStr">
        <is>
          <t>VÄSTMANLANDS LÄN</t>
        </is>
      </c>
      <c r="E2040" t="inlineStr">
        <is>
          <t>SURAHAMMAR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3888-2022</t>
        </is>
      </c>
      <c r="B2041" s="1" t="n">
        <v>44587</v>
      </c>
      <c r="C2041" s="1" t="n">
        <v>45757</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3920-2022</t>
        </is>
      </c>
      <c r="B2042" s="1" t="n">
        <v>44587</v>
      </c>
      <c r="C2042" s="1" t="n">
        <v>45757</v>
      </c>
      <c r="D2042" t="inlineStr">
        <is>
          <t>VÄSTMANLANDS LÄN</t>
        </is>
      </c>
      <c r="E2042" t="inlineStr">
        <is>
          <t>SALA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4043-2022</t>
        </is>
      </c>
      <c r="B2043" s="1" t="n">
        <v>44588</v>
      </c>
      <c r="C2043" s="1" t="n">
        <v>45757</v>
      </c>
      <c r="D2043" t="inlineStr">
        <is>
          <t>VÄSTMANLANDS LÄN</t>
        </is>
      </c>
      <c r="E2043" t="inlineStr">
        <is>
          <t>SKINNSKATTEBERG</t>
        </is>
      </c>
      <c r="F2043" t="inlineStr">
        <is>
          <t>Kyrkan</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4237-2022</t>
        </is>
      </c>
      <c r="B2044" s="1" t="n">
        <v>44588</v>
      </c>
      <c r="C2044" s="1" t="n">
        <v>45757</v>
      </c>
      <c r="D2044" t="inlineStr">
        <is>
          <t>VÄSTMANLANDS LÄN</t>
        </is>
      </c>
      <c r="E2044" t="inlineStr">
        <is>
          <t>SALA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4205-2022</t>
        </is>
      </c>
      <c r="B2045" s="1" t="n">
        <v>44588</v>
      </c>
      <c r="C2045" s="1" t="n">
        <v>45757</v>
      </c>
      <c r="D2045" t="inlineStr">
        <is>
          <t>VÄSTMANLANDS LÄN</t>
        </is>
      </c>
      <c r="E2045" t="inlineStr">
        <is>
          <t>FAGERSTA</t>
        </is>
      </c>
      <c r="F2045" t="inlineStr">
        <is>
          <t>Kommuner</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4281-2022</t>
        </is>
      </c>
      <c r="B2046" s="1" t="n">
        <v>44588</v>
      </c>
      <c r="C2046" s="1" t="n">
        <v>45757</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4663-2022</t>
        </is>
      </c>
      <c r="B2047" s="1" t="n">
        <v>44592</v>
      </c>
      <c r="C2047" s="1" t="n">
        <v>45757</v>
      </c>
      <c r="D2047" t="inlineStr">
        <is>
          <t>VÄSTMANLANDS LÄN</t>
        </is>
      </c>
      <c r="E2047" t="inlineStr">
        <is>
          <t>SALA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4779-2022</t>
        </is>
      </c>
      <c r="B2048" s="1" t="n">
        <v>44592</v>
      </c>
      <c r="C2048" s="1" t="n">
        <v>45757</v>
      </c>
      <c r="D2048" t="inlineStr">
        <is>
          <t>VÄSTMANLANDS LÄN</t>
        </is>
      </c>
      <c r="E2048" t="inlineStr">
        <is>
          <t>SALA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5208-2022</t>
        </is>
      </c>
      <c r="B2049" s="1" t="n">
        <v>44594</v>
      </c>
      <c r="C2049" s="1" t="n">
        <v>45757</v>
      </c>
      <c r="D2049" t="inlineStr">
        <is>
          <t>VÄSTMANLANDS LÄN</t>
        </is>
      </c>
      <c r="E2049" t="inlineStr">
        <is>
          <t>VÄSTERÅS</t>
        </is>
      </c>
      <c r="G2049" t="n">
        <v>20.3</v>
      </c>
      <c r="H2049" t="n">
        <v>0</v>
      </c>
      <c r="I2049" t="n">
        <v>0</v>
      </c>
      <c r="J2049" t="n">
        <v>0</v>
      </c>
      <c r="K2049" t="n">
        <v>0</v>
      </c>
      <c r="L2049" t="n">
        <v>0</v>
      </c>
      <c r="M2049" t="n">
        <v>0</v>
      </c>
      <c r="N2049" t="n">
        <v>0</v>
      </c>
      <c r="O2049" t="n">
        <v>0</v>
      </c>
      <c r="P2049" t="n">
        <v>0</v>
      </c>
      <c r="Q2049" t="n">
        <v>0</v>
      </c>
      <c r="R2049" s="2" t="inlineStr"/>
    </row>
    <row r="2050" ht="15" customHeight="1">
      <c r="A2050" t="inlineStr">
        <is>
          <t>A 5335-2022</t>
        </is>
      </c>
      <c r="B2050" s="1" t="n">
        <v>44594</v>
      </c>
      <c r="C2050" s="1" t="n">
        <v>45757</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7738-2022</t>
        </is>
      </c>
      <c r="B2051" s="1" t="n">
        <v>44594</v>
      </c>
      <c r="C2051" s="1" t="n">
        <v>45757</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5604-2022</t>
        </is>
      </c>
      <c r="B2052" s="1" t="n">
        <v>44595</v>
      </c>
      <c r="C2052" s="1" t="n">
        <v>45757</v>
      </c>
      <c r="D2052" t="inlineStr">
        <is>
          <t>VÄSTMANLANDS LÄN</t>
        </is>
      </c>
      <c r="E2052" t="inlineStr">
        <is>
          <t>VÄSTERÅS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5567-2022</t>
        </is>
      </c>
      <c r="B2053" s="1" t="n">
        <v>44595</v>
      </c>
      <c r="C2053" s="1" t="n">
        <v>45757</v>
      </c>
      <c r="D2053" t="inlineStr">
        <is>
          <t>VÄSTMANLANDS LÄN</t>
        </is>
      </c>
      <c r="E2053" t="inlineStr">
        <is>
          <t>SURAHAMMAR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5603-2022</t>
        </is>
      </c>
      <c r="B2054" s="1" t="n">
        <v>44595</v>
      </c>
      <c r="C2054" s="1" t="n">
        <v>45757</v>
      </c>
      <c r="D2054" t="inlineStr">
        <is>
          <t>VÄSTMANLANDS LÄN</t>
        </is>
      </c>
      <c r="E2054" t="inlineStr">
        <is>
          <t>VÄSTERÅS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5737-2022</t>
        </is>
      </c>
      <c r="B2055" s="1" t="n">
        <v>44596</v>
      </c>
      <c r="C2055" s="1" t="n">
        <v>45757</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5728-2022</t>
        </is>
      </c>
      <c r="B2056" s="1" t="n">
        <v>44596</v>
      </c>
      <c r="C2056" s="1" t="n">
        <v>45757</v>
      </c>
      <c r="D2056" t="inlineStr">
        <is>
          <t>VÄSTMANLANDS LÄN</t>
        </is>
      </c>
      <c r="E2056" t="inlineStr">
        <is>
          <t>SALA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6097-2022</t>
        </is>
      </c>
      <c r="B2057" s="1" t="n">
        <v>44599</v>
      </c>
      <c r="C2057" s="1" t="n">
        <v>45757</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6277-2022</t>
        </is>
      </c>
      <c r="B2058" s="1" t="n">
        <v>44600</v>
      </c>
      <c r="C2058" s="1" t="n">
        <v>45757</v>
      </c>
      <c r="D2058" t="inlineStr">
        <is>
          <t>VÄSTMANLANDS LÄN</t>
        </is>
      </c>
      <c r="E2058" t="inlineStr">
        <is>
          <t>VÄSTERÅS</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6319-2022</t>
        </is>
      </c>
      <c r="B2059" s="1" t="n">
        <v>44600</v>
      </c>
      <c r="C2059" s="1" t="n">
        <v>45757</v>
      </c>
      <c r="D2059" t="inlineStr">
        <is>
          <t>VÄSTMANLANDS LÄN</t>
        </is>
      </c>
      <c r="E2059" t="inlineStr">
        <is>
          <t>KUNGSÖR</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6353-2022</t>
        </is>
      </c>
      <c r="B2060" s="1" t="n">
        <v>44600</v>
      </c>
      <c r="C2060" s="1" t="n">
        <v>45757</v>
      </c>
      <c r="D2060" t="inlineStr">
        <is>
          <t>VÄSTMANLANDS LÄN</t>
        </is>
      </c>
      <c r="E2060" t="inlineStr">
        <is>
          <t>NORBERG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6420-2022</t>
        </is>
      </c>
      <c r="B2061" s="1" t="n">
        <v>44600</v>
      </c>
      <c r="C2061" s="1" t="n">
        <v>45757</v>
      </c>
      <c r="D2061" t="inlineStr">
        <is>
          <t>VÄSTMANLANDS LÄN</t>
        </is>
      </c>
      <c r="E2061" t="inlineStr">
        <is>
          <t>VÄSTERÅS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6585-2022</t>
        </is>
      </c>
      <c r="B2062" s="1" t="n">
        <v>44601</v>
      </c>
      <c r="C2062" s="1" t="n">
        <v>45757</v>
      </c>
      <c r="D2062" t="inlineStr">
        <is>
          <t>VÄSTMANLANDS LÄN</t>
        </is>
      </c>
      <c r="E2062" t="inlineStr">
        <is>
          <t>VÄSTERÅS</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6589-2022</t>
        </is>
      </c>
      <c r="B2063" s="1" t="n">
        <v>44601</v>
      </c>
      <c r="C2063" s="1" t="n">
        <v>45757</v>
      </c>
      <c r="D2063" t="inlineStr">
        <is>
          <t>VÄSTMANLANDS LÄN</t>
        </is>
      </c>
      <c r="E2063" t="inlineStr">
        <is>
          <t>VÄSTERÅS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6603-2022</t>
        </is>
      </c>
      <c r="B2064" s="1" t="n">
        <v>44601</v>
      </c>
      <c r="C2064" s="1" t="n">
        <v>45757</v>
      </c>
      <c r="D2064" t="inlineStr">
        <is>
          <t>VÄSTMANLANDS LÄN</t>
        </is>
      </c>
      <c r="E2064" t="inlineStr">
        <is>
          <t>VÄSTERÅS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6734-2022</t>
        </is>
      </c>
      <c r="B2065" s="1" t="n">
        <v>44602</v>
      </c>
      <c r="C2065" s="1" t="n">
        <v>45757</v>
      </c>
      <c r="D2065" t="inlineStr">
        <is>
          <t>VÄSTMANLANDS LÄN</t>
        </is>
      </c>
      <c r="E2065" t="inlineStr">
        <is>
          <t>KUNGSÖR</t>
        </is>
      </c>
      <c r="G2065" t="n">
        <v>32.3</v>
      </c>
      <c r="H2065" t="n">
        <v>0</v>
      </c>
      <c r="I2065" t="n">
        <v>0</v>
      </c>
      <c r="J2065" t="n">
        <v>0</v>
      </c>
      <c r="K2065" t="n">
        <v>0</v>
      </c>
      <c r="L2065" t="n">
        <v>0</v>
      </c>
      <c r="M2065" t="n">
        <v>0</v>
      </c>
      <c r="N2065" t="n">
        <v>0</v>
      </c>
      <c r="O2065" t="n">
        <v>0</v>
      </c>
      <c r="P2065" t="n">
        <v>0</v>
      </c>
      <c r="Q2065" t="n">
        <v>0</v>
      </c>
      <c r="R2065" s="2" t="inlineStr"/>
    </row>
    <row r="2066" ht="15" customHeight="1">
      <c r="A2066" t="inlineStr">
        <is>
          <t>A 6705-2022</t>
        </is>
      </c>
      <c r="B2066" s="1" t="n">
        <v>44602</v>
      </c>
      <c r="C2066" s="1" t="n">
        <v>45757</v>
      </c>
      <c r="D2066" t="inlineStr">
        <is>
          <t>VÄSTMANLANDS LÄN</t>
        </is>
      </c>
      <c r="E2066" t="inlineStr">
        <is>
          <t>SALA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6665-2022</t>
        </is>
      </c>
      <c r="B2067" s="1" t="n">
        <v>44602</v>
      </c>
      <c r="C2067" s="1" t="n">
        <v>45757</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6698-2022</t>
        </is>
      </c>
      <c r="B2068" s="1" t="n">
        <v>44602</v>
      </c>
      <c r="C2068" s="1" t="n">
        <v>45757</v>
      </c>
      <c r="D2068" t="inlineStr">
        <is>
          <t>VÄSTMANLANDS LÄN</t>
        </is>
      </c>
      <c r="E2068" t="inlineStr">
        <is>
          <t>ARBOGA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6757-2022</t>
        </is>
      </c>
      <c r="B2069" s="1" t="n">
        <v>44602</v>
      </c>
      <c r="C2069" s="1" t="n">
        <v>45757</v>
      </c>
      <c r="D2069" t="inlineStr">
        <is>
          <t>VÄSTMANLANDS LÄN</t>
        </is>
      </c>
      <c r="E2069" t="inlineStr">
        <is>
          <t>KUNGSÖR</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6667-2022</t>
        </is>
      </c>
      <c r="B2070" s="1" t="n">
        <v>44602</v>
      </c>
      <c r="C2070" s="1" t="n">
        <v>45757</v>
      </c>
      <c r="D2070" t="inlineStr">
        <is>
          <t>VÄSTMANLANDS LÄN</t>
        </is>
      </c>
      <c r="E2070" t="inlineStr">
        <is>
          <t>SALA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6710-2022</t>
        </is>
      </c>
      <c r="B2071" s="1" t="n">
        <v>44602</v>
      </c>
      <c r="C2071" s="1" t="n">
        <v>45757</v>
      </c>
      <c r="D2071" t="inlineStr">
        <is>
          <t>VÄSTMANLANDS LÄN</t>
        </is>
      </c>
      <c r="E2071" t="inlineStr">
        <is>
          <t>SALA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7097-2022</t>
        </is>
      </c>
      <c r="B2072" s="1" t="n">
        <v>44603</v>
      </c>
      <c r="C2072" s="1" t="n">
        <v>45757</v>
      </c>
      <c r="D2072" t="inlineStr">
        <is>
          <t>VÄSTMANLANDS LÄN</t>
        </is>
      </c>
      <c r="E2072" t="inlineStr">
        <is>
          <t>SKINNSKATTEBERG</t>
        </is>
      </c>
      <c r="F2072" t="inlineStr">
        <is>
          <t>Kyrkan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6957-2022</t>
        </is>
      </c>
      <c r="B2073" s="1" t="n">
        <v>44603</v>
      </c>
      <c r="C2073" s="1" t="n">
        <v>45757</v>
      </c>
      <c r="D2073" t="inlineStr">
        <is>
          <t>VÄSTMANLANDS LÄN</t>
        </is>
      </c>
      <c r="E2073" t="inlineStr">
        <is>
          <t>SALA</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7080-2022</t>
        </is>
      </c>
      <c r="B2074" s="1" t="n">
        <v>44603</v>
      </c>
      <c r="C2074" s="1" t="n">
        <v>45757</v>
      </c>
      <c r="D2074" t="inlineStr">
        <is>
          <t>VÄSTMANLANDS LÄN</t>
        </is>
      </c>
      <c r="E2074" t="inlineStr">
        <is>
          <t>SKINNSKATTEBERG</t>
        </is>
      </c>
      <c r="F2074" t="inlineStr">
        <is>
          <t>Kyrkan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7088-2022</t>
        </is>
      </c>
      <c r="B2075" s="1" t="n">
        <v>44603</v>
      </c>
      <c r="C2075" s="1" t="n">
        <v>45757</v>
      </c>
      <c r="D2075" t="inlineStr">
        <is>
          <t>VÄSTMANLANDS LÄN</t>
        </is>
      </c>
      <c r="E2075" t="inlineStr">
        <is>
          <t>SKINNSKATTEBERG</t>
        </is>
      </c>
      <c r="F2075" t="inlineStr">
        <is>
          <t>Kyrkan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7117-2022</t>
        </is>
      </c>
      <c r="B2076" s="1" t="n">
        <v>44603</v>
      </c>
      <c r="C2076" s="1" t="n">
        <v>45757</v>
      </c>
      <c r="D2076" t="inlineStr">
        <is>
          <t>VÄSTMANLANDS LÄN</t>
        </is>
      </c>
      <c r="E2076" t="inlineStr">
        <is>
          <t>KUNGSÖR</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7103-2022</t>
        </is>
      </c>
      <c r="B2077" s="1" t="n">
        <v>44603</v>
      </c>
      <c r="C2077" s="1" t="n">
        <v>45757</v>
      </c>
      <c r="D2077" t="inlineStr">
        <is>
          <t>VÄSTMANLANDS LÄN</t>
        </is>
      </c>
      <c r="E2077" t="inlineStr">
        <is>
          <t>SKINNSKATTEBERG</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7169-2022</t>
        </is>
      </c>
      <c r="B2078" s="1" t="n">
        <v>44604</v>
      </c>
      <c r="C2078" s="1" t="n">
        <v>45757</v>
      </c>
      <c r="D2078" t="inlineStr">
        <is>
          <t>VÄSTMANLANDS LÄN</t>
        </is>
      </c>
      <c r="E2078" t="inlineStr">
        <is>
          <t>SALA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7370-2022</t>
        </is>
      </c>
      <c r="B2079" s="1" t="n">
        <v>44606</v>
      </c>
      <c r="C2079" s="1" t="n">
        <v>45757</v>
      </c>
      <c r="D2079" t="inlineStr">
        <is>
          <t>VÄSTMANLANDS LÄN</t>
        </is>
      </c>
      <c r="E2079" t="inlineStr">
        <is>
          <t>KÖPING</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7375-2022</t>
        </is>
      </c>
      <c r="B2080" s="1" t="n">
        <v>44606</v>
      </c>
      <c r="C2080" s="1" t="n">
        <v>45757</v>
      </c>
      <c r="D2080" t="inlineStr">
        <is>
          <t>VÄSTMANLANDS LÄN</t>
        </is>
      </c>
      <c r="E2080" t="inlineStr">
        <is>
          <t>VÄSTERÅS</t>
        </is>
      </c>
      <c r="F2080" t="inlineStr">
        <is>
          <t>Sveaskog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7378-2022</t>
        </is>
      </c>
      <c r="B2081" s="1" t="n">
        <v>44606</v>
      </c>
      <c r="C2081" s="1" t="n">
        <v>45757</v>
      </c>
      <c r="D2081" t="inlineStr">
        <is>
          <t>VÄSTMANLANDS LÄN</t>
        </is>
      </c>
      <c r="E2081" t="inlineStr">
        <is>
          <t>VÄSTERÅS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7536-2022</t>
        </is>
      </c>
      <c r="B2082" s="1" t="n">
        <v>44607</v>
      </c>
      <c r="C2082" s="1" t="n">
        <v>45757</v>
      </c>
      <c r="D2082" t="inlineStr">
        <is>
          <t>VÄSTMANLANDS LÄN</t>
        </is>
      </c>
      <c r="E2082" t="inlineStr">
        <is>
          <t>VÄSTERÅS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7534-2022</t>
        </is>
      </c>
      <c r="B2083" s="1" t="n">
        <v>44607</v>
      </c>
      <c r="C2083" s="1" t="n">
        <v>45757</v>
      </c>
      <c r="D2083" t="inlineStr">
        <is>
          <t>VÄSTMANLANDS LÄN</t>
        </is>
      </c>
      <c r="E2083" t="inlineStr">
        <is>
          <t>VÄSTERÅS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7719-2022</t>
        </is>
      </c>
      <c r="B2084" s="1" t="n">
        <v>44608</v>
      </c>
      <c r="C2084" s="1" t="n">
        <v>45757</v>
      </c>
      <c r="D2084" t="inlineStr">
        <is>
          <t>VÄSTMANLANDS LÄN</t>
        </is>
      </c>
      <c r="E2084" t="inlineStr">
        <is>
          <t>VÄSTERÅS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7722-2022</t>
        </is>
      </c>
      <c r="B2085" s="1" t="n">
        <v>44608</v>
      </c>
      <c r="C2085" s="1" t="n">
        <v>45757</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7848-2022</t>
        </is>
      </c>
      <c r="B2086" s="1" t="n">
        <v>44608</v>
      </c>
      <c r="C2086" s="1" t="n">
        <v>45757</v>
      </c>
      <c r="D2086" t="inlineStr">
        <is>
          <t>VÄSTMANLANDS LÄN</t>
        </is>
      </c>
      <c r="E2086" t="inlineStr">
        <is>
          <t>SURAHAMMAR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8130-2022</t>
        </is>
      </c>
      <c r="B2087" s="1" t="n">
        <v>44609</v>
      </c>
      <c r="C2087" s="1" t="n">
        <v>45757</v>
      </c>
      <c r="D2087" t="inlineStr">
        <is>
          <t>VÄSTMANLANDS LÄN</t>
        </is>
      </c>
      <c r="E2087" t="inlineStr">
        <is>
          <t>SALA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8346-2022</t>
        </is>
      </c>
      <c r="B2088" s="1" t="n">
        <v>44610</v>
      </c>
      <c r="C2088" s="1" t="n">
        <v>45757</v>
      </c>
      <c r="D2088" t="inlineStr">
        <is>
          <t>VÄSTMANLANDS LÄN</t>
        </is>
      </c>
      <c r="E2088" t="inlineStr">
        <is>
          <t>VÄSTERÅS</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8337-2022</t>
        </is>
      </c>
      <c r="B2089" s="1" t="n">
        <v>44610</v>
      </c>
      <c r="C2089" s="1" t="n">
        <v>45757</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8362-2022</t>
        </is>
      </c>
      <c r="B2090" s="1" t="n">
        <v>44610</v>
      </c>
      <c r="C2090" s="1" t="n">
        <v>45757</v>
      </c>
      <c r="D2090" t="inlineStr">
        <is>
          <t>VÄSTMANLANDS LÄN</t>
        </is>
      </c>
      <c r="E2090" t="inlineStr">
        <is>
          <t>VÄSTERÅS</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8357-2022</t>
        </is>
      </c>
      <c r="B2091" s="1" t="n">
        <v>44610</v>
      </c>
      <c r="C2091" s="1" t="n">
        <v>45757</v>
      </c>
      <c r="D2091" t="inlineStr">
        <is>
          <t>VÄSTMANLANDS LÄN</t>
        </is>
      </c>
      <c r="E2091" t="inlineStr">
        <is>
          <t>VÄSTERÅS</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8343-2022</t>
        </is>
      </c>
      <c r="B2092" s="1" t="n">
        <v>44610</v>
      </c>
      <c r="C2092" s="1" t="n">
        <v>45757</v>
      </c>
      <c r="D2092" t="inlineStr">
        <is>
          <t>VÄSTMANLANDS LÄN</t>
        </is>
      </c>
      <c r="E2092" t="inlineStr">
        <is>
          <t>VÄSTERÅS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8687-2022</t>
        </is>
      </c>
      <c r="B2093" s="1" t="n">
        <v>44613</v>
      </c>
      <c r="C2093" s="1" t="n">
        <v>45757</v>
      </c>
      <c r="D2093" t="inlineStr">
        <is>
          <t>VÄSTMANLANDS LÄN</t>
        </is>
      </c>
      <c r="E2093" t="inlineStr">
        <is>
          <t>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8845-2022</t>
        </is>
      </c>
      <c r="B2094" s="1" t="n">
        <v>44614</v>
      </c>
      <c r="C2094" s="1" t="n">
        <v>45757</v>
      </c>
      <c r="D2094" t="inlineStr">
        <is>
          <t>VÄSTMANLANDS LÄN</t>
        </is>
      </c>
      <c r="E2094" t="inlineStr">
        <is>
          <t>KÖPING</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9260-2022</t>
        </is>
      </c>
      <c r="B2095" s="1" t="n">
        <v>44614</v>
      </c>
      <c r="C2095" s="1" t="n">
        <v>45757</v>
      </c>
      <c r="D2095" t="inlineStr">
        <is>
          <t>VÄSTMANLANDS LÄN</t>
        </is>
      </c>
      <c r="E2095" t="inlineStr">
        <is>
          <t>KÖPING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9048-2022</t>
        </is>
      </c>
      <c r="B2096" s="1" t="n">
        <v>44615</v>
      </c>
      <c r="C2096" s="1" t="n">
        <v>45757</v>
      </c>
      <c r="D2096" t="inlineStr">
        <is>
          <t>VÄSTMANLANDS LÄN</t>
        </is>
      </c>
      <c r="E2096" t="inlineStr">
        <is>
          <t>SALA</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9032-2022</t>
        </is>
      </c>
      <c r="B2097" s="1" t="n">
        <v>44615</v>
      </c>
      <c r="C2097" s="1" t="n">
        <v>45757</v>
      </c>
      <c r="D2097" t="inlineStr">
        <is>
          <t>VÄSTMANLANDS LÄN</t>
        </is>
      </c>
      <c r="E2097" t="inlineStr">
        <is>
          <t>KÖPING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9050-2022</t>
        </is>
      </c>
      <c r="B2098" s="1" t="n">
        <v>44615</v>
      </c>
      <c r="C2098" s="1" t="n">
        <v>45757</v>
      </c>
      <c r="D2098" t="inlineStr">
        <is>
          <t>VÄSTMANLANDS LÄN</t>
        </is>
      </c>
      <c r="E2098" t="inlineStr">
        <is>
          <t>SALA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9075-2022</t>
        </is>
      </c>
      <c r="B2099" s="1" t="n">
        <v>44615</v>
      </c>
      <c r="C2099" s="1" t="n">
        <v>45757</v>
      </c>
      <c r="D2099" t="inlineStr">
        <is>
          <t>VÄSTMANLANDS LÄN</t>
        </is>
      </c>
      <c r="E2099" t="inlineStr">
        <is>
          <t>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9335-2022</t>
        </is>
      </c>
      <c r="B2100" s="1" t="n">
        <v>44616</v>
      </c>
      <c r="C2100" s="1" t="n">
        <v>45757</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9813-2022</t>
        </is>
      </c>
      <c r="B2101" s="1" t="n">
        <v>44620</v>
      </c>
      <c r="C2101" s="1" t="n">
        <v>45757</v>
      </c>
      <c r="D2101" t="inlineStr">
        <is>
          <t>VÄSTMANLANDS LÄN</t>
        </is>
      </c>
      <c r="E2101" t="inlineStr">
        <is>
          <t>KUNGSÖR</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9875-2022</t>
        </is>
      </c>
      <c r="B2102" s="1" t="n">
        <v>44620</v>
      </c>
      <c r="C2102" s="1" t="n">
        <v>45757</v>
      </c>
      <c r="D2102" t="inlineStr">
        <is>
          <t>VÄSTMANLANDS LÄN</t>
        </is>
      </c>
      <c r="E2102" t="inlineStr">
        <is>
          <t>NORBERG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9856-2022</t>
        </is>
      </c>
      <c r="B2103" s="1" t="n">
        <v>44620</v>
      </c>
      <c r="C2103" s="1" t="n">
        <v>45757</v>
      </c>
      <c r="D2103" t="inlineStr">
        <is>
          <t>VÄSTMANLANDS LÄN</t>
        </is>
      </c>
      <c r="E2103" t="inlineStr">
        <is>
          <t>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10083-2022</t>
        </is>
      </c>
      <c r="B2104" s="1" t="n">
        <v>44621</v>
      </c>
      <c r="C2104" s="1" t="n">
        <v>45757</v>
      </c>
      <c r="D2104" t="inlineStr">
        <is>
          <t>VÄSTMANLANDS LÄN</t>
        </is>
      </c>
      <c r="E2104" t="inlineStr">
        <is>
          <t>SALA</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10168-2022</t>
        </is>
      </c>
      <c r="B2105" s="1" t="n">
        <v>44622</v>
      </c>
      <c r="C2105" s="1" t="n">
        <v>45757</v>
      </c>
      <c r="D2105" t="inlineStr">
        <is>
          <t>VÄSTMANLANDS LÄN</t>
        </is>
      </c>
      <c r="E2105" t="inlineStr">
        <is>
          <t>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10286-2022</t>
        </is>
      </c>
      <c r="B2106" s="1" t="n">
        <v>44622</v>
      </c>
      <c r="C2106" s="1" t="n">
        <v>45757</v>
      </c>
      <c r="D2106" t="inlineStr">
        <is>
          <t>VÄSTMANLANDS LÄN</t>
        </is>
      </c>
      <c r="E2106" t="inlineStr">
        <is>
          <t>ARBOGA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10434-2022</t>
        </is>
      </c>
      <c r="B2107" s="1" t="n">
        <v>44623</v>
      </c>
      <c r="C2107" s="1" t="n">
        <v>45757</v>
      </c>
      <c r="D2107" t="inlineStr">
        <is>
          <t>VÄSTMANLANDS LÄN</t>
        </is>
      </c>
      <c r="E2107" t="inlineStr">
        <is>
          <t>SALA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10496-2022</t>
        </is>
      </c>
      <c r="B2108" s="1" t="n">
        <v>44623</v>
      </c>
      <c r="C2108" s="1" t="n">
        <v>45757</v>
      </c>
      <c r="D2108" t="inlineStr">
        <is>
          <t>VÄSTMANLANDS LÄN</t>
        </is>
      </c>
      <c r="E2108" t="inlineStr">
        <is>
          <t>VÄSTERÅS</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10517-2022</t>
        </is>
      </c>
      <c r="B2109" s="1" t="n">
        <v>44623</v>
      </c>
      <c r="C2109" s="1" t="n">
        <v>45757</v>
      </c>
      <c r="D2109" t="inlineStr">
        <is>
          <t>VÄSTMANLANDS LÄN</t>
        </is>
      </c>
      <c r="E2109" t="inlineStr">
        <is>
          <t>KUNGSÖR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10516-2022</t>
        </is>
      </c>
      <c r="B2110" s="1" t="n">
        <v>44623</v>
      </c>
      <c r="C2110" s="1" t="n">
        <v>45757</v>
      </c>
      <c r="D2110" t="inlineStr">
        <is>
          <t>VÄSTMANLANDS LÄN</t>
        </is>
      </c>
      <c r="E2110" t="inlineStr">
        <is>
          <t>KUNGSÖR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10478-2022</t>
        </is>
      </c>
      <c r="B2111" s="1" t="n">
        <v>44623</v>
      </c>
      <c r="C2111" s="1" t="n">
        <v>45757</v>
      </c>
      <c r="D2111" t="inlineStr">
        <is>
          <t>VÄSTMANLANDS LÄN</t>
        </is>
      </c>
      <c r="E2111" t="inlineStr">
        <is>
          <t>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10499-2022</t>
        </is>
      </c>
      <c r="B2112" s="1" t="n">
        <v>44623</v>
      </c>
      <c r="C2112" s="1" t="n">
        <v>45757</v>
      </c>
      <c r="D2112" t="inlineStr">
        <is>
          <t>VÄSTMANLANDS LÄN</t>
        </is>
      </c>
      <c r="E2112" t="inlineStr">
        <is>
          <t>VÄSTERÅS</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10512-2022</t>
        </is>
      </c>
      <c r="B2113" s="1" t="n">
        <v>44623</v>
      </c>
      <c r="C2113" s="1" t="n">
        <v>45757</v>
      </c>
      <c r="D2113" t="inlineStr">
        <is>
          <t>VÄSTMANLANDS LÄN</t>
        </is>
      </c>
      <c r="E2113" t="inlineStr">
        <is>
          <t>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10639-2022</t>
        </is>
      </c>
      <c r="B2114" s="1" t="n">
        <v>44623</v>
      </c>
      <c r="C2114" s="1" t="n">
        <v>45757</v>
      </c>
      <c r="D2114" t="inlineStr">
        <is>
          <t>VÄSTMANLANDS LÄN</t>
        </is>
      </c>
      <c r="E2114" t="inlineStr">
        <is>
          <t>SKINNSKATTEBERG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10585-2022</t>
        </is>
      </c>
      <c r="B2115" s="1" t="n">
        <v>44624</v>
      </c>
      <c r="C2115" s="1" t="n">
        <v>45757</v>
      </c>
      <c r="D2115" t="inlineStr">
        <is>
          <t>VÄSTMANLANDS LÄN</t>
        </is>
      </c>
      <c r="E2115" t="inlineStr">
        <is>
          <t>SALA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10579-2022</t>
        </is>
      </c>
      <c r="B2116" s="1" t="n">
        <v>44624</v>
      </c>
      <c r="C2116" s="1" t="n">
        <v>45757</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10761-2022</t>
        </is>
      </c>
      <c r="B2117" s="1" t="n">
        <v>44627</v>
      </c>
      <c r="C2117" s="1" t="n">
        <v>45757</v>
      </c>
      <c r="D2117" t="inlineStr">
        <is>
          <t>VÄSTMANLANDS LÄN</t>
        </is>
      </c>
      <c r="E2117" t="inlineStr">
        <is>
          <t>KÖPING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10855-2022</t>
        </is>
      </c>
      <c r="B2118" s="1" t="n">
        <v>44627</v>
      </c>
      <c r="C2118" s="1" t="n">
        <v>45757</v>
      </c>
      <c r="D2118" t="inlineStr">
        <is>
          <t>VÄSTMANLANDS LÄN</t>
        </is>
      </c>
      <c r="E2118" t="inlineStr">
        <is>
          <t>VÄSTERÅS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10870-2022</t>
        </is>
      </c>
      <c r="B2119" s="1" t="n">
        <v>44627</v>
      </c>
      <c r="C2119" s="1" t="n">
        <v>45757</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11034-2022</t>
        </is>
      </c>
      <c r="B2120" s="1" t="n">
        <v>44628</v>
      </c>
      <c r="C2120" s="1" t="n">
        <v>45757</v>
      </c>
      <c r="D2120" t="inlineStr">
        <is>
          <t>VÄSTMANLANDS LÄN</t>
        </is>
      </c>
      <c r="E2120" t="inlineStr">
        <is>
          <t>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11047-2022</t>
        </is>
      </c>
      <c r="B2121" s="1" t="n">
        <v>44628</v>
      </c>
      <c r="C2121" s="1" t="n">
        <v>45757</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11049-2022</t>
        </is>
      </c>
      <c r="B2122" s="1" t="n">
        <v>44628</v>
      </c>
      <c r="C2122" s="1" t="n">
        <v>45757</v>
      </c>
      <c r="D2122" t="inlineStr">
        <is>
          <t>VÄSTMANLANDS LÄN</t>
        </is>
      </c>
      <c r="E2122" t="inlineStr">
        <is>
          <t>VÄSTERÅS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11044-2022</t>
        </is>
      </c>
      <c r="B2123" s="1" t="n">
        <v>44628</v>
      </c>
      <c r="C2123" s="1" t="n">
        <v>45757</v>
      </c>
      <c r="D2123" t="inlineStr">
        <is>
          <t>VÄSTMANLANDS LÄN</t>
        </is>
      </c>
      <c r="E2123" t="inlineStr">
        <is>
          <t>KÖPING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11077-2022</t>
        </is>
      </c>
      <c r="B2124" s="1" t="n">
        <v>44628</v>
      </c>
      <c r="C2124" s="1" t="n">
        <v>45757</v>
      </c>
      <c r="D2124" t="inlineStr">
        <is>
          <t>VÄSTMANLANDS LÄN</t>
        </is>
      </c>
      <c r="E2124" t="inlineStr">
        <is>
          <t>VÄSTERÅS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11099-2022</t>
        </is>
      </c>
      <c r="B2125" s="1" t="n">
        <v>44628</v>
      </c>
      <c r="C2125" s="1" t="n">
        <v>45757</v>
      </c>
      <c r="D2125" t="inlineStr">
        <is>
          <t>VÄSTMANLANDS LÄN</t>
        </is>
      </c>
      <c r="E2125" t="inlineStr">
        <is>
          <t>NORBERG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11327-2022</t>
        </is>
      </c>
      <c r="B2126" s="1" t="n">
        <v>44629</v>
      </c>
      <c r="C2126" s="1" t="n">
        <v>45757</v>
      </c>
      <c r="D2126" t="inlineStr">
        <is>
          <t>VÄSTMANLANDS LÄN</t>
        </is>
      </c>
      <c r="E2126" t="inlineStr">
        <is>
          <t>SKINNSKATTEBERG</t>
        </is>
      </c>
      <c r="G2126" t="n">
        <v>37.6</v>
      </c>
      <c r="H2126" t="n">
        <v>0</v>
      </c>
      <c r="I2126" t="n">
        <v>0</v>
      </c>
      <c r="J2126" t="n">
        <v>0</v>
      </c>
      <c r="K2126" t="n">
        <v>0</v>
      </c>
      <c r="L2126" t="n">
        <v>0</v>
      </c>
      <c r="M2126" t="n">
        <v>0</v>
      </c>
      <c r="N2126" t="n">
        <v>0</v>
      </c>
      <c r="O2126" t="n">
        <v>0</v>
      </c>
      <c r="P2126" t="n">
        <v>0</v>
      </c>
      <c r="Q2126" t="n">
        <v>0</v>
      </c>
      <c r="R2126" s="2" t="inlineStr"/>
    </row>
    <row r="2127" ht="15" customHeight="1">
      <c r="A2127" t="inlineStr">
        <is>
          <t>A 11370-2022</t>
        </is>
      </c>
      <c r="B2127" s="1" t="n">
        <v>44630</v>
      </c>
      <c r="C2127" s="1" t="n">
        <v>45757</v>
      </c>
      <c r="D2127" t="inlineStr">
        <is>
          <t>VÄSTMANLANDS LÄN</t>
        </is>
      </c>
      <c r="E2127" t="inlineStr">
        <is>
          <t>SALA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11635-2022</t>
        </is>
      </c>
      <c r="B2128" s="1" t="n">
        <v>44631</v>
      </c>
      <c r="C2128" s="1" t="n">
        <v>45757</v>
      </c>
      <c r="D2128" t="inlineStr">
        <is>
          <t>VÄSTMANLANDS LÄN</t>
        </is>
      </c>
      <c r="E2128" t="inlineStr">
        <is>
          <t>ARBOGA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11744-2022</t>
        </is>
      </c>
      <c r="B2129" s="1" t="n">
        <v>44634</v>
      </c>
      <c r="C2129" s="1" t="n">
        <v>45757</v>
      </c>
      <c r="D2129" t="inlineStr">
        <is>
          <t>VÄSTMANLANDS LÄN</t>
        </is>
      </c>
      <c r="E2129" t="inlineStr">
        <is>
          <t>ARBOGA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11950-2022</t>
        </is>
      </c>
      <c r="B2130" s="1" t="n">
        <v>44635</v>
      </c>
      <c r="C2130" s="1" t="n">
        <v>45757</v>
      </c>
      <c r="D2130" t="inlineStr">
        <is>
          <t>VÄSTMANLANDS LÄN</t>
        </is>
      </c>
      <c r="E2130" t="inlineStr">
        <is>
          <t>VÄSTERÅS</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11983-2022</t>
        </is>
      </c>
      <c r="B2131" s="1" t="n">
        <v>44635</v>
      </c>
      <c r="C2131" s="1" t="n">
        <v>45757</v>
      </c>
      <c r="D2131" t="inlineStr">
        <is>
          <t>VÄSTMANLANDS LÄN</t>
        </is>
      </c>
      <c r="E2131" t="inlineStr">
        <is>
          <t>VÄSTERÅS</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11971-2022</t>
        </is>
      </c>
      <c r="B2132" s="1" t="n">
        <v>44635</v>
      </c>
      <c r="C2132" s="1" t="n">
        <v>45757</v>
      </c>
      <c r="D2132" t="inlineStr">
        <is>
          <t>VÄSTMANLANDS LÄN</t>
        </is>
      </c>
      <c r="E2132" t="inlineStr">
        <is>
          <t>VÄSTERÅS</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11989-2022</t>
        </is>
      </c>
      <c r="B2133" s="1" t="n">
        <v>44635</v>
      </c>
      <c r="C2133" s="1" t="n">
        <v>45757</v>
      </c>
      <c r="D2133" t="inlineStr">
        <is>
          <t>VÄSTMANLANDS LÄN</t>
        </is>
      </c>
      <c r="E2133" t="inlineStr">
        <is>
          <t>VÄSTERÅS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12233-2022</t>
        </is>
      </c>
      <c r="B2134" s="1" t="n">
        <v>44635</v>
      </c>
      <c r="C2134" s="1" t="n">
        <v>45757</v>
      </c>
      <c r="D2134" t="inlineStr">
        <is>
          <t>VÄSTMANLANDS LÄN</t>
        </is>
      </c>
      <c r="E2134" t="inlineStr">
        <is>
          <t>NORBERG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12077-2022</t>
        </is>
      </c>
      <c r="B2135" s="1" t="n">
        <v>44636</v>
      </c>
      <c r="C2135" s="1" t="n">
        <v>45757</v>
      </c>
      <c r="D2135" t="inlineStr">
        <is>
          <t>VÄSTMANLANDS LÄN</t>
        </is>
      </c>
      <c r="E2135" t="inlineStr">
        <is>
          <t>HALLSTAHAMMAR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12131-2022</t>
        </is>
      </c>
      <c r="B2136" s="1" t="n">
        <v>44636</v>
      </c>
      <c r="C2136" s="1" t="n">
        <v>45757</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12148-2022</t>
        </is>
      </c>
      <c r="B2137" s="1" t="n">
        <v>44636</v>
      </c>
      <c r="C2137" s="1" t="n">
        <v>45757</v>
      </c>
      <c r="D2137" t="inlineStr">
        <is>
          <t>VÄSTMANLANDS LÄN</t>
        </is>
      </c>
      <c r="E2137" t="inlineStr">
        <is>
          <t>VÄSTERÅS</t>
        </is>
      </c>
      <c r="F2137" t="inlineStr">
        <is>
          <t>Kommuner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12143-2022</t>
        </is>
      </c>
      <c r="B2138" s="1" t="n">
        <v>44636</v>
      </c>
      <c r="C2138" s="1" t="n">
        <v>45757</v>
      </c>
      <c r="D2138" t="inlineStr">
        <is>
          <t>VÄSTMANLANDS LÄN</t>
        </is>
      </c>
      <c r="E2138" t="inlineStr">
        <is>
          <t>VÄSTERÅS</t>
        </is>
      </c>
      <c r="F2138" t="inlineStr">
        <is>
          <t>Kommuner</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12138-2022</t>
        </is>
      </c>
      <c r="B2139" s="1" t="n">
        <v>44636</v>
      </c>
      <c r="C2139" s="1" t="n">
        <v>45757</v>
      </c>
      <c r="D2139" t="inlineStr">
        <is>
          <t>VÄSTMANLANDS LÄN</t>
        </is>
      </c>
      <c r="E2139" t="inlineStr">
        <is>
          <t>VÄSTERÅS</t>
        </is>
      </c>
      <c r="F2139" t="inlineStr">
        <is>
          <t>Kommuner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12258-2022</t>
        </is>
      </c>
      <c r="B2140" s="1" t="n">
        <v>44637</v>
      </c>
      <c r="C2140" s="1" t="n">
        <v>45757</v>
      </c>
      <c r="D2140" t="inlineStr">
        <is>
          <t>VÄSTMANLANDS LÄN</t>
        </is>
      </c>
      <c r="E2140" t="inlineStr">
        <is>
          <t>VÄSTERÅS</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12245-2022</t>
        </is>
      </c>
      <c r="B2141" s="1" t="n">
        <v>44637</v>
      </c>
      <c r="C2141" s="1" t="n">
        <v>45757</v>
      </c>
      <c r="D2141" t="inlineStr">
        <is>
          <t>VÄSTMANLANDS LÄN</t>
        </is>
      </c>
      <c r="E2141" t="inlineStr">
        <is>
          <t>SALA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12909-2022</t>
        </is>
      </c>
      <c r="B2142" s="1" t="n">
        <v>44642</v>
      </c>
      <c r="C2142" s="1" t="n">
        <v>45757</v>
      </c>
      <c r="D2142" t="inlineStr">
        <is>
          <t>VÄSTMANLANDS LÄN</t>
        </is>
      </c>
      <c r="E2142" t="inlineStr">
        <is>
          <t>ARBOGA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12928-2022</t>
        </is>
      </c>
      <c r="B2143" s="1" t="n">
        <v>44642</v>
      </c>
      <c r="C2143" s="1" t="n">
        <v>45757</v>
      </c>
      <c r="D2143" t="inlineStr">
        <is>
          <t>VÄSTMANLANDS LÄN</t>
        </is>
      </c>
      <c r="E2143" t="inlineStr">
        <is>
          <t>VÄSTERÅS</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13119-2022</t>
        </is>
      </c>
      <c r="B2144" s="1" t="n">
        <v>44643</v>
      </c>
      <c r="C2144" s="1" t="n">
        <v>45757</v>
      </c>
      <c r="D2144" t="inlineStr">
        <is>
          <t>VÄSTMANLANDS LÄN</t>
        </is>
      </c>
      <c r="E2144" t="inlineStr">
        <is>
          <t>SURAHAMMAR</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13070-2022</t>
        </is>
      </c>
      <c r="B2145" s="1" t="n">
        <v>44643</v>
      </c>
      <c r="C2145" s="1" t="n">
        <v>45757</v>
      </c>
      <c r="D2145" t="inlineStr">
        <is>
          <t>VÄSTMANLANDS LÄN</t>
        </is>
      </c>
      <c r="E2145" t="inlineStr">
        <is>
          <t>SURAHAMMAR</t>
        </is>
      </c>
      <c r="F2145" t="inlineStr">
        <is>
          <t>Bergvik skog väst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13367-2022</t>
        </is>
      </c>
      <c r="B2146" s="1" t="n">
        <v>44645</v>
      </c>
      <c r="C2146" s="1" t="n">
        <v>45757</v>
      </c>
      <c r="D2146" t="inlineStr">
        <is>
          <t>VÄSTMANLANDS LÄN</t>
        </is>
      </c>
      <c r="E2146" t="inlineStr">
        <is>
          <t>VÄSTERÅS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13614-2022</t>
        </is>
      </c>
      <c r="B2147" s="1" t="n">
        <v>44648</v>
      </c>
      <c r="C2147" s="1" t="n">
        <v>45757</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13608-2022</t>
        </is>
      </c>
      <c r="B2148" s="1" t="n">
        <v>44648</v>
      </c>
      <c r="C2148" s="1" t="n">
        <v>45757</v>
      </c>
      <c r="D2148" t="inlineStr">
        <is>
          <t>VÄSTMANLANDS LÄN</t>
        </is>
      </c>
      <c r="E2148" t="inlineStr">
        <is>
          <t>SALA</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13676-2022</t>
        </is>
      </c>
      <c r="B2149" s="1" t="n">
        <v>44648</v>
      </c>
      <c r="C2149" s="1" t="n">
        <v>45757</v>
      </c>
      <c r="D2149" t="inlineStr">
        <is>
          <t>VÄSTMANLANDS LÄN</t>
        </is>
      </c>
      <c r="E2149" t="inlineStr">
        <is>
          <t>SKINNSKATTEBERG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13962-2022</t>
        </is>
      </c>
      <c r="B2150" s="1" t="n">
        <v>44650</v>
      </c>
      <c r="C2150" s="1" t="n">
        <v>45757</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14149-2022</t>
        </is>
      </c>
      <c r="B2151" s="1" t="n">
        <v>44651</v>
      </c>
      <c r="C2151" s="1" t="n">
        <v>45757</v>
      </c>
      <c r="D2151" t="inlineStr">
        <is>
          <t>VÄSTMANLANDS LÄN</t>
        </is>
      </c>
      <c r="E2151" t="inlineStr">
        <is>
          <t>HALLSTAHAMMAR</t>
        </is>
      </c>
      <c r="F2151" t="inlineStr">
        <is>
          <t>Allmännings- och besparingsskogar</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14204-2022</t>
        </is>
      </c>
      <c r="B2152" s="1" t="n">
        <v>44651</v>
      </c>
      <c r="C2152" s="1" t="n">
        <v>45757</v>
      </c>
      <c r="D2152" t="inlineStr">
        <is>
          <t>VÄSTMANLANDS LÄN</t>
        </is>
      </c>
      <c r="E2152" t="inlineStr">
        <is>
          <t>SKINNSKATTEBERG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14667-2022</t>
        </is>
      </c>
      <c r="B2153" s="1" t="n">
        <v>44655</v>
      </c>
      <c r="C2153" s="1" t="n">
        <v>45757</v>
      </c>
      <c r="D2153" t="inlineStr">
        <is>
          <t>VÄSTMANLANDS LÄN</t>
        </is>
      </c>
      <c r="E2153" t="inlineStr">
        <is>
          <t>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14662-2022</t>
        </is>
      </c>
      <c r="B2154" s="1" t="n">
        <v>44655</v>
      </c>
      <c r="C2154" s="1" t="n">
        <v>45757</v>
      </c>
      <c r="D2154" t="inlineStr">
        <is>
          <t>VÄSTMANLANDS LÄN</t>
        </is>
      </c>
      <c r="E2154" t="inlineStr">
        <is>
          <t>KÖPING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14663-2022</t>
        </is>
      </c>
      <c r="B2155" s="1" t="n">
        <v>44655</v>
      </c>
      <c r="C2155" s="1" t="n">
        <v>45757</v>
      </c>
      <c r="D2155" t="inlineStr">
        <is>
          <t>VÄSTMANLANDS LÄN</t>
        </is>
      </c>
      <c r="E2155" t="inlineStr">
        <is>
          <t>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14664-2022</t>
        </is>
      </c>
      <c r="B2156" s="1" t="n">
        <v>44655</v>
      </c>
      <c r="C2156" s="1" t="n">
        <v>45757</v>
      </c>
      <c r="D2156" t="inlineStr">
        <is>
          <t>VÄSTMANLANDS LÄN</t>
        </is>
      </c>
      <c r="E2156" t="inlineStr">
        <is>
          <t>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14691-2022</t>
        </is>
      </c>
      <c r="B2157" s="1" t="n">
        <v>44656</v>
      </c>
      <c r="C2157" s="1" t="n">
        <v>45757</v>
      </c>
      <c r="D2157" t="inlineStr">
        <is>
          <t>VÄSTMANLANDS LÄN</t>
        </is>
      </c>
      <c r="E2157" t="inlineStr">
        <is>
          <t>VÄSTERÅS</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14926-2022</t>
        </is>
      </c>
      <c r="B2158" s="1" t="n">
        <v>44657</v>
      </c>
      <c r="C2158" s="1" t="n">
        <v>45757</v>
      </c>
      <c r="D2158" t="inlineStr">
        <is>
          <t>VÄSTMANLANDS LÄN</t>
        </is>
      </c>
      <c r="E2158" t="inlineStr">
        <is>
          <t>VÄSTERÅS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15165-2022</t>
        </is>
      </c>
      <c r="B2159" s="1" t="n">
        <v>44658</v>
      </c>
      <c r="C2159" s="1" t="n">
        <v>45757</v>
      </c>
      <c r="D2159" t="inlineStr">
        <is>
          <t>VÄSTMANLANDS LÄN</t>
        </is>
      </c>
      <c r="E2159" t="inlineStr">
        <is>
          <t>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15160-2022</t>
        </is>
      </c>
      <c r="B2160" s="1" t="n">
        <v>44658</v>
      </c>
      <c r="C2160" s="1" t="n">
        <v>45757</v>
      </c>
      <c r="D2160" t="inlineStr">
        <is>
          <t>VÄSTMANLANDS LÄN</t>
        </is>
      </c>
      <c r="E2160" t="inlineStr">
        <is>
          <t>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15201-2022</t>
        </is>
      </c>
      <c r="B2161" s="1" t="n">
        <v>44658</v>
      </c>
      <c r="C2161" s="1" t="n">
        <v>45757</v>
      </c>
      <c r="D2161" t="inlineStr">
        <is>
          <t>VÄSTMANLANDS LÄN</t>
        </is>
      </c>
      <c r="E2161" t="inlineStr">
        <is>
          <t>VÄSTERÅS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15158-2022</t>
        </is>
      </c>
      <c r="B2162" s="1" t="n">
        <v>44658</v>
      </c>
      <c r="C2162" s="1" t="n">
        <v>45757</v>
      </c>
      <c r="D2162" t="inlineStr">
        <is>
          <t>VÄSTMANLANDS LÄN</t>
        </is>
      </c>
      <c r="E2162" t="inlineStr">
        <is>
          <t>KÖPING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15162-2022</t>
        </is>
      </c>
      <c r="B2163" s="1" t="n">
        <v>44658</v>
      </c>
      <c r="C2163" s="1" t="n">
        <v>45757</v>
      </c>
      <c r="D2163" t="inlineStr">
        <is>
          <t>VÄSTMANLANDS LÄN</t>
        </is>
      </c>
      <c r="E2163" t="inlineStr">
        <is>
          <t>KÖPING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15373-2022</t>
        </is>
      </c>
      <c r="B2164" s="1" t="n">
        <v>44659</v>
      </c>
      <c r="C2164" s="1" t="n">
        <v>45757</v>
      </c>
      <c r="D2164" t="inlineStr">
        <is>
          <t>VÄSTMANLANDS LÄN</t>
        </is>
      </c>
      <c r="E2164" t="inlineStr">
        <is>
          <t>ARBOGA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15316-2022</t>
        </is>
      </c>
      <c r="B2165" s="1" t="n">
        <v>44659</v>
      </c>
      <c r="C2165" s="1" t="n">
        <v>45757</v>
      </c>
      <c r="D2165" t="inlineStr">
        <is>
          <t>VÄSTMANLANDS LÄN</t>
        </is>
      </c>
      <c r="E2165" t="inlineStr">
        <is>
          <t>VÄSTERÅS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15427-2022</t>
        </is>
      </c>
      <c r="B2166" s="1" t="n">
        <v>44659</v>
      </c>
      <c r="C2166" s="1" t="n">
        <v>45757</v>
      </c>
      <c r="D2166" t="inlineStr">
        <is>
          <t>VÄSTMANLANDS LÄN</t>
        </is>
      </c>
      <c r="E2166" t="inlineStr">
        <is>
          <t>NORBERG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15487-2022</t>
        </is>
      </c>
      <c r="B2167" s="1" t="n">
        <v>44662</v>
      </c>
      <c r="C2167" s="1" t="n">
        <v>45757</v>
      </c>
      <c r="D2167" t="inlineStr">
        <is>
          <t>VÄSTMANLANDS LÄN</t>
        </is>
      </c>
      <c r="E2167" t="inlineStr">
        <is>
          <t>ARBOGA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15622-2022</t>
        </is>
      </c>
      <c r="B2168" s="1" t="n">
        <v>44662</v>
      </c>
      <c r="C2168" s="1" t="n">
        <v>45757</v>
      </c>
      <c r="D2168" t="inlineStr">
        <is>
          <t>VÄSTMANLANDS LÄN</t>
        </is>
      </c>
      <c r="E2168" t="inlineStr">
        <is>
          <t>VÄSTERÅS</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15637-2022</t>
        </is>
      </c>
      <c r="B2169" s="1" t="n">
        <v>44662</v>
      </c>
      <c r="C2169" s="1" t="n">
        <v>45757</v>
      </c>
      <c r="D2169" t="inlineStr">
        <is>
          <t>VÄSTMANLANDS LÄN</t>
        </is>
      </c>
      <c r="E2169" t="inlineStr">
        <is>
          <t>SURAHAMMAR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15640-2022</t>
        </is>
      </c>
      <c r="B2170" s="1" t="n">
        <v>44662</v>
      </c>
      <c r="C2170" s="1" t="n">
        <v>45757</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15711-2022</t>
        </is>
      </c>
      <c r="B2171" s="1" t="n">
        <v>44663</v>
      </c>
      <c r="C2171" s="1" t="n">
        <v>45757</v>
      </c>
      <c r="D2171" t="inlineStr">
        <is>
          <t>VÄSTMANLANDS LÄN</t>
        </is>
      </c>
      <c r="E2171" t="inlineStr">
        <is>
          <t>ARBOGA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15716-2022</t>
        </is>
      </c>
      <c r="B2172" s="1" t="n">
        <v>44663</v>
      </c>
      <c r="C2172" s="1" t="n">
        <v>45757</v>
      </c>
      <c r="D2172" t="inlineStr">
        <is>
          <t>VÄSTMANLANDS LÄN</t>
        </is>
      </c>
      <c r="E2172" t="inlineStr">
        <is>
          <t>KÖPING</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15776-2022</t>
        </is>
      </c>
      <c r="B2173" s="1" t="n">
        <v>44663</v>
      </c>
      <c r="C2173" s="1" t="n">
        <v>45757</v>
      </c>
      <c r="D2173" t="inlineStr">
        <is>
          <t>VÄSTMANLANDS LÄN</t>
        </is>
      </c>
      <c r="E2173" t="inlineStr">
        <is>
          <t>ARBOGA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15850-2022</t>
        </is>
      </c>
      <c r="B2174" s="1" t="n">
        <v>44664</v>
      </c>
      <c r="C2174" s="1" t="n">
        <v>45757</v>
      </c>
      <c r="D2174" t="inlineStr">
        <is>
          <t>VÄSTMANLANDS LÄN</t>
        </is>
      </c>
      <c r="E2174" t="inlineStr">
        <is>
          <t>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15879-2022</t>
        </is>
      </c>
      <c r="B2175" s="1" t="n">
        <v>44664</v>
      </c>
      <c r="C2175" s="1" t="n">
        <v>45757</v>
      </c>
      <c r="D2175" t="inlineStr">
        <is>
          <t>VÄSTMANLANDS LÄN</t>
        </is>
      </c>
      <c r="E2175" t="inlineStr">
        <is>
          <t>VÄSTERÅS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15889-2022</t>
        </is>
      </c>
      <c r="B2176" s="1" t="n">
        <v>44664</v>
      </c>
      <c r="C2176" s="1" t="n">
        <v>45757</v>
      </c>
      <c r="D2176" t="inlineStr">
        <is>
          <t>VÄSTMANLANDS LÄN</t>
        </is>
      </c>
      <c r="E2176" t="inlineStr">
        <is>
          <t>VÄSTERÅS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15891-2022</t>
        </is>
      </c>
      <c r="B2177" s="1" t="n">
        <v>44664</v>
      </c>
      <c r="C2177" s="1" t="n">
        <v>45757</v>
      </c>
      <c r="D2177" t="inlineStr">
        <is>
          <t>VÄSTMANLANDS LÄN</t>
        </is>
      </c>
      <c r="E2177" t="inlineStr">
        <is>
          <t>VÄSTERÅS</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15870-2022</t>
        </is>
      </c>
      <c r="B2178" s="1" t="n">
        <v>44664</v>
      </c>
      <c r="C2178" s="1" t="n">
        <v>45757</v>
      </c>
      <c r="D2178" t="inlineStr">
        <is>
          <t>VÄSTMANLANDS LÄN</t>
        </is>
      </c>
      <c r="E2178" t="inlineStr">
        <is>
          <t>VÄSTERÅS</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15883-2022</t>
        </is>
      </c>
      <c r="B2179" s="1" t="n">
        <v>44664</v>
      </c>
      <c r="C2179" s="1" t="n">
        <v>45757</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16116-2022</t>
        </is>
      </c>
      <c r="B2180" s="1" t="n">
        <v>44665</v>
      </c>
      <c r="C2180" s="1" t="n">
        <v>45757</v>
      </c>
      <c r="D2180" t="inlineStr">
        <is>
          <t>VÄSTMANLANDS LÄN</t>
        </is>
      </c>
      <c r="E2180" t="inlineStr">
        <is>
          <t>ARBOGA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16178-2022</t>
        </is>
      </c>
      <c r="B2181" s="1" t="n">
        <v>44668</v>
      </c>
      <c r="C2181" s="1" t="n">
        <v>45757</v>
      </c>
      <c r="D2181" t="inlineStr">
        <is>
          <t>VÄSTMANLANDS LÄN</t>
        </is>
      </c>
      <c r="E2181" t="inlineStr">
        <is>
          <t>ARBOGA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16174-2022</t>
        </is>
      </c>
      <c r="B2182" s="1" t="n">
        <v>44668</v>
      </c>
      <c r="C2182" s="1" t="n">
        <v>45757</v>
      </c>
      <c r="D2182" t="inlineStr">
        <is>
          <t>VÄSTMANLANDS LÄN</t>
        </is>
      </c>
      <c r="E2182" t="inlineStr">
        <is>
          <t>ARBOGA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16173-2022</t>
        </is>
      </c>
      <c r="B2183" s="1" t="n">
        <v>44668</v>
      </c>
      <c r="C2183" s="1" t="n">
        <v>45757</v>
      </c>
      <c r="D2183" t="inlineStr">
        <is>
          <t>VÄSTMANLANDS LÄN</t>
        </is>
      </c>
      <c r="E2183" t="inlineStr">
        <is>
          <t>ARBOGA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16175-2022</t>
        </is>
      </c>
      <c r="B2184" s="1" t="n">
        <v>44668</v>
      </c>
      <c r="C2184" s="1" t="n">
        <v>45757</v>
      </c>
      <c r="D2184" t="inlineStr">
        <is>
          <t>VÄSTMANLANDS LÄN</t>
        </is>
      </c>
      <c r="E2184" t="inlineStr">
        <is>
          <t>ARBOGA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16255-2022</t>
        </is>
      </c>
      <c r="B2185" s="1" t="n">
        <v>44670</v>
      </c>
      <c r="C2185" s="1" t="n">
        <v>45757</v>
      </c>
      <c r="D2185" t="inlineStr">
        <is>
          <t>VÄSTMANLANDS LÄN</t>
        </is>
      </c>
      <c r="E2185" t="inlineStr">
        <is>
          <t>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16404-2022</t>
        </is>
      </c>
      <c r="B2186" s="1" t="n">
        <v>44671</v>
      </c>
      <c r="C2186" s="1" t="n">
        <v>45757</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16448-2022</t>
        </is>
      </c>
      <c r="B2187" s="1" t="n">
        <v>44671</v>
      </c>
      <c r="C2187" s="1" t="n">
        <v>45757</v>
      </c>
      <c r="D2187" t="inlineStr">
        <is>
          <t>VÄSTMANLANDS LÄN</t>
        </is>
      </c>
      <c r="E2187" t="inlineStr">
        <is>
          <t>VÄSTERÅS</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16430-2022</t>
        </is>
      </c>
      <c r="B2188" s="1" t="n">
        <v>44671</v>
      </c>
      <c r="C2188" s="1" t="n">
        <v>45757</v>
      </c>
      <c r="D2188" t="inlineStr">
        <is>
          <t>VÄSTMANLANDS LÄN</t>
        </is>
      </c>
      <c r="E2188" t="inlineStr">
        <is>
          <t>KÖPING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16447-2022</t>
        </is>
      </c>
      <c r="B2189" s="1" t="n">
        <v>44671</v>
      </c>
      <c r="C2189" s="1" t="n">
        <v>45757</v>
      </c>
      <c r="D2189" t="inlineStr">
        <is>
          <t>VÄSTMANLANDS LÄN</t>
        </is>
      </c>
      <c r="E2189" t="inlineStr">
        <is>
          <t>ARBOGA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16497-2022</t>
        </is>
      </c>
      <c r="B2190" s="1" t="n">
        <v>44671</v>
      </c>
      <c r="C2190" s="1" t="n">
        <v>45757</v>
      </c>
      <c r="D2190" t="inlineStr">
        <is>
          <t>VÄSTMANLANDS LÄN</t>
        </is>
      </c>
      <c r="E2190" t="inlineStr">
        <is>
          <t>VÄSTERÅS</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16608-2022</t>
        </is>
      </c>
      <c r="B2191" s="1" t="n">
        <v>44672</v>
      </c>
      <c r="C2191" s="1" t="n">
        <v>45757</v>
      </c>
      <c r="D2191" t="inlineStr">
        <is>
          <t>VÄSTMANLANDS LÄN</t>
        </is>
      </c>
      <c r="E2191" t="inlineStr">
        <is>
          <t>SURAHAMMAR</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16693-2022</t>
        </is>
      </c>
      <c r="B2192" s="1" t="n">
        <v>44673</v>
      </c>
      <c r="C2192" s="1" t="n">
        <v>45757</v>
      </c>
      <c r="D2192" t="inlineStr">
        <is>
          <t>VÄSTMANLANDS LÄN</t>
        </is>
      </c>
      <c r="E2192" t="inlineStr">
        <is>
          <t>KÖPING</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16762-2022</t>
        </is>
      </c>
      <c r="B2193" s="1" t="n">
        <v>44673</v>
      </c>
      <c r="C2193" s="1" t="n">
        <v>45757</v>
      </c>
      <c r="D2193" t="inlineStr">
        <is>
          <t>VÄSTMANLANDS LÄN</t>
        </is>
      </c>
      <c r="E2193" t="inlineStr">
        <is>
          <t>HALLSTAHAMMAR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16768-2022</t>
        </is>
      </c>
      <c r="B2194" s="1" t="n">
        <v>44673</v>
      </c>
      <c r="C2194" s="1" t="n">
        <v>45757</v>
      </c>
      <c r="D2194" t="inlineStr">
        <is>
          <t>VÄSTMANLANDS LÄN</t>
        </is>
      </c>
      <c r="E2194" t="inlineStr">
        <is>
          <t>SALA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16860-2022</t>
        </is>
      </c>
      <c r="B2195" s="1" t="n">
        <v>44674</v>
      </c>
      <c r="C2195" s="1" t="n">
        <v>45757</v>
      </c>
      <c r="D2195" t="inlineStr">
        <is>
          <t>VÄSTMANLANDS LÄN</t>
        </is>
      </c>
      <c r="E2195" t="inlineStr">
        <is>
          <t>SKINNSKATTEBERG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16905-2022</t>
        </is>
      </c>
      <c r="B2196" s="1" t="n">
        <v>44676</v>
      </c>
      <c r="C2196" s="1" t="n">
        <v>45757</v>
      </c>
      <c r="D2196" t="inlineStr">
        <is>
          <t>VÄSTMANLANDS LÄN</t>
        </is>
      </c>
      <c r="E2196" t="inlineStr">
        <is>
          <t>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16988-2022</t>
        </is>
      </c>
      <c r="B2197" s="1" t="n">
        <v>44676</v>
      </c>
      <c r="C2197" s="1" t="n">
        <v>45757</v>
      </c>
      <c r="D2197" t="inlineStr">
        <is>
          <t>VÄSTMANLANDS LÄN</t>
        </is>
      </c>
      <c r="E2197" t="inlineStr">
        <is>
          <t>KUNGSÖR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16951-2022</t>
        </is>
      </c>
      <c r="B2198" s="1" t="n">
        <v>44676</v>
      </c>
      <c r="C2198" s="1" t="n">
        <v>45757</v>
      </c>
      <c r="D2198" t="inlineStr">
        <is>
          <t>VÄSTMANLANDS LÄN</t>
        </is>
      </c>
      <c r="E2198" t="inlineStr">
        <is>
          <t>ARBOGA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17036-2022</t>
        </is>
      </c>
      <c r="B2199" s="1" t="n">
        <v>44676</v>
      </c>
      <c r="C2199" s="1" t="n">
        <v>45757</v>
      </c>
      <c r="D2199" t="inlineStr">
        <is>
          <t>VÄSTMANLANDS LÄN</t>
        </is>
      </c>
      <c r="E2199" t="inlineStr">
        <is>
          <t>VÄSTERÅS</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17062-2022</t>
        </is>
      </c>
      <c r="B2200" s="1" t="n">
        <v>44676</v>
      </c>
      <c r="C2200" s="1" t="n">
        <v>45757</v>
      </c>
      <c r="D2200" t="inlineStr">
        <is>
          <t>VÄSTMANLANDS LÄN</t>
        </is>
      </c>
      <c r="E2200" t="inlineStr">
        <is>
          <t>ARBOGA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17093-2022</t>
        </is>
      </c>
      <c r="B2201" s="1" t="n">
        <v>44677</v>
      </c>
      <c r="C2201" s="1" t="n">
        <v>45757</v>
      </c>
      <c r="D2201" t="inlineStr">
        <is>
          <t>VÄSTMANLANDS LÄN</t>
        </is>
      </c>
      <c r="E2201" t="inlineStr">
        <is>
          <t>KUNGSÖR</t>
        </is>
      </c>
      <c r="F2201" t="inlineStr">
        <is>
          <t>Kommuner</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17199-2022</t>
        </is>
      </c>
      <c r="B2202" s="1" t="n">
        <v>44677</v>
      </c>
      <c r="C2202" s="1" t="n">
        <v>45757</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17261-2022</t>
        </is>
      </c>
      <c r="B2203" s="1" t="n">
        <v>44678</v>
      </c>
      <c r="C2203" s="1" t="n">
        <v>45757</v>
      </c>
      <c r="D2203" t="inlineStr">
        <is>
          <t>VÄSTMANLANDS LÄN</t>
        </is>
      </c>
      <c r="E2203" t="inlineStr">
        <is>
          <t>VÄSTERÅS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17398-2022</t>
        </is>
      </c>
      <c r="B2204" s="1" t="n">
        <v>44678</v>
      </c>
      <c r="C2204" s="1" t="n">
        <v>45757</v>
      </c>
      <c r="D2204" t="inlineStr">
        <is>
          <t>VÄSTMANLANDS LÄN</t>
        </is>
      </c>
      <c r="E2204" t="inlineStr">
        <is>
          <t>KÖPING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17258-2022</t>
        </is>
      </c>
      <c r="B2205" s="1" t="n">
        <v>44678</v>
      </c>
      <c r="C2205" s="1" t="n">
        <v>45757</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17320-2022</t>
        </is>
      </c>
      <c r="B2206" s="1" t="n">
        <v>44678</v>
      </c>
      <c r="C2206" s="1" t="n">
        <v>45757</v>
      </c>
      <c r="D2206" t="inlineStr">
        <is>
          <t>VÄSTMANLANDS LÄN</t>
        </is>
      </c>
      <c r="E2206" t="inlineStr">
        <is>
          <t>FAGERSTA</t>
        </is>
      </c>
      <c r="F2206" t="inlineStr">
        <is>
          <t>Sveaskog</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17345-2022</t>
        </is>
      </c>
      <c r="B2207" s="1" t="n">
        <v>44678</v>
      </c>
      <c r="C2207" s="1" t="n">
        <v>45757</v>
      </c>
      <c r="D2207" t="inlineStr">
        <is>
          <t>VÄSTMANLANDS LÄN</t>
        </is>
      </c>
      <c r="E2207" t="inlineStr">
        <is>
          <t>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17479-2022</t>
        </is>
      </c>
      <c r="B2208" s="1" t="n">
        <v>44679</v>
      </c>
      <c r="C2208" s="1" t="n">
        <v>45757</v>
      </c>
      <c r="D2208" t="inlineStr">
        <is>
          <t>VÄSTMANLANDS LÄN</t>
        </is>
      </c>
      <c r="E2208" t="inlineStr">
        <is>
          <t>VÄSTERÅS</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17725-2022</t>
        </is>
      </c>
      <c r="B2209" s="1" t="n">
        <v>44680</v>
      </c>
      <c r="C2209" s="1" t="n">
        <v>45757</v>
      </c>
      <c r="D2209" t="inlineStr">
        <is>
          <t>VÄSTMANLANDS LÄN</t>
        </is>
      </c>
      <c r="E2209" t="inlineStr">
        <is>
          <t>VÄSTERÅS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17810-2022</t>
        </is>
      </c>
      <c r="B2210" s="1" t="n">
        <v>44683</v>
      </c>
      <c r="C2210" s="1" t="n">
        <v>45757</v>
      </c>
      <c r="D2210" t="inlineStr">
        <is>
          <t>VÄSTMANLANDS LÄN</t>
        </is>
      </c>
      <c r="E2210" t="inlineStr">
        <is>
          <t>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17863-2022</t>
        </is>
      </c>
      <c r="B2211" s="1" t="n">
        <v>44683</v>
      </c>
      <c r="C2211" s="1" t="n">
        <v>45757</v>
      </c>
      <c r="D2211" t="inlineStr">
        <is>
          <t>VÄSTMANLANDS LÄN</t>
        </is>
      </c>
      <c r="E2211" t="inlineStr">
        <is>
          <t>FAGERSTA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17897-2022</t>
        </is>
      </c>
      <c r="B2212" s="1" t="n">
        <v>44683</v>
      </c>
      <c r="C2212" s="1" t="n">
        <v>45757</v>
      </c>
      <c r="D2212" t="inlineStr">
        <is>
          <t>VÄSTMANLANDS LÄN</t>
        </is>
      </c>
      <c r="E2212" t="inlineStr">
        <is>
          <t>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17865-2022</t>
        </is>
      </c>
      <c r="B2213" s="1" t="n">
        <v>44683</v>
      </c>
      <c r="C2213" s="1" t="n">
        <v>45757</v>
      </c>
      <c r="D2213" t="inlineStr">
        <is>
          <t>VÄSTMANLANDS LÄN</t>
        </is>
      </c>
      <c r="E2213" t="inlineStr">
        <is>
          <t>FAGERSTA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17989-2022</t>
        </is>
      </c>
      <c r="B2214" s="1" t="n">
        <v>44683</v>
      </c>
      <c r="C2214" s="1" t="n">
        <v>45757</v>
      </c>
      <c r="D2214" t="inlineStr">
        <is>
          <t>VÄSTMANLANDS LÄN</t>
        </is>
      </c>
      <c r="E2214" t="inlineStr">
        <is>
          <t>FAGERSTA</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17991-2022</t>
        </is>
      </c>
      <c r="B2215" s="1" t="n">
        <v>44683</v>
      </c>
      <c r="C2215" s="1" t="n">
        <v>45757</v>
      </c>
      <c r="D2215" t="inlineStr">
        <is>
          <t>VÄSTMANLANDS LÄN</t>
        </is>
      </c>
      <c r="E2215" t="inlineStr">
        <is>
          <t>VÄSTERÅS</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18281-2022</t>
        </is>
      </c>
      <c r="B2216" s="1" t="n">
        <v>44685</v>
      </c>
      <c r="C2216" s="1" t="n">
        <v>45757</v>
      </c>
      <c r="D2216" t="inlineStr">
        <is>
          <t>VÄSTMANLANDS LÄN</t>
        </is>
      </c>
      <c r="E2216" t="inlineStr">
        <is>
          <t>VÄSTERÅS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18276-2022</t>
        </is>
      </c>
      <c r="B2217" s="1" t="n">
        <v>44685</v>
      </c>
      <c r="C2217" s="1" t="n">
        <v>45757</v>
      </c>
      <c r="D2217" t="inlineStr">
        <is>
          <t>VÄSTMANLANDS LÄN</t>
        </is>
      </c>
      <c r="E2217" t="inlineStr">
        <is>
          <t>VÄSTERÅS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18326-2022</t>
        </is>
      </c>
      <c r="B2218" s="1" t="n">
        <v>44685</v>
      </c>
      <c r="C2218" s="1" t="n">
        <v>45757</v>
      </c>
      <c r="D2218" t="inlineStr">
        <is>
          <t>VÄSTMANLANDS LÄN</t>
        </is>
      </c>
      <c r="E2218" t="inlineStr">
        <is>
          <t>NORBERG</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18284-2022</t>
        </is>
      </c>
      <c r="B2219" s="1" t="n">
        <v>44685</v>
      </c>
      <c r="C2219" s="1" t="n">
        <v>45757</v>
      </c>
      <c r="D2219" t="inlineStr">
        <is>
          <t>VÄSTMANLANDS LÄN</t>
        </is>
      </c>
      <c r="E2219" t="inlineStr">
        <is>
          <t>VÄSTERÅS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18531-2022</t>
        </is>
      </c>
      <c r="B2220" s="1" t="n">
        <v>44686</v>
      </c>
      <c r="C2220" s="1" t="n">
        <v>45757</v>
      </c>
      <c r="D2220" t="inlineStr">
        <is>
          <t>VÄSTMANLANDS LÄN</t>
        </is>
      </c>
      <c r="E2220" t="inlineStr">
        <is>
          <t>VÄSTERÅS</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18673-2022</t>
        </is>
      </c>
      <c r="B2221" s="1" t="n">
        <v>44687</v>
      </c>
      <c r="C2221" s="1" t="n">
        <v>45757</v>
      </c>
      <c r="D2221" t="inlineStr">
        <is>
          <t>VÄSTMANLANDS LÄN</t>
        </is>
      </c>
      <c r="E2221" t="inlineStr">
        <is>
          <t>NORBERG</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19076-2022</t>
        </is>
      </c>
      <c r="B2222" s="1" t="n">
        <v>44691</v>
      </c>
      <c r="C2222" s="1" t="n">
        <v>45757</v>
      </c>
      <c r="D2222" t="inlineStr">
        <is>
          <t>VÄSTMANLANDS LÄN</t>
        </is>
      </c>
      <c r="E2222" t="inlineStr">
        <is>
          <t>NORBERG</t>
        </is>
      </c>
      <c r="F2222" t="inlineStr">
        <is>
          <t>Övriga Aktiebolag</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19058-2022</t>
        </is>
      </c>
      <c r="B2223" s="1" t="n">
        <v>44691</v>
      </c>
      <c r="C2223" s="1" t="n">
        <v>45757</v>
      </c>
      <c r="D2223" t="inlineStr">
        <is>
          <t>VÄSTMANLANDS LÄN</t>
        </is>
      </c>
      <c r="E2223" t="inlineStr">
        <is>
          <t>SALA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19075-2022</t>
        </is>
      </c>
      <c r="B2224" s="1" t="n">
        <v>44691</v>
      </c>
      <c r="C2224" s="1" t="n">
        <v>45757</v>
      </c>
      <c r="D2224" t="inlineStr">
        <is>
          <t>VÄSTMANLANDS LÄN</t>
        </is>
      </c>
      <c r="E2224" t="inlineStr">
        <is>
          <t>NORBERG</t>
        </is>
      </c>
      <c r="F2224" t="inlineStr">
        <is>
          <t>Övriga Aktiebolag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19065-2022</t>
        </is>
      </c>
      <c r="B2225" s="1" t="n">
        <v>44691</v>
      </c>
      <c r="C2225" s="1" t="n">
        <v>45757</v>
      </c>
      <c r="D2225" t="inlineStr">
        <is>
          <t>VÄSTMANLANDS LÄN</t>
        </is>
      </c>
      <c r="E2225" t="inlineStr">
        <is>
          <t>SALA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19073-2022</t>
        </is>
      </c>
      <c r="B2226" s="1" t="n">
        <v>44691</v>
      </c>
      <c r="C2226" s="1" t="n">
        <v>45757</v>
      </c>
      <c r="D2226" t="inlineStr">
        <is>
          <t>VÄSTMANLANDS LÄN</t>
        </is>
      </c>
      <c r="E2226" t="inlineStr">
        <is>
          <t>NORBERG</t>
        </is>
      </c>
      <c r="F2226" t="inlineStr">
        <is>
          <t>Övriga Aktiebolag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19099-2022</t>
        </is>
      </c>
      <c r="B2227" s="1" t="n">
        <v>44691</v>
      </c>
      <c r="C2227" s="1" t="n">
        <v>45757</v>
      </c>
      <c r="D2227" t="inlineStr">
        <is>
          <t>VÄSTMANLANDS LÄN</t>
        </is>
      </c>
      <c r="E2227" t="inlineStr">
        <is>
          <t>SURAHAMMAR</t>
        </is>
      </c>
      <c r="F2227" t="inlineStr">
        <is>
          <t>Övriga Aktiebolag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19164-2022</t>
        </is>
      </c>
      <c r="B2228" s="1" t="n">
        <v>44691</v>
      </c>
      <c r="C2228" s="1" t="n">
        <v>45757</v>
      </c>
      <c r="D2228" t="inlineStr">
        <is>
          <t>VÄSTMANLANDS LÄN</t>
        </is>
      </c>
      <c r="E2228" t="inlineStr">
        <is>
          <t>VÄSTERÅS</t>
        </is>
      </c>
      <c r="F2228" t="inlineStr">
        <is>
          <t>Övriga Aktiebolag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19336-2022</t>
        </is>
      </c>
      <c r="B2229" s="1" t="n">
        <v>44692</v>
      </c>
      <c r="C2229" s="1" t="n">
        <v>45757</v>
      </c>
      <c r="D2229" t="inlineStr">
        <is>
          <t>VÄSTMANLANDS LÄN</t>
        </is>
      </c>
      <c r="E2229" t="inlineStr">
        <is>
          <t>VÄSTERÅS</t>
        </is>
      </c>
      <c r="F2229" t="inlineStr">
        <is>
          <t>Övriga Aktiebolag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19637-2022</t>
        </is>
      </c>
      <c r="B2230" s="1" t="n">
        <v>44694</v>
      </c>
      <c r="C2230" s="1" t="n">
        <v>45757</v>
      </c>
      <c r="D2230" t="inlineStr">
        <is>
          <t>VÄSTMANLANDS LÄN</t>
        </is>
      </c>
      <c r="E2230" t="inlineStr">
        <is>
          <t>SURAHAMMAR</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19636-2022</t>
        </is>
      </c>
      <c r="B2231" s="1" t="n">
        <v>44694</v>
      </c>
      <c r="C2231" s="1" t="n">
        <v>45757</v>
      </c>
      <c r="D2231" t="inlineStr">
        <is>
          <t>VÄSTMANLANDS LÄN</t>
        </is>
      </c>
      <c r="E2231" t="inlineStr">
        <is>
          <t>NORBERG</t>
        </is>
      </c>
      <c r="F2231" t="inlineStr">
        <is>
          <t>Bergvik skog väst AB</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19751-2022</t>
        </is>
      </c>
      <c r="B2232" s="1" t="n">
        <v>44694</v>
      </c>
      <c r="C2232" s="1" t="n">
        <v>45757</v>
      </c>
      <c r="D2232" t="inlineStr">
        <is>
          <t>VÄSTMANLANDS LÄN</t>
        </is>
      </c>
      <c r="E2232" t="inlineStr">
        <is>
          <t>SALA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19760-2022</t>
        </is>
      </c>
      <c r="B2233" s="1" t="n">
        <v>44694</v>
      </c>
      <c r="C2233" s="1" t="n">
        <v>45757</v>
      </c>
      <c r="D2233" t="inlineStr">
        <is>
          <t>VÄSTMANLANDS LÄN</t>
        </is>
      </c>
      <c r="E2233" t="inlineStr">
        <is>
          <t>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19844-2022</t>
        </is>
      </c>
      <c r="B2234" s="1" t="n">
        <v>44696</v>
      </c>
      <c r="C2234" s="1" t="n">
        <v>45757</v>
      </c>
      <c r="D2234" t="inlineStr">
        <is>
          <t>VÄSTMANLANDS LÄN</t>
        </is>
      </c>
      <c r="E2234" t="inlineStr">
        <is>
          <t>SURAHAMMAR</t>
        </is>
      </c>
      <c r="F2234" t="inlineStr">
        <is>
          <t>Kommuner</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19845-2022</t>
        </is>
      </c>
      <c r="B2235" s="1" t="n">
        <v>44696</v>
      </c>
      <c r="C2235" s="1" t="n">
        <v>45757</v>
      </c>
      <c r="D2235" t="inlineStr">
        <is>
          <t>VÄSTMANLANDS LÄN</t>
        </is>
      </c>
      <c r="E2235" t="inlineStr">
        <is>
          <t>SURAHAMMAR</t>
        </is>
      </c>
      <c r="F2235" t="inlineStr">
        <is>
          <t>Kommuner</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19846-2022</t>
        </is>
      </c>
      <c r="B2236" s="1" t="n">
        <v>44696</v>
      </c>
      <c r="C2236" s="1" t="n">
        <v>45757</v>
      </c>
      <c r="D2236" t="inlineStr">
        <is>
          <t>VÄSTMANLANDS LÄN</t>
        </is>
      </c>
      <c r="E2236" t="inlineStr">
        <is>
          <t>SURAHAMMAR</t>
        </is>
      </c>
      <c r="F2236" t="inlineStr">
        <is>
          <t>Kommuner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19992-2022</t>
        </is>
      </c>
      <c r="B2237" s="1" t="n">
        <v>44697</v>
      </c>
      <c r="C2237" s="1" t="n">
        <v>45757</v>
      </c>
      <c r="D2237" t="inlineStr">
        <is>
          <t>VÄSTMANLANDS LÄN</t>
        </is>
      </c>
      <c r="E2237" t="inlineStr">
        <is>
          <t>ARBOGA</t>
        </is>
      </c>
      <c r="F2237" t="inlineStr">
        <is>
          <t>Allmännings- och besparingsskogar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19877-2022</t>
        </is>
      </c>
      <c r="B2238" s="1" t="n">
        <v>44697</v>
      </c>
      <c r="C2238" s="1" t="n">
        <v>45757</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20134-2022</t>
        </is>
      </c>
      <c r="B2239" s="1" t="n">
        <v>44698</v>
      </c>
      <c r="C2239" s="1" t="n">
        <v>45757</v>
      </c>
      <c r="D2239" t="inlineStr">
        <is>
          <t>VÄSTMANLANDS LÄN</t>
        </is>
      </c>
      <c r="E2239" t="inlineStr">
        <is>
          <t>VÄSTERÅS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20118-2022</t>
        </is>
      </c>
      <c r="B2240" s="1" t="n">
        <v>44698</v>
      </c>
      <c r="C2240" s="1" t="n">
        <v>45757</v>
      </c>
      <c r="D2240" t="inlineStr">
        <is>
          <t>VÄSTMANLANDS LÄN</t>
        </is>
      </c>
      <c r="E2240" t="inlineStr">
        <is>
          <t>NORBERG</t>
        </is>
      </c>
      <c r="F2240" t="inlineStr">
        <is>
          <t>Bergvik skog väst AB</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20271-2022</t>
        </is>
      </c>
      <c r="B2241" s="1" t="n">
        <v>44698</v>
      </c>
      <c r="C2241" s="1" t="n">
        <v>45757</v>
      </c>
      <c r="D2241" t="inlineStr">
        <is>
          <t>VÄSTMANLANDS LÄN</t>
        </is>
      </c>
      <c r="E2241" t="inlineStr">
        <is>
          <t>ARBOGA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20344-2022</t>
        </is>
      </c>
      <c r="B2242" s="1" t="n">
        <v>44699</v>
      </c>
      <c r="C2242" s="1" t="n">
        <v>45757</v>
      </c>
      <c r="D2242" t="inlineStr">
        <is>
          <t>VÄSTMANLANDS LÄN</t>
        </is>
      </c>
      <c r="E2242" t="inlineStr">
        <is>
          <t>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20352-2022</t>
        </is>
      </c>
      <c r="B2243" s="1" t="n">
        <v>44699</v>
      </c>
      <c r="C2243" s="1" t="n">
        <v>45757</v>
      </c>
      <c r="D2243" t="inlineStr">
        <is>
          <t>VÄSTMANLANDS LÄN</t>
        </is>
      </c>
      <c r="E2243" t="inlineStr">
        <is>
          <t>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20433-2022</t>
        </is>
      </c>
      <c r="B2244" s="1" t="n">
        <v>44699</v>
      </c>
      <c r="C2244" s="1" t="n">
        <v>45757</v>
      </c>
      <c r="D2244" t="inlineStr">
        <is>
          <t>VÄSTMANLANDS LÄN</t>
        </is>
      </c>
      <c r="E2244" t="inlineStr">
        <is>
          <t>ARBOGA</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20492-2022</t>
        </is>
      </c>
      <c r="B2245" s="1" t="n">
        <v>44699</v>
      </c>
      <c r="C2245" s="1" t="n">
        <v>45757</v>
      </c>
      <c r="D2245" t="inlineStr">
        <is>
          <t>VÄSTMANLANDS LÄN</t>
        </is>
      </c>
      <c r="E2245" t="inlineStr">
        <is>
          <t>VÄSTERÅS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20445-2022</t>
        </is>
      </c>
      <c r="B2246" s="1" t="n">
        <v>44699</v>
      </c>
      <c r="C2246" s="1" t="n">
        <v>45757</v>
      </c>
      <c r="D2246" t="inlineStr">
        <is>
          <t>VÄSTMANLANDS LÄN</t>
        </is>
      </c>
      <c r="E2246" t="inlineStr">
        <is>
          <t>ARBOGA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20552-2022</t>
        </is>
      </c>
      <c r="B2247" s="1" t="n">
        <v>44700</v>
      </c>
      <c r="C2247" s="1" t="n">
        <v>45757</v>
      </c>
      <c r="D2247" t="inlineStr">
        <is>
          <t>VÄSTMANLANDS LÄN</t>
        </is>
      </c>
      <c r="E2247" t="inlineStr">
        <is>
          <t>ARBOGA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20567-2022</t>
        </is>
      </c>
      <c r="B2248" s="1" t="n">
        <v>44700</v>
      </c>
      <c r="C2248" s="1" t="n">
        <v>45757</v>
      </c>
      <c r="D2248" t="inlineStr">
        <is>
          <t>VÄSTMANLANDS LÄN</t>
        </is>
      </c>
      <c r="E2248" t="inlineStr">
        <is>
          <t>NORBERG</t>
        </is>
      </c>
      <c r="F2248" t="inlineStr">
        <is>
          <t>Bergvik skog väst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20798-2022</t>
        </is>
      </c>
      <c r="B2249" s="1" t="n">
        <v>44701</v>
      </c>
      <c r="C2249" s="1" t="n">
        <v>45757</v>
      </c>
      <c r="D2249" t="inlineStr">
        <is>
          <t>VÄSTMANLANDS LÄN</t>
        </is>
      </c>
      <c r="E2249" t="inlineStr">
        <is>
          <t>KÖPING</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20875-2022</t>
        </is>
      </c>
      <c r="B2250" s="1" t="n">
        <v>44701</v>
      </c>
      <c r="C2250" s="1" t="n">
        <v>45757</v>
      </c>
      <c r="D2250" t="inlineStr">
        <is>
          <t>VÄSTMANLANDS LÄN</t>
        </is>
      </c>
      <c r="E2250" t="inlineStr">
        <is>
          <t>SALA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20898-2022</t>
        </is>
      </c>
      <c r="B2251" s="1" t="n">
        <v>44701</v>
      </c>
      <c r="C2251" s="1" t="n">
        <v>45757</v>
      </c>
      <c r="D2251" t="inlineStr">
        <is>
          <t>VÄSTMANLANDS LÄN</t>
        </is>
      </c>
      <c r="E2251" t="inlineStr">
        <is>
          <t>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21055-2022</t>
        </is>
      </c>
      <c r="B2252" s="1" t="n">
        <v>44704</v>
      </c>
      <c r="C2252" s="1" t="n">
        <v>45757</v>
      </c>
      <c r="D2252" t="inlineStr">
        <is>
          <t>VÄSTMANLANDS LÄN</t>
        </is>
      </c>
      <c r="E2252" t="inlineStr">
        <is>
          <t>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21053-2022</t>
        </is>
      </c>
      <c r="B2253" s="1" t="n">
        <v>44704</v>
      </c>
      <c r="C2253" s="1" t="n">
        <v>45757</v>
      </c>
      <c r="D2253" t="inlineStr">
        <is>
          <t>VÄSTMANLANDS LÄN</t>
        </is>
      </c>
      <c r="E2253" t="inlineStr">
        <is>
          <t>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21159-2022</t>
        </is>
      </c>
      <c r="B2254" s="1" t="n">
        <v>44704</v>
      </c>
      <c r="C2254" s="1" t="n">
        <v>45757</v>
      </c>
      <c r="D2254" t="inlineStr">
        <is>
          <t>VÄSTMANLANDS LÄN</t>
        </is>
      </c>
      <c r="E2254" t="inlineStr">
        <is>
          <t>SALA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21264-2022</t>
        </is>
      </c>
      <c r="B2255" s="1" t="n">
        <v>44705</v>
      </c>
      <c r="C2255" s="1" t="n">
        <v>45757</v>
      </c>
      <c r="D2255" t="inlineStr">
        <is>
          <t>VÄSTMANLANDS LÄN</t>
        </is>
      </c>
      <c r="E2255" t="inlineStr">
        <is>
          <t>HALLSTAHAMMAR</t>
        </is>
      </c>
      <c r="F2255" t="inlineStr">
        <is>
          <t>Allmännings- och besparingsskogar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21761-2022</t>
        </is>
      </c>
      <c r="B2256" s="1" t="n">
        <v>44708</v>
      </c>
      <c r="C2256" s="1" t="n">
        <v>45757</v>
      </c>
      <c r="D2256" t="inlineStr">
        <is>
          <t>VÄSTMANLANDS LÄN</t>
        </is>
      </c>
      <c r="E2256" t="inlineStr">
        <is>
          <t>VÄSTERÅS</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21777-2022</t>
        </is>
      </c>
      <c r="B2257" s="1" t="n">
        <v>44708</v>
      </c>
      <c r="C2257" s="1" t="n">
        <v>45757</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21754-2022</t>
        </is>
      </c>
      <c r="B2258" s="1" t="n">
        <v>44708</v>
      </c>
      <c r="C2258" s="1" t="n">
        <v>45757</v>
      </c>
      <c r="D2258" t="inlineStr">
        <is>
          <t>VÄSTMANLANDS LÄN</t>
        </is>
      </c>
      <c r="E2258" t="inlineStr">
        <is>
          <t>SKINNSKATTEBERG</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21857-2022</t>
        </is>
      </c>
      <c r="B2259" s="1" t="n">
        <v>44711</v>
      </c>
      <c r="C2259" s="1" t="n">
        <v>45757</v>
      </c>
      <c r="D2259" t="inlineStr">
        <is>
          <t>VÄSTMANLANDS LÄN</t>
        </is>
      </c>
      <c r="E2259" t="inlineStr">
        <is>
          <t>VÄSTERÅS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22113-2022</t>
        </is>
      </c>
      <c r="B2260" s="1" t="n">
        <v>44712</v>
      </c>
      <c r="C2260" s="1" t="n">
        <v>45757</v>
      </c>
      <c r="D2260" t="inlineStr">
        <is>
          <t>VÄSTMANLANDS LÄN</t>
        </is>
      </c>
      <c r="E2260" t="inlineStr">
        <is>
          <t>SKINNSKATTEBERG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22182-2022</t>
        </is>
      </c>
      <c r="B2261" s="1" t="n">
        <v>44712</v>
      </c>
      <c r="C2261" s="1" t="n">
        <v>45757</v>
      </c>
      <c r="D2261" t="inlineStr">
        <is>
          <t>VÄSTMANLANDS LÄN</t>
        </is>
      </c>
      <c r="E2261" t="inlineStr">
        <is>
          <t>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22279-2022</t>
        </is>
      </c>
      <c r="B2262" s="1" t="n">
        <v>44712</v>
      </c>
      <c r="C2262" s="1" t="n">
        <v>45757</v>
      </c>
      <c r="D2262" t="inlineStr">
        <is>
          <t>VÄSTMANLANDS LÄN</t>
        </is>
      </c>
      <c r="E2262" t="inlineStr">
        <is>
          <t>SKINNSKATTEBERG</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22397-2022</t>
        </is>
      </c>
      <c r="B2263" s="1" t="n">
        <v>44713</v>
      </c>
      <c r="C2263" s="1" t="n">
        <v>45757</v>
      </c>
      <c r="D2263" t="inlineStr">
        <is>
          <t>VÄSTMANLANDS LÄN</t>
        </is>
      </c>
      <c r="E2263" t="inlineStr">
        <is>
          <t>SALA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22394-2022</t>
        </is>
      </c>
      <c r="B2264" s="1" t="n">
        <v>44713</v>
      </c>
      <c r="C2264" s="1" t="n">
        <v>45757</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22575-2022</t>
        </is>
      </c>
      <c r="B2265" s="1" t="n">
        <v>44713</v>
      </c>
      <c r="C2265" s="1" t="n">
        <v>45757</v>
      </c>
      <c r="D2265" t="inlineStr">
        <is>
          <t>VÄSTMANLANDS LÄN</t>
        </is>
      </c>
      <c r="E2265" t="inlineStr">
        <is>
          <t>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22562-2022</t>
        </is>
      </c>
      <c r="B2266" s="1" t="n">
        <v>44713</v>
      </c>
      <c r="C2266" s="1" t="n">
        <v>45757</v>
      </c>
      <c r="D2266" t="inlineStr">
        <is>
          <t>VÄSTMANLANDS LÄN</t>
        </is>
      </c>
      <c r="E2266" t="inlineStr">
        <is>
          <t>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22602-2022</t>
        </is>
      </c>
      <c r="B2267" s="1" t="n">
        <v>44714</v>
      </c>
      <c r="C2267" s="1" t="n">
        <v>45757</v>
      </c>
      <c r="D2267" t="inlineStr">
        <is>
          <t>VÄSTMANLANDS LÄN</t>
        </is>
      </c>
      <c r="E2267" t="inlineStr">
        <is>
          <t>VÄSTERÅS</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22811-2022</t>
        </is>
      </c>
      <c r="B2268" s="1" t="n">
        <v>44715</v>
      </c>
      <c r="C2268" s="1" t="n">
        <v>45757</v>
      </c>
      <c r="D2268" t="inlineStr">
        <is>
          <t>VÄSTMANLANDS LÄN</t>
        </is>
      </c>
      <c r="E2268" t="inlineStr">
        <is>
          <t>SALA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22866-2022</t>
        </is>
      </c>
      <c r="B2269" s="1" t="n">
        <v>44715</v>
      </c>
      <c r="C2269" s="1" t="n">
        <v>45757</v>
      </c>
      <c r="D2269" t="inlineStr">
        <is>
          <t>VÄSTMANLANDS LÄN</t>
        </is>
      </c>
      <c r="E2269" t="inlineStr">
        <is>
          <t>VÄSTERÅS</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22978-2022</t>
        </is>
      </c>
      <c r="B2270" s="1" t="n">
        <v>44717</v>
      </c>
      <c r="C2270" s="1" t="n">
        <v>45757</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22979-2022</t>
        </is>
      </c>
      <c r="B2271" s="1" t="n">
        <v>44717</v>
      </c>
      <c r="C2271" s="1" t="n">
        <v>45757</v>
      </c>
      <c r="D2271" t="inlineStr">
        <is>
          <t>VÄSTMANLANDS LÄN</t>
        </is>
      </c>
      <c r="E2271" t="inlineStr">
        <is>
          <t>VÄSTERÅS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23009-2022</t>
        </is>
      </c>
      <c r="B2272" s="1" t="n">
        <v>44719</v>
      </c>
      <c r="C2272" s="1" t="n">
        <v>45757</v>
      </c>
      <c r="D2272" t="inlineStr">
        <is>
          <t>VÄSTMANLANDS LÄN</t>
        </is>
      </c>
      <c r="E2272" t="inlineStr">
        <is>
          <t>NORBERG</t>
        </is>
      </c>
      <c r="F2272" t="inlineStr">
        <is>
          <t>Bergvik skog väst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23119-2022</t>
        </is>
      </c>
      <c r="B2273" s="1" t="n">
        <v>44719</v>
      </c>
      <c r="C2273" s="1" t="n">
        <v>45757</v>
      </c>
      <c r="D2273" t="inlineStr">
        <is>
          <t>VÄSTMANLANDS LÄN</t>
        </is>
      </c>
      <c r="E2273" t="inlineStr">
        <is>
          <t>SALA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23181-2022</t>
        </is>
      </c>
      <c r="B2274" s="1" t="n">
        <v>44719</v>
      </c>
      <c r="C2274" s="1" t="n">
        <v>45757</v>
      </c>
      <c r="D2274" t="inlineStr">
        <is>
          <t>VÄSTMANLANDS LÄN</t>
        </is>
      </c>
      <c r="E2274" t="inlineStr">
        <is>
          <t>SALA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23180-2022</t>
        </is>
      </c>
      <c r="B2275" s="1" t="n">
        <v>44719</v>
      </c>
      <c r="C2275" s="1" t="n">
        <v>45757</v>
      </c>
      <c r="D2275" t="inlineStr">
        <is>
          <t>VÄSTMANLANDS LÄN</t>
        </is>
      </c>
      <c r="E2275" t="inlineStr">
        <is>
          <t>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23182-2022</t>
        </is>
      </c>
      <c r="B2276" s="1" t="n">
        <v>44719</v>
      </c>
      <c r="C2276" s="1" t="n">
        <v>45757</v>
      </c>
      <c r="D2276" t="inlineStr">
        <is>
          <t>VÄSTMANLANDS LÄN</t>
        </is>
      </c>
      <c r="E2276" t="inlineStr">
        <is>
          <t>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23043-2022</t>
        </is>
      </c>
      <c r="B2277" s="1" t="n">
        <v>44719</v>
      </c>
      <c r="C2277" s="1" t="n">
        <v>45757</v>
      </c>
      <c r="D2277" t="inlineStr">
        <is>
          <t>VÄSTMANLANDS LÄN</t>
        </is>
      </c>
      <c r="E2277" t="inlineStr">
        <is>
          <t>NORBERG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23624-2022</t>
        </is>
      </c>
      <c r="B2278" s="1" t="n">
        <v>44721</v>
      </c>
      <c r="C2278" s="1" t="n">
        <v>45757</v>
      </c>
      <c r="D2278" t="inlineStr">
        <is>
          <t>VÄSTMANLANDS LÄN</t>
        </is>
      </c>
      <c r="E2278" t="inlineStr">
        <is>
          <t>KÖPING</t>
        </is>
      </c>
      <c r="G2278" t="n">
        <v>14.1</v>
      </c>
      <c r="H2278" t="n">
        <v>0</v>
      </c>
      <c r="I2278" t="n">
        <v>0</v>
      </c>
      <c r="J2278" t="n">
        <v>0</v>
      </c>
      <c r="K2278" t="n">
        <v>0</v>
      </c>
      <c r="L2278" t="n">
        <v>0</v>
      </c>
      <c r="M2278" t="n">
        <v>0</v>
      </c>
      <c r="N2278" t="n">
        <v>0</v>
      </c>
      <c r="O2278" t="n">
        <v>0</v>
      </c>
      <c r="P2278" t="n">
        <v>0</v>
      </c>
      <c r="Q2278" t="n">
        <v>0</v>
      </c>
      <c r="R2278" s="2" t="inlineStr"/>
    </row>
    <row r="2279" ht="15" customHeight="1">
      <c r="A2279" t="inlineStr">
        <is>
          <t>A 23757-2022</t>
        </is>
      </c>
      <c r="B2279" s="1" t="n">
        <v>44722</v>
      </c>
      <c r="C2279" s="1" t="n">
        <v>45757</v>
      </c>
      <c r="D2279" t="inlineStr">
        <is>
          <t>VÄSTMANLANDS LÄN</t>
        </is>
      </c>
      <c r="E2279" t="inlineStr">
        <is>
          <t>SALA</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23765-2022</t>
        </is>
      </c>
      <c r="B2280" s="1" t="n">
        <v>44722</v>
      </c>
      <c r="C2280" s="1" t="n">
        <v>45757</v>
      </c>
      <c r="D2280" t="inlineStr">
        <is>
          <t>VÄSTMANLANDS LÄN</t>
        </is>
      </c>
      <c r="E2280" t="inlineStr">
        <is>
          <t>VÄSTERÅS</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23781-2022</t>
        </is>
      </c>
      <c r="B2281" s="1" t="n">
        <v>44722</v>
      </c>
      <c r="C2281" s="1" t="n">
        <v>45757</v>
      </c>
      <c r="D2281" t="inlineStr">
        <is>
          <t>VÄSTMANLANDS LÄN</t>
        </is>
      </c>
      <c r="E2281" t="inlineStr">
        <is>
          <t>FAGERSTA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23847-2022</t>
        </is>
      </c>
      <c r="B2282" s="1" t="n">
        <v>44722</v>
      </c>
      <c r="C2282" s="1" t="n">
        <v>45757</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23763-2022</t>
        </is>
      </c>
      <c r="B2283" s="1" t="n">
        <v>44722</v>
      </c>
      <c r="C2283" s="1" t="n">
        <v>45757</v>
      </c>
      <c r="D2283" t="inlineStr">
        <is>
          <t>VÄSTMANLANDS LÄN</t>
        </is>
      </c>
      <c r="E2283" t="inlineStr">
        <is>
          <t>VÄSTERÅS</t>
        </is>
      </c>
      <c r="F2283" t="inlineStr">
        <is>
          <t>Sveaskog</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23791-2022</t>
        </is>
      </c>
      <c r="B2284" s="1" t="n">
        <v>44722</v>
      </c>
      <c r="C2284" s="1" t="n">
        <v>45757</v>
      </c>
      <c r="D2284" t="inlineStr">
        <is>
          <t>VÄSTMANLANDS LÄN</t>
        </is>
      </c>
      <c r="E2284" t="inlineStr">
        <is>
          <t>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23766-2022</t>
        </is>
      </c>
      <c r="B2285" s="1" t="n">
        <v>44722</v>
      </c>
      <c r="C2285" s="1" t="n">
        <v>45757</v>
      </c>
      <c r="D2285" t="inlineStr">
        <is>
          <t>VÄSTMANLANDS LÄN</t>
        </is>
      </c>
      <c r="E2285" t="inlineStr">
        <is>
          <t>VÄSTERÅS</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23907-2022</t>
        </is>
      </c>
      <c r="B2286" s="1" t="n">
        <v>44722</v>
      </c>
      <c r="C2286" s="1" t="n">
        <v>45757</v>
      </c>
      <c r="D2286" t="inlineStr">
        <is>
          <t>VÄSTMANLANDS LÄN</t>
        </is>
      </c>
      <c r="E2286" t="inlineStr">
        <is>
          <t>KÖPING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24039-2022</t>
        </is>
      </c>
      <c r="B2287" s="1" t="n">
        <v>44724</v>
      </c>
      <c r="C2287" s="1" t="n">
        <v>45757</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24073-2022</t>
        </is>
      </c>
      <c r="B2288" s="1" t="n">
        <v>44725</v>
      </c>
      <c r="C2288" s="1" t="n">
        <v>45757</v>
      </c>
      <c r="D2288" t="inlineStr">
        <is>
          <t>VÄSTMANLANDS LÄN</t>
        </is>
      </c>
      <c r="E2288" t="inlineStr">
        <is>
          <t>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24175-2022</t>
        </is>
      </c>
      <c r="B2289" s="1" t="n">
        <v>44725</v>
      </c>
      <c r="C2289" s="1" t="n">
        <v>45757</v>
      </c>
      <c r="D2289" t="inlineStr">
        <is>
          <t>VÄSTMANLANDS LÄN</t>
        </is>
      </c>
      <c r="E2289" t="inlineStr">
        <is>
          <t>KUNGSÖR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24195-2022</t>
        </is>
      </c>
      <c r="B2290" s="1" t="n">
        <v>44725</v>
      </c>
      <c r="C2290" s="1" t="n">
        <v>45757</v>
      </c>
      <c r="D2290" t="inlineStr">
        <is>
          <t>VÄSTMANLANDS LÄN</t>
        </is>
      </c>
      <c r="E2290" t="inlineStr">
        <is>
          <t>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24540-2022</t>
        </is>
      </c>
      <c r="B2291" s="1" t="n">
        <v>44727</v>
      </c>
      <c r="C2291" s="1" t="n">
        <v>45757</v>
      </c>
      <c r="D2291" t="inlineStr">
        <is>
          <t>VÄSTMANLANDS LÄN</t>
        </is>
      </c>
      <c r="E2291" t="inlineStr">
        <is>
          <t>NORBERG</t>
        </is>
      </c>
      <c r="F2291" t="inlineStr">
        <is>
          <t>Bergvik skog väst AB</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24818-2022</t>
        </is>
      </c>
      <c r="B2292" s="1" t="n">
        <v>44727</v>
      </c>
      <c r="C2292" s="1" t="n">
        <v>45757</v>
      </c>
      <c r="D2292" t="inlineStr">
        <is>
          <t>VÄSTMANLANDS LÄN</t>
        </is>
      </c>
      <c r="E2292" t="inlineStr">
        <is>
          <t>SALA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24835-2022</t>
        </is>
      </c>
      <c r="B2293" s="1" t="n">
        <v>44727</v>
      </c>
      <c r="C2293" s="1" t="n">
        <v>45757</v>
      </c>
      <c r="D2293" t="inlineStr">
        <is>
          <t>VÄSTMANLANDS LÄN</t>
        </is>
      </c>
      <c r="E2293" t="inlineStr">
        <is>
          <t>SALA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24777-2022</t>
        </is>
      </c>
      <c r="B2294" s="1" t="n">
        <v>44728</v>
      </c>
      <c r="C2294" s="1" t="n">
        <v>45757</v>
      </c>
      <c r="D2294" t="inlineStr">
        <is>
          <t>VÄSTMANLANDS LÄN</t>
        </is>
      </c>
      <c r="E2294" t="inlineStr">
        <is>
          <t>SKINNSKATTEBERG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24793-2022</t>
        </is>
      </c>
      <c r="B2295" s="1" t="n">
        <v>44728</v>
      </c>
      <c r="C2295" s="1" t="n">
        <v>45757</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24870-2022</t>
        </is>
      </c>
      <c r="B2296" s="1" t="n">
        <v>44728</v>
      </c>
      <c r="C2296" s="1" t="n">
        <v>45757</v>
      </c>
      <c r="D2296" t="inlineStr">
        <is>
          <t>VÄSTMANLANDS LÄN</t>
        </is>
      </c>
      <c r="E2296" t="inlineStr">
        <is>
          <t>ARBOGA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24882-2022</t>
        </is>
      </c>
      <c r="B2297" s="1" t="n">
        <v>44728</v>
      </c>
      <c r="C2297" s="1" t="n">
        <v>45757</v>
      </c>
      <c r="D2297" t="inlineStr">
        <is>
          <t>VÄSTMANLANDS LÄN</t>
        </is>
      </c>
      <c r="E2297" t="inlineStr">
        <is>
          <t>SALA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25057-2022</t>
        </is>
      </c>
      <c r="B2298" s="1" t="n">
        <v>44729</v>
      </c>
      <c r="C2298" s="1" t="n">
        <v>45757</v>
      </c>
      <c r="D2298" t="inlineStr">
        <is>
          <t>VÄSTMANLANDS LÄN</t>
        </is>
      </c>
      <c r="E2298" t="inlineStr">
        <is>
          <t>FAGERSTA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25053-2022</t>
        </is>
      </c>
      <c r="B2299" s="1" t="n">
        <v>44729</v>
      </c>
      <c r="C2299" s="1" t="n">
        <v>45757</v>
      </c>
      <c r="D2299" t="inlineStr">
        <is>
          <t>VÄSTMANLANDS LÄN</t>
        </is>
      </c>
      <c r="E2299" t="inlineStr">
        <is>
          <t>FAGERSTA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25215-2022</t>
        </is>
      </c>
      <c r="B2300" s="1" t="n">
        <v>44729</v>
      </c>
      <c r="C2300" s="1" t="n">
        <v>45757</v>
      </c>
      <c r="D2300" t="inlineStr">
        <is>
          <t>VÄSTMANLANDS LÄN</t>
        </is>
      </c>
      <c r="E2300" t="inlineStr">
        <is>
          <t>VÄSTERÅS</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25322-2022</t>
        </is>
      </c>
      <c r="B2301" s="1" t="n">
        <v>44731</v>
      </c>
      <c r="C2301" s="1" t="n">
        <v>45757</v>
      </c>
      <c r="D2301" t="inlineStr">
        <is>
          <t>VÄSTMANLANDS LÄN</t>
        </is>
      </c>
      <c r="E2301" t="inlineStr">
        <is>
          <t>KÖPING</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25357-2022</t>
        </is>
      </c>
      <c r="B2302" s="1" t="n">
        <v>44732</v>
      </c>
      <c r="C2302" s="1" t="n">
        <v>45757</v>
      </c>
      <c r="D2302" t="inlineStr">
        <is>
          <t>VÄSTMANLANDS LÄN</t>
        </is>
      </c>
      <c r="E2302" t="inlineStr">
        <is>
          <t>SKINNSKATTEBERG</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25406-2022</t>
        </is>
      </c>
      <c r="B2303" s="1" t="n">
        <v>44732</v>
      </c>
      <c r="C2303" s="1" t="n">
        <v>45757</v>
      </c>
      <c r="D2303" t="inlineStr">
        <is>
          <t>VÄSTMANLANDS LÄN</t>
        </is>
      </c>
      <c r="E2303" t="inlineStr">
        <is>
          <t>SKINNSKATTEBERG</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25387-2022</t>
        </is>
      </c>
      <c r="B2304" s="1" t="n">
        <v>44732</v>
      </c>
      <c r="C2304" s="1" t="n">
        <v>45757</v>
      </c>
      <c r="D2304" t="inlineStr">
        <is>
          <t>VÄSTMANLANDS LÄN</t>
        </is>
      </c>
      <c r="E2304" t="inlineStr">
        <is>
          <t>SKINNSKATTEBERG</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25410-2022</t>
        </is>
      </c>
      <c r="B2305" s="1" t="n">
        <v>44732</v>
      </c>
      <c r="C2305" s="1" t="n">
        <v>45757</v>
      </c>
      <c r="D2305" t="inlineStr">
        <is>
          <t>VÄSTMANLANDS LÄN</t>
        </is>
      </c>
      <c r="E2305" t="inlineStr">
        <is>
          <t>SKINNSKATTEBERG</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25603-2022</t>
        </is>
      </c>
      <c r="B2306" s="1" t="n">
        <v>44732</v>
      </c>
      <c r="C2306" s="1" t="n">
        <v>45757</v>
      </c>
      <c r="D2306" t="inlineStr">
        <is>
          <t>VÄSTMANLANDS LÄN</t>
        </is>
      </c>
      <c r="E2306" t="inlineStr">
        <is>
          <t>SALA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25748-2022</t>
        </is>
      </c>
      <c r="B2307" s="1" t="n">
        <v>44732</v>
      </c>
      <c r="C2307" s="1" t="n">
        <v>45757</v>
      </c>
      <c r="D2307" t="inlineStr">
        <is>
          <t>VÄSTMANLANDS LÄN</t>
        </is>
      </c>
      <c r="E2307" t="inlineStr">
        <is>
          <t>SALA</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25804-2022</t>
        </is>
      </c>
      <c r="B2308" s="1" t="n">
        <v>44733</v>
      </c>
      <c r="C2308" s="1" t="n">
        <v>45757</v>
      </c>
      <c r="D2308" t="inlineStr">
        <is>
          <t>VÄSTMANLANDS LÄN</t>
        </is>
      </c>
      <c r="E2308" t="inlineStr">
        <is>
          <t>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25878-2022</t>
        </is>
      </c>
      <c r="B2309" s="1" t="n">
        <v>44733</v>
      </c>
      <c r="C2309" s="1" t="n">
        <v>45757</v>
      </c>
      <c r="D2309" t="inlineStr">
        <is>
          <t>VÄSTMANLANDS LÄN</t>
        </is>
      </c>
      <c r="E2309" t="inlineStr">
        <is>
          <t>VÄSTERÅS</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25944-2022</t>
        </is>
      </c>
      <c r="B2310" s="1" t="n">
        <v>44734</v>
      </c>
      <c r="C2310" s="1" t="n">
        <v>45757</v>
      </c>
      <c r="D2310" t="inlineStr">
        <is>
          <t>VÄSTMANLANDS LÄN</t>
        </is>
      </c>
      <c r="E2310" t="inlineStr">
        <is>
          <t>KÖPING</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25971-2022</t>
        </is>
      </c>
      <c r="B2311" s="1" t="n">
        <v>44734</v>
      </c>
      <c r="C2311" s="1" t="n">
        <v>45757</v>
      </c>
      <c r="D2311" t="inlineStr">
        <is>
          <t>VÄSTMANLANDS LÄN</t>
        </is>
      </c>
      <c r="E2311" t="inlineStr">
        <is>
          <t>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26029-2022</t>
        </is>
      </c>
      <c r="B2312" s="1" t="n">
        <v>44734</v>
      </c>
      <c r="C2312" s="1" t="n">
        <v>45757</v>
      </c>
      <c r="D2312" t="inlineStr">
        <is>
          <t>VÄSTMANLANDS LÄN</t>
        </is>
      </c>
      <c r="E2312" t="inlineStr">
        <is>
          <t>KUNGSÖR</t>
        </is>
      </c>
      <c r="F2312" t="inlineStr">
        <is>
          <t>Allmännings- och besparingsskogar</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26342-2022</t>
        </is>
      </c>
      <c r="B2313" s="1" t="n">
        <v>44735</v>
      </c>
      <c r="C2313" s="1" t="n">
        <v>45757</v>
      </c>
      <c r="D2313" t="inlineStr">
        <is>
          <t>VÄSTMANLANDS LÄN</t>
        </is>
      </c>
      <c r="E2313" t="inlineStr">
        <is>
          <t>SKINNSKATTEBERG</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26559-2022</t>
        </is>
      </c>
      <c r="B2314" s="1" t="n">
        <v>44739</v>
      </c>
      <c r="C2314" s="1" t="n">
        <v>45757</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26509-2022</t>
        </is>
      </c>
      <c r="B2315" s="1" t="n">
        <v>44739</v>
      </c>
      <c r="C2315" s="1" t="n">
        <v>45757</v>
      </c>
      <c r="D2315" t="inlineStr">
        <is>
          <t>VÄSTMANLANDS LÄN</t>
        </is>
      </c>
      <c r="E2315" t="inlineStr">
        <is>
          <t>FAGERSTA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26696-2022</t>
        </is>
      </c>
      <c r="B2316" s="1" t="n">
        <v>44739</v>
      </c>
      <c r="C2316" s="1" t="n">
        <v>45757</v>
      </c>
      <c r="D2316" t="inlineStr">
        <is>
          <t>VÄSTMANLANDS LÄN</t>
        </is>
      </c>
      <c r="E2316" t="inlineStr">
        <is>
          <t>VÄSTERÅS</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26700-2022</t>
        </is>
      </c>
      <c r="B2317" s="1" t="n">
        <v>44739</v>
      </c>
      <c r="C2317" s="1" t="n">
        <v>45757</v>
      </c>
      <c r="D2317" t="inlineStr">
        <is>
          <t>VÄSTMANLANDS LÄN</t>
        </is>
      </c>
      <c r="E2317" t="inlineStr">
        <is>
          <t>SURAHAMMAR</t>
        </is>
      </c>
      <c r="F2317" t="inlineStr">
        <is>
          <t>Kommuner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26680-2022</t>
        </is>
      </c>
      <c r="B2318" s="1" t="n">
        <v>44739</v>
      </c>
      <c r="C2318" s="1" t="n">
        <v>45757</v>
      </c>
      <c r="D2318" t="inlineStr">
        <is>
          <t>VÄSTMANLANDS LÄN</t>
        </is>
      </c>
      <c r="E2318" t="inlineStr">
        <is>
          <t>VÄSTERÅS</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26702-2022</t>
        </is>
      </c>
      <c r="B2319" s="1" t="n">
        <v>44739</v>
      </c>
      <c r="C2319" s="1" t="n">
        <v>45757</v>
      </c>
      <c r="D2319" t="inlineStr">
        <is>
          <t>VÄSTMANLANDS LÄN</t>
        </is>
      </c>
      <c r="E2319" t="inlineStr">
        <is>
          <t>HALLSTAHAMMAR</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26697-2022</t>
        </is>
      </c>
      <c r="B2320" s="1" t="n">
        <v>44739</v>
      </c>
      <c r="C2320" s="1" t="n">
        <v>45757</v>
      </c>
      <c r="D2320" t="inlineStr">
        <is>
          <t>VÄSTMANLANDS LÄN</t>
        </is>
      </c>
      <c r="E2320" t="inlineStr">
        <is>
          <t>VÄSTERÅS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26556-2022</t>
        </is>
      </c>
      <c r="B2321" s="1" t="n">
        <v>44739</v>
      </c>
      <c r="C2321" s="1" t="n">
        <v>45757</v>
      </c>
      <c r="D2321" t="inlineStr">
        <is>
          <t>VÄSTMANLANDS LÄN</t>
        </is>
      </c>
      <c r="E2321" t="inlineStr">
        <is>
          <t>VÄSTERÅS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26568-2022</t>
        </is>
      </c>
      <c r="B2322" s="1" t="n">
        <v>44739</v>
      </c>
      <c r="C2322" s="1" t="n">
        <v>45757</v>
      </c>
      <c r="D2322" t="inlineStr">
        <is>
          <t>VÄSTMANLANDS LÄN</t>
        </is>
      </c>
      <c r="E2322" t="inlineStr">
        <is>
          <t>VÄSTERÅS</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26835-2022</t>
        </is>
      </c>
      <c r="B2323" s="1" t="n">
        <v>44740</v>
      </c>
      <c r="C2323" s="1" t="n">
        <v>45757</v>
      </c>
      <c r="D2323" t="inlineStr">
        <is>
          <t>VÄSTMANLANDS LÄN</t>
        </is>
      </c>
      <c r="E2323" t="inlineStr">
        <is>
          <t>VÄSTERÅS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27164-2022</t>
        </is>
      </c>
      <c r="B2324" s="1" t="n">
        <v>44741</v>
      </c>
      <c r="C2324" s="1" t="n">
        <v>45757</v>
      </c>
      <c r="D2324" t="inlineStr">
        <is>
          <t>VÄSTMANLANDS LÄN</t>
        </is>
      </c>
      <c r="E2324" t="inlineStr">
        <is>
          <t>SKINNSKATTEBERG</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27229-2022</t>
        </is>
      </c>
      <c r="B2325" s="1" t="n">
        <v>44741</v>
      </c>
      <c r="C2325" s="1" t="n">
        <v>45757</v>
      </c>
      <c r="D2325" t="inlineStr">
        <is>
          <t>VÄSTMANLANDS LÄN</t>
        </is>
      </c>
      <c r="E2325" t="inlineStr">
        <is>
          <t>SALA</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27240-2022</t>
        </is>
      </c>
      <c r="B2326" s="1" t="n">
        <v>44741</v>
      </c>
      <c r="C2326" s="1" t="n">
        <v>45757</v>
      </c>
      <c r="D2326" t="inlineStr">
        <is>
          <t>VÄSTMANLANDS LÄN</t>
        </is>
      </c>
      <c r="E2326" t="inlineStr">
        <is>
          <t>SALA</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27260-2022</t>
        </is>
      </c>
      <c r="B2327" s="1" t="n">
        <v>44741</v>
      </c>
      <c r="C2327" s="1" t="n">
        <v>45757</v>
      </c>
      <c r="D2327" t="inlineStr">
        <is>
          <t>VÄSTMANLANDS LÄN</t>
        </is>
      </c>
      <c r="E2327" t="inlineStr">
        <is>
          <t>KÖPING</t>
        </is>
      </c>
      <c r="F2327" t="inlineStr">
        <is>
          <t>Sveaskog</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27261-2022</t>
        </is>
      </c>
      <c r="B2328" s="1" t="n">
        <v>44741</v>
      </c>
      <c r="C2328" s="1" t="n">
        <v>45757</v>
      </c>
      <c r="D2328" t="inlineStr">
        <is>
          <t>VÄSTMANLANDS LÄN</t>
        </is>
      </c>
      <c r="E2328" t="inlineStr">
        <is>
          <t>KÖPING</t>
        </is>
      </c>
      <c r="F2328" t="inlineStr">
        <is>
          <t>Sveaskog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27446-2022</t>
        </is>
      </c>
      <c r="B2329" s="1" t="n">
        <v>44742</v>
      </c>
      <c r="C2329" s="1" t="n">
        <v>45757</v>
      </c>
      <c r="D2329" t="inlineStr">
        <is>
          <t>VÄSTMANLANDS LÄN</t>
        </is>
      </c>
      <c r="E2329" t="inlineStr">
        <is>
          <t>SALA</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27381-2022</t>
        </is>
      </c>
      <c r="B2330" s="1" t="n">
        <v>44742</v>
      </c>
      <c r="C2330" s="1" t="n">
        <v>45757</v>
      </c>
      <c r="D2330" t="inlineStr">
        <is>
          <t>VÄSTMANLANDS LÄN</t>
        </is>
      </c>
      <c r="E2330" t="inlineStr">
        <is>
          <t>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27528-2022</t>
        </is>
      </c>
      <c r="B2331" s="1" t="n">
        <v>44742</v>
      </c>
      <c r="C2331" s="1" t="n">
        <v>45757</v>
      </c>
      <c r="D2331" t="inlineStr">
        <is>
          <t>VÄSTMANLANDS LÄN</t>
        </is>
      </c>
      <c r="E2331" t="inlineStr">
        <is>
          <t>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27486-2022</t>
        </is>
      </c>
      <c r="B2332" s="1" t="n">
        <v>44742</v>
      </c>
      <c r="C2332" s="1" t="n">
        <v>45757</v>
      </c>
      <c r="D2332" t="inlineStr">
        <is>
          <t>VÄSTMANLANDS LÄN</t>
        </is>
      </c>
      <c r="E2332" t="inlineStr">
        <is>
          <t>SALA</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27702-2022</t>
        </is>
      </c>
      <c r="B2333" s="1" t="n">
        <v>44743</v>
      </c>
      <c r="C2333" s="1" t="n">
        <v>45757</v>
      </c>
      <c r="D2333" t="inlineStr">
        <is>
          <t>VÄSTMANLANDS LÄN</t>
        </is>
      </c>
      <c r="E2333" t="inlineStr">
        <is>
          <t>VÄSTERÅS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27722-2022</t>
        </is>
      </c>
      <c r="B2334" s="1" t="n">
        <v>44743</v>
      </c>
      <c r="C2334" s="1" t="n">
        <v>45757</v>
      </c>
      <c r="D2334" t="inlineStr">
        <is>
          <t>VÄSTMANLANDS LÄN</t>
        </is>
      </c>
      <c r="E2334" t="inlineStr">
        <is>
          <t>VÄSTERÅS</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27749-2022</t>
        </is>
      </c>
      <c r="B2335" s="1" t="n">
        <v>44743</v>
      </c>
      <c r="C2335" s="1" t="n">
        <v>45757</v>
      </c>
      <c r="D2335" t="inlineStr">
        <is>
          <t>VÄSTMANLANDS LÄN</t>
        </is>
      </c>
      <c r="E2335" t="inlineStr">
        <is>
          <t>KÖPING</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27986-2022</t>
        </is>
      </c>
      <c r="B2336" s="1" t="n">
        <v>44745</v>
      </c>
      <c r="C2336" s="1" t="n">
        <v>45757</v>
      </c>
      <c r="D2336" t="inlineStr">
        <is>
          <t>VÄSTMANLANDS LÄN</t>
        </is>
      </c>
      <c r="E2336" t="inlineStr">
        <is>
          <t>ARBOGA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28069-2022</t>
        </is>
      </c>
      <c r="B2337" s="1" t="n">
        <v>44746</v>
      </c>
      <c r="C2337" s="1" t="n">
        <v>45757</v>
      </c>
      <c r="D2337" t="inlineStr">
        <is>
          <t>VÄSTMANLANDS LÄN</t>
        </is>
      </c>
      <c r="E2337" t="inlineStr">
        <is>
          <t>SALA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28215-2022</t>
        </is>
      </c>
      <c r="B2338" s="1" t="n">
        <v>44746</v>
      </c>
      <c r="C2338" s="1" t="n">
        <v>45757</v>
      </c>
      <c r="D2338" t="inlineStr">
        <is>
          <t>VÄSTMANLANDS LÄN</t>
        </is>
      </c>
      <c r="E2338" t="inlineStr">
        <is>
          <t>SALA</t>
        </is>
      </c>
      <c r="F2338" t="inlineStr">
        <is>
          <t>Kyrkan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28249-2022</t>
        </is>
      </c>
      <c r="B2339" s="1" t="n">
        <v>44746</v>
      </c>
      <c r="C2339" s="1" t="n">
        <v>45757</v>
      </c>
      <c r="D2339" t="inlineStr">
        <is>
          <t>VÄSTMANLANDS LÄN</t>
        </is>
      </c>
      <c r="E2339" t="inlineStr">
        <is>
          <t>FAGERSTA</t>
        </is>
      </c>
      <c r="F2339" t="inlineStr">
        <is>
          <t>Kommuner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28402-2022</t>
        </is>
      </c>
      <c r="B2340" s="1" t="n">
        <v>44747</v>
      </c>
      <c r="C2340" s="1" t="n">
        <v>45757</v>
      </c>
      <c r="D2340" t="inlineStr">
        <is>
          <t>VÄSTMANLANDS LÄN</t>
        </is>
      </c>
      <c r="E2340" t="inlineStr">
        <is>
          <t>SALA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28863-2022</t>
        </is>
      </c>
      <c r="B2341" s="1" t="n">
        <v>44749</v>
      </c>
      <c r="C2341" s="1" t="n">
        <v>45757</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28875-2022</t>
        </is>
      </c>
      <c r="B2342" s="1" t="n">
        <v>44749</v>
      </c>
      <c r="C2342" s="1" t="n">
        <v>45757</v>
      </c>
      <c r="D2342" t="inlineStr">
        <is>
          <t>VÄSTMANLANDS LÄN</t>
        </is>
      </c>
      <c r="E2342" t="inlineStr">
        <is>
          <t>SALA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28999-2022</t>
        </is>
      </c>
      <c r="B2343" s="1" t="n">
        <v>44749</v>
      </c>
      <c r="C2343" s="1" t="n">
        <v>45757</v>
      </c>
      <c r="D2343" t="inlineStr">
        <is>
          <t>VÄSTMANLANDS LÄN</t>
        </is>
      </c>
      <c r="E2343" t="inlineStr">
        <is>
          <t>SALA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28827-2022</t>
        </is>
      </c>
      <c r="B2344" s="1" t="n">
        <v>44749</v>
      </c>
      <c r="C2344" s="1" t="n">
        <v>45757</v>
      </c>
      <c r="D2344" t="inlineStr">
        <is>
          <t>VÄSTMANLANDS LÄN</t>
        </is>
      </c>
      <c r="E2344" t="inlineStr">
        <is>
          <t>SALA</t>
        </is>
      </c>
      <c r="F2344" t="inlineStr">
        <is>
          <t>Kommuner</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28873-2022</t>
        </is>
      </c>
      <c r="B2345" s="1" t="n">
        <v>44749</v>
      </c>
      <c r="C2345" s="1" t="n">
        <v>45757</v>
      </c>
      <c r="D2345" t="inlineStr">
        <is>
          <t>VÄSTMANLANDS LÄN</t>
        </is>
      </c>
      <c r="E2345" t="inlineStr">
        <is>
          <t>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29002-2022</t>
        </is>
      </c>
      <c r="B2346" s="1" t="n">
        <v>44749</v>
      </c>
      <c r="C2346" s="1" t="n">
        <v>45757</v>
      </c>
      <c r="D2346" t="inlineStr">
        <is>
          <t>VÄSTMANLANDS LÄN</t>
        </is>
      </c>
      <c r="E2346" t="inlineStr">
        <is>
          <t>SALA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28868-2022</t>
        </is>
      </c>
      <c r="B2347" s="1" t="n">
        <v>44749</v>
      </c>
      <c r="C2347" s="1" t="n">
        <v>45757</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28874-2022</t>
        </is>
      </c>
      <c r="B2348" s="1" t="n">
        <v>44749</v>
      </c>
      <c r="C2348" s="1" t="n">
        <v>45757</v>
      </c>
      <c r="D2348" t="inlineStr">
        <is>
          <t>VÄSTMANLANDS LÄN</t>
        </is>
      </c>
      <c r="E2348" t="inlineStr">
        <is>
          <t>SALA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28879-2022</t>
        </is>
      </c>
      <c r="B2349" s="1" t="n">
        <v>44749</v>
      </c>
      <c r="C2349" s="1" t="n">
        <v>45757</v>
      </c>
      <c r="D2349" t="inlineStr">
        <is>
          <t>VÄSTMANLANDS LÄN</t>
        </is>
      </c>
      <c r="E2349" t="inlineStr">
        <is>
          <t>SALA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29059-2022</t>
        </is>
      </c>
      <c r="B2350" s="1" t="n">
        <v>44750</v>
      </c>
      <c r="C2350" s="1" t="n">
        <v>45757</v>
      </c>
      <c r="D2350" t="inlineStr">
        <is>
          <t>VÄSTMANLANDS LÄN</t>
        </is>
      </c>
      <c r="E2350" t="inlineStr">
        <is>
          <t>KUNGSÖR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29055-2022</t>
        </is>
      </c>
      <c r="B2351" s="1" t="n">
        <v>44750</v>
      </c>
      <c r="C2351" s="1" t="n">
        <v>45757</v>
      </c>
      <c r="D2351" t="inlineStr">
        <is>
          <t>VÄSTMANLANDS LÄN</t>
        </is>
      </c>
      <c r="E2351" t="inlineStr">
        <is>
          <t>KUNGSÖR</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29235-2022</t>
        </is>
      </c>
      <c r="B2352" s="1" t="n">
        <v>44750</v>
      </c>
      <c r="C2352" s="1" t="n">
        <v>45757</v>
      </c>
      <c r="D2352" t="inlineStr">
        <is>
          <t>VÄSTMANLANDS LÄN</t>
        </is>
      </c>
      <c r="E2352" t="inlineStr">
        <is>
          <t>SALA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29228-2022</t>
        </is>
      </c>
      <c r="B2353" s="1" t="n">
        <v>44750</v>
      </c>
      <c r="C2353" s="1" t="n">
        <v>45757</v>
      </c>
      <c r="D2353" t="inlineStr">
        <is>
          <t>VÄSTMANLANDS LÄN</t>
        </is>
      </c>
      <c r="E2353" t="inlineStr">
        <is>
          <t>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29233-2022</t>
        </is>
      </c>
      <c r="B2354" s="1" t="n">
        <v>44750</v>
      </c>
      <c r="C2354" s="1" t="n">
        <v>45757</v>
      </c>
      <c r="D2354" t="inlineStr">
        <is>
          <t>VÄSTMANLANDS LÄN</t>
        </is>
      </c>
      <c r="E2354" t="inlineStr">
        <is>
          <t>SALA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29248-2022</t>
        </is>
      </c>
      <c r="B2355" s="1" t="n">
        <v>44750</v>
      </c>
      <c r="C2355" s="1" t="n">
        <v>45757</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29230-2022</t>
        </is>
      </c>
      <c r="B2356" s="1" t="n">
        <v>44750</v>
      </c>
      <c r="C2356" s="1" t="n">
        <v>45757</v>
      </c>
      <c r="D2356" t="inlineStr">
        <is>
          <t>VÄSTMANLANDS LÄN</t>
        </is>
      </c>
      <c r="E2356" t="inlineStr">
        <is>
          <t>SALA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29133-2022</t>
        </is>
      </c>
      <c r="B2357" s="1" t="n">
        <v>44750</v>
      </c>
      <c r="C2357" s="1" t="n">
        <v>45757</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29213-2022</t>
        </is>
      </c>
      <c r="B2358" s="1" t="n">
        <v>44750</v>
      </c>
      <c r="C2358" s="1" t="n">
        <v>45757</v>
      </c>
      <c r="D2358" t="inlineStr">
        <is>
          <t>VÄSTMANLANDS LÄN</t>
        </is>
      </c>
      <c r="E2358" t="inlineStr">
        <is>
          <t>SALA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29317-2022</t>
        </is>
      </c>
      <c r="B2359" s="1" t="n">
        <v>44751</v>
      </c>
      <c r="C2359" s="1" t="n">
        <v>45757</v>
      </c>
      <c r="D2359" t="inlineStr">
        <is>
          <t>VÄSTMANLANDS LÄN</t>
        </is>
      </c>
      <c r="E2359" t="inlineStr">
        <is>
          <t>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29448-2022</t>
        </is>
      </c>
      <c r="B2360" s="1" t="n">
        <v>44753</v>
      </c>
      <c r="C2360" s="1" t="n">
        <v>45757</v>
      </c>
      <c r="D2360" t="inlineStr">
        <is>
          <t>VÄSTMANLANDS LÄN</t>
        </is>
      </c>
      <c r="E2360" t="inlineStr">
        <is>
          <t>KÖPING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29446-2022</t>
        </is>
      </c>
      <c r="B2361" s="1" t="n">
        <v>44753</v>
      </c>
      <c r="C2361" s="1" t="n">
        <v>45757</v>
      </c>
      <c r="D2361" t="inlineStr">
        <is>
          <t>VÄSTMANLANDS LÄN</t>
        </is>
      </c>
      <c r="E2361" t="inlineStr">
        <is>
          <t>KÖPING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29445-2022</t>
        </is>
      </c>
      <c r="B2362" s="1" t="n">
        <v>44753</v>
      </c>
      <c r="C2362" s="1" t="n">
        <v>45757</v>
      </c>
      <c r="D2362" t="inlineStr">
        <is>
          <t>VÄSTMANLANDS LÄN</t>
        </is>
      </c>
      <c r="E2362" t="inlineStr">
        <is>
          <t>KÖPING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29513-2022</t>
        </is>
      </c>
      <c r="B2363" s="1" t="n">
        <v>44753</v>
      </c>
      <c r="C2363" s="1" t="n">
        <v>45757</v>
      </c>
      <c r="D2363" t="inlineStr">
        <is>
          <t>VÄSTMANLANDS LÄN</t>
        </is>
      </c>
      <c r="E2363" t="inlineStr">
        <is>
          <t>FAGERSTA</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29510-2022</t>
        </is>
      </c>
      <c r="B2364" s="1" t="n">
        <v>44753</v>
      </c>
      <c r="C2364" s="1" t="n">
        <v>45757</v>
      </c>
      <c r="D2364" t="inlineStr">
        <is>
          <t>VÄSTMANLANDS LÄN</t>
        </is>
      </c>
      <c r="E2364" t="inlineStr">
        <is>
          <t>FAGERSTA</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29573-2022</t>
        </is>
      </c>
      <c r="B2365" s="1" t="n">
        <v>44754</v>
      </c>
      <c r="C2365" s="1" t="n">
        <v>45757</v>
      </c>
      <c r="D2365" t="inlineStr">
        <is>
          <t>VÄSTMANLANDS LÄN</t>
        </is>
      </c>
      <c r="E2365" t="inlineStr">
        <is>
          <t>ARBOGA</t>
        </is>
      </c>
      <c r="F2365" t="inlineStr">
        <is>
          <t>Kyrkan</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29746-2022</t>
        </is>
      </c>
      <c r="B2366" s="1" t="n">
        <v>44755</v>
      </c>
      <c r="C2366" s="1" t="n">
        <v>45757</v>
      </c>
      <c r="D2366" t="inlineStr">
        <is>
          <t>VÄSTMANLANDS LÄN</t>
        </is>
      </c>
      <c r="E2366" t="inlineStr">
        <is>
          <t>VÄSTERÅS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29749-2022</t>
        </is>
      </c>
      <c r="B2367" s="1" t="n">
        <v>44755</v>
      </c>
      <c r="C2367" s="1" t="n">
        <v>45757</v>
      </c>
      <c r="D2367" t="inlineStr">
        <is>
          <t>VÄSTMANLANDS LÄN</t>
        </is>
      </c>
      <c r="E2367" t="inlineStr">
        <is>
          <t>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29752-2022</t>
        </is>
      </c>
      <c r="B2368" s="1" t="n">
        <v>44755</v>
      </c>
      <c r="C2368" s="1" t="n">
        <v>45757</v>
      </c>
      <c r="D2368" t="inlineStr">
        <is>
          <t>VÄSTMANLANDS LÄN</t>
        </is>
      </c>
      <c r="E2368" t="inlineStr">
        <is>
          <t>KÖPING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29963-2022</t>
        </is>
      </c>
      <c r="B2369" s="1" t="n">
        <v>44756</v>
      </c>
      <c r="C2369" s="1" t="n">
        <v>45757</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29965-2022</t>
        </is>
      </c>
      <c r="B2370" s="1" t="n">
        <v>44756</v>
      </c>
      <c r="C2370" s="1" t="n">
        <v>45757</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29982-2022</t>
        </is>
      </c>
      <c r="B2371" s="1" t="n">
        <v>44756</v>
      </c>
      <c r="C2371" s="1" t="n">
        <v>45757</v>
      </c>
      <c r="D2371" t="inlineStr">
        <is>
          <t>VÄSTMANLANDS LÄN</t>
        </is>
      </c>
      <c r="E2371" t="inlineStr">
        <is>
          <t>SALA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29934-2022</t>
        </is>
      </c>
      <c r="B2372" s="1" t="n">
        <v>44757</v>
      </c>
      <c r="C2372" s="1" t="n">
        <v>45757</v>
      </c>
      <c r="D2372" t="inlineStr">
        <is>
          <t>VÄSTMANLANDS LÄN</t>
        </is>
      </c>
      <c r="E2372" t="inlineStr">
        <is>
          <t>KÖPING</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30079-2022</t>
        </is>
      </c>
      <c r="B2373" s="1" t="n">
        <v>44757</v>
      </c>
      <c r="C2373" s="1" t="n">
        <v>45757</v>
      </c>
      <c r="D2373" t="inlineStr">
        <is>
          <t>VÄSTMANLANDS LÄN</t>
        </is>
      </c>
      <c r="E2373" t="inlineStr">
        <is>
          <t>KÖPING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30141-2022</t>
        </is>
      </c>
      <c r="B2374" s="1" t="n">
        <v>44757</v>
      </c>
      <c r="C2374" s="1" t="n">
        <v>45757</v>
      </c>
      <c r="D2374" t="inlineStr">
        <is>
          <t>VÄSTMANLANDS LÄN</t>
        </is>
      </c>
      <c r="E2374" t="inlineStr">
        <is>
          <t>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30147-2022</t>
        </is>
      </c>
      <c r="B2375" s="1" t="n">
        <v>44757</v>
      </c>
      <c r="C2375" s="1" t="n">
        <v>45757</v>
      </c>
      <c r="D2375" t="inlineStr">
        <is>
          <t>VÄSTMANLANDS LÄN</t>
        </is>
      </c>
      <c r="E2375" t="inlineStr">
        <is>
          <t>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30194-2022</t>
        </is>
      </c>
      <c r="B2376" s="1" t="n">
        <v>44757</v>
      </c>
      <c r="C2376" s="1" t="n">
        <v>45757</v>
      </c>
      <c r="D2376" t="inlineStr">
        <is>
          <t>VÄSTMANLANDS LÄN</t>
        </is>
      </c>
      <c r="E2376" t="inlineStr">
        <is>
          <t>VÄSTERÅS</t>
        </is>
      </c>
      <c r="F2376" t="inlineStr">
        <is>
          <t>Sveaskog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30360-2022</t>
        </is>
      </c>
      <c r="B2377" s="1" t="n">
        <v>44760</v>
      </c>
      <c r="C2377" s="1" t="n">
        <v>45757</v>
      </c>
      <c r="D2377" t="inlineStr">
        <is>
          <t>VÄSTMANLANDS LÄN</t>
        </is>
      </c>
      <c r="E2377" t="inlineStr">
        <is>
          <t>SALA</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30305-2022</t>
        </is>
      </c>
      <c r="B2378" s="1" t="n">
        <v>44760</v>
      </c>
      <c r="C2378" s="1" t="n">
        <v>45757</v>
      </c>
      <c r="D2378" t="inlineStr">
        <is>
          <t>VÄSTMANLANDS LÄN</t>
        </is>
      </c>
      <c r="E2378" t="inlineStr">
        <is>
          <t>ARBOGA</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30468-2022</t>
        </is>
      </c>
      <c r="B2379" s="1" t="n">
        <v>44761</v>
      </c>
      <c r="C2379" s="1" t="n">
        <v>45757</v>
      </c>
      <c r="D2379" t="inlineStr">
        <is>
          <t>VÄSTMANLANDS LÄN</t>
        </is>
      </c>
      <c r="E2379" t="inlineStr">
        <is>
          <t>VÄSTERÅS</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30442-2022</t>
        </is>
      </c>
      <c r="B2380" s="1" t="n">
        <v>44761</v>
      </c>
      <c r="C2380" s="1" t="n">
        <v>45757</v>
      </c>
      <c r="D2380" t="inlineStr">
        <is>
          <t>VÄSTMANLANDS LÄN</t>
        </is>
      </c>
      <c r="E2380" t="inlineStr">
        <is>
          <t>SALA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30433-2022</t>
        </is>
      </c>
      <c r="B2381" s="1" t="n">
        <v>44761</v>
      </c>
      <c r="C2381" s="1" t="n">
        <v>45757</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30465-2022</t>
        </is>
      </c>
      <c r="B2382" s="1" t="n">
        <v>44761</v>
      </c>
      <c r="C2382" s="1" t="n">
        <v>45757</v>
      </c>
      <c r="D2382" t="inlineStr">
        <is>
          <t>VÄSTMANLANDS LÄN</t>
        </is>
      </c>
      <c r="E2382" t="inlineStr">
        <is>
          <t>VÄSTERÅS</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30569-2022</t>
        </is>
      </c>
      <c r="B2383" s="1" t="n">
        <v>44762</v>
      </c>
      <c r="C2383" s="1" t="n">
        <v>45757</v>
      </c>
      <c r="D2383" t="inlineStr">
        <is>
          <t>VÄSTMANLANDS LÄN</t>
        </is>
      </c>
      <c r="E2383" t="inlineStr">
        <is>
          <t>VÄSTERÅS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30570-2022</t>
        </is>
      </c>
      <c r="B2384" s="1" t="n">
        <v>44762</v>
      </c>
      <c r="C2384" s="1" t="n">
        <v>45757</v>
      </c>
      <c r="D2384" t="inlineStr">
        <is>
          <t>VÄSTMANLANDS LÄN</t>
        </is>
      </c>
      <c r="E2384" t="inlineStr">
        <is>
          <t>VÄSTERÅS</t>
        </is>
      </c>
      <c r="F2384" t="inlineStr">
        <is>
          <t>Sveaskog</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30761-2022</t>
        </is>
      </c>
      <c r="B2385" s="1" t="n">
        <v>44764</v>
      </c>
      <c r="C2385" s="1" t="n">
        <v>45757</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30766-2022</t>
        </is>
      </c>
      <c r="B2386" s="1" t="n">
        <v>44764</v>
      </c>
      <c r="C2386" s="1" t="n">
        <v>45757</v>
      </c>
      <c r="D2386" t="inlineStr">
        <is>
          <t>VÄSTMANLANDS LÄN</t>
        </is>
      </c>
      <c r="E2386" t="inlineStr">
        <is>
          <t>HALLSTAHAMMAR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30813-2022</t>
        </is>
      </c>
      <c r="B2387" s="1" t="n">
        <v>44765</v>
      </c>
      <c r="C2387" s="1" t="n">
        <v>45757</v>
      </c>
      <c r="D2387" t="inlineStr">
        <is>
          <t>VÄSTMANLANDS LÄN</t>
        </is>
      </c>
      <c r="E2387" t="inlineStr">
        <is>
          <t>FAGERSTA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30868-2022</t>
        </is>
      </c>
      <c r="B2388" s="1" t="n">
        <v>44767</v>
      </c>
      <c r="C2388" s="1" t="n">
        <v>45757</v>
      </c>
      <c r="D2388" t="inlineStr">
        <is>
          <t>VÄSTMANLANDS LÄN</t>
        </is>
      </c>
      <c r="E2388" t="inlineStr">
        <is>
          <t>FAGERSTA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30971-2022</t>
        </is>
      </c>
      <c r="B2389" s="1" t="n">
        <v>44768</v>
      </c>
      <c r="C2389" s="1" t="n">
        <v>45757</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31000-2022</t>
        </is>
      </c>
      <c r="B2390" s="1" t="n">
        <v>44768</v>
      </c>
      <c r="C2390" s="1" t="n">
        <v>45757</v>
      </c>
      <c r="D2390" t="inlineStr">
        <is>
          <t>VÄSTMANLANDS LÄN</t>
        </is>
      </c>
      <c r="E2390" t="inlineStr">
        <is>
          <t>SALA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31161-2022</t>
        </is>
      </c>
      <c r="B2391" s="1" t="n">
        <v>44770</v>
      </c>
      <c r="C2391" s="1" t="n">
        <v>45757</v>
      </c>
      <c r="D2391" t="inlineStr">
        <is>
          <t>VÄSTMANLANDS LÄN</t>
        </is>
      </c>
      <c r="E2391" t="inlineStr">
        <is>
          <t>KÖPING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31128-2022</t>
        </is>
      </c>
      <c r="B2392" s="1" t="n">
        <v>44770</v>
      </c>
      <c r="C2392" s="1" t="n">
        <v>45757</v>
      </c>
      <c r="D2392" t="inlineStr">
        <is>
          <t>VÄSTMANLANDS LÄN</t>
        </is>
      </c>
      <c r="E2392" t="inlineStr">
        <is>
          <t>HALLSTAHAMMAR</t>
        </is>
      </c>
      <c r="F2392" t="inlineStr">
        <is>
          <t>Allmännings- och besparingsskogar</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31193-2022</t>
        </is>
      </c>
      <c r="B2393" s="1" t="n">
        <v>44770</v>
      </c>
      <c r="C2393" s="1" t="n">
        <v>45757</v>
      </c>
      <c r="D2393" t="inlineStr">
        <is>
          <t>VÄSTMANLANDS LÄN</t>
        </is>
      </c>
      <c r="E2393" t="inlineStr">
        <is>
          <t>KÖPING</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31319-2022</t>
        </is>
      </c>
      <c r="B2394" s="1" t="n">
        <v>44774</v>
      </c>
      <c r="C2394" s="1" t="n">
        <v>45757</v>
      </c>
      <c r="D2394" t="inlineStr">
        <is>
          <t>VÄSTMANLANDS LÄN</t>
        </is>
      </c>
      <c r="E2394" t="inlineStr">
        <is>
          <t>KÖPING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31395-2022</t>
        </is>
      </c>
      <c r="B2395" s="1" t="n">
        <v>44774</v>
      </c>
      <c r="C2395" s="1" t="n">
        <v>45757</v>
      </c>
      <c r="D2395" t="inlineStr">
        <is>
          <t>VÄSTMANLANDS LÄN</t>
        </is>
      </c>
      <c r="E2395" t="inlineStr">
        <is>
          <t>SKINNSKATTEBERG</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31373-2022</t>
        </is>
      </c>
      <c r="B2396" s="1" t="n">
        <v>44774</v>
      </c>
      <c r="C2396" s="1" t="n">
        <v>45757</v>
      </c>
      <c r="D2396" t="inlineStr">
        <is>
          <t>VÄSTMANLANDS LÄN</t>
        </is>
      </c>
      <c r="E2396" t="inlineStr">
        <is>
          <t>SALA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31403-2022</t>
        </is>
      </c>
      <c r="B2397" s="1" t="n">
        <v>44774</v>
      </c>
      <c r="C2397" s="1" t="n">
        <v>45757</v>
      </c>
      <c r="D2397" t="inlineStr">
        <is>
          <t>VÄSTMANLANDS LÄN</t>
        </is>
      </c>
      <c r="E2397" t="inlineStr">
        <is>
          <t>SKINNSKATTEBERG</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31380-2022</t>
        </is>
      </c>
      <c r="B2398" s="1" t="n">
        <v>44774</v>
      </c>
      <c r="C2398" s="1" t="n">
        <v>45757</v>
      </c>
      <c r="D2398" t="inlineStr">
        <is>
          <t>VÄSTMANLANDS LÄN</t>
        </is>
      </c>
      <c r="E2398" t="inlineStr">
        <is>
          <t>SALA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31387-2022</t>
        </is>
      </c>
      <c r="B2399" s="1" t="n">
        <v>44774</v>
      </c>
      <c r="C2399" s="1" t="n">
        <v>45757</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31394-2022</t>
        </is>
      </c>
      <c r="B2400" s="1" t="n">
        <v>44774</v>
      </c>
      <c r="C2400" s="1" t="n">
        <v>45757</v>
      </c>
      <c r="D2400" t="inlineStr">
        <is>
          <t>VÄSTMANLANDS LÄN</t>
        </is>
      </c>
      <c r="E2400" t="inlineStr">
        <is>
          <t>SALA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31578-2022</t>
        </is>
      </c>
      <c r="B2401" s="1" t="n">
        <v>44775</v>
      </c>
      <c r="C2401" s="1" t="n">
        <v>45757</v>
      </c>
      <c r="D2401" t="inlineStr">
        <is>
          <t>VÄSTMANLANDS LÄN</t>
        </is>
      </c>
      <c r="E2401" t="inlineStr">
        <is>
          <t>VÄSTERÅS</t>
        </is>
      </c>
      <c r="F2401" t="inlineStr">
        <is>
          <t>Kommuner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31831-2022</t>
        </is>
      </c>
      <c r="B2402" s="1" t="n">
        <v>44776</v>
      </c>
      <c r="C2402" s="1" t="n">
        <v>45757</v>
      </c>
      <c r="D2402" t="inlineStr">
        <is>
          <t>VÄSTMANLANDS LÄN</t>
        </is>
      </c>
      <c r="E2402" t="inlineStr">
        <is>
          <t>FAGERSTA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31883-2022</t>
        </is>
      </c>
      <c r="B2403" s="1" t="n">
        <v>44777</v>
      </c>
      <c r="C2403" s="1" t="n">
        <v>45757</v>
      </c>
      <c r="D2403" t="inlineStr">
        <is>
          <t>VÄSTMANLANDS LÄN</t>
        </is>
      </c>
      <c r="E2403" t="inlineStr">
        <is>
          <t>KUNGSÖR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32249-2022</t>
        </is>
      </c>
      <c r="B2404" s="1" t="n">
        <v>44781</v>
      </c>
      <c r="C2404" s="1" t="n">
        <v>45757</v>
      </c>
      <c r="D2404" t="inlineStr">
        <is>
          <t>VÄSTMANLANDS LÄN</t>
        </is>
      </c>
      <c r="E2404" t="inlineStr">
        <is>
          <t>FAGERSTA</t>
        </is>
      </c>
      <c r="F2404" t="inlineStr">
        <is>
          <t>Kommuner</t>
        </is>
      </c>
      <c r="G2404" t="n">
        <v>22.9</v>
      </c>
      <c r="H2404" t="n">
        <v>0</v>
      </c>
      <c r="I2404" t="n">
        <v>0</v>
      </c>
      <c r="J2404" t="n">
        <v>0</v>
      </c>
      <c r="K2404" t="n">
        <v>0</v>
      </c>
      <c r="L2404" t="n">
        <v>0</v>
      </c>
      <c r="M2404" t="n">
        <v>0</v>
      </c>
      <c r="N2404" t="n">
        <v>0</v>
      </c>
      <c r="O2404" t="n">
        <v>0</v>
      </c>
      <c r="P2404" t="n">
        <v>0</v>
      </c>
      <c r="Q2404" t="n">
        <v>0</v>
      </c>
      <c r="R2404" s="2" t="inlineStr"/>
    </row>
    <row r="2405" ht="15" customHeight="1">
      <c r="A2405" t="inlineStr">
        <is>
          <t>A 32224-2022</t>
        </is>
      </c>
      <c r="B2405" s="1" t="n">
        <v>44781</v>
      </c>
      <c r="C2405" s="1" t="n">
        <v>45757</v>
      </c>
      <c r="D2405" t="inlineStr">
        <is>
          <t>VÄSTMANLANDS LÄN</t>
        </is>
      </c>
      <c r="E2405" t="inlineStr">
        <is>
          <t>ARBOGA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32475-2022</t>
        </is>
      </c>
      <c r="B2406" s="1" t="n">
        <v>44782</v>
      </c>
      <c r="C2406" s="1" t="n">
        <v>45757</v>
      </c>
      <c r="D2406" t="inlineStr">
        <is>
          <t>VÄSTMANLANDS LÄN</t>
        </is>
      </c>
      <c r="E2406" t="inlineStr">
        <is>
          <t>SURAHAMMAR</t>
        </is>
      </c>
      <c r="F2406" t="inlineStr">
        <is>
          <t>Bergvik skog väst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32491-2022</t>
        </is>
      </c>
      <c r="B2407" s="1" t="n">
        <v>44782</v>
      </c>
      <c r="C2407" s="1" t="n">
        <v>45757</v>
      </c>
      <c r="D2407" t="inlineStr">
        <is>
          <t>VÄSTMANLANDS LÄN</t>
        </is>
      </c>
      <c r="E2407" t="inlineStr">
        <is>
          <t>SURAHAMMAR</t>
        </is>
      </c>
      <c r="F2407" t="inlineStr">
        <is>
          <t>Bergvik skog väst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32492-2022</t>
        </is>
      </c>
      <c r="B2408" s="1" t="n">
        <v>44782</v>
      </c>
      <c r="C2408" s="1" t="n">
        <v>45757</v>
      </c>
      <c r="D2408" t="inlineStr">
        <is>
          <t>VÄSTMANLANDS LÄN</t>
        </is>
      </c>
      <c r="E2408" t="inlineStr">
        <is>
          <t>SURAHAMMAR</t>
        </is>
      </c>
      <c r="F2408" t="inlineStr">
        <is>
          <t>Bergvik skog väst AB</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33156-2022</t>
        </is>
      </c>
      <c r="B2409" s="1" t="n">
        <v>44785</v>
      </c>
      <c r="C2409" s="1" t="n">
        <v>45757</v>
      </c>
      <c r="D2409" t="inlineStr">
        <is>
          <t>VÄSTMANLANDS LÄN</t>
        </is>
      </c>
      <c r="E2409" t="inlineStr">
        <is>
          <t>KÖPING</t>
        </is>
      </c>
      <c r="F2409" t="inlineStr">
        <is>
          <t>Sveaskog</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33176-2022</t>
        </is>
      </c>
      <c r="B2410" s="1" t="n">
        <v>44785</v>
      </c>
      <c r="C2410" s="1" t="n">
        <v>45757</v>
      </c>
      <c r="D2410" t="inlineStr">
        <is>
          <t>VÄSTMANLANDS LÄN</t>
        </is>
      </c>
      <c r="E2410" t="inlineStr">
        <is>
          <t>SKINNSKATTEBERG</t>
        </is>
      </c>
      <c r="F2410" t="inlineStr">
        <is>
          <t>Sveaskog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33177-2022</t>
        </is>
      </c>
      <c r="B2411" s="1" t="n">
        <v>44785</v>
      </c>
      <c r="C2411" s="1" t="n">
        <v>45757</v>
      </c>
      <c r="D2411" t="inlineStr">
        <is>
          <t>VÄSTMANLANDS LÄN</t>
        </is>
      </c>
      <c r="E2411" t="inlineStr">
        <is>
          <t>SKINNSKATTEBERG</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33154-2022</t>
        </is>
      </c>
      <c r="B2412" s="1" t="n">
        <v>44785</v>
      </c>
      <c r="C2412" s="1" t="n">
        <v>45757</v>
      </c>
      <c r="D2412" t="inlineStr">
        <is>
          <t>VÄSTMANLANDS LÄN</t>
        </is>
      </c>
      <c r="E2412" t="inlineStr">
        <is>
          <t>SKINNSKATTEBERG</t>
        </is>
      </c>
      <c r="F2412" t="inlineStr">
        <is>
          <t>Sveaskog</t>
        </is>
      </c>
      <c r="G2412" t="n">
        <v>7.9</v>
      </c>
      <c r="H2412" t="n">
        <v>0</v>
      </c>
      <c r="I2412" t="n">
        <v>0</v>
      </c>
      <c r="J2412" t="n">
        <v>0</v>
      </c>
      <c r="K2412" t="n">
        <v>0</v>
      </c>
      <c r="L2412" t="n">
        <v>0</v>
      </c>
      <c r="M2412" t="n">
        <v>0</v>
      </c>
      <c r="N2412" t="n">
        <v>0</v>
      </c>
      <c r="O2412" t="n">
        <v>0</v>
      </c>
      <c r="P2412" t="n">
        <v>0</v>
      </c>
      <c r="Q2412" t="n">
        <v>0</v>
      </c>
      <c r="R2412" s="2" t="inlineStr"/>
    </row>
    <row r="2413" ht="15" customHeight="1">
      <c r="A2413" t="inlineStr">
        <is>
          <t>A 33179-2022</t>
        </is>
      </c>
      <c r="B2413" s="1" t="n">
        <v>44785</v>
      </c>
      <c r="C2413" s="1" t="n">
        <v>45757</v>
      </c>
      <c r="D2413" t="inlineStr">
        <is>
          <t>VÄSTMANLANDS LÄN</t>
        </is>
      </c>
      <c r="E2413" t="inlineStr">
        <is>
          <t>SKINNSKATTEBERG</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33309-2022</t>
        </is>
      </c>
      <c r="B2414" s="1" t="n">
        <v>44788</v>
      </c>
      <c r="C2414" s="1" t="n">
        <v>45757</v>
      </c>
      <c r="D2414" t="inlineStr">
        <is>
          <t>VÄSTMANLANDS LÄN</t>
        </is>
      </c>
      <c r="E2414" t="inlineStr">
        <is>
          <t>SALA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33433-2022</t>
        </is>
      </c>
      <c r="B2415" s="1" t="n">
        <v>44788</v>
      </c>
      <c r="C2415" s="1" t="n">
        <v>45757</v>
      </c>
      <c r="D2415" t="inlineStr">
        <is>
          <t>VÄSTMANLANDS LÄN</t>
        </is>
      </c>
      <c r="E2415" t="inlineStr">
        <is>
          <t>KÖPING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33600-2022</t>
        </is>
      </c>
      <c r="B2416" s="1" t="n">
        <v>44789</v>
      </c>
      <c r="C2416" s="1" t="n">
        <v>45757</v>
      </c>
      <c r="D2416" t="inlineStr">
        <is>
          <t>VÄSTMANLANDS LÄN</t>
        </is>
      </c>
      <c r="E2416" t="inlineStr">
        <is>
          <t>SKINNSKATTEBERG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33641-2022</t>
        </is>
      </c>
      <c r="B2417" s="1" t="n">
        <v>44789</v>
      </c>
      <c r="C2417" s="1" t="n">
        <v>45757</v>
      </c>
      <c r="D2417" t="inlineStr">
        <is>
          <t>VÄSTMANLANDS LÄN</t>
        </is>
      </c>
      <c r="E2417" t="inlineStr">
        <is>
          <t>VÄSTERÅS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33809-2022</t>
        </is>
      </c>
      <c r="B2418" s="1" t="n">
        <v>44790</v>
      </c>
      <c r="C2418" s="1" t="n">
        <v>45757</v>
      </c>
      <c r="D2418" t="inlineStr">
        <is>
          <t>VÄSTMANLANDS LÄN</t>
        </is>
      </c>
      <c r="E2418" t="inlineStr">
        <is>
          <t>ARBOGA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33931-2022</t>
        </is>
      </c>
      <c r="B2419" s="1" t="n">
        <v>44790</v>
      </c>
      <c r="C2419" s="1" t="n">
        <v>45757</v>
      </c>
      <c r="D2419" t="inlineStr">
        <is>
          <t>VÄSTMANLANDS LÄN</t>
        </is>
      </c>
      <c r="E2419" t="inlineStr">
        <is>
          <t>SURAHAMMAR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33946-2022</t>
        </is>
      </c>
      <c r="B2420" s="1" t="n">
        <v>44790</v>
      </c>
      <c r="C2420" s="1" t="n">
        <v>45757</v>
      </c>
      <c r="D2420" t="inlineStr">
        <is>
          <t>VÄSTMANLANDS LÄN</t>
        </is>
      </c>
      <c r="E2420" t="inlineStr">
        <is>
          <t>SURAHAMMAR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33953-2022</t>
        </is>
      </c>
      <c r="B2421" s="1" t="n">
        <v>44790</v>
      </c>
      <c r="C2421" s="1" t="n">
        <v>45757</v>
      </c>
      <c r="D2421" t="inlineStr">
        <is>
          <t>VÄSTMANLANDS LÄN</t>
        </is>
      </c>
      <c r="E2421" t="inlineStr">
        <is>
          <t>SURAHAMMAR</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34073-2022</t>
        </is>
      </c>
      <c r="B2422" s="1" t="n">
        <v>44791</v>
      </c>
      <c r="C2422" s="1" t="n">
        <v>45757</v>
      </c>
      <c r="D2422" t="inlineStr">
        <is>
          <t>VÄSTMANLANDS LÄN</t>
        </is>
      </c>
      <c r="E2422" t="inlineStr">
        <is>
          <t>VÄSTERÅS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34110-2022</t>
        </is>
      </c>
      <c r="B2423" s="1" t="n">
        <v>44791</v>
      </c>
      <c r="C2423" s="1" t="n">
        <v>45757</v>
      </c>
      <c r="D2423" t="inlineStr">
        <is>
          <t>VÄSTMANLANDS LÄN</t>
        </is>
      </c>
      <c r="E2423" t="inlineStr">
        <is>
          <t>SALA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34461-2022</t>
        </is>
      </c>
      <c r="B2424" s="1" t="n">
        <v>44792</v>
      </c>
      <c r="C2424" s="1" t="n">
        <v>45757</v>
      </c>
      <c r="D2424" t="inlineStr">
        <is>
          <t>VÄSTMANLANDS LÄN</t>
        </is>
      </c>
      <c r="E2424" t="inlineStr">
        <is>
          <t>VÄSTERÅS</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34468-2022</t>
        </is>
      </c>
      <c r="B2425" s="1" t="n">
        <v>44792</v>
      </c>
      <c r="C2425" s="1" t="n">
        <v>45757</v>
      </c>
      <c r="D2425" t="inlineStr">
        <is>
          <t>VÄSTMANLANDS LÄN</t>
        </is>
      </c>
      <c r="E2425" t="inlineStr">
        <is>
          <t>SALA</t>
        </is>
      </c>
      <c r="F2425" t="inlineStr">
        <is>
          <t>Kommuner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34733-2022</t>
        </is>
      </c>
      <c r="B2426" s="1" t="n">
        <v>44795</v>
      </c>
      <c r="C2426" s="1" t="n">
        <v>45757</v>
      </c>
      <c r="D2426" t="inlineStr">
        <is>
          <t>VÄSTMANLANDS LÄN</t>
        </is>
      </c>
      <c r="E2426" t="inlineStr">
        <is>
          <t>FAGERSTA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34737-2022</t>
        </is>
      </c>
      <c r="B2427" s="1" t="n">
        <v>44795</v>
      </c>
      <c r="C2427" s="1" t="n">
        <v>45757</v>
      </c>
      <c r="D2427" t="inlineStr">
        <is>
          <t>VÄSTMANLANDS LÄN</t>
        </is>
      </c>
      <c r="E2427" t="inlineStr">
        <is>
          <t>SALA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34957-2022</t>
        </is>
      </c>
      <c r="B2428" s="1" t="n">
        <v>44796</v>
      </c>
      <c r="C2428" s="1" t="n">
        <v>45757</v>
      </c>
      <c r="D2428" t="inlineStr">
        <is>
          <t>VÄSTMANLANDS LÄN</t>
        </is>
      </c>
      <c r="E2428" t="inlineStr">
        <is>
          <t>SURAHAMMAR</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34955-2022</t>
        </is>
      </c>
      <c r="B2429" s="1" t="n">
        <v>44796</v>
      </c>
      <c r="C2429" s="1" t="n">
        <v>45757</v>
      </c>
      <c r="D2429" t="inlineStr">
        <is>
          <t>VÄSTMANLANDS LÄN</t>
        </is>
      </c>
      <c r="E2429" t="inlineStr">
        <is>
          <t>SURAHAMMAR</t>
        </is>
      </c>
      <c r="F2429" t="inlineStr">
        <is>
          <t>Sveaskog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34956-2022</t>
        </is>
      </c>
      <c r="B2430" s="1" t="n">
        <v>44796</v>
      </c>
      <c r="C2430" s="1" t="n">
        <v>45757</v>
      </c>
      <c r="D2430" t="inlineStr">
        <is>
          <t>VÄSTMANLANDS LÄN</t>
        </is>
      </c>
      <c r="E2430" t="inlineStr">
        <is>
          <t>SURAHAMMAR</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35108-2022</t>
        </is>
      </c>
      <c r="B2431" s="1" t="n">
        <v>44797</v>
      </c>
      <c r="C2431" s="1" t="n">
        <v>45757</v>
      </c>
      <c r="D2431" t="inlineStr">
        <is>
          <t>VÄSTMANLANDS LÄN</t>
        </is>
      </c>
      <c r="E2431" t="inlineStr">
        <is>
          <t>KÖPING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35144-2022</t>
        </is>
      </c>
      <c r="B2432" s="1" t="n">
        <v>44797</v>
      </c>
      <c r="C2432" s="1" t="n">
        <v>45757</v>
      </c>
      <c r="D2432" t="inlineStr">
        <is>
          <t>VÄSTMANLANDS LÄN</t>
        </is>
      </c>
      <c r="E2432" t="inlineStr">
        <is>
          <t>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35410-2022</t>
        </is>
      </c>
      <c r="B2433" s="1" t="n">
        <v>44798</v>
      </c>
      <c r="C2433" s="1" t="n">
        <v>45757</v>
      </c>
      <c r="D2433" t="inlineStr">
        <is>
          <t>VÄSTMANLANDS LÄN</t>
        </is>
      </c>
      <c r="E2433" t="inlineStr">
        <is>
          <t>SALA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35637-2022</t>
        </is>
      </c>
      <c r="B2434" s="1" t="n">
        <v>44799</v>
      </c>
      <c r="C2434" s="1" t="n">
        <v>45757</v>
      </c>
      <c r="D2434" t="inlineStr">
        <is>
          <t>VÄSTMANLANDS LÄN</t>
        </is>
      </c>
      <c r="E2434" t="inlineStr">
        <is>
          <t>SALA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35677-2022</t>
        </is>
      </c>
      <c r="B2435" s="1" t="n">
        <v>44799</v>
      </c>
      <c r="C2435" s="1" t="n">
        <v>45757</v>
      </c>
      <c r="D2435" t="inlineStr">
        <is>
          <t>VÄSTMANLANDS LÄN</t>
        </is>
      </c>
      <c r="E2435" t="inlineStr">
        <is>
          <t>SURAHAMMAR</t>
        </is>
      </c>
      <c r="F2435" t="inlineStr">
        <is>
          <t>Sveaskog</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35682-2022</t>
        </is>
      </c>
      <c r="B2436" s="1" t="n">
        <v>44799</v>
      </c>
      <c r="C2436" s="1" t="n">
        <v>45757</v>
      </c>
      <c r="D2436" t="inlineStr">
        <is>
          <t>VÄSTMANLANDS LÄN</t>
        </is>
      </c>
      <c r="E2436" t="inlineStr">
        <is>
          <t>SURAHAMMAR</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35679-2022</t>
        </is>
      </c>
      <c r="B2437" s="1" t="n">
        <v>44799</v>
      </c>
      <c r="C2437" s="1" t="n">
        <v>45757</v>
      </c>
      <c r="D2437" t="inlineStr">
        <is>
          <t>VÄSTMANLANDS LÄN</t>
        </is>
      </c>
      <c r="E2437" t="inlineStr">
        <is>
          <t>SURAHAMMAR</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35684-2022</t>
        </is>
      </c>
      <c r="B2438" s="1" t="n">
        <v>44799</v>
      </c>
      <c r="C2438" s="1" t="n">
        <v>45757</v>
      </c>
      <c r="D2438" t="inlineStr">
        <is>
          <t>VÄSTMANLANDS LÄN</t>
        </is>
      </c>
      <c r="E2438" t="inlineStr">
        <is>
          <t>NORBERG</t>
        </is>
      </c>
      <c r="F2438" t="inlineStr">
        <is>
          <t>Sveaskog</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35983-2022</t>
        </is>
      </c>
      <c r="B2439" s="1" t="n">
        <v>44802</v>
      </c>
      <c r="C2439" s="1" t="n">
        <v>45757</v>
      </c>
      <c r="D2439" t="inlineStr">
        <is>
          <t>VÄSTMANLANDS LÄN</t>
        </is>
      </c>
      <c r="E2439" t="inlineStr">
        <is>
          <t>VÄSTERÅS</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36270-2022</t>
        </is>
      </c>
      <c r="B2440" s="1" t="n">
        <v>44803</v>
      </c>
      <c r="C2440" s="1" t="n">
        <v>45757</v>
      </c>
      <c r="D2440" t="inlineStr">
        <is>
          <t>VÄSTMANLANDS LÄN</t>
        </is>
      </c>
      <c r="E2440" t="inlineStr">
        <is>
          <t>SKINNSKATTEBERG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36288-2022</t>
        </is>
      </c>
      <c r="B2441" s="1" t="n">
        <v>44803</v>
      </c>
      <c r="C2441" s="1" t="n">
        <v>45757</v>
      </c>
      <c r="D2441" t="inlineStr">
        <is>
          <t>VÄSTMANLANDS LÄN</t>
        </is>
      </c>
      <c r="E2441" t="inlineStr">
        <is>
          <t>SKINNSKATTEBERG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36419-2022</t>
        </is>
      </c>
      <c r="B2442" s="1" t="n">
        <v>44803</v>
      </c>
      <c r="C2442" s="1" t="n">
        <v>45757</v>
      </c>
      <c r="D2442" t="inlineStr">
        <is>
          <t>VÄSTMANLANDS LÄN</t>
        </is>
      </c>
      <c r="E2442" t="inlineStr">
        <is>
          <t>KUNGSÖR</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36504-2022</t>
        </is>
      </c>
      <c r="B2443" s="1" t="n">
        <v>44804</v>
      </c>
      <c r="C2443" s="1" t="n">
        <v>45757</v>
      </c>
      <c r="D2443" t="inlineStr">
        <is>
          <t>VÄSTMANLANDS LÄN</t>
        </is>
      </c>
      <c r="E2443" t="inlineStr">
        <is>
          <t>KÖPING</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36838-2022</t>
        </is>
      </c>
      <c r="B2444" s="1" t="n">
        <v>44805</v>
      </c>
      <c r="C2444" s="1" t="n">
        <v>45757</v>
      </c>
      <c r="D2444" t="inlineStr">
        <is>
          <t>VÄSTMANLANDS LÄN</t>
        </is>
      </c>
      <c r="E2444" t="inlineStr">
        <is>
          <t>NORBERG</t>
        </is>
      </c>
      <c r="F2444" t="inlineStr">
        <is>
          <t>Sveaskog</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36836-2022</t>
        </is>
      </c>
      <c r="B2445" s="1" t="n">
        <v>44805</v>
      </c>
      <c r="C2445" s="1" t="n">
        <v>45757</v>
      </c>
      <c r="D2445" t="inlineStr">
        <is>
          <t>VÄSTMANLANDS LÄN</t>
        </is>
      </c>
      <c r="E2445" t="inlineStr">
        <is>
          <t>NORBERG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36839-2022</t>
        </is>
      </c>
      <c r="B2446" s="1" t="n">
        <v>44805</v>
      </c>
      <c r="C2446" s="1" t="n">
        <v>45757</v>
      </c>
      <c r="D2446" t="inlineStr">
        <is>
          <t>VÄSTMANLANDS LÄN</t>
        </is>
      </c>
      <c r="E2446" t="inlineStr">
        <is>
          <t>NORBERG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37210-2022</t>
        </is>
      </c>
      <c r="B2447" s="1" t="n">
        <v>44806</v>
      </c>
      <c r="C2447" s="1" t="n">
        <v>45757</v>
      </c>
      <c r="D2447" t="inlineStr">
        <is>
          <t>VÄSTMANLANDS LÄN</t>
        </is>
      </c>
      <c r="E2447" t="inlineStr">
        <is>
          <t>SKINNSKATTEBERG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37447-2022</t>
        </is>
      </c>
      <c r="B2448" s="1" t="n">
        <v>44809</v>
      </c>
      <c r="C2448" s="1" t="n">
        <v>45757</v>
      </c>
      <c r="D2448" t="inlineStr">
        <is>
          <t>VÄSTMANLANDS LÄN</t>
        </is>
      </c>
      <c r="E2448" t="inlineStr">
        <is>
          <t>KÖPING</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37686-2022</t>
        </is>
      </c>
      <c r="B2449" s="1" t="n">
        <v>44810</v>
      </c>
      <c r="C2449" s="1" t="n">
        <v>45757</v>
      </c>
      <c r="D2449" t="inlineStr">
        <is>
          <t>VÄSTMANLANDS LÄN</t>
        </is>
      </c>
      <c r="E2449" t="inlineStr">
        <is>
          <t>HALLSTAHAMMAR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37660-2022</t>
        </is>
      </c>
      <c r="B2450" s="1" t="n">
        <v>44810</v>
      </c>
      <c r="C2450" s="1" t="n">
        <v>45757</v>
      </c>
      <c r="D2450" t="inlineStr">
        <is>
          <t>VÄSTMANLANDS LÄN</t>
        </is>
      </c>
      <c r="E2450" t="inlineStr">
        <is>
          <t>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37730-2022</t>
        </is>
      </c>
      <c r="B2451" s="1" t="n">
        <v>44810</v>
      </c>
      <c r="C2451" s="1" t="n">
        <v>45757</v>
      </c>
      <c r="D2451" t="inlineStr">
        <is>
          <t>VÄSTMANLANDS LÄN</t>
        </is>
      </c>
      <c r="E2451" t="inlineStr">
        <is>
          <t>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37751-2022</t>
        </is>
      </c>
      <c r="B2452" s="1" t="n">
        <v>44810</v>
      </c>
      <c r="C2452" s="1" t="n">
        <v>45757</v>
      </c>
      <c r="D2452" t="inlineStr">
        <is>
          <t>VÄSTMANLANDS LÄN</t>
        </is>
      </c>
      <c r="E2452" t="inlineStr">
        <is>
          <t>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37776-2022</t>
        </is>
      </c>
      <c r="B2453" s="1" t="n">
        <v>44810</v>
      </c>
      <c r="C2453" s="1" t="n">
        <v>45757</v>
      </c>
      <c r="D2453" t="inlineStr">
        <is>
          <t>VÄSTMANLANDS LÄN</t>
        </is>
      </c>
      <c r="E2453" t="inlineStr">
        <is>
          <t>KÖPING</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38081-2022</t>
        </is>
      </c>
      <c r="B2454" s="1" t="n">
        <v>44811</v>
      </c>
      <c r="C2454" s="1" t="n">
        <v>45757</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38161-2022</t>
        </is>
      </c>
      <c r="B2455" s="1" t="n">
        <v>44812</v>
      </c>
      <c r="C2455" s="1" t="n">
        <v>45757</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38381-2022</t>
        </is>
      </c>
      <c r="B2456" s="1" t="n">
        <v>44812</v>
      </c>
      <c r="C2456" s="1" t="n">
        <v>45757</v>
      </c>
      <c r="D2456" t="inlineStr">
        <is>
          <t>VÄSTMANLANDS LÄN</t>
        </is>
      </c>
      <c r="E2456" t="inlineStr">
        <is>
          <t>VÄSTERÅS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38555-2022</t>
        </is>
      </c>
      <c r="B2457" s="1" t="n">
        <v>44813</v>
      </c>
      <c r="C2457" s="1" t="n">
        <v>45757</v>
      </c>
      <c r="D2457" t="inlineStr">
        <is>
          <t>VÄSTMANLANDS LÄN</t>
        </is>
      </c>
      <c r="E2457" t="inlineStr">
        <is>
          <t>HALLSTAHAMMAR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38725-2022</t>
        </is>
      </c>
      <c r="B2458" s="1" t="n">
        <v>44815</v>
      </c>
      <c r="C2458" s="1" t="n">
        <v>45757</v>
      </c>
      <c r="D2458" t="inlineStr">
        <is>
          <t>VÄSTMANLANDS LÄN</t>
        </is>
      </c>
      <c r="E2458" t="inlineStr">
        <is>
          <t>NORBERG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38905-2022</t>
        </is>
      </c>
      <c r="B2459" s="1" t="n">
        <v>44816</v>
      </c>
      <c r="C2459" s="1" t="n">
        <v>45757</v>
      </c>
      <c r="D2459" t="inlineStr">
        <is>
          <t>VÄSTMANLANDS LÄN</t>
        </is>
      </c>
      <c r="E2459" t="inlineStr">
        <is>
          <t>NORBERG</t>
        </is>
      </c>
      <c r="F2459" t="inlineStr">
        <is>
          <t>Sveaskog</t>
        </is>
      </c>
      <c r="G2459" t="n">
        <v>20.5</v>
      </c>
      <c r="H2459" t="n">
        <v>0</v>
      </c>
      <c r="I2459" t="n">
        <v>0</v>
      </c>
      <c r="J2459" t="n">
        <v>0</v>
      </c>
      <c r="K2459" t="n">
        <v>0</v>
      </c>
      <c r="L2459" t="n">
        <v>0</v>
      </c>
      <c r="M2459" t="n">
        <v>0</v>
      </c>
      <c r="N2459" t="n">
        <v>0</v>
      </c>
      <c r="O2459" t="n">
        <v>0</v>
      </c>
      <c r="P2459" t="n">
        <v>0</v>
      </c>
      <c r="Q2459" t="n">
        <v>0</v>
      </c>
      <c r="R2459" s="2" t="inlineStr"/>
    </row>
    <row r="2460" ht="15" customHeight="1">
      <c r="A2460" t="inlineStr">
        <is>
          <t>A 38906-2022</t>
        </is>
      </c>
      <c r="B2460" s="1" t="n">
        <v>44816</v>
      </c>
      <c r="C2460" s="1" t="n">
        <v>45757</v>
      </c>
      <c r="D2460" t="inlineStr">
        <is>
          <t>VÄSTMANLANDS LÄN</t>
        </is>
      </c>
      <c r="E2460" t="inlineStr">
        <is>
          <t>NORBERG</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38903-2022</t>
        </is>
      </c>
      <c r="B2461" s="1" t="n">
        <v>44816</v>
      </c>
      <c r="C2461" s="1" t="n">
        <v>45757</v>
      </c>
      <c r="D2461" t="inlineStr">
        <is>
          <t>VÄSTMANLANDS LÄN</t>
        </is>
      </c>
      <c r="E2461" t="inlineStr">
        <is>
          <t>NORBERG</t>
        </is>
      </c>
      <c r="F2461" t="inlineStr">
        <is>
          <t>Sveaskog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39127-2022</t>
        </is>
      </c>
      <c r="B2462" s="1" t="n">
        <v>44816</v>
      </c>
      <c r="C2462" s="1" t="n">
        <v>45757</v>
      </c>
      <c r="D2462" t="inlineStr">
        <is>
          <t>VÄSTMANLANDS LÄN</t>
        </is>
      </c>
      <c r="E2462" t="inlineStr">
        <is>
          <t>VÄSTERÅS</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39214-2022</t>
        </is>
      </c>
      <c r="B2463" s="1" t="n">
        <v>44817</v>
      </c>
      <c r="C2463" s="1" t="n">
        <v>45757</v>
      </c>
      <c r="D2463" t="inlineStr">
        <is>
          <t>VÄSTMANLANDS LÄN</t>
        </is>
      </c>
      <c r="E2463" t="inlineStr">
        <is>
          <t>FAGERSTA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39432-2022</t>
        </is>
      </c>
      <c r="B2464" s="1" t="n">
        <v>44818</v>
      </c>
      <c r="C2464" s="1" t="n">
        <v>45757</v>
      </c>
      <c r="D2464" t="inlineStr">
        <is>
          <t>VÄSTMANLANDS LÄN</t>
        </is>
      </c>
      <c r="E2464" t="inlineStr">
        <is>
          <t>SKINNSKATTEBERG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39451-2022</t>
        </is>
      </c>
      <c r="B2465" s="1" t="n">
        <v>44818</v>
      </c>
      <c r="C2465" s="1" t="n">
        <v>45757</v>
      </c>
      <c r="D2465" t="inlineStr">
        <is>
          <t>VÄSTMANLANDS LÄN</t>
        </is>
      </c>
      <c r="E2465" t="inlineStr">
        <is>
          <t>SALA</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39600-2022</t>
        </is>
      </c>
      <c r="B2466" s="1" t="n">
        <v>44818</v>
      </c>
      <c r="C2466" s="1" t="n">
        <v>45757</v>
      </c>
      <c r="D2466" t="inlineStr">
        <is>
          <t>VÄSTMANLANDS LÄN</t>
        </is>
      </c>
      <c r="E2466" t="inlineStr">
        <is>
          <t>SALA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39597-2022</t>
        </is>
      </c>
      <c r="B2467" s="1" t="n">
        <v>44818</v>
      </c>
      <c r="C2467" s="1" t="n">
        <v>45757</v>
      </c>
      <c r="D2467" t="inlineStr">
        <is>
          <t>VÄSTMANLANDS LÄN</t>
        </is>
      </c>
      <c r="E2467" t="inlineStr">
        <is>
          <t>SALA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40094-2022</t>
        </is>
      </c>
      <c r="B2468" s="1" t="n">
        <v>44819</v>
      </c>
      <c r="C2468" s="1" t="n">
        <v>45757</v>
      </c>
      <c r="D2468" t="inlineStr">
        <is>
          <t>VÄSTMANLANDS LÄN</t>
        </is>
      </c>
      <c r="E2468" t="inlineStr">
        <is>
          <t>SALA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40113-2022</t>
        </is>
      </c>
      <c r="B2469" s="1" t="n">
        <v>44819</v>
      </c>
      <c r="C2469" s="1" t="n">
        <v>45757</v>
      </c>
      <c r="D2469" t="inlineStr">
        <is>
          <t>VÄSTMANLANDS LÄN</t>
        </is>
      </c>
      <c r="E2469" t="inlineStr">
        <is>
          <t>SALA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40405-2022</t>
        </is>
      </c>
      <c r="B2470" s="1" t="n">
        <v>44823</v>
      </c>
      <c r="C2470" s="1" t="n">
        <v>45757</v>
      </c>
      <c r="D2470" t="inlineStr">
        <is>
          <t>VÄSTMANLANDS LÄN</t>
        </is>
      </c>
      <c r="E2470" t="inlineStr">
        <is>
          <t>SALA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40499-2022</t>
        </is>
      </c>
      <c r="B2471" s="1" t="n">
        <v>44823</v>
      </c>
      <c r="C2471" s="1" t="n">
        <v>45757</v>
      </c>
      <c r="D2471" t="inlineStr">
        <is>
          <t>VÄSTMANLANDS LÄN</t>
        </is>
      </c>
      <c r="E2471" t="inlineStr">
        <is>
          <t>SKINNSKATTEBERG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40597-2022</t>
        </is>
      </c>
      <c r="B2472" s="1" t="n">
        <v>44823</v>
      </c>
      <c r="C2472" s="1" t="n">
        <v>45757</v>
      </c>
      <c r="D2472" t="inlineStr">
        <is>
          <t>VÄSTMANLANDS LÄN</t>
        </is>
      </c>
      <c r="E2472" t="inlineStr">
        <is>
          <t>SALA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40782-2022</t>
        </is>
      </c>
      <c r="B2473" s="1" t="n">
        <v>44824</v>
      </c>
      <c r="C2473" s="1" t="n">
        <v>45757</v>
      </c>
      <c r="D2473" t="inlineStr">
        <is>
          <t>VÄSTMANLANDS LÄN</t>
        </is>
      </c>
      <c r="E2473" t="inlineStr">
        <is>
          <t>VÄSTERÅS</t>
        </is>
      </c>
      <c r="F2473" t="inlineStr">
        <is>
          <t>Sveaskog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40815-2022</t>
        </is>
      </c>
      <c r="B2474" s="1" t="n">
        <v>44824</v>
      </c>
      <c r="C2474" s="1" t="n">
        <v>45757</v>
      </c>
      <c r="D2474" t="inlineStr">
        <is>
          <t>VÄSTMANLANDS LÄN</t>
        </is>
      </c>
      <c r="E2474" t="inlineStr">
        <is>
          <t>KUNGSÖR</t>
        </is>
      </c>
      <c r="G2474" t="n">
        <v>15.9</v>
      </c>
      <c r="H2474" t="n">
        <v>0</v>
      </c>
      <c r="I2474" t="n">
        <v>0</v>
      </c>
      <c r="J2474" t="n">
        <v>0</v>
      </c>
      <c r="K2474" t="n">
        <v>0</v>
      </c>
      <c r="L2474" t="n">
        <v>0</v>
      </c>
      <c r="M2474" t="n">
        <v>0</v>
      </c>
      <c r="N2474" t="n">
        <v>0</v>
      </c>
      <c r="O2474" t="n">
        <v>0</v>
      </c>
      <c r="P2474" t="n">
        <v>0</v>
      </c>
      <c r="Q2474" t="n">
        <v>0</v>
      </c>
      <c r="R2474" s="2" t="inlineStr"/>
    </row>
    <row r="2475" ht="15" customHeight="1">
      <c r="A2475" t="inlineStr">
        <is>
          <t>A 40864-2022</t>
        </is>
      </c>
      <c r="B2475" s="1" t="n">
        <v>44825</v>
      </c>
      <c r="C2475" s="1" t="n">
        <v>45757</v>
      </c>
      <c r="D2475" t="inlineStr">
        <is>
          <t>VÄSTMANLANDS LÄN</t>
        </is>
      </c>
      <c r="E2475" t="inlineStr">
        <is>
          <t>FAGERSTA</t>
        </is>
      </c>
      <c r="G2475" t="n">
        <v>11.3</v>
      </c>
      <c r="H2475" t="n">
        <v>0</v>
      </c>
      <c r="I2475" t="n">
        <v>0</v>
      </c>
      <c r="J2475" t="n">
        <v>0</v>
      </c>
      <c r="K2475" t="n">
        <v>0</v>
      </c>
      <c r="L2475" t="n">
        <v>0</v>
      </c>
      <c r="M2475" t="n">
        <v>0</v>
      </c>
      <c r="N2475" t="n">
        <v>0</v>
      </c>
      <c r="O2475" t="n">
        <v>0</v>
      </c>
      <c r="P2475" t="n">
        <v>0</v>
      </c>
      <c r="Q2475" t="n">
        <v>0</v>
      </c>
      <c r="R2475" s="2" t="inlineStr"/>
    </row>
    <row r="2476" ht="15" customHeight="1">
      <c r="A2476" t="inlineStr">
        <is>
          <t>A 41059-2022</t>
        </is>
      </c>
      <c r="B2476" s="1" t="n">
        <v>44825</v>
      </c>
      <c r="C2476" s="1" t="n">
        <v>45757</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41032-2022</t>
        </is>
      </c>
      <c r="B2477" s="1" t="n">
        <v>44825</v>
      </c>
      <c r="C2477" s="1" t="n">
        <v>45757</v>
      </c>
      <c r="D2477" t="inlineStr">
        <is>
          <t>VÄSTMANLANDS LÄN</t>
        </is>
      </c>
      <c r="E2477" t="inlineStr">
        <is>
          <t>KÖPING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41052-2022</t>
        </is>
      </c>
      <c r="B2478" s="1" t="n">
        <v>44825</v>
      </c>
      <c r="C2478" s="1" t="n">
        <v>45757</v>
      </c>
      <c r="D2478" t="inlineStr">
        <is>
          <t>VÄSTMANLANDS LÄN</t>
        </is>
      </c>
      <c r="E2478" t="inlineStr">
        <is>
          <t>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41064-2022</t>
        </is>
      </c>
      <c r="B2479" s="1" t="n">
        <v>44825</v>
      </c>
      <c r="C2479" s="1" t="n">
        <v>45757</v>
      </c>
      <c r="D2479" t="inlineStr">
        <is>
          <t>VÄSTMANLANDS LÄN</t>
        </is>
      </c>
      <c r="E2479" t="inlineStr">
        <is>
          <t>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41114-2022</t>
        </is>
      </c>
      <c r="B2480" s="1" t="n">
        <v>44825</v>
      </c>
      <c r="C2480" s="1" t="n">
        <v>45757</v>
      </c>
      <c r="D2480" t="inlineStr">
        <is>
          <t>VÄSTMANLANDS LÄN</t>
        </is>
      </c>
      <c r="E2480" t="inlineStr">
        <is>
          <t>VÄSTERÅS</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41160-2022</t>
        </is>
      </c>
      <c r="B2481" s="1" t="n">
        <v>44825</v>
      </c>
      <c r="C2481" s="1" t="n">
        <v>45757</v>
      </c>
      <c r="D2481" t="inlineStr">
        <is>
          <t>VÄSTMANLANDS LÄN</t>
        </is>
      </c>
      <c r="E2481" t="inlineStr">
        <is>
          <t>KÖPING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41219-2022</t>
        </is>
      </c>
      <c r="B2482" s="1" t="n">
        <v>44826</v>
      </c>
      <c r="C2482" s="1" t="n">
        <v>45757</v>
      </c>
      <c r="D2482" t="inlineStr">
        <is>
          <t>VÄSTMANLANDS LÄN</t>
        </is>
      </c>
      <c r="E2482" t="inlineStr">
        <is>
          <t>VÄSTERÅS</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41220-2022</t>
        </is>
      </c>
      <c r="B2483" s="1" t="n">
        <v>44826</v>
      </c>
      <c r="C2483" s="1" t="n">
        <v>45757</v>
      </c>
      <c r="D2483" t="inlineStr">
        <is>
          <t>VÄSTMANLANDS LÄN</t>
        </is>
      </c>
      <c r="E2483" t="inlineStr">
        <is>
          <t>VÄSTERÅS</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41576-2022</t>
        </is>
      </c>
      <c r="B2484" s="1" t="n">
        <v>44826</v>
      </c>
      <c r="C2484" s="1" t="n">
        <v>45757</v>
      </c>
      <c r="D2484" t="inlineStr">
        <is>
          <t>VÄSTMANLANDS LÄN</t>
        </is>
      </c>
      <c r="E2484" t="inlineStr">
        <is>
          <t>SURAHAMMAR</t>
        </is>
      </c>
      <c r="F2484" t="inlineStr">
        <is>
          <t>Bergvik skog väst AB</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41555-2022</t>
        </is>
      </c>
      <c r="B2485" s="1" t="n">
        <v>44826</v>
      </c>
      <c r="C2485" s="1" t="n">
        <v>45757</v>
      </c>
      <c r="D2485" t="inlineStr">
        <is>
          <t>VÄSTMANLANDS LÄN</t>
        </is>
      </c>
      <c r="E2485" t="inlineStr">
        <is>
          <t>SURAHAMMAR</t>
        </is>
      </c>
      <c r="F2485" t="inlineStr">
        <is>
          <t>Bergvik skog väst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41567-2022</t>
        </is>
      </c>
      <c r="B2486" s="1" t="n">
        <v>44827</v>
      </c>
      <c r="C2486" s="1" t="n">
        <v>45757</v>
      </c>
      <c r="D2486" t="inlineStr">
        <is>
          <t>VÄSTMANLANDS LÄN</t>
        </is>
      </c>
      <c r="E2486" t="inlineStr">
        <is>
          <t>SALA</t>
        </is>
      </c>
      <c r="F2486" t="inlineStr">
        <is>
          <t>Bergvik skog öst AB</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41587-2022</t>
        </is>
      </c>
      <c r="B2487" s="1" t="n">
        <v>44827</v>
      </c>
      <c r="C2487" s="1" t="n">
        <v>45757</v>
      </c>
      <c r="D2487" t="inlineStr">
        <is>
          <t>VÄSTMANLANDS LÄN</t>
        </is>
      </c>
      <c r="E2487" t="inlineStr">
        <is>
          <t>ARBOGA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41583-2022</t>
        </is>
      </c>
      <c r="B2488" s="1" t="n">
        <v>44827</v>
      </c>
      <c r="C2488" s="1" t="n">
        <v>45757</v>
      </c>
      <c r="D2488" t="inlineStr">
        <is>
          <t>VÄSTMANLANDS LÄN</t>
        </is>
      </c>
      <c r="E2488" t="inlineStr">
        <is>
          <t>KÖPING</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41720-2022</t>
        </is>
      </c>
      <c r="B2489" s="1" t="n">
        <v>44827</v>
      </c>
      <c r="C2489" s="1" t="n">
        <v>45757</v>
      </c>
      <c r="D2489" t="inlineStr">
        <is>
          <t>VÄSTMANLANDS LÄN</t>
        </is>
      </c>
      <c r="E2489" t="inlineStr">
        <is>
          <t>SKINNSKATTEBERG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41739-2022</t>
        </is>
      </c>
      <c r="B2490" s="1" t="n">
        <v>44827</v>
      </c>
      <c r="C2490" s="1" t="n">
        <v>45757</v>
      </c>
      <c r="D2490" t="inlineStr">
        <is>
          <t>VÄSTMANLANDS LÄN</t>
        </is>
      </c>
      <c r="E2490" t="inlineStr">
        <is>
          <t>NORBERG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41717-2022</t>
        </is>
      </c>
      <c r="B2491" s="1" t="n">
        <v>44827</v>
      </c>
      <c r="C2491" s="1" t="n">
        <v>45757</v>
      </c>
      <c r="D2491" t="inlineStr">
        <is>
          <t>VÄSTMANLANDS LÄN</t>
        </is>
      </c>
      <c r="E2491" t="inlineStr">
        <is>
          <t>SKINNSKATTEBERG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41744-2022</t>
        </is>
      </c>
      <c r="B2492" s="1" t="n">
        <v>44827</v>
      </c>
      <c r="C2492" s="1" t="n">
        <v>45757</v>
      </c>
      <c r="D2492" t="inlineStr">
        <is>
          <t>VÄSTMANLANDS LÄN</t>
        </is>
      </c>
      <c r="E2492" t="inlineStr">
        <is>
          <t>NORBERG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41750-2022</t>
        </is>
      </c>
      <c r="B2493" s="1" t="n">
        <v>44827</v>
      </c>
      <c r="C2493" s="1" t="n">
        <v>45757</v>
      </c>
      <c r="D2493" t="inlineStr">
        <is>
          <t>VÄSTMANLANDS LÄN</t>
        </is>
      </c>
      <c r="E2493" t="inlineStr">
        <is>
          <t>NORBERG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41716-2022</t>
        </is>
      </c>
      <c r="B2494" s="1" t="n">
        <v>44827</v>
      </c>
      <c r="C2494" s="1" t="n">
        <v>45757</v>
      </c>
      <c r="D2494" t="inlineStr">
        <is>
          <t>VÄSTMANLANDS LÄN</t>
        </is>
      </c>
      <c r="E2494" t="inlineStr">
        <is>
          <t>SKINNSKATTEBERG</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41732-2022</t>
        </is>
      </c>
      <c r="B2495" s="1" t="n">
        <v>44827</v>
      </c>
      <c r="C2495" s="1" t="n">
        <v>45757</v>
      </c>
      <c r="D2495" t="inlineStr">
        <is>
          <t>VÄSTMANLANDS LÄN</t>
        </is>
      </c>
      <c r="E2495" t="inlineStr">
        <is>
          <t>SKINNSKATTEBERG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41742-2022</t>
        </is>
      </c>
      <c r="B2496" s="1" t="n">
        <v>44827</v>
      </c>
      <c r="C2496" s="1" t="n">
        <v>45757</v>
      </c>
      <c r="D2496" t="inlineStr">
        <is>
          <t>VÄSTMANLANDS LÄN</t>
        </is>
      </c>
      <c r="E2496" t="inlineStr">
        <is>
          <t>NORBERG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41748-2022</t>
        </is>
      </c>
      <c r="B2497" s="1" t="n">
        <v>44827</v>
      </c>
      <c r="C2497" s="1" t="n">
        <v>45757</v>
      </c>
      <c r="D2497" t="inlineStr">
        <is>
          <t>VÄSTMANLANDS LÄN</t>
        </is>
      </c>
      <c r="E2497" t="inlineStr">
        <is>
          <t>NORBERG</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41866-2022</t>
        </is>
      </c>
      <c r="B2498" s="1" t="n">
        <v>44829</v>
      </c>
      <c r="C2498" s="1" t="n">
        <v>45757</v>
      </c>
      <c r="D2498" t="inlineStr">
        <is>
          <t>VÄSTMANLANDS LÄN</t>
        </is>
      </c>
      <c r="E2498" t="inlineStr">
        <is>
          <t>SKINNSKATTEBERG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41868-2022</t>
        </is>
      </c>
      <c r="B2499" s="1" t="n">
        <v>44829</v>
      </c>
      <c r="C2499" s="1" t="n">
        <v>45757</v>
      </c>
      <c r="D2499" t="inlineStr">
        <is>
          <t>VÄSTMANLANDS LÄN</t>
        </is>
      </c>
      <c r="E2499" t="inlineStr">
        <is>
          <t>SKINNSKATTEBERG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41876-2022</t>
        </is>
      </c>
      <c r="B2500" s="1" t="n">
        <v>44830</v>
      </c>
      <c r="C2500" s="1" t="n">
        <v>45757</v>
      </c>
      <c r="D2500" t="inlineStr">
        <is>
          <t>VÄSTMANLANDS LÄN</t>
        </is>
      </c>
      <c r="E2500" t="inlineStr">
        <is>
          <t>SALA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42036-2022</t>
        </is>
      </c>
      <c r="B2501" s="1" t="n">
        <v>44830</v>
      </c>
      <c r="C2501" s="1" t="n">
        <v>45757</v>
      </c>
      <c r="D2501" t="inlineStr">
        <is>
          <t>VÄSTMANLANDS LÄN</t>
        </is>
      </c>
      <c r="E2501" t="inlineStr">
        <is>
          <t>ARBOGA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42045-2022</t>
        </is>
      </c>
      <c r="B2502" s="1" t="n">
        <v>44830</v>
      </c>
      <c r="C2502" s="1" t="n">
        <v>45757</v>
      </c>
      <c r="D2502" t="inlineStr">
        <is>
          <t>VÄSTMANLANDS LÄN</t>
        </is>
      </c>
      <c r="E2502" t="inlineStr">
        <is>
          <t>ARBOGA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42416-2022</t>
        </is>
      </c>
      <c r="B2503" s="1" t="n">
        <v>44831</v>
      </c>
      <c r="C2503" s="1" t="n">
        <v>45757</v>
      </c>
      <c r="D2503" t="inlineStr">
        <is>
          <t>VÄSTMANLANDS LÄN</t>
        </is>
      </c>
      <c r="E2503" t="inlineStr">
        <is>
          <t>SALA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42447-2022</t>
        </is>
      </c>
      <c r="B2504" s="1" t="n">
        <v>44831</v>
      </c>
      <c r="C2504" s="1" t="n">
        <v>45757</v>
      </c>
      <c r="D2504" t="inlineStr">
        <is>
          <t>VÄSTMANLANDS LÄN</t>
        </is>
      </c>
      <c r="E2504" t="inlineStr">
        <is>
          <t>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42414-2022</t>
        </is>
      </c>
      <c r="B2505" s="1" t="n">
        <v>44831</v>
      </c>
      <c r="C2505" s="1" t="n">
        <v>45757</v>
      </c>
      <c r="D2505" t="inlineStr">
        <is>
          <t>VÄSTMANLANDS LÄN</t>
        </is>
      </c>
      <c r="E2505" t="inlineStr">
        <is>
          <t>SALA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42491-2022</t>
        </is>
      </c>
      <c r="B2506" s="1" t="n">
        <v>44831</v>
      </c>
      <c r="C2506" s="1" t="n">
        <v>45757</v>
      </c>
      <c r="D2506" t="inlineStr">
        <is>
          <t>VÄSTMANLANDS LÄN</t>
        </is>
      </c>
      <c r="E2506" t="inlineStr">
        <is>
          <t>KÖPING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42505-2022</t>
        </is>
      </c>
      <c r="B2507" s="1" t="n">
        <v>44831</v>
      </c>
      <c r="C2507" s="1" t="n">
        <v>45757</v>
      </c>
      <c r="D2507" t="inlineStr">
        <is>
          <t>VÄSTMANLANDS LÄN</t>
        </is>
      </c>
      <c r="E2507" t="inlineStr">
        <is>
          <t>NORBERG</t>
        </is>
      </c>
      <c r="F2507" t="inlineStr">
        <is>
          <t>Sveaskog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42504-2022</t>
        </is>
      </c>
      <c r="B2508" s="1" t="n">
        <v>44831</v>
      </c>
      <c r="C2508" s="1" t="n">
        <v>45757</v>
      </c>
      <c r="D2508" t="inlineStr">
        <is>
          <t>VÄSTMANLANDS LÄN</t>
        </is>
      </c>
      <c r="E2508" t="inlineStr">
        <is>
          <t>NORBERG</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42714-2022</t>
        </is>
      </c>
      <c r="B2509" s="1" t="n">
        <v>44832</v>
      </c>
      <c r="C2509" s="1" t="n">
        <v>45757</v>
      </c>
      <c r="D2509" t="inlineStr">
        <is>
          <t>VÄSTMANLANDS LÄN</t>
        </is>
      </c>
      <c r="E2509" t="inlineStr">
        <is>
          <t>SURAHAMMAR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42832-2022</t>
        </is>
      </c>
      <c r="B2510" s="1" t="n">
        <v>44832</v>
      </c>
      <c r="C2510" s="1" t="n">
        <v>45757</v>
      </c>
      <c r="D2510" t="inlineStr">
        <is>
          <t>VÄSTMANLANDS LÄN</t>
        </is>
      </c>
      <c r="E2510" t="inlineStr">
        <is>
          <t>SURAHAMMAR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42841-2022</t>
        </is>
      </c>
      <c r="B2511" s="1" t="n">
        <v>44832</v>
      </c>
      <c r="C2511" s="1" t="n">
        <v>45757</v>
      </c>
      <c r="D2511" t="inlineStr">
        <is>
          <t>VÄSTMANLANDS LÄN</t>
        </is>
      </c>
      <c r="E2511" t="inlineStr">
        <is>
          <t>SURAHAMMAR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42829-2022</t>
        </is>
      </c>
      <c r="B2512" s="1" t="n">
        <v>44832</v>
      </c>
      <c r="C2512" s="1" t="n">
        <v>45757</v>
      </c>
      <c r="D2512" t="inlineStr">
        <is>
          <t>VÄSTMANLANDS LÄN</t>
        </is>
      </c>
      <c r="E2512" t="inlineStr">
        <is>
          <t>SURAHAMMAR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42910-2022</t>
        </is>
      </c>
      <c r="B2513" s="1" t="n">
        <v>44833</v>
      </c>
      <c r="C2513" s="1" t="n">
        <v>45757</v>
      </c>
      <c r="D2513" t="inlineStr">
        <is>
          <t>VÄSTMANLANDS LÄN</t>
        </is>
      </c>
      <c r="E2513" t="inlineStr">
        <is>
          <t>VÄSTERÅS</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43073-2022</t>
        </is>
      </c>
      <c r="B2514" s="1" t="n">
        <v>44833</v>
      </c>
      <c r="C2514" s="1" t="n">
        <v>45757</v>
      </c>
      <c r="D2514" t="inlineStr">
        <is>
          <t>VÄSTMANLANDS LÄN</t>
        </is>
      </c>
      <c r="E2514" t="inlineStr">
        <is>
          <t>NORBERG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43103-2022</t>
        </is>
      </c>
      <c r="B2515" s="1" t="n">
        <v>44833</v>
      </c>
      <c r="C2515" s="1" t="n">
        <v>45757</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43075-2022</t>
        </is>
      </c>
      <c r="B2516" s="1" t="n">
        <v>44833</v>
      </c>
      <c r="C2516" s="1" t="n">
        <v>45757</v>
      </c>
      <c r="D2516" t="inlineStr">
        <is>
          <t>VÄSTMANLANDS LÄN</t>
        </is>
      </c>
      <c r="E2516" t="inlineStr">
        <is>
          <t>NORBERG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43072-2022</t>
        </is>
      </c>
      <c r="B2517" s="1" t="n">
        <v>44833</v>
      </c>
      <c r="C2517" s="1" t="n">
        <v>45757</v>
      </c>
      <c r="D2517" t="inlineStr">
        <is>
          <t>VÄSTMANLANDS LÄN</t>
        </is>
      </c>
      <c r="E2517" t="inlineStr">
        <is>
          <t>NORBERG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43076-2022</t>
        </is>
      </c>
      <c r="B2518" s="1" t="n">
        <v>44833</v>
      </c>
      <c r="C2518" s="1" t="n">
        <v>45757</v>
      </c>
      <c r="D2518" t="inlineStr">
        <is>
          <t>VÄSTMANLANDS LÄN</t>
        </is>
      </c>
      <c r="E2518" t="inlineStr">
        <is>
          <t>NORBERG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43101-2022</t>
        </is>
      </c>
      <c r="B2519" s="1" t="n">
        <v>44833</v>
      </c>
      <c r="C2519" s="1" t="n">
        <v>45757</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43303-2022</t>
        </is>
      </c>
      <c r="B2520" s="1" t="n">
        <v>44834</v>
      </c>
      <c r="C2520" s="1" t="n">
        <v>45757</v>
      </c>
      <c r="D2520" t="inlineStr">
        <is>
          <t>VÄSTMANLANDS LÄN</t>
        </is>
      </c>
      <c r="E2520" t="inlineStr">
        <is>
          <t>KÖPING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43384-2022</t>
        </is>
      </c>
      <c r="B2521" s="1" t="n">
        <v>44834</v>
      </c>
      <c r="C2521" s="1" t="n">
        <v>45757</v>
      </c>
      <c r="D2521" t="inlineStr">
        <is>
          <t>VÄSTMANLANDS LÄN</t>
        </is>
      </c>
      <c r="E2521" t="inlineStr">
        <is>
          <t>SKINNSKATTEBERG</t>
        </is>
      </c>
      <c r="F2521" t="inlineStr">
        <is>
          <t>Sveaskog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43349-2022</t>
        </is>
      </c>
      <c r="B2522" s="1" t="n">
        <v>44834</v>
      </c>
      <c r="C2522" s="1" t="n">
        <v>45757</v>
      </c>
      <c r="D2522" t="inlineStr">
        <is>
          <t>VÄSTMANLANDS LÄN</t>
        </is>
      </c>
      <c r="E2522" t="inlineStr">
        <is>
          <t>SKINNSKATTEBERG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43347-2022</t>
        </is>
      </c>
      <c r="B2523" s="1" t="n">
        <v>44834</v>
      </c>
      <c r="C2523" s="1" t="n">
        <v>45757</v>
      </c>
      <c r="D2523" t="inlineStr">
        <is>
          <t>VÄSTMANLANDS LÄN</t>
        </is>
      </c>
      <c r="E2523" t="inlineStr">
        <is>
          <t>SKINNSKATTEBERG</t>
        </is>
      </c>
      <c r="F2523" t="inlineStr">
        <is>
          <t>Sveaskog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43567-2022</t>
        </is>
      </c>
      <c r="B2524" s="1" t="n">
        <v>44837</v>
      </c>
      <c r="C2524" s="1" t="n">
        <v>45757</v>
      </c>
      <c r="D2524" t="inlineStr">
        <is>
          <t>VÄSTMANLANDS LÄN</t>
        </is>
      </c>
      <c r="E2524" t="inlineStr">
        <is>
          <t>KÖPING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43587-2022</t>
        </is>
      </c>
      <c r="B2525" s="1" t="n">
        <v>44837</v>
      </c>
      <c r="C2525" s="1" t="n">
        <v>45757</v>
      </c>
      <c r="D2525" t="inlineStr">
        <is>
          <t>VÄSTMANLANDS LÄN</t>
        </is>
      </c>
      <c r="E2525" t="inlineStr">
        <is>
          <t>ARBOGA</t>
        </is>
      </c>
      <c r="F2525" t="inlineStr">
        <is>
          <t>Sveaskog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44016-2022</t>
        </is>
      </c>
      <c r="B2526" s="1" t="n">
        <v>44838</v>
      </c>
      <c r="C2526" s="1" t="n">
        <v>45757</v>
      </c>
      <c r="D2526" t="inlineStr">
        <is>
          <t>VÄSTMANLANDS LÄN</t>
        </is>
      </c>
      <c r="E2526" t="inlineStr">
        <is>
          <t>NORBERG</t>
        </is>
      </c>
      <c r="F2526" t="inlineStr">
        <is>
          <t>Sveaskog</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44015-2022</t>
        </is>
      </c>
      <c r="B2527" s="1" t="n">
        <v>44838</v>
      </c>
      <c r="C2527" s="1" t="n">
        <v>45757</v>
      </c>
      <c r="D2527" t="inlineStr">
        <is>
          <t>VÄSTMANLANDS LÄN</t>
        </is>
      </c>
      <c r="E2527" t="inlineStr">
        <is>
          <t>NORBERG</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44217-2022</t>
        </is>
      </c>
      <c r="B2528" s="1" t="n">
        <v>44839</v>
      </c>
      <c r="C2528" s="1" t="n">
        <v>45757</v>
      </c>
      <c r="D2528" t="inlineStr">
        <is>
          <t>VÄSTMANLANDS LÄN</t>
        </is>
      </c>
      <c r="E2528" t="inlineStr">
        <is>
          <t>SALA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44318-2022</t>
        </is>
      </c>
      <c r="B2529" s="1" t="n">
        <v>44839</v>
      </c>
      <c r="C2529" s="1" t="n">
        <v>45757</v>
      </c>
      <c r="D2529" t="inlineStr">
        <is>
          <t>VÄSTMANLANDS LÄN</t>
        </is>
      </c>
      <c r="E2529" t="inlineStr">
        <is>
          <t>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44224-2022</t>
        </is>
      </c>
      <c r="B2530" s="1" t="n">
        <v>44839</v>
      </c>
      <c r="C2530" s="1" t="n">
        <v>45757</v>
      </c>
      <c r="D2530" t="inlineStr">
        <is>
          <t>VÄSTMANLANDS LÄN</t>
        </is>
      </c>
      <c r="E2530" t="inlineStr">
        <is>
          <t>SALA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44408-2022</t>
        </is>
      </c>
      <c r="B2531" s="1" t="n">
        <v>44839</v>
      </c>
      <c r="C2531" s="1" t="n">
        <v>45757</v>
      </c>
      <c r="D2531" t="inlineStr">
        <is>
          <t>VÄSTMANLANDS LÄN</t>
        </is>
      </c>
      <c r="E2531" t="inlineStr">
        <is>
          <t>KÖPING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44370-2022</t>
        </is>
      </c>
      <c r="B2532" s="1" t="n">
        <v>44839</v>
      </c>
      <c r="C2532" s="1" t="n">
        <v>45757</v>
      </c>
      <c r="D2532" t="inlineStr">
        <is>
          <t>VÄSTMANLANDS LÄN</t>
        </is>
      </c>
      <c r="E2532" t="inlineStr">
        <is>
          <t>KÖPING</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44711-2022</t>
        </is>
      </c>
      <c r="B2533" s="1" t="n">
        <v>44840</v>
      </c>
      <c r="C2533" s="1" t="n">
        <v>45757</v>
      </c>
      <c r="D2533" t="inlineStr">
        <is>
          <t>VÄSTMANLANDS LÄN</t>
        </is>
      </c>
      <c r="E2533" t="inlineStr">
        <is>
          <t>FAGERSTA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44906-2022</t>
        </is>
      </c>
      <c r="B2534" s="1" t="n">
        <v>44840</v>
      </c>
      <c r="C2534" s="1" t="n">
        <v>45757</v>
      </c>
      <c r="D2534" t="inlineStr">
        <is>
          <t>VÄSTMANLANDS LÄN</t>
        </is>
      </c>
      <c r="E2534" t="inlineStr">
        <is>
          <t>KÖPING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44695-2022</t>
        </is>
      </c>
      <c r="B2535" s="1" t="n">
        <v>44840</v>
      </c>
      <c r="C2535" s="1" t="n">
        <v>45757</v>
      </c>
      <c r="D2535" t="inlineStr">
        <is>
          <t>VÄSTMANLANDS LÄN</t>
        </is>
      </c>
      <c r="E2535" t="inlineStr">
        <is>
          <t>VÄSTERÅS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44710-2022</t>
        </is>
      </c>
      <c r="B2536" s="1" t="n">
        <v>44840</v>
      </c>
      <c r="C2536" s="1" t="n">
        <v>45757</v>
      </c>
      <c r="D2536" t="inlineStr">
        <is>
          <t>VÄSTMANLANDS LÄN</t>
        </is>
      </c>
      <c r="E2536" t="inlineStr">
        <is>
          <t>FAGERSTA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44892-2022</t>
        </is>
      </c>
      <c r="B2537" s="1" t="n">
        <v>44841</v>
      </c>
      <c r="C2537" s="1" t="n">
        <v>45757</v>
      </c>
      <c r="D2537" t="inlineStr">
        <is>
          <t>VÄSTMANLANDS LÄN</t>
        </is>
      </c>
      <c r="E2537" t="inlineStr">
        <is>
          <t>SALA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45015-2022</t>
        </is>
      </c>
      <c r="B2538" s="1" t="n">
        <v>44841</v>
      </c>
      <c r="C2538" s="1" t="n">
        <v>45757</v>
      </c>
      <c r="D2538" t="inlineStr">
        <is>
          <t>VÄSTMANLANDS LÄN</t>
        </is>
      </c>
      <c r="E2538" t="inlineStr">
        <is>
          <t>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45008-2022</t>
        </is>
      </c>
      <c r="B2539" s="1" t="n">
        <v>44841</v>
      </c>
      <c r="C2539" s="1" t="n">
        <v>45757</v>
      </c>
      <c r="D2539" t="inlineStr">
        <is>
          <t>VÄSTMANLANDS LÄN</t>
        </is>
      </c>
      <c r="E2539" t="inlineStr">
        <is>
          <t>SKINNSKATTEBERG</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45010-2022</t>
        </is>
      </c>
      <c r="B2540" s="1" t="n">
        <v>44841</v>
      </c>
      <c r="C2540" s="1" t="n">
        <v>45757</v>
      </c>
      <c r="D2540" t="inlineStr">
        <is>
          <t>VÄSTMANLANDS LÄN</t>
        </is>
      </c>
      <c r="E2540" t="inlineStr">
        <is>
          <t>SKINNSKATTEBERG</t>
        </is>
      </c>
      <c r="F2540" t="inlineStr">
        <is>
          <t>Sveaskog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44935-2022</t>
        </is>
      </c>
      <c r="B2541" s="1" t="n">
        <v>44841</v>
      </c>
      <c r="C2541" s="1" t="n">
        <v>45757</v>
      </c>
      <c r="D2541" t="inlineStr">
        <is>
          <t>VÄSTMANLANDS LÄN</t>
        </is>
      </c>
      <c r="E2541" t="inlineStr">
        <is>
          <t>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45213-2022</t>
        </is>
      </c>
      <c r="B2542" s="1" t="n">
        <v>44844</v>
      </c>
      <c r="C2542" s="1" t="n">
        <v>45757</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45309-2022</t>
        </is>
      </c>
      <c r="B2543" s="1" t="n">
        <v>44844</v>
      </c>
      <c r="C2543" s="1" t="n">
        <v>45757</v>
      </c>
      <c r="D2543" t="inlineStr">
        <is>
          <t>VÄSTMANLANDS LÄN</t>
        </is>
      </c>
      <c r="E2543" t="inlineStr">
        <is>
          <t>SALA</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45338-2022</t>
        </is>
      </c>
      <c r="B2544" s="1" t="n">
        <v>44844</v>
      </c>
      <c r="C2544" s="1" t="n">
        <v>45757</v>
      </c>
      <c r="D2544" t="inlineStr">
        <is>
          <t>VÄSTMANLANDS LÄN</t>
        </is>
      </c>
      <c r="E2544" t="inlineStr">
        <is>
          <t>ARBOGA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45517-2022</t>
        </is>
      </c>
      <c r="B2545" s="1" t="n">
        <v>44845</v>
      </c>
      <c r="C2545" s="1" t="n">
        <v>45757</v>
      </c>
      <c r="D2545" t="inlineStr">
        <is>
          <t>VÄSTMANLANDS LÄN</t>
        </is>
      </c>
      <c r="E2545" t="inlineStr">
        <is>
          <t>SALA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45615-2022</t>
        </is>
      </c>
      <c r="B2546" s="1" t="n">
        <v>44845</v>
      </c>
      <c r="C2546" s="1" t="n">
        <v>45757</v>
      </c>
      <c r="D2546" t="inlineStr">
        <is>
          <t>VÄSTMANLANDS LÄN</t>
        </is>
      </c>
      <c r="E2546" t="inlineStr">
        <is>
          <t>SALA</t>
        </is>
      </c>
      <c r="F2546" t="inlineStr">
        <is>
          <t>Bergvik skog öst AB</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45738-2022</t>
        </is>
      </c>
      <c r="B2547" s="1" t="n">
        <v>44846</v>
      </c>
      <c r="C2547" s="1" t="n">
        <v>45757</v>
      </c>
      <c r="D2547" t="inlineStr">
        <is>
          <t>VÄSTMANLANDS LÄN</t>
        </is>
      </c>
      <c r="E2547" t="inlineStr">
        <is>
          <t>NORBERG</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45740-2022</t>
        </is>
      </c>
      <c r="B2548" s="1" t="n">
        <v>44846</v>
      </c>
      <c r="C2548" s="1" t="n">
        <v>45757</v>
      </c>
      <c r="D2548" t="inlineStr">
        <is>
          <t>VÄSTMANLANDS LÄN</t>
        </is>
      </c>
      <c r="E2548" t="inlineStr">
        <is>
          <t>NORBERG</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45737-2022</t>
        </is>
      </c>
      <c r="B2549" s="1" t="n">
        <v>44846</v>
      </c>
      <c r="C2549" s="1" t="n">
        <v>45757</v>
      </c>
      <c r="D2549" t="inlineStr">
        <is>
          <t>VÄSTMANLANDS LÄN</t>
        </is>
      </c>
      <c r="E2549" t="inlineStr">
        <is>
          <t>NORBERG</t>
        </is>
      </c>
      <c r="F2549" t="inlineStr">
        <is>
          <t>Sveaskog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46123-2022</t>
        </is>
      </c>
      <c r="B2550" s="1" t="n">
        <v>44847</v>
      </c>
      <c r="C2550" s="1" t="n">
        <v>45757</v>
      </c>
      <c r="D2550" t="inlineStr">
        <is>
          <t>VÄSTMANLANDS LÄN</t>
        </is>
      </c>
      <c r="E2550" t="inlineStr">
        <is>
          <t>KÖPING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46192-2022</t>
        </is>
      </c>
      <c r="B2551" s="1" t="n">
        <v>44847</v>
      </c>
      <c r="C2551" s="1" t="n">
        <v>45757</v>
      </c>
      <c r="D2551" t="inlineStr">
        <is>
          <t>VÄSTMANLANDS LÄN</t>
        </is>
      </c>
      <c r="E2551" t="inlineStr">
        <is>
          <t>ARBOGA</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46114-2022</t>
        </is>
      </c>
      <c r="B2552" s="1" t="n">
        <v>44847</v>
      </c>
      <c r="C2552" s="1" t="n">
        <v>45757</v>
      </c>
      <c r="D2552" t="inlineStr">
        <is>
          <t>VÄSTMANLANDS LÄN</t>
        </is>
      </c>
      <c r="E2552" t="inlineStr">
        <is>
          <t>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46116-2022</t>
        </is>
      </c>
      <c r="B2553" s="1" t="n">
        <v>44847</v>
      </c>
      <c r="C2553" s="1" t="n">
        <v>45757</v>
      </c>
      <c r="D2553" t="inlineStr">
        <is>
          <t>VÄSTMANLANDS LÄN</t>
        </is>
      </c>
      <c r="E2553" t="inlineStr">
        <is>
          <t>VÄSTERÅS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46156-2022</t>
        </is>
      </c>
      <c r="B2554" s="1" t="n">
        <v>44847</v>
      </c>
      <c r="C2554" s="1" t="n">
        <v>45757</v>
      </c>
      <c r="D2554" t="inlineStr">
        <is>
          <t>VÄSTMANLANDS LÄN</t>
        </is>
      </c>
      <c r="E2554" t="inlineStr">
        <is>
          <t>VÄSTERÅS</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46124-2022</t>
        </is>
      </c>
      <c r="B2555" s="1" t="n">
        <v>44847</v>
      </c>
      <c r="C2555" s="1" t="n">
        <v>45757</v>
      </c>
      <c r="D2555" t="inlineStr">
        <is>
          <t>VÄSTMANLANDS LÄN</t>
        </is>
      </c>
      <c r="E2555" t="inlineStr">
        <is>
          <t>KÖPING</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46264-2022</t>
        </is>
      </c>
      <c r="B2556" s="1" t="n">
        <v>44847</v>
      </c>
      <c r="C2556" s="1" t="n">
        <v>45757</v>
      </c>
      <c r="D2556" t="inlineStr">
        <is>
          <t>VÄSTMANLANDS LÄN</t>
        </is>
      </c>
      <c r="E2556" t="inlineStr">
        <is>
          <t>SALA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46126-2022</t>
        </is>
      </c>
      <c r="B2557" s="1" t="n">
        <v>44847</v>
      </c>
      <c r="C2557" s="1" t="n">
        <v>45757</v>
      </c>
      <c r="D2557" t="inlineStr">
        <is>
          <t>VÄSTMANLANDS LÄN</t>
        </is>
      </c>
      <c r="E2557" t="inlineStr">
        <is>
          <t>KÖPING</t>
        </is>
      </c>
      <c r="G2557" t="n">
        <v>17.5</v>
      </c>
      <c r="H2557" t="n">
        <v>0</v>
      </c>
      <c r="I2557" t="n">
        <v>0</v>
      </c>
      <c r="J2557" t="n">
        <v>0</v>
      </c>
      <c r="K2557" t="n">
        <v>0</v>
      </c>
      <c r="L2557" t="n">
        <v>0</v>
      </c>
      <c r="M2557" t="n">
        <v>0</v>
      </c>
      <c r="N2557" t="n">
        <v>0</v>
      </c>
      <c r="O2557" t="n">
        <v>0</v>
      </c>
      <c r="P2557" t="n">
        <v>0</v>
      </c>
      <c r="Q2557" t="n">
        <v>0</v>
      </c>
      <c r="R2557" s="2" t="inlineStr"/>
    </row>
    <row r="2558" ht="15" customHeight="1">
      <c r="A2558" t="inlineStr">
        <is>
          <t>A 46369-2022</t>
        </is>
      </c>
      <c r="B2558" s="1" t="n">
        <v>44848</v>
      </c>
      <c r="C2558" s="1" t="n">
        <v>45757</v>
      </c>
      <c r="D2558" t="inlineStr">
        <is>
          <t>VÄSTMANLANDS LÄN</t>
        </is>
      </c>
      <c r="E2558" t="inlineStr">
        <is>
          <t>NORBERG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46460-2022</t>
        </is>
      </c>
      <c r="B2559" s="1" t="n">
        <v>44848</v>
      </c>
      <c r="C2559" s="1" t="n">
        <v>45757</v>
      </c>
      <c r="D2559" t="inlineStr">
        <is>
          <t>VÄSTMANLANDS LÄN</t>
        </is>
      </c>
      <c r="E2559" t="inlineStr">
        <is>
          <t>SALA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46641-2022</t>
        </is>
      </c>
      <c r="B2560" s="1" t="n">
        <v>44849</v>
      </c>
      <c r="C2560" s="1" t="n">
        <v>45757</v>
      </c>
      <c r="D2560" t="inlineStr">
        <is>
          <t>VÄSTMANLANDS LÄN</t>
        </is>
      </c>
      <c r="E2560" t="inlineStr">
        <is>
          <t>NORBERG</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46909-2022</t>
        </is>
      </c>
      <c r="B2561" s="1" t="n">
        <v>44851</v>
      </c>
      <c r="C2561" s="1" t="n">
        <v>45757</v>
      </c>
      <c r="D2561" t="inlineStr">
        <is>
          <t>VÄSTMANLANDS LÄN</t>
        </is>
      </c>
      <c r="E2561" t="inlineStr">
        <is>
          <t>SKINNSKATTEBERG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47607-2022</t>
        </is>
      </c>
      <c r="B2562" s="1" t="n">
        <v>44852</v>
      </c>
      <c r="C2562" s="1" t="n">
        <v>45757</v>
      </c>
      <c r="D2562" t="inlineStr">
        <is>
          <t>VÄSTMANLANDS LÄN</t>
        </is>
      </c>
      <c r="E2562" t="inlineStr">
        <is>
          <t>NORBERG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47610-2022</t>
        </is>
      </c>
      <c r="B2563" s="1" t="n">
        <v>44852</v>
      </c>
      <c r="C2563" s="1" t="n">
        <v>45757</v>
      </c>
      <c r="D2563" t="inlineStr">
        <is>
          <t>VÄSTMANLANDS LÄN</t>
        </is>
      </c>
      <c r="E2563" t="inlineStr">
        <is>
          <t>NORBERG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47658-2022</t>
        </is>
      </c>
      <c r="B2564" s="1" t="n">
        <v>44852</v>
      </c>
      <c r="C2564" s="1" t="n">
        <v>45757</v>
      </c>
      <c r="D2564" t="inlineStr">
        <is>
          <t>VÄSTMANLANDS LÄN</t>
        </is>
      </c>
      <c r="E2564" t="inlineStr">
        <is>
          <t>SKINNSKATTEBERG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47599-2022</t>
        </is>
      </c>
      <c r="B2565" s="1" t="n">
        <v>44852</v>
      </c>
      <c r="C2565" s="1" t="n">
        <v>45757</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47653-2022</t>
        </is>
      </c>
      <c r="B2566" s="1" t="n">
        <v>44852</v>
      </c>
      <c r="C2566" s="1" t="n">
        <v>45757</v>
      </c>
      <c r="D2566" t="inlineStr">
        <is>
          <t>VÄSTMANLANDS LÄN</t>
        </is>
      </c>
      <c r="E2566" t="inlineStr">
        <is>
          <t>SKINNSKATTEBERG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47086-2022</t>
        </is>
      </c>
      <c r="B2567" s="1" t="n">
        <v>44852</v>
      </c>
      <c r="C2567" s="1" t="n">
        <v>45757</v>
      </c>
      <c r="D2567" t="inlineStr">
        <is>
          <t>VÄSTMANLANDS LÄN</t>
        </is>
      </c>
      <c r="E2567" t="inlineStr">
        <is>
          <t>SALA</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47713-2022</t>
        </is>
      </c>
      <c r="B2568" s="1" t="n">
        <v>44854</v>
      </c>
      <c r="C2568" s="1" t="n">
        <v>45757</v>
      </c>
      <c r="D2568" t="inlineStr">
        <is>
          <t>VÄSTMANLANDS LÄN</t>
        </is>
      </c>
      <c r="E2568" t="inlineStr">
        <is>
          <t>SALA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47715-2022</t>
        </is>
      </c>
      <c r="B2569" s="1" t="n">
        <v>44854</v>
      </c>
      <c r="C2569" s="1" t="n">
        <v>45757</v>
      </c>
      <c r="D2569" t="inlineStr">
        <is>
          <t>VÄSTMANLANDS LÄN</t>
        </is>
      </c>
      <c r="E2569" t="inlineStr">
        <is>
          <t>SALA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47923-2022</t>
        </is>
      </c>
      <c r="B2570" s="1" t="n">
        <v>44855</v>
      </c>
      <c r="C2570" s="1" t="n">
        <v>45757</v>
      </c>
      <c r="D2570" t="inlineStr">
        <is>
          <t>VÄSTMANLANDS LÄN</t>
        </is>
      </c>
      <c r="E2570" t="inlineStr">
        <is>
          <t>KÖPING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47909-2022</t>
        </is>
      </c>
      <c r="B2571" s="1" t="n">
        <v>44855</v>
      </c>
      <c r="C2571" s="1" t="n">
        <v>45757</v>
      </c>
      <c r="D2571" t="inlineStr">
        <is>
          <t>VÄSTMANLANDS LÄN</t>
        </is>
      </c>
      <c r="E2571" t="inlineStr">
        <is>
          <t>SALA</t>
        </is>
      </c>
      <c r="F2571" t="inlineStr">
        <is>
          <t>Bergvik skog öst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48235-2022</t>
        </is>
      </c>
      <c r="B2572" s="1" t="n">
        <v>44858</v>
      </c>
      <c r="C2572" s="1" t="n">
        <v>45757</v>
      </c>
      <c r="D2572" t="inlineStr">
        <is>
          <t>VÄSTMANLANDS LÄN</t>
        </is>
      </c>
      <c r="E2572" t="inlineStr">
        <is>
          <t>ARBOGA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48272-2022</t>
        </is>
      </c>
      <c r="B2573" s="1" t="n">
        <v>44858</v>
      </c>
      <c r="C2573" s="1" t="n">
        <v>45757</v>
      </c>
      <c r="D2573" t="inlineStr">
        <is>
          <t>VÄSTMANLANDS LÄN</t>
        </is>
      </c>
      <c r="E2573" t="inlineStr">
        <is>
          <t>ARBOGA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48219-2022</t>
        </is>
      </c>
      <c r="B2574" s="1" t="n">
        <v>44858</v>
      </c>
      <c r="C2574" s="1" t="n">
        <v>45757</v>
      </c>
      <c r="D2574" t="inlineStr">
        <is>
          <t>VÄSTMANLANDS LÄN</t>
        </is>
      </c>
      <c r="E2574" t="inlineStr">
        <is>
          <t>SALA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48261-2022</t>
        </is>
      </c>
      <c r="B2575" s="1" t="n">
        <v>44858</v>
      </c>
      <c r="C2575" s="1" t="n">
        <v>45757</v>
      </c>
      <c r="D2575" t="inlineStr">
        <is>
          <t>VÄSTMANLANDS LÄN</t>
        </is>
      </c>
      <c r="E2575" t="inlineStr">
        <is>
          <t>FAGERSTA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48825-2022</t>
        </is>
      </c>
      <c r="B2576" s="1" t="n">
        <v>44859</v>
      </c>
      <c r="C2576" s="1" t="n">
        <v>45757</v>
      </c>
      <c r="D2576" t="inlineStr">
        <is>
          <t>VÄSTMANLANDS LÄN</t>
        </is>
      </c>
      <c r="E2576" t="inlineStr">
        <is>
          <t>SKINNSKATTEBERG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48581-2022</t>
        </is>
      </c>
      <c r="B2577" s="1" t="n">
        <v>44859</v>
      </c>
      <c r="C2577" s="1" t="n">
        <v>45757</v>
      </c>
      <c r="D2577" t="inlineStr">
        <is>
          <t>VÄSTMANLANDS LÄN</t>
        </is>
      </c>
      <c r="E2577" t="inlineStr">
        <is>
          <t>SURAHAMMAR</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48754-2022</t>
        </is>
      </c>
      <c r="B2578" s="1" t="n">
        <v>44859</v>
      </c>
      <c r="C2578" s="1" t="n">
        <v>45757</v>
      </c>
      <c r="D2578" t="inlineStr">
        <is>
          <t>VÄSTMANLANDS LÄN</t>
        </is>
      </c>
      <c r="E2578" t="inlineStr">
        <is>
          <t>NORBERG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48828-2022</t>
        </is>
      </c>
      <c r="B2579" s="1" t="n">
        <v>44859</v>
      </c>
      <c r="C2579" s="1" t="n">
        <v>45757</v>
      </c>
      <c r="D2579" t="inlineStr">
        <is>
          <t>VÄSTMANLANDS LÄN</t>
        </is>
      </c>
      <c r="E2579" t="inlineStr">
        <is>
          <t>SKINNSKATTEBERG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48859-2022</t>
        </is>
      </c>
      <c r="B2580" s="1" t="n">
        <v>44859</v>
      </c>
      <c r="C2580" s="1" t="n">
        <v>45757</v>
      </c>
      <c r="D2580" t="inlineStr">
        <is>
          <t>VÄSTMANLANDS LÄN</t>
        </is>
      </c>
      <c r="E2580" t="inlineStr">
        <is>
          <t>NORBERG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49086-2022</t>
        </is>
      </c>
      <c r="B2581" s="1" t="n">
        <v>44860</v>
      </c>
      <c r="C2581" s="1" t="n">
        <v>45757</v>
      </c>
      <c r="D2581" t="inlineStr">
        <is>
          <t>VÄSTMANLANDS LÄN</t>
        </is>
      </c>
      <c r="E2581" t="inlineStr">
        <is>
          <t>SALA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49143-2022</t>
        </is>
      </c>
      <c r="B2582" s="1" t="n">
        <v>44860</v>
      </c>
      <c r="C2582" s="1" t="n">
        <v>45757</v>
      </c>
      <c r="D2582" t="inlineStr">
        <is>
          <t>VÄSTMANLANDS LÄN</t>
        </is>
      </c>
      <c r="E2582" t="inlineStr">
        <is>
          <t>NORBERG</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50124-2022</t>
        </is>
      </c>
      <c r="B2583" s="1" t="n">
        <v>44860</v>
      </c>
      <c r="C2583" s="1" t="n">
        <v>45757</v>
      </c>
      <c r="D2583" t="inlineStr">
        <is>
          <t>VÄSTMANLANDS LÄN</t>
        </is>
      </c>
      <c r="E2583" t="inlineStr">
        <is>
          <t>NORBERG</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49163-2022</t>
        </is>
      </c>
      <c r="B2584" s="1" t="n">
        <v>44860</v>
      </c>
      <c r="C2584" s="1" t="n">
        <v>45757</v>
      </c>
      <c r="D2584" t="inlineStr">
        <is>
          <t>VÄSTMANLANDS LÄN</t>
        </is>
      </c>
      <c r="E2584" t="inlineStr">
        <is>
          <t>NORBERG</t>
        </is>
      </c>
      <c r="F2584" t="inlineStr">
        <is>
          <t>Sveaskog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49311-2022</t>
        </is>
      </c>
      <c r="B2585" s="1" t="n">
        <v>44861</v>
      </c>
      <c r="C2585" s="1" t="n">
        <v>45757</v>
      </c>
      <c r="D2585" t="inlineStr">
        <is>
          <t>VÄSTMANLANDS LÄN</t>
        </is>
      </c>
      <c r="E2585" t="inlineStr">
        <is>
          <t>FAGERSTA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49254-2022</t>
        </is>
      </c>
      <c r="B2586" s="1" t="n">
        <v>44861</v>
      </c>
      <c r="C2586" s="1" t="n">
        <v>45757</v>
      </c>
      <c r="D2586" t="inlineStr">
        <is>
          <t>VÄSTMANLANDS LÄN</t>
        </is>
      </c>
      <c r="E2586" t="inlineStr">
        <is>
          <t>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50461-2022</t>
        </is>
      </c>
      <c r="B2587" s="1" t="n">
        <v>44861</v>
      </c>
      <c r="C2587" s="1" t="n">
        <v>45757</v>
      </c>
      <c r="D2587" t="inlineStr">
        <is>
          <t>VÄSTMANLANDS LÄN</t>
        </is>
      </c>
      <c r="E2587" t="inlineStr">
        <is>
          <t>SALA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50479-2022</t>
        </is>
      </c>
      <c r="B2588" s="1" t="n">
        <v>44861</v>
      </c>
      <c r="C2588" s="1" t="n">
        <v>45757</v>
      </c>
      <c r="D2588" t="inlineStr">
        <is>
          <t>VÄSTMANLANDS LÄN</t>
        </is>
      </c>
      <c r="E2588" t="inlineStr">
        <is>
          <t>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49686-2022</t>
        </is>
      </c>
      <c r="B2589" s="1" t="n">
        <v>44862</v>
      </c>
      <c r="C2589" s="1" t="n">
        <v>45757</v>
      </c>
      <c r="D2589" t="inlineStr">
        <is>
          <t>VÄSTMANLANDS LÄN</t>
        </is>
      </c>
      <c r="E2589" t="inlineStr">
        <is>
          <t>SURAHAMMAR</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49687-2022</t>
        </is>
      </c>
      <c r="B2590" s="1" t="n">
        <v>44862</v>
      </c>
      <c r="C2590" s="1" t="n">
        <v>45757</v>
      </c>
      <c r="D2590" t="inlineStr">
        <is>
          <t>VÄSTMANLANDS LÄN</t>
        </is>
      </c>
      <c r="E2590" t="inlineStr">
        <is>
          <t>SKINNSKATTEBERG</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50180-2022</t>
        </is>
      </c>
      <c r="B2591" s="1" t="n">
        <v>44865</v>
      </c>
      <c r="C2591" s="1" t="n">
        <v>45757</v>
      </c>
      <c r="D2591" t="inlineStr">
        <is>
          <t>VÄSTMANLANDS LÄN</t>
        </is>
      </c>
      <c r="E2591" t="inlineStr">
        <is>
          <t>VÄSTERÅS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50193-2022</t>
        </is>
      </c>
      <c r="B2592" s="1" t="n">
        <v>44865</v>
      </c>
      <c r="C2592" s="1" t="n">
        <v>45757</v>
      </c>
      <c r="D2592" t="inlineStr">
        <is>
          <t>VÄSTMANLANDS LÄN</t>
        </is>
      </c>
      <c r="E2592" t="inlineStr">
        <is>
          <t>VÄSTERÅS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50399-2022</t>
        </is>
      </c>
      <c r="B2593" s="1" t="n">
        <v>44866</v>
      </c>
      <c r="C2593" s="1" t="n">
        <v>45757</v>
      </c>
      <c r="D2593" t="inlineStr">
        <is>
          <t>VÄSTMANLANDS LÄN</t>
        </is>
      </c>
      <c r="E2593" t="inlineStr">
        <is>
          <t>KUNGSÖR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50394-2022</t>
        </is>
      </c>
      <c r="B2594" s="1" t="n">
        <v>44866</v>
      </c>
      <c r="C2594" s="1" t="n">
        <v>45757</v>
      </c>
      <c r="D2594" t="inlineStr">
        <is>
          <t>VÄSTMANLANDS LÄN</t>
        </is>
      </c>
      <c r="E2594" t="inlineStr">
        <is>
          <t>KUNGSÖR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51279-2022</t>
        </is>
      </c>
      <c r="B2595" s="1" t="n">
        <v>44866</v>
      </c>
      <c r="C2595" s="1" t="n">
        <v>45757</v>
      </c>
      <c r="D2595" t="inlineStr">
        <is>
          <t>VÄSTMANLANDS LÄN</t>
        </is>
      </c>
      <c r="E2595" t="inlineStr">
        <is>
          <t>SALA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51377-2022</t>
        </is>
      </c>
      <c r="B2596" s="1" t="n">
        <v>44866</v>
      </c>
      <c r="C2596" s="1" t="n">
        <v>45757</v>
      </c>
      <c r="D2596" t="inlineStr">
        <is>
          <t>VÄSTMANLANDS LÄN</t>
        </is>
      </c>
      <c r="E2596" t="inlineStr">
        <is>
          <t>SALA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51339-2022</t>
        </is>
      </c>
      <c r="B2597" s="1" t="n">
        <v>44866</v>
      </c>
      <c r="C2597" s="1" t="n">
        <v>45757</v>
      </c>
      <c r="D2597" t="inlineStr">
        <is>
          <t>VÄSTMANLANDS LÄN</t>
        </is>
      </c>
      <c r="E2597" t="inlineStr">
        <is>
          <t>KÖPING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51273-2022</t>
        </is>
      </c>
      <c r="B2598" s="1" t="n">
        <v>44866</v>
      </c>
      <c r="C2598" s="1" t="n">
        <v>45757</v>
      </c>
      <c r="D2598" t="inlineStr">
        <is>
          <t>VÄSTMANLANDS LÄN</t>
        </is>
      </c>
      <c r="E2598" t="inlineStr">
        <is>
          <t>VÄSTERÅS</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50974-2022</t>
        </is>
      </c>
      <c r="B2599" s="1" t="n">
        <v>44867</v>
      </c>
      <c r="C2599" s="1" t="n">
        <v>45757</v>
      </c>
      <c r="D2599" t="inlineStr">
        <is>
          <t>VÄSTMANLANDS LÄN</t>
        </is>
      </c>
      <c r="E2599" t="inlineStr">
        <is>
          <t>SKINNSKATTEBERG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50980-2022</t>
        </is>
      </c>
      <c r="B2600" s="1" t="n">
        <v>44867</v>
      </c>
      <c r="C2600" s="1" t="n">
        <v>45757</v>
      </c>
      <c r="D2600" t="inlineStr">
        <is>
          <t>VÄSTMANLANDS LÄN</t>
        </is>
      </c>
      <c r="E2600" t="inlineStr">
        <is>
          <t>SKINNSKATTEBERG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50795-2022</t>
        </is>
      </c>
      <c r="B2601" s="1" t="n">
        <v>44867</v>
      </c>
      <c r="C2601" s="1" t="n">
        <v>45757</v>
      </c>
      <c r="D2601" t="inlineStr">
        <is>
          <t>VÄSTMANLANDS LÄN</t>
        </is>
      </c>
      <c r="E2601" t="inlineStr">
        <is>
          <t>SALA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51203-2022</t>
        </is>
      </c>
      <c r="B2602" s="1" t="n">
        <v>44868</v>
      </c>
      <c r="C2602" s="1" t="n">
        <v>45757</v>
      </c>
      <c r="D2602" t="inlineStr">
        <is>
          <t>VÄSTMANLANDS LÄN</t>
        </is>
      </c>
      <c r="E2602" t="inlineStr">
        <is>
          <t>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51415-2022</t>
        </is>
      </c>
      <c r="B2603" s="1" t="n">
        <v>44869</v>
      </c>
      <c r="C2603" s="1" t="n">
        <v>45757</v>
      </c>
      <c r="D2603" t="inlineStr">
        <is>
          <t>VÄSTMANLANDS LÄN</t>
        </is>
      </c>
      <c r="E2603" t="inlineStr">
        <is>
          <t>NORBERG</t>
        </is>
      </c>
      <c r="F2603" t="inlineStr">
        <is>
          <t>Övriga Aktiebolag</t>
        </is>
      </c>
      <c r="G2603" t="n">
        <v>8.300000000000001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51600-2022</t>
        </is>
      </c>
      <c r="B2604" s="1" t="n">
        <v>44871</v>
      </c>
      <c r="C2604" s="1" t="n">
        <v>45757</v>
      </c>
      <c r="D2604" t="inlineStr">
        <is>
          <t>VÄSTMANLANDS LÄN</t>
        </is>
      </c>
      <c r="E2604" t="inlineStr">
        <is>
          <t>SALA</t>
        </is>
      </c>
      <c r="F2604" t="inlineStr">
        <is>
          <t>Bergvik skog öst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51596-2022</t>
        </is>
      </c>
      <c r="B2605" s="1" t="n">
        <v>44871</v>
      </c>
      <c r="C2605" s="1" t="n">
        <v>45757</v>
      </c>
      <c r="D2605" t="inlineStr">
        <is>
          <t>VÄSTMANLANDS LÄN</t>
        </is>
      </c>
      <c r="E2605" t="inlineStr">
        <is>
          <t>SALA</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51662-2022</t>
        </is>
      </c>
      <c r="B2606" s="1" t="n">
        <v>44872</v>
      </c>
      <c r="C2606" s="1" t="n">
        <v>45757</v>
      </c>
      <c r="D2606" t="inlineStr">
        <is>
          <t>VÄSTMANLANDS LÄN</t>
        </is>
      </c>
      <c r="E2606" t="inlineStr">
        <is>
          <t>SKINNSKATTEBERG</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51936-2022</t>
        </is>
      </c>
      <c r="B2607" s="1" t="n">
        <v>44872</v>
      </c>
      <c r="C2607" s="1" t="n">
        <v>45757</v>
      </c>
      <c r="D2607" t="inlineStr">
        <is>
          <t>VÄSTMANLANDS LÄN</t>
        </is>
      </c>
      <c r="E2607" t="inlineStr">
        <is>
          <t>FAGERSTA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52063-2022</t>
        </is>
      </c>
      <c r="B2608" s="1" t="n">
        <v>44873</v>
      </c>
      <c r="C2608" s="1" t="n">
        <v>45757</v>
      </c>
      <c r="D2608" t="inlineStr">
        <is>
          <t>VÄSTMANLANDS LÄN</t>
        </is>
      </c>
      <c r="E2608" t="inlineStr">
        <is>
          <t>NORBERG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52068-2022</t>
        </is>
      </c>
      <c r="B2609" s="1" t="n">
        <v>44873</v>
      </c>
      <c r="C2609" s="1" t="n">
        <v>45757</v>
      </c>
      <c r="D2609" t="inlineStr">
        <is>
          <t>VÄSTMANLANDS LÄN</t>
        </is>
      </c>
      <c r="E2609" t="inlineStr">
        <is>
          <t>NORBERG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52076-2022</t>
        </is>
      </c>
      <c r="B2610" s="1" t="n">
        <v>44873</v>
      </c>
      <c r="C2610" s="1" t="n">
        <v>45757</v>
      </c>
      <c r="D2610" t="inlineStr">
        <is>
          <t>VÄSTMANLANDS LÄN</t>
        </is>
      </c>
      <c r="E2610" t="inlineStr">
        <is>
          <t>NORBERG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52199-2022</t>
        </is>
      </c>
      <c r="B2611" s="1" t="n">
        <v>44873</v>
      </c>
      <c r="C2611" s="1" t="n">
        <v>45757</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52504-2022</t>
        </is>
      </c>
      <c r="B2612" s="1" t="n">
        <v>44874</v>
      </c>
      <c r="C2612" s="1" t="n">
        <v>45757</v>
      </c>
      <c r="D2612" t="inlineStr">
        <is>
          <t>VÄSTMANLANDS LÄN</t>
        </is>
      </c>
      <c r="E2612" t="inlineStr">
        <is>
          <t>SALA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52498-2022</t>
        </is>
      </c>
      <c r="B2613" s="1" t="n">
        <v>44874</v>
      </c>
      <c r="C2613" s="1" t="n">
        <v>45757</v>
      </c>
      <c r="D2613" t="inlineStr">
        <is>
          <t>VÄSTMANLANDS LÄN</t>
        </is>
      </c>
      <c r="E2613" t="inlineStr">
        <is>
          <t>SALA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52396-2022</t>
        </is>
      </c>
      <c r="B2614" s="1" t="n">
        <v>44874</v>
      </c>
      <c r="C2614" s="1" t="n">
        <v>45757</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52569-2022</t>
        </is>
      </c>
      <c r="B2615" s="1" t="n">
        <v>44874</v>
      </c>
      <c r="C2615" s="1" t="n">
        <v>45757</v>
      </c>
      <c r="D2615" t="inlineStr">
        <is>
          <t>VÄSTMANLANDS LÄN</t>
        </is>
      </c>
      <c r="E2615" t="inlineStr">
        <is>
          <t>VÄSTERÅS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52630-2022</t>
        </is>
      </c>
      <c r="B2616" s="1" t="n">
        <v>44874</v>
      </c>
      <c r="C2616" s="1" t="n">
        <v>45757</v>
      </c>
      <c r="D2616" t="inlineStr">
        <is>
          <t>VÄSTMANLANDS LÄN</t>
        </is>
      </c>
      <c r="E2616" t="inlineStr">
        <is>
          <t>SALA</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52809-2022</t>
        </is>
      </c>
      <c r="B2617" s="1" t="n">
        <v>44875</v>
      </c>
      <c r="C2617" s="1" t="n">
        <v>45757</v>
      </c>
      <c r="D2617" t="inlineStr">
        <is>
          <t>VÄSTMANLANDS LÄN</t>
        </is>
      </c>
      <c r="E2617" t="inlineStr">
        <is>
          <t>KUNGSÖR</t>
        </is>
      </c>
      <c r="F2617" t="inlineStr">
        <is>
          <t>Allmännings- och besparingsskogar</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52764-2022</t>
        </is>
      </c>
      <c r="B2618" s="1" t="n">
        <v>44875</v>
      </c>
      <c r="C2618" s="1" t="n">
        <v>45757</v>
      </c>
      <c r="D2618" t="inlineStr">
        <is>
          <t>VÄSTMANLANDS LÄN</t>
        </is>
      </c>
      <c r="E2618" t="inlineStr">
        <is>
          <t>VÄSTERÅS</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52802-2022</t>
        </is>
      </c>
      <c r="B2619" s="1" t="n">
        <v>44875</v>
      </c>
      <c r="C2619" s="1" t="n">
        <v>45757</v>
      </c>
      <c r="D2619" t="inlineStr">
        <is>
          <t>VÄSTMANLANDS LÄN</t>
        </is>
      </c>
      <c r="E2619" t="inlineStr">
        <is>
          <t>KUNGSÖR</t>
        </is>
      </c>
      <c r="F2619" t="inlineStr">
        <is>
          <t>Allmännings- och besparingsskogar</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53454-2022</t>
        </is>
      </c>
      <c r="B2620" s="1" t="n">
        <v>44879</v>
      </c>
      <c r="C2620" s="1" t="n">
        <v>45757</v>
      </c>
      <c r="D2620" t="inlineStr">
        <is>
          <t>VÄSTMANLANDS LÄN</t>
        </is>
      </c>
      <c r="E2620" t="inlineStr">
        <is>
          <t>SKINNSKATTEBERG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53425-2022</t>
        </is>
      </c>
      <c r="B2621" s="1" t="n">
        <v>44879</v>
      </c>
      <c r="C2621" s="1" t="n">
        <v>45757</v>
      </c>
      <c r="D2621" t="inlineStr">
        <is>
          <t>VÄSTMANLANDS LÄN</t>
        </is>
      </c>
      <c r="E2621" t="inlineStr">
        <is>
          <t>SALA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53432-2022</t>
        </is>
      </c>
      <c r="B2622" s="1" t="n">
        <v>44879</v>
      </c>
      <c r="C2622" s="1" t="n">
        <v>45757</v>
      </c>
      <c r="D2622" t="inlineStr">
        <is>
          <t>VÄSTMANLANDS LÄN</t>
        </is>
      </c>
      <c r="E2622" t="inlineStr">
        <is>
          <t>SALA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53628-2022</t>
        </is>
      </c>
      <c r="B2623" s="1" t="n">
        <v>44879</v>
      </c>
      <c r="C2623" s="1" t="n">
        <v>45757</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53630-2022</t>
        </is>
      </c>
      <c r="B2624" s="1" t="n">
        <v>44879</v>
      </c>
      <c r="C2624" s="1" t="n">
        <v>45757</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53836-2022</t>
        </is>
      </c>
      <c r="B2625" s="1" t="n">
        <v>44880</v>
      </c>
      <c r="C2625" s="1" t="n">
        <v>45757</v>
      </c>
      <c r="D2625" t="inlineStr">
        <is>
          <t>VÄSTMANLANDS LÄN</t>
        </is>
      </c>
      <c r="E2625" t="inlineStr">
        <is>
          <t>VÄSTERÅS</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53864-2022</t>
        </is>
      </c>
      <c r="B2626" s="1" t="n">
        <v>44880</v>
      </c>
      <c r="C2626" s="1" t="n">
        <v>45757</v>
      </c>
      <c r="D2626" t="inlineStr">
        <is>
          <t>VÄSTMANLANDS LÄN</t>
        </is>
      </c>
      <c r="E2626" t="inlineStr">
        <is>
          <t>SALA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53735-2022</t>
        </is>
      </c>
      <c r="B2627" s="1" t="n">
        <v>44880</v>
      </c>
      <c r="C2627" s="1" t="n">
        <v>45757</v>
      </c>
      <c r="D2627" t="inlineStr">
        <is>
          <t>VÄSTMANLANDS LÄN</t>
        </is>
      </c>
      <c r="E2627" t="inlineStr">
        <is>
          <t>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53838-2022</t>
        </is>
      </c>
      <c r="B2628" s="1" t="n">
        <v>44880</v>
      </c>
      <c r="C2628" s="1" t="n">
        <v>45757</v>
      </c>
      <c r="D2628" t="inlineStr">
        <is>
          <t>VÄSTMANLANDS LÄN</t>
        </is>
      </c>
      <c r="E2628" t="inlineStr">
        <is>
          <t>SALA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53858-2022</t>
        </is>
      </c>
      <c r="B2629" s="1" t="n">
        <v>44880</v>
      </c>
      <c r="C2629" s="1" t="n">
        <v>45757</v>
      </c>
      <c r="D2629" t="inlineStr">
        <is>
          <t>VÄSTMANLANDS LÄN</t>
        </is>
      </c>
      <c r="E2629" t="inlineStr">
        <is>
          <t>VÄSTERÅS</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53833-2022</t>
        </is>
      </c>
      <c r="B2630" s="1" t="n">
        <v>44880</v>
      </c>
      <c r="C2630" s="1" t="n">
        <v>45757</v>
      </c>
      <c r="D2630" t="inlineStr">
        <is>
          <t>VÄSTMANLANDS LÄN</t>
        </is>
      </c>
      <c r="E2630" t="inlineStr">
        <is>
          <t>VÄSTERÅS</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53997-2022</t>
        </is>
      </c>
      <c r="B2631" s="1" t="n">
        <v>44881</v>
      </c>
      <c r="C2631" s="1" t="n">
        <v>45757</v>
      </c>
      <c r="D2631" t="inlineStr">
        <is>
          <t>VÄSTMANLANDS LÄN</t>
        </is>
      </c>
      <c r="E2631" t="inlineStr">
        <is>
          <t>SALA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54657-2022</t>
        </is>
      </c>
      <c r="B2632" s="1" t="n">
        <v>44883</v>
      </c>
      <c r="C2632" s="1" t="n">
        <v>45757</v>
      </c>
      <c r="D2632" t="inlineStr">
        <is>
          <t>VÄSTMANLANDS LÄN</t>
        </is>
      </c>
      <c r="E2632" t="inlineStr">
        <is>
          <t>SKINNSKATTEBERG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54868-2022</t>
        </is>
      </c>
      <c r="B2633" s="1" t="n">
        <v>44885</v>
      </c>
      <c r="C2633" s="1" t="n">
        <v>45757</v>
      </c>
      <c r="D2633" t="inlineStr">
        <is>
          <t>VÄSTMANLANDS LÄN</t>
        </is>
      </c>
      <c r="E2633" t="inlineStr">
        <is>
          <t>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54968-2022</t>
        </is>
      </c>
      <c r="B2634" s="1" t="n">
        <v>44886</v>
      </c>
      <c r="C2634" s="1" t="n">
        <v>45757</v>
      </c>
      <c r="D2634" t="inlineStr">
        <is>
          <t>VÄSTMANLANDS LÄN</t>
        </is>
      </c>
      <c r="E2634" t="inlineStr">
        <is>
          <t>KUNGSÖR</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55003-2022</t>
        </is>
      </c>
      <c r="B2635" s="1" t="n">
        <v>44886</v>
      </c>
      <c r="C2635" s="1" t="n">
        <v>45757</v>
      </c>
      <c r="D2635" t="inlineStr">
        <is>
          <t>VÄSTMANLANDS LÄN</t>
        </is>
      </c>
      <c r="E2635" t="inlineStr">
        <is>
          <t>KUNGSÖR</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55187-2022</t>
        </is>
      </c>
      <c r="B2636" s="1" t="n">
        <v>44886</v>
      </c>
      <c r="C2636" s="1" t="n">
        <v>45757</v>
      </c>
      <c r="D2636" t="inlineStr">
        <is>
          <t>VÄSTMANLANDS LÄN</t>
        </is>
      </c>
      <c r="E2636" t="inlineStr">
        <is>
          <t>ARBOGA</t>
        </is>
      </c>
      <c r="F2636" t="inlineStr">
        <is>
          <t>Allmännings- och besparingsskogar</t>
        </is>
      </c>
      <c r="G2636" t="n">
        <v>19.4</v>
      </c>
      <c r="H2636" t="n">
        <v>0</v>
      </c>
      <c r="I2636" t="n">
        <v>0</v>
      </c>
      <c r="J2636" t="n">
        <v>0</v>
      </c>
      <c r="K2636" t="n">
        <v>0</v>
      </c>
      <c r="L2636" t="n">
        <v>0</v>
      </c>
      <c r="M2636" t="n">
        <v>0</v>
      </c>
      <c r="N2636" t="n">
        <v>0</v>
      </c>
      <c r="O2636" t="n">
        <v>0</v>
      </c>
      <c r="P2636" t="n">
        <v>0</v>
      </c>
      <c r="Q2636" t="n">
        <v>0</v>
      </c>
      <c r="R2636" s="2" t="inlineStr"/>
    </row>
    <row r="2637" ht="15" customHeight="1">
      <c r="A2637" t="inlineStr">
        <is>
          <t>A 55188-2022</t>
        </is>
      </c>
      <c r="B2637" s="1" t="n">
        <v>44886</v>
      </c>
      <c r="C2637" s="1" t="n">
        <v>45757</v>
      </c>
      <c r="D2637" t="inlineStr">
        <is>
          <t>VÄSTMANLANDS LÄN</t>
        </is>
      </c>
      <c r="E2637" t="inlineStr">
        <is>
          <t>ARBOGA</t>
        </is>
      </c>
      <c r="F2637" t="inlineStr">
        <is>
          <t>Allmännings- och besparingsskogar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55348-2022</t>
        </is>
      </c>
      <c r="B2638" s="1" t="n">
        <v>44887</v>
      </c>
      <c r="C2638" s="1" t="n">
        <v>45757</v>
      </c>
      <c r="D2638" t="inlineStr">
        <is>
          <t>VÄSTMANLANDS LÄN</t>
        </is>
      </c>
      <c r="E2638" t="inlineStr">
        <is>
          <t>HALLSTAHAMMAR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55389-2022</t>
        </is>
      </c>
      <c r="B2639" s="1" t="n">
        <v>44887</v>
      </c>
      <c r="C2639" s="1" t="n">
        <v>45757</v>
      </c>
      <c r="D2639" t="inlineStr">
        <is>
          <t>VÄSTMANLANDS LÄN</t>
        </is>
      </c>
      <c r="E2639" t="inlineStr">
        <is>
          <t>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56537-2022</t>
        </is>
      </c>
      <c r="B2640" s="1" t="n">
        <v>44887</v>
      </c>
      <c r="C2640" s="1" t="n">
        <v>45757</v>
      </c>
      <c r="D2640" t="inlineStr">
        <is>
          <t>VÄSTMANLANDS LÄN</t>
        </is>
      </c>
      <c r="E2640" t="inlineStr">
        <is>
          <t>SKINNSKATTEBERG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55457-2022</t>
        </is>
      </c>
      <c r="B2641" s="1" t="n">
        <v>44887</v>
      </c>
      <c r="C2641" s="1" t="n">
        <v>45757</v>
      </c>
      <c r="D2641" t="inlineStr">
        <is>
          <t>VÄSTMANLANDS LÄN</t>
        </is>
      </c>
      <c r="E2641" t="inlineStr">
        <is>
          <t>ARBOGA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55627-2022</t>
        </is>
      </c>
      <c r="B2642" s="1" t="n">
        <v>44888</v>
      </c>
      <c r="C2642" s="1" t="n">
        <v>45757</v>
      </c>
      <c r="D2642" t="inlineStr">
        <is>
          <t>VÄSTMANLANDS LÄN</t>
        </is>
      </c>
      <c r="E2642" t="inlineStr">
        <is>
          <t>ARBOGA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55720-2022</t>
        </is>
      </c>
      <c r="B2643" s="1" t="n">
        <v>44888</v>
      </c>
      <c r="C2643" s="1" t="n">
        <v>45757</v>
      </c>
      <c r="D2643" t="inlineStr">
        <is>
          <t>VÄSTMANLANDS LÄN</t>
        </is>
      </c>
      <c r="E2643" t="inlineStr">
        <is>
          <t>KÖPING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55562-2022</t>
        </is>
      </c>
      <c r="B2644" s="1" t="n">
        <v>44888</v>
      </c>
      <c r="C2644" s="1" t="n">
        <v>45757</v>
      </c>
      <c r="D2644" t="inlineStr">
        <is>
          <t>VÄSTMANLANDS LÄN</t>
        </is>
      </c>
      <c r="E2644" t="inlineStr">
        <is>
          <t>HALLSTAHAMMAR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55574-2022</t>
        </is>
      </c>
      <c r="B2645" s="1" t="n">
        <v>44888</v>
      </c>
      <c r="C2645" s="1" t="n">
        <v>45757</v>
      </c>
      <c r="D2645" t="inlineStr">
        <is>
          <t>VÄSTMANLANDS LÄN</t>
        </is>
      </c>
      <c r="E2645" t="inlineStr">
        <is>
          <t>HALLSTAHAMMAR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55733-2022</t>
        </is>
      </c>
      <c r="B2646" s="1" t="n">
        <v>44888</v>
      </c>
      <c r="C2646" s="1" t="n">
        <v>45757</v>
      </c>
      <c r="D2646" t="inlineStr">
        <is>
          <t>VÄSTMANLANDS LÄN</t>
        </is>
      </c>
      <c r="E2646" t="inlineStr">
        <is>
          <t>SALA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56847-2022</t>
        </is>
      </c>
      <c r="B2647" s="1" t="n">
        <v>44888</v>
      </c>
      <c r="C2647" s="1" t="n">
        <v>45757</v>
      </c>
      <c r="D2647" t="inlineStr">
        <is>
          <t>VÄSTMANLANDS LÄN</t>
        </is>
      </c>
      <c r="E2647" t="inlineStr">
        <is>
          <t>VÄSTERÅS</t>
        </is>
      </c>
      <c r="F2647" t="inlineStr">
        <is>
          <t>Övriga Aktiebolag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56089-2022</t>
        </is>
      </c>
      <c r="B2648" s="1" t="n">
        <v>44889</v>
      </c>
      <c r="C2648" s="1" t="n">
        <v>45757</v>
      </c>
      <c r="D2648" t="inlineStr">
        <is>
          <t>VÄSTMANLANDS LÄN</t>
        </is>
      </c>
      <c r="E2648" t="inlineStr">
        <is>
          <t>SALA</t>
        </is>
      </c>
      <c r="F2648" t="inlineStr">
        <is>
          <t>Sveaskog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56088-2022</t>
        </is>
      </c>
      <c r="B2649" s="1" t="n">
        <v>44889</v>
      </c>
      <c r="C2649" s="1" t="n">
        <v>45757</v>
      </c>
      <c r="D2649" t="inlineStr">
        <is>
          <t>VÄSTMANLANDS LÄN</t>
        </is>
      </c>
      <c r="E2649" t="inlineStr">
        <is>
          <t>SALA</t>
        </is>
      </c>
      <c r="F2649" t="inlineStr">
        <is>
          <t>Sveaskog</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56146-2022</t>
        </is>
      </c>
      <c r="B2650" s="1" t="n">
        <v>44889</v>
      </c>
      <c r="C2650" s="1" t="n">
        <v>45757</v>
      </c>
      <c r="D2650" t="inlineStr">
        <is>
          <t>VÄSTMANLANDS LÄN</t>
        </is>
      </c>
      <c r="E2650" t="inlineStr">
        <is>
          <t>VÄSTERÅS</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56234-2022</t>
        </is>
      </c>
      <c r="B2651" s="1" t="n">
        <v>44890</v>
      </c>
      <c r="C2651" s="1" t="n">
        <v>45757</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56292-2022</t>
        </is>
      </c>
      <c r="B2652" s="1" t="n">
        <v>44890</v>
      </c>
      <c r="C2652" s="1" t="n">
        <v>45757</v>
      </c>
      <c r="D2652" t="inlineStr">
        <is>
          <t>VÄSTMANLANDS LÄN</t>
        </is>
      </c>
      <c r="E2652" t="inlineStr">
        <is>
          <t>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56242-2022</t>
        </is>
      </c>
      <c r="B2653" s="1" t="n">
        <v>44890</v>
      </c>
      <c r="C2653" s="1" t="n">
        <v>45757</v>
      </c>
      <c r="D2653" t="inlineStr">
        <is>
          <t>VÄSTMANLANDS LÄN</t>
        </is>
      </c>
      <c r="E2653" t="inlineStr">
        <is>
          <t>SALA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56259-2022</t>
        </is>
      </c>
      <c r="B2654" s="1" t="n">
        <v>44890</v>
      </c>
      <c r="C2654" s="1" t="n">
        <v>45757</v>
      </c>
      <c r="D2654" t="inlineStr">
        <is>
          <t>VÄSTMANLANDS LÄN</t>
        </is>
      </c>
      <c r="E2654" t="inlineStr">
        <is>
          <t>SKINNSKATTEBERG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56279-2022</t>
        </is>
      </c>
      <c r="B2655" s="1" t="n">
        <v>44890</v>
      </c>
      <c r="C2655" s="1" t="n">
        <v>45757</v>
      </c>
      <c r="D2655" t="inlineStr">
        <is>
          <t>VÄSTMANLANDS LÄN</t>
        </is>
      </c>
      <c r="E2655" t="inlineStr">
        <is>
          <t>NORBERG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56285-2022</t>
        </is>
      </c>
      <c r="B2656" s="1" t="n">
        <v>44890</v>
      </c>
      <c r="C2656" s="1" t="n">
        <v>45757</v>
      </c>
      <c r="D2656" t="inlineStr">
        <is>
          <t>VÄSTMANLANDS LÄN</t>
        </is>
      </c>
      <c r="E2656" t="inlineStr">
        <is>
          <t>VÄSTERÅS</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56283-2022</t>
        </is>
      </c>
      <c r="B2657" s="1" t="n">
        <v>44890</v>
      </c>
      <c r="C2657" s="1" t="n">
        <v>45757</v>
      </c>
      <c r="D2657" t="inlineStr">
        <is>
          <t>VÄSTMANLANDS LÄN</t>
        </is>
      </c>
      <c r="E2657" t="inlineStr">
        <is>
          <t>KÖPING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56290-2022</t>
        </is>
      </c>
      <c r="B2658" s="1" t="n">
        <v>44890</v>
      </c>
      <c r="C2658" s="1" t="n">
        <v>45757</v>
      </c>
      <c r="D2658" t="inlineStr">
        <is>
          <t>VÄSTMANLANDS LÄN</t>
        </is>
      </c>
      <c r="E2658" t="inlineStr">
        <is>
          <t>SKINNSKATTEBERG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56535-2022</t>
        </is>
      </c>
      <c r="B2659" s="1" t="n">
        <v>44893</v>
      </c>
      <c r="C2659" s="1" t="n">
        <v>45757</v>
      </c>
      <c r="D2659" t="inlineStr">
        <is>
          <t>VÄSTMANLANDS LÄN</t>
        </is>
      </c>
      <c r="E2659" t="inlineStr">
        <is>
          <t>SALA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56559-2022</t>
        </is>
      </c>
      <c r="B2660" s="1" t="n">
        <v>44893</v>
      </c>
      <c r="C2660" s="1" t="n">
        <v>45757</v>
      </c>
      <c r="D2660" t="inlineStr">
        <is>
          <t>VÄSTMANLANDS LÄN</t>
        </is>
      </c>
      <c r="E2660" t="inlineStr">
        <is>
          <t>VÄSTERÅS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56532-2022</t>
        </is>
      </c>
      <c r="B2661" s="1" t="n">
        <v>44893</v>
      </c>
      <c r="C2661" s="1" t="n">
        <v>45757</v>
      </c>
      <c r="D2661" t="inlineStr">
        <is>
          <t>VÄSTMANLANDS LÄN</t>
        </is>
      </c>
      <c r="E2661" t="inlineStr">
        <is>
          <t>VÄSTERÅS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56706-2022</t>
        </is>
      </c>
      <c r="B2662" s="1" t="n">
        <v>44893</v>
      </c>
      <c r="C2662" s="1" t="n">
        <v>45757</v>
      </c>
      <c r="D2662" t="inlineStr">
        <is>
          <t>VÄSTMANLANDS LÄN</t>
        </is>
      </c>
      <c r="E2662" t="inlineStr">
        <is>
          <t>SALA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56547-2022</t>
        </is>
      </c>
      <c r="B2663" s="1" t="n">
        <v>44893</v>
      </c>
      <c r="C2663" s="1" t="n">
        <v>45757</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56707-2022</t>
        </is>
      </c>
      <c r="B2664" s="1" t="n">
        <v>44893</v>
      </c>
      <c r="C2664" s="1" t="n">
        <v>45757</v>
      </c>
      <c r="D2664" t="inlineStr">
        <is>
          <t>VÄSTMANLANDS LÄN</t>
        </is>
      </c>
      <c r="E2664" t="inlineStr">
        <is>
          <t>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56553-2022</t>
        </is>
      </c>
      <c r="B2665" s="1" t="n">
        <v>44893</v>
      </c>
      <c r="C2665" s="1" t="n">
        <v>45757</v>
      </c>
      <c r="D2665" t="inlineStr">
        <is>
          <t>VÄSTMANLANDS LÄN</t>
        </is>
      </c>
      <c r="E2665" t="inlineStr">
        <is>
          <t>VÄSTERÅS</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56929-2022</t>
        </is>
      </c>
      <c r="B2666" s="1" t="n">
        <v>44894</v>
      </c>
      <c r="C2666" s="1" t="n">
        <v>45757</v>
      </c>
      <c r="D2666" t="inlineStr">
        <is>
          <t>VÄSTMANLANDS LÄN</t>
        </is>
      </c>
      <c r="E2666" t="inlineStr">
        <is>
          <t>SKINNSKATTEBERG</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56979-2022</t>
        </is>
      </c>
      <c r="B2667" s="1" t="n">
        <v>44894</v>
      </c>
      <c r="C2667" s="1" t="n">
        <v>45757</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56846-2022</t>
        </is>
      </c>
      <c r="B2668" s="1" t="n">
        <v>44894</v>
      </c>
      <c r="C2668" s="1" t="n">
        <v>45757</v>
      </c>
      <c r="D2668" t="inlineStr">
        <is>
          <t>VÄSTMANLANDS LÄN</t>
        </is>
      </c>
      <c r="E2668" t="inlineStr">
        <is>
          <t>KÖPING</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56977-2022</t>
        </is>
      </c>
      <c r="B2669" s="1" t="n">
        <v>44894</v>
      </c>
      <c r="C2669" s="1" t="n">
        <v>45757</v>
      </c>
      <c r="D2669" t="inlineStr">
        <is>
          <t>VÄSTMANLANDS LÄN</t>
        </is>
      </c>
      <c r="E2669" t="inlineStr">
        <is>
          <t>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57248-2022</t>
        </is>
      </c>
      <c r="B2670" s="1" t="n">
        <v>44895</v>
      </c>
      <c r="C2670" s="1" t="n">
        <v>45757</v>
      </c>
      <c r="D2670" t="inlineStr">
        <is>
          <t>VÄSTMANLANDS LÄN</t>
        </is>
      </c>
      <c r="E2670" t="inlineStr">
        <is>
          <t>FAGERSTA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57371-2022</t>
        </is>
      </c>
      <c r="B2671" s="1" t="n">
        <v>44896</v>
      </c>
      <c r="C2671" s="1" t="n">
        <v>45757</v>
      </c>
      <c r="D2671" t="inlineStr">
        <is>
          <t>VÄSTMANLANDS LÄN</t>
        </is>
      </c>
      <c r="E2671" t="inlineStr">
        <is>
          <t>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57514-2022</t>
        </is>
      </c>
      <c r="B2672" s="1" t="n">
        <v>44896</v>
      </c>
      <c r="C2672" s="1" t="n">
        <v>45757</v>
      </c>
      <c r="D2672" t="inlineStr">
        <is>
          <t>VÄSTMANLANDS LÄN</t>
        </is>
      </c>
      <c r="E2672" t="inlineStr">
        <is>
          <t>KÖPING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57760-2022</t>
        </is>
      </c>
      <c r="B2673" s="1" t="n">
        <v>44897</v>
      </c>
      <c r="C2673" s="1" t="n">
        <v>45757</v>
      </c>
      <c r="D2673" t="inlineStr">
        <is>
          <t>VÄSTMANLANDS LÄN</t>
        </is>
      </c>
      <c r="E2673" t="inlineStr">
        <is>
          <t>KÖPING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57641-2022</t>
        </is>
      </c>
      <c r="B2674" s="1" t="n">
        <v>44897</v>
      </c>
      <c r="C2674" s="1" t="n">
        <v>45757</v>
      </c>
      <c r="D2674" t="inlineStr">
        <is>
          <t>VÄSTMANLANDS LÄN</t>
        </is>
      </c>
      <c r="E2674" t="inlineStr">
        <is>
          <t>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57873-2022</t>
        </is>
      </c>
      <c r="B2675" s="1" t="n">
        <v>44899</v>
      </c>
      <c r="C2675" s="1" t="n">
        <v>45757</v>
      </c>
      <c r="D2675" t="inlineStr">
        <is>
          <t>VÄSTMANLANDS LÄN</t>
        </is>
      </c>
      <c r="E2675" t="inlineStr">
        <is>
          <t>VÄSTERÅS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58105-2022</t>
        </is>
      </c>
      <c r="B2676" s="1" t="n">
        <v>44900</v>
      </c>
      <c r="C2676" s="1" t="n">
        <v>45757</v>
      </c>
      <c r="D2676" t="inlineStr">
        <is>
          <t>VÄSTMANLANDS LÄN</t>
        </is>
      </c>
      <c r="E2676" t="inlineStr">
        <is>
          <t>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58076-2022</t>
        </is>
      </c>
      <c r="B2677" s="1" t="n">
        <v>44900</v>
      </c>
      <c r="C2677" s="1" t="n">
        <v>45757</v>
      </c>
      <c r="D2677" t="inlineStr">
        <is>
          <t>VÄSTMANLANDS LÄN</t>
        </is>
      </c>
      <c r="E2677" t="inlineStr">
        <is>
          <t>SALA</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58085-2022</t>
        </is>
      </c>
      <c r="B2678" s="1" t="n">
        <v>44900</v>
      </c>
      <c r="C2678" s="1" t="n">
        <v>45757</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58106-2022</t>
        </is>
      </c>
      <c r="B2679" s="1" t="n">
        <v>44900</v>
      </c>
      <c r="C2679" s="1" t="n">
        <v>45757</v>
      </c>
      <c r="D2679" t="inlineStr">
        <is>
          <t>VÄSTMANLANDS LÄN</t>
        </is>
      </c>
      <c r="E2679" t="inlineStr">
        <is>
          <t>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58215-2022</t>
        </is>
      </c>
      <c r="B2680" s="1" t="n">
        <v>44901</v>
      </c>
      <c r="C2680" s="1" t="n">
        <v>45757</v>
      </c>
      <c r="D2680" t="inlineStr">
        <is>
          <t>VÄSTMANLANDS LÄN</t>
        </is>
      </c>
      <c r="E2680" t="inlineStr">
        <is>
          <t>VÄSTERÅS</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58231-2022</t>
        </is>
      </c>
      <c r="B2681" s="1" t="n">
        <v>44901</v>
      </c>
      <c r="C2681" s="1" t="n">
        <v>45757</v>
      </c>
      <c r="D2681" t="inlineStr">
        <is>
          <t>VÄSTMANLANDS LÄN</t>
        </is>
      </c>
      <c r="E2681" t="inlineStr">
        <is>
          <t>VÄSTERÅS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58364-2022</t>
        </is>
      </c>
      <c r="B2682" s="1" t="n">
        <v>44901</v>
      </c>
      <c r="C2682" s="1" t="n">
        <v>45757</v>
      </c>
      <c r="D2682" t="inlineStr">
        <is>
          <t>VÄSTMANLANDS LÄN</t>
        </is>
      </c>
      <c r="E2682" t="inlineStr">
        <is>
          <t>VÄSTERÅS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58395-2022</t>
        </is>
      </c>
      <c r="B2683" s="1" t="n">
        <v>44901</v>
      </c>
      <c r="C2683" s="1" t="n">
        <v>45757</v>
      </c>
      <c r="D2683" t="inlineStr">
        <is>
          <t>VÄSTMANLANDS LÄN</t>
        </is>
      </c>
      <c r="E2683" t="inlineStr">
        <is>
          <t>VÄSTERÅS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58348-2022</t>
        </is>
      </c>
      <c r="B2684" s="1" t="n">
        <v>44901</v>
      </c>
      <c r="C2684" s="1" t="n">
        <v>45757</v>
      </c>
      <c r="D2684" t="inlineStr">
        <is>
          <t>VÄSTMANLANDS LÄN</t>
        </is>
      </c>
      <c r="E2684" t="inlineStr">
        <is>
          <t>HALLSTAHAMMAR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58496-2022</t>
        </is>
      </c>
      <c r="B2685" s="1" t="n">
        <v>44902</v>
      </c>
      <c r="C2685" s="1" t="n">
        <v>45757</v>
      </c>
      <c r="D2685" t="inlineStr">
        <is>
          <t>VÄSTMANLANDS LÄN</t>
        </is>
      </c>
      <c r="E2685" t="inlineStr">
        <is>
          <t>SALA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58502-2022</t>
        </is>
      </c>
      <c r="B2686" s="1" t="n">
        <v>44902</v>
      </c>
      <c r="C2686" s="1" t="n">
        <v>45757</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58622-2022</t>
        </is>
      </c>
      <c r="B2687" s="1" t="n">
        <v>44902</v>
      </c>
      <c r="C2687" s="1" t="n">
        <v>45757</v>
      </c>
      <c r="D2687" t="inlineStr">
        <is>
          <t>VÄSTMANLANDS LÄN</t>
        </is>
      </c>
      <c r="E2687" t="inlineStr">
        <is>
          <t>KUNGSÖR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58657-2022</t>
        </is>
      </c>
      <c r="B2688" s="1" t="n">
        <v>44902</v>
      </c>
      <c r="C2688" s="1" t="n">
        <v>45757</v>
      </c>
      <c r="D2688" t="inlineStr">
        <is>
          <t>VÄSTMANLANDS LÄN</t>
        </is>
      </c>
      <c r="E2688" t="inlineStr">
        <is>
          <t>KUNGSÖR</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58637-2022</t>
        </is>
      </c>
      <c r="B2689" s="1" t="n">
        <v>44902</v>
      </c>
      <c r="C2689" s="1" t="n">
        <v>45757</v>
      </c>
      <c r="D2689" t="inlineStr">
        <is>
          <t>VÄSTMANLANDS LÄN</t>
        </is>
      </c>
      <c r="E2689" t="inlineStr">
        <is>
          <t>VÄSTERÅS</t>
        </is>
      </c>
      <c r="F2689" t="inlineStr">
        <is>
          <t>Kyrkan</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58642-2022</t>
        </is>
      </c>
      <c r="B2690" s="1" t="n">
        <v>44902</v>
      </c>
      <c r="C2690" s="1" t="n">
        <v>45757</v>
      </c>
      <c r="D2690" t="inlineStr">
        <is>
          <t>VÄSTMANLANDS LÄN</t>
        </is>
      </c>
      <c r="E2690" t="inlineStr">
        <is>
          <t>KUNGSÖR</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58834-2022</t>
        </is>
      </c>
      <c r="B2691" s="1" t="n">
        <v>44903</v>
      </c>
      <c r="C2691" s="1" t="n">
        <v>45757</v>
      </c>
      <c r="D2691" t="inlineStr">
        <is>
          <t>VÄSTMANLANDS LÄN</t>
        </is>
      </c>
      <c r="E2691" t="inlineStr">
        <is>
          <t>SKINNSKATTEBERG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58960-2022</t>
        </is>
      </c>
      <c r="B2692" s="1" t="n">
        <v>44903</v>
      </c>
      <c r="C2692" s="1" t="n">
        <v>45757</v>
      </c>
      <c r="D2692" t="inlineStr">
        <is>
          <t>VÄSTMANLANDS LÄN</t>
        </is>
      </c>
      <c r="E2692" t="inlineStr">
        <is>
          <t>VÄSTERÅS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59019-2022</t>
        </is>
      </c>
      <c r="B2693" s="1" t="n">
        <v>44903</v>
      </c>
      <c r="C2693" s="1" t="n">
        <v>45757</v>
      </c>
      <c r="D2693" t="inlineStr">
        <is>
          <t>VÄSTMANLANDS LÄN</t>
        </is>
      </c>
      <c r="E2693" t="inlineStr">
        <is>
          <t>SALA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60325-2022</t>
        </is>
      </c>
      <c r="B2694" s="1" t="n">
        <v>44903</v>
      </c>
      <c r="C2694" s="1" t="n">
        <v>45757</v>
      </c>
      <c r="D2694" t="inlineStr">
        <is>
          <t>VÄSTMANLANDS LÄN</t>
        </is>
      </c>
      <c r="E2694" t="inlineStr">
        <is>
          <t>VÄSTERÅS</t>
        </is>
      </c>
      <c r="F2694" t="inlineStr">
        <is>
          <t>Övriga Aktiebolag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59175-2022</t>
        </is>
      </c>
      <c r="B2695" s="1" t="n">
        <v>44904</v>
      </c>
      <c r="C2695" s="1" t="n">
        <v>45757</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59143-2022</t>
        </is>
      </c>
      <c r="B2696" s="1" t="n">
        <v>44904</v>
      </c>
      <c r="C2696" s="1" t="n">
        <v>45757</v>
      </c>
      <c r="D2696" t="inlineStr">
        <is>
          <t>VÄSTMANLANDS LÄN</t>
        </is>
      </c>
      <c r="E2696" t="inlineStr">
        <is>
          <t>VÄSTERÅS</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59483-2022</t>
        </is>
      </c>
      <c r="B2697" s="1" t="n">
        <v>44907</v>
      </c>
      <c r="C2697" s="1" t="n">
        <v>45757</v>
      </c>
      <c r="D2697" t="inlineStr">
        <is>
          <t>VÄSTMANLANDS LÄN</t>
        </is>
      </c>
      <c r="E2697" t="inlineStr">
        <is>
          <t>SALA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59500-2022</t>
        </is>
      </c>
      <c r="B2698" s="1" t="n">
        <v>44907</v>
      </c>
      <c r="C2698" s="1" t="n">
        <v>45757</v>
      </c>
      <c r="D2698" t="inlineStr">
        <is>
          <t>VÄSTMANLANDS LÄN</t>
        </is>
      </c>
      <c r="E2698" t="inlineStr">
        <is>
          <t>KÖPING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59735-2022</t>
        </is>
      </c>
      <c r="B2699" s="1" t="n">
        <v>44908</v>
      </c>
      <c r="C2699" s="1" t="n">
        <v>45757</v>
      </c>
      <c r="D2699" t="inlineStr">
        <is>
          <t>VÄSTMANLANDS LÄN</t>
        </is>
      </c>
      <c r="E2699" t="inlineStr">
        <is>
          <t>KÖPING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60949-2022</t>
        </is>
      </c>
      <c r="B2700" s="1" t="n">
        <v>44908</v>
      </c>
      <c r="C2700" s="1" t="n">
        <v>45757</v>
      </c>
      <c r="D2700" t="inlineStr">
        <is>
          <t>VÄSTMANLANDS LÄN</t>
        </is>
      </c>
      <c r="E2700" t="inlineStr">
        <is>
          <t>VÄSTERÅS</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61069-2022</t>
        </is>
      </c>
      <c r="B2701" s="1" t="n">
        <v>44908</v>
      </c>
      <c r="C2701" s="1" t="n">
        <v>45757</v>
      </c>
      <c r="D2701" t="inlineStr">
        <is>
          <t>VÄSTMANLANDS LÄN</t>
        </is>
      </c>
      <c r="E2701" t="inlineStr">
        <is>
          <t>VÄSTERÅS</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59853-2022</t>
        </is>
      </c>
      <c r="B2702" s="1" t="n">
        <v>44908</v>
      </c>
      <c r="C2702" s="1" t="n">
        <v>45757</v>
      </c>
      <c r="D2702" t="inlineStr">
        <is>
          <t>VÄSTMANLANDS LÄN</t>
        </is>
      </c>
      <c r="E2702" t="inlineStr">
        <is>
          <t>KUNGSÖR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60046-2022</t>
        </is>
      </c>
      <c r="B2703" s="1" t="n">
        <v>44909</v>
      </c>
      <c r="C2703" s="1" t="n">
        <v>45757</v>
      </c>
      <c r="D2703" t="inlineStr">
        <is>
          <t>VÄSTMANLANDS LÄN</t>
        </is>
      </c>
      <c r="E2703" t="inlineStr">
        <is>
          <t>ARBOGA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60156-2022</t>
        </is>
      </c>
      <c r="B2704" s="1" t="n">
        <v>44909</v>
      </c>
      <c r="C2704" s="1" t="n">
        <v>45757</v>
      </c>
      <c r="D2704" t="inlineStr">
        <is>
          <t>VÄSTMANLANDS LÄN</t>
        </is>
      </c>
      <c r="E2704" t="inlineStr">
        <is>
          <t>SALA</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59969-2022</t>
        </is>
      </c>
      <c r="B2705" s="1" t="n">
        <v>44909</v>
      </c>
      <c r="C2705" s="1" t="n">
        <v>45757</v>
      </c>
      <c r="D2705" t="inlineStr">
        <is>
          <t>VÄSTMANLANDS LÄN</t>
        </is>
      </c>
      <c r="E2705" t="inlineStr">
        <is>
          <t>ARBOGA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59980-2022</t>
        </is>
      </c>
      <c r="B2706" s="1" t="n">
        <v>44909</v>
      </c>
      <c r="C2706" s="1" t="n">
        <v>45757</v>
      </c>
      <c r="D2706" t="inlineStr">
        <is>
          <t>VÄSTMANLANDS LÄN</t>
        </is>
      </c>
      <c r="E2706" t="inlineStr">
        <is>
          <t>ARBOGA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59970-2022</t>
        </is>
      </c>
      <c r="B2707" s="1" t="n">
        <v>44909</v>
      </c>
      <c r="C2707" s="1" t="n">
        <v>45757</v>
      </c>
      <c r="D2707" t="inlineStr">
        <is>
          <t>VÄSTMANLANDS LÄN</t>
        </is>
      </c>
      <c r="E2707" t="inlineStr">
        <is>
          <t>ARBOGA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59977-2022</t>
        </is>
      </c>
      <c r="B2708" s="1" t="n">
        <v>44909</v>
      </c>
      <c r="C2708" s="1" t="n">
        <v>45757</v>
      </c>
      <c r="D2708" t="inlineStr">
        <is>
          <t>VÄSTMANLANDS LÄN</t>
        </is>
      </c>
      <c r="E2708" t="inlineStr">
        <is>
          <t>ARBOGA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60185-2022</t>
        </is>
      </c>
      <c r="B2709" s="1" t="n">
        <v>44910</v>
      </c>
      <c r="C2709" s="1" t="n">
        <v>45757</v>
      </c>
      <c r="D2709" t="inlineStr">
        <is>
          <t>VÄSTMANLANDS LÄN</t>
        </is>
      </c>
      <c r="E2709" t="inlineStr">
        <is>
          <t>SKINNSKATTEBERG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60379-2022</t>
        </is>
      </c>
      <c r="B2710" s="1" t="n">
        <v>44910</v>
      </c>
      <c r="C2710" s="1" t="n">
        <v>45757</v>
      </c>
      <c r="D2710" t="inlineStr">
        <is>
          <t>VÄSTMANLANDS LÄN</t>
        </is>
      </c>
      <c r="E2710" t="inlineStr">
        <is>
          <t>SALA</t>
        </is>
      </c>
      <c r="F2710" t="inlineStr">
        <is>
          <t>Kyrkan</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60481-2022</t>
        </is>
      </c>
      <c r="B2711" s="1" t="n">
        <v>44911</v>
      </c>
      <c r="C2711" s="1" t="n">
        <v>45757</v>
      </c>
      <c r="D2711" t="inlineStr">
        <is>
          <t>VÄSTMANLANDS LÄN</t>
        </is>
      </c>
      <c r="E2711" t="inlineStr">
        <is>
          <t>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60485-2022</t>
        </is>
      </c>
      <c r="B2712" s="1" t="n">
        <v>44911</v>
      </c>
      <c r="C2712" s="1" t="n">
        <v>45757</v>
      </c>
      <c r="D2712" t="inlineStr">
        <is>
          <t>VÄSTMANLANDS LÄN</t>
        </is>
      </c>
      <c r="E2712" t="inlineStr">
        <is>
          <t>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60479-2022</t>
        </is>
      </c>
      <c r="B2713" s="1" t="n">
        <v>44911</v>
      </c>
      <c r="C2713" s="1" t="n">
        <v>45757</v>
      </c>
      <c r="D2713" t="inlineStr">
        <is>
          <t>VÄSTMANLANDS LÄN</t>
        </is>
      </c>
      <c r="E2713" t="inlineStr">
        <is>
          <t>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61745-2022</t>
        </is>
      </c>
      <c r="B2714" s="1" t="n">
        <v>44911</v>
      </c>
      <c r="C2714" s="1" t="n">
        <v>45757</v>
      </c>
      <c r="D2714" t="inlineStr">
        <is>
          <t>VÄSTMANLANDS LÄN</t>
        </is>
      </c>
      <c r="E2714" t="inlineStr">
        <is>
          <t>NORBERG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60703-2022</t>
        </is>
      </c>
      <c r="B2715" s="1" t="n">
        <v>44912</v>
      </c>
      <c r="C2715" s="1" t="n">
        <v>45757</v>
      </c>
      <c r="D2715" t="inlineStr">
        <is>
          <t>VÄSTMANLANDS LÄN</t>
        </is>
      </c>
      <c r="E2715" t="inlineStr">
        <is>
          <t>SALA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60705-2022</t>
        </is>
      </c>
      <c r="B2716" s="1" t="n">
        <v>44912</v>
      </c>
      <c r="C2716" s="1" t="n">
        <v>45757</v>
      </c>
      <c r="D2716" t="inlineStr">
        <is>
          <t>VÄSTMANLANDS LÄN</t>
        </is>
      </c>
      <c r="E2716" t="inlineStr">
        <is>
          <t>VÄSTERÅS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60794-2022</t>
        </is>
      </c>
      <c r="B2717" s="1" t="n">
        <v>44914</v>
      </c>
      <c r="C2717" s="1" t="n">
        <v>45757</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60790-2022</t>
        </is>
      </c>
      <c r="B2718" s="1" t="n">
        <v>44914</v>
      </c>
      <c r="C2718" s="1" t="n">
        <v>45757</v>
      </c>
      <c r="D2718" t="inlineStr">
        <is>
          <t>VÄSTMANLANDS LÄN</t>
        </is>
      </c>
      <c r="E2718" t="inlineStr">
        <is>
          <t>VÄSTERÅS</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60894-2022</t>
        </is>
      </c>
      <c r="B2719" s="1" t="n">
        <v>44914</v>
      </c>
      <c r="C2719" s="1" t="n">
        <v>45757</v>
      </c>
      <c r="D2719" t="inlineStr">
        <is>
          <t>VÄSTMANLANDS LÄN</t>
        </is>
      </c>
      <c r="E2719" t="inlineStr">
        <is>
          <t>KÖPING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60974-2022</t>
        </is>
      </c>
      <c r="B2720" s="1" t="n">
        <v>44914</v>
      </c>
      <c r="C2720" s="1" t="n">
        <v>45757</v>
      </c>
      <c r="D2720" t="inlineStr">
        <is>
          <t>VÄSTMANLANDS LÄN</t>
        </is>
      </c>
      <c r="E2720" t="inlineStr">
        <is>
          <t>SALA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61000-2022</t>
        </is>
      </c>
      <c r="B2721" s="1" t="n">
        <v>44914</v>
      </c>
      <c r="C2721" s="1" t="n">
        <v>45757</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60797-2022</t>
        </is>
      </c>
      <c r="B2722" s="1" t="n">
        <v>44914</v>
      </c>
      <c r="C2722" s="1" t="n">
        <v>45757</v>
      </c>
      <c r="D2722" t="inlineStr">
        <is>
          <t>VÄSTMANLANDS LÄN</t>
        </is>
      </c>
      <c r="E2722" t="inlineStr">
        <is>
          <t>VÄSTERÅS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60924-2022</t>
        </is>
      </c>
      <c r="B2723" s="1" t="n">
        <v>44914</v>
      </c>
      <c r="C2723" s="1" t="n">
        <v>45757</v>
      </c>
      <c r="D2723" t="inlineStr">
        <is>
          <t>VÄSTMANLANDS LÄN</t>
        </is>
      </c>
      <c r="E2723" t="inlineStr">
        <is>
          <t>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61119-2022</t>
        </is>
      </c>
      <c r="B2724" s="1" t="n">
        <v>44915</v>
      </c>
      <c r="C2724" s="1" t="n">
        <v>45757</v>
      </c>
      <c r="D2724" t="inlineStr">
        <is>
          <t>VÄSTMANLANDS LÄN</t>
        </is>
      </c>
      <c r="E2724" t="inlineStr">
        <is>
          <t>VÄSTERÅS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61308-2022</t>
        </is>
      </c>
      <c r="B2725" s="1" t="n">
        <v>44915</v>
      </c>
      <c r="C2725" s="1" t="n">
        <v>45757</v>
      </c>
      <c r="D2725" t="inlineStr">
        <is>
          <t>VÄSTMANLANDS LÄN</t>
        </is>
      </c>
      <c r="E2725" t="inlineStr">
        <is>
          <t>VÄSTERÅS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61083-2022</t>
        </is>
      </c>
      <c r="B2726" s="1" t="n">
        <v>44915</v>
      </c>
      <c r="C2726" s="1" t="n">
        <v>45757</v>
      </c>
      <c r="D2726" t="inlineStr">
        <is>
          <t>VÄSTMANLANDS LÄN</t>
        </is>
      </c>
      <c r="E2726" t="inlineStr">
        <is>
          <t>KÖPING</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61059-2022</t>
        </is>
      </c>
      <c r="B2727" s="1" t="n">
        <v>44915</v>
      </c>
      <c r="C2727" s="1" t="n">
        <v>45757</v>
      </c>
      <c r="D2727" t="inlineStr">
        <is>
          <t>VÄSTMANLANDS LÄN</t>
        </is>
      </c>
      <c r="E2727" t="inlineStr">
        <is>
          <t>KÖPING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61070-2022</t>
        </is>
      </c>
      <c r="B2728" s="1" t="n">
        <v>44915</v>
      </c>
      <c r="C2728" s="1" t="n">
        <v>45757</v>
      </c>
      <c r="D2728" t="inlineStr">
        <is>
          <t>VÄSTMANLANDS LÄN</t>
        </is>
      </c>
      <c r="E2728" t="inlineStr">
        <is>
          <t>KÖPING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61072-2022</t>
        </is>
      </c>
      <c r="B2729" s="1" t="n">
        <v>44915</v>
      </c>
      <c r="C2729" s="1" t="n">
        <v>45757</v>
      </c>
      <c r="D2729" t="inlineStr">
        <is>
          <t>VÄSTMANLANDS LÄN</t>
        </is>
      </c>
      <c r="E2729" t="inlineStr">
        <is>
          <t>KÖPING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61403-2022</t>
        </is>
      </c>
      <c r="B2730" s="1" t="n">
        <v>44916</v>
      </c>
      <c r="C2730" s="1" t="n">
        <v>45757</v>
      </c>
      <c r="D2730" t="inlineStr">
        <is>
          <t>VÄSTMANLANDS LÄN</t>
        </is>
      </c>
      <c r="E2730" t="inlineStr">
        <is>
          <t>ARBOGA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62635-2022</t>
        </is>
      </c>
      <c r="B2731" s="1" t="n">
        <v>44917</v>
      </c>
      <c r="C2731" s="1" t="n">
        <v>45757</v>
      </c>
      <c r="D2731" t="inlineStr">
        <is>
          <t>VÄSTMANLANDS LÄN</t>
        </is>
      </c>
      <c r="E2731" t="inlineStr">
        <is>
          <t>SALA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62654-2022</t>
        </is>
      </c>
      <c r="B2732" s="1" t="n">
        <v>44917</v>
      </c>
      <c r="C2732" s="1" t="n">
        <v>45757</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62651-2022</t>
        </is>
      </c>
      <c r="B2733" s="1" t="n">
        <v>44917</v>
      </c>
      <c r="C2733" s="1" t="n">
        <v>45757</v>
      </c>
      <c r="D2733" t="inlineStr">
        <is>
          <t>VÄSTMANLANDS LÄN</t>
        </is>
      </c>
      <c r="E2733" t="inlineStr">
        <is>
          <t>SALA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61892-2022</t>
        </is>
      </c>
      <c r="B2734" s="1" t="n">
        <v>44917</v>
      </c>
      <c r="C2734" s="1" t="n">
        <v>45757</v>
      </c>
      <c r="D2734" t="inlineStr">
        <is>
          <t>VÄSTMANLANDS LÄN</t>
        </is>
      </c>
      <c r="E2734" t="inlineStr">
        <is>
          <t>ARBOGA</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61897-2022</t>
        </is>
      </c>
      <c r="B2735" s="1" t="n">
        <v>44917</v>
      </c>
      <c r="C2735" s="1" t="n">
        <v>45757</v>
      </c>
      <c r="D2735" t="inlineStr">
        <is>
          <t>VÄSTMANLANDS LÄN</t>
        </is>
      </c>
      <c r="E2735" t="inlineStr">
        <is>
          <t>KÖPING</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62648-2022</t>
        </is>
      </c>
      <c r="B2736" s="1" t="n">
        <v>44917</v>
      </c>
      <c r="C2736" s="1" t="n">
        <v>45757</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61985-2022</t>
        </is>
      </c>
      <c r="B2737" s="1" t="n">
        <v>44918</v>
      </c>
      <c r="C2737" s="1" t="n">
        <v>45757</v>
      </c>
      <c r="D2737" t="inlineStr">
        <is>
          <t>VÄSTMANLANDS LÄN</t>
        </is>
      </c>
      <c r="E2737" t="inlineStr">
        <is>
          <t>SALA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62095-2022</t>
        </is>
      </c>
      <c r="B2738" s="1" t="n">
        <v>44919</v>
      </c>
      <c r="C2738" s="1" t="n">
        <v>45757</v>
      </c>
      <c r="D2738" t="inlineStr">
        <is>
          <t>VÄSTMANLANDS LÄN</t>
        </is>
      </c>
      <c r="E2738" t="inlineStr">
        <is>
          <t>FAGERSTA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62292-2022</t>
        </is>
      </c>
      <c r="B2739" s="1" t="n">
        <v>44923</v>
      </c>
      <c r="C2739" s="1" t="n">
        <v>45757</v>
      </c>
      <c r="D2739" t="inlineStr">
        <is>
          <t>VÄSTMANLANDS LÄN</t>
        </is>
      </c>
      <c r="E2739" t="inlineStr">
        <is>
          <t>SALA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62300-2022</t>
        </is>
      </c>
      <c r="B2740" s="1" t="n">
        <v>44923</v>
      </c>
      <c r="C2740" s="1" t="n">
        <v>45757</v>
      </c>
      <c r="D2740" t="inlineStr">
        <is>
          <t>VÄSTMANLANDS LÄN</t>
        </is>
      </c>
      <c r="E2740" t="inlineStr">
        <is>
          <t>SALA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552-2023</t>
        </is>
      </c>
      <c r="B2741" s="1" t="n">
        <v>44925</v>
      </c>
      <c r="C2741" s="1" t="n">
        <v>45757</v>
      </c>
      <c r="D2741" t="inlineStr">
        <is>
          <t>VÄSTMANLANDS LÄN</t>
        </is>
      </c>
      <c r="E2741" t="inlineStr">
        <is>
          <t>NORBERG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559-2023</t>
        </is>
      </c>
      <c r="B2742" s="1" t="n">
        <v>44925</v>
      </c>
      <c r="C2742" s="1" t="n">
        <v>45757</v>
      </c>
      <c r="D2742" t="inlineStr">
        <is>
          <t>VÄSTMANLANDS LÄN</t>
        </is>
      </c>
      <c r="E2742" t="inlineStr">
        <is>
          <t>NORBERG</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71-2023</t>
        </is>
      </c>
      <c r="B2743" s="1" t="n">
        <v>44928</v>
      </c>
      <c r="C2743" s="1" t="n">
        <v>45757</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198-2023</t>
        </is>
      </c>
      <c r="B2744" s="1" t="n">
        <v>44928</v>
      </c>
      <c r="C2744" s="1" t="n">
        <v>45757</v>
      </c>
      <c r="D2744" t="inlineStr">
        <is>
          <t>VÄSTMANLANDS LÄN</t>
        </is>
      </c>
      <c r="E2744" t="inlineStr">
        <is>
          <t>VÄSTERÅS</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202-2023</t>
        </is>
      </c>
      <c r="B2745" s="1" t="n">
        <v>44928</v>
      </c>
      <c r="C2745" s="1" t="n">
        <v>45757</v>
      </c>
      <c r="D2745" t="inlineStr">
        <is>
          <t>VÄSTMANLANDS LÄN</t>
        </is>
      </c>
      <c r="E2745" t="inlineStr">
        <is>
          <t>VÄSTERÅS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1034-2023</t>
        </is>
      </c>
      <c r="B2746" s="1" t="n">
        <v>44935</v>
      </c>
      <c r="C2746" s="1" t="n">
        <v>45757</v>
      </c>
      <c r="D2746" t="inlineStr">
        <is>
          <t>VÄSTMANLANDS LÄN</t>
        </is>
      </c>
      <c r="E2746" t="inlineStr">
        <is>
          <t>KÖPING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1069-2023</t>
        </is>
      </c>
      <c r="B2747" s="1" t="n">
        <v>44935</v>
      </c>
      <c r="C2747" s="1" t="n">
        <v>45757</v>
      </c>
      <c r="D2747" t="inlineStr">
        <is>
          <t>VÄSTMANLANDS LÄN</t>
        </is>
      </c>
      <c r="E2747" t="inlineStr">
        <is>
          <t>SKINNSKATTEBERG</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1196-2023</t>
        </is>
      </c>
      <c r="B2748" s="1" t="n">
        <v>44935</v>
      </c>
      <c r="C2748" s="1" t="n">
        <v>45757</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1594-2023</t>
        </is>
      </c>
      <c r="B2749" s="1" t="n">
        <v>44935</v>
      </c>
      <c r="C2749" s="1" t="n">
        <v>45757</v>
      </c>
      <c r="D2749" t="inlineStr">
        <is>
          <t>VÄSTMANLANDS LÄN</t>
        </is>
      </c>
      <c r="E2749" t="inlineStr">
        <is>
          <t>VÄSTERÅS</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1290-2023</t>
        </is>
      </c>
      <c r="B2750" s="1" t="n">
        <v>44936</v>
      </c>
      <c r="C2750" s="1" t="n">
        <v>45757</v>
      </c>
      <c r="D2750" t="inlineStr">
        <is>
          <t>VÄSTMANLANDS LÄN</t>
        </is>
      </c>
      <c r="E2750" t="inlineStr">
        <is>
          <t>KÖPING</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1282-2023</t>
        </is>
      </c>
      <c r="B2751" s="1" t="n">
        <v>44936</v>
      </c>
      <c r="C2751" s="1" t="n">
        <v>45757</v>
      </c>
      <c r="D2751" t="inlineStr">
        <is>
          <t>VÄSTMANLANDS LÄN</t>
        </is>
      </c>
      <c r="E2751" t="inlineStr">
        <is>
          <t>SKINNSKATTEBERG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1701-2023</t>
        </is>
      </c>
      <c r="B2752" s="1" t="n">
        <v>44936</v>
      </c>
      <c r="C2752" s="1" t="n">
        <v>45757</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1700-2023</t>
        </is>
      </c>
      <c r="B2753" s="1" t="n">
        <v>44936</v>
      </c>
      <c r="C2753" s="1" t="n">
        <v>45757</v>
      </c>
      <c r="D2753" t="inlineStr">
        <is>
          <t>VÄSTMANLANDS LÄN</t>
        </is>
      </c>
      <c r="E2753" t="inlineStr">
        <is>
          <t>VÄSTERÅS</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1761-2023</t>
        </is>
      </c>
      <c r="B2754" s="1" t="n">
        <v>44936</v>
      </c>
      <c r="C2754" s="1" t="n">
        <v>45757</v>
      </c>
      <c r="D2754" t="inlineStr">
        <is>
          <t>VÄSTMANLANDS LÄN</t>
        </is>
      </c>
      <c r="E2754" t="inlineStr">
        <is>
          <t>VÄSTERÅS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1773-2023</t>
        </is>
      </c>
      <c r="B2755" s="1" t="n">
        <v>44936</v>
      </c>
      <c r="C2755" s="1" t="n">
        <v>45757</v>
      </c>
      <c r="D2755" t="inlineStr">
        <is>
          <t>VÄSTMANLANDS LÄN</t>
        </is>
      </c>
      <c r="E2755" t="inlineStr">
        <is>
          <t>VÄSTERÅS</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1617-2023</t>
        </is>
      </c>
      <c r="B2756" s="1" t="n">
        <v>44937</v>
      </c>
      <c r="C2756" s="1" t="n">
        <v>45757</v>
      </c>
      <c r="D2756" t="inlineStr">
        <is>
          <t>VÄSTMANLANDS LÄN</t>
        </is>
      </c>
      <c r="E2756" t="inlineStr">
        <is>
          <t>SKINNSKATTEBERG</t>
        </is>
      </c>
      <c r="G2756" t="n">
        <v>15.3</v>
      </c>
      <c r="H2756" t="n">
        <v>0</v>
      </c>
      <c r="I2756" t="n">
        <v>0</v>
      </c>
      <c r="J2756" t="n">
        <v>0</v>
      </c>
      <c r="K2756" t="n">
        <v>0</v>
      </c>
      <c r="L2756" t="n">
        <v>0</v>
      </c>
      <c r="M2756" t="n">
        <v>0</v>
      </c>
      <c r="N2756" t="n">
        <v>0</v>
      </c>
      <c r="O2756" t="n">
        <v>0</v>
      </c>
      <c r="P2756" t="n">
        <v>0</v>
      </c>
      <c r="Q2756" t="n">
        <v>0</v>
      </c>
      <c r="R2756" s="2" t="inlineStr"/>
    </row>
    <row r="2757" ht="15" customHeight="1">
      <c r="A2757" t="inlineStr">
        <is>
          <t>A 1638-2023</t>
        </is>
      </c>
      <c r="B2757" s="1" t="n">
        <v>44937</v>
      </c>
      <c r="C2757" s="1" t="n">
        <v>45757</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1793-2023</t>
        </is>
      </c>
      <c r="B2758" s="1" t="n">
        <v>44937</v>
      </c>
      <c r="C2758" s="1" t="n">
        <v>45757</v>
      </c>
      <c r="D2758" t="inlineStr">
        <is>
          <t>VÄSTMANLANDS LÄN</t>
        </is>
      </c>
      <c r="E2758" t="inlineStr">
        <is>
          <t>SALA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1814-2023</t>
        </is>
      </c>
      <c r="B2759" s="1" t="n">
        <v>44938</v>
      </c>
      <c r="C2759" s="1" t="n">
        <v>45757</v>
      </c>
      <c r="D2759" t="inlineStr">
        <is>
          <t>VÄSTMANLANDS LÄN</t>
        </is>
      </c>
      <c r="E2759" t="inlineStr">
        <is>
          <t>NORBERG</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1934-2023</t>
        </is>
      </c>
      <c r="B2760" s="1" t="n">
        <v>44939</v>
      </c>
      <c r="C2760" s="1" t="n">
        <v>45757</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1967-2023</t>
        </is>
      </c>
      <c r="B2761" s="1" t="n">
        <v>44939</v>
      </c>
      <c r="C2761" s="1" t="n">
        <v>45757</v>
      </c>
      <c r="D2761" t="inlineStr">
        <is>
          <t>VÄSTMANLANDS LÄN</t>
        </is>
      </c>
      <c r="E2761" t="inlineStr">
        <is>
          <t>SALA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2329-2023</t>
        </is>
      </c>
      <c r="B2762" s="1" t="n">
        <v>44942</v>
      </c>
      <c r="C2762" s="1" t="n">
        <v>45757</v>
      </c>
      <c r="D2762" t="inlineStr">
        <is>
          <t>VÄSTMANLANDS LÄN</t>
        </is>
      </c>
      <c r="E2762" t="inlineStr">
        <is>
          <t>ARBOGA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2521-2023</t>
        </is>
      </c>
      <c r="B2763" s="1" t="n">
        <v>44943</v>
      </c>
      <c r="C2763" s="1" t="n">
        <v>45757</v>
      </c>
      <c r="D2763" t="inlineStr">
        <is>
          <t>VÄSTMANLANDS LÄN</t>
        </is>
      </c>
      <c r="E2763" t="inlineStr">
        <is>
          <t>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2900-2023</t>
        </is>
      </c>
      <c r="B2764" s="1" t="n">
        <v>44943</v>
      </c>
      <c r="C2764" s="1" t="n">
        <v>45757</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2868-2023</t>
        </is>
      </c>
      <c r="B2765" s="1" t="n">
        <v>44945</v>
      </c>
      <c r="C2765" s="1" t="n">
        <v>45757</v>
      </c>
      <c r="D2765" t="inlineStr">
        <is>
          <t>VÄSTMANLANDS LÄN</t>
        </is>
      </c>
      <c r="E2765" t="inlineStr">
        <is>
          <t>KÖPING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2848-2023</t>
        </is>
      </c>
      <c r="B2766" s="1" t="n">
        <v>44945</v>
      </c>
      <c r="C2766" s="1" t="n">
        <v>45757</v>
      </c>
      <c r="D2766" t="inlineStr">
        <is>
          <t>VÄSTMANLANDS LÄN</t>
        </is>
      </c>
      <c r="E2766" t="inlineStr">
        <is>
          <t>VÄSTERÅS</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3085-2023</t>
        </is>
      </c>
      <c r="B2767" s="1" t="n">
        <v>44946</v>
      </c>
      <c r="C2767" s="1" t="n">
        <v>45757</v>
      </c>
      <c r="D2767" t="inlineStr">
        <is>
          <t>VÄSTMANLANDS LÄN</t>
        </is>
      </c>
      <c r="E2767" t="inlineStr">
        <is>
          <t>SURAHAMMAR</t>
        </is>
      </c>
      <c r="F2767" t="inlineStr">
        <is>
          <t>Kyrkan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3399-2023</t>
        </is>
      </c>
      <c r="B2768" s="1" t="n">
        <v>44949</v>
      </c>
      <c r="C2768" s="1" t="n">
        <v>45757</v>
      </c>
      <c r="D2768" t="inlineStr">
        <is>
          <t>VÄSTMANLANDS LÄN</t>
        </is>
      </c>
      <c r="E2768" t="inlineStr">
        <is>
          <t>ARBOGA</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3683-2023</t>
        </is>
      </c>
      <c r="B2769" s="1" t="n">
        <v>44950</v>
      </c>
      <c r="C2769" s="1" t="n">
        <v>45757</v>
      </c>
      <c r="D2769" t="inlineStr">
        <is>
          <t>VÄSTMANLANDS LÄN</t>
        </is>
      </c>
      <c r="E2769" t="inlineStr">
        <is>
          <t>KUNGSÖR</t>
        </is>
      </c>
      <c r="F2769" t="inlineStr">
        <is>
          <t>Allmännings- och besparingsskogar</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3733-2023</t>
        </is>
      </c>
      <c r="B2770" s="1" t="n">
        <v>44951</v>
      </c>
      <c r="C2770" s="1" t="n">
        <v>45757</v>
      </c>
      <c r="D2770" t="inlineStr">
        <is>
          <t>VÄSTMANLANDS LÄN</t>
        </is>
      </c>
      <c r="E2770" t="inlineStr">
        <is>
          <t>SALA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3810-2023</t>
        </is>
      </c>
      <c r="B2771" s="1" t="n">
        <v>44951</v>
      </c>
      <c r="C2771" s="1" t="n">
        <v>45757</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3866-2023</t>
        </is>
      </c>
      <c r="B2772" s="1" t="n">
        <v>44951</v>
      </c>
      <c r="C2772" s="1" t="n">
        <v>45757</v>
      </c>
      <c r="D2772" t="inlineStr">
        <is>
          <t>VÄSTMANLANDS LÄN</t>
        </is>
      </c>
      <c r="E2772" t="inlineStr">
        <is>
          <t>SALA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4264-2023</t>
        </is>
      </c>
      <c r="B2773" s="1" t="n">
        <v>44953</v>
      </c>
      <c r="C2773" s="1" t="n">
        <v>45757</v>
      </c>
      <c r="D2773" t="inlineStr">
        <is>
          <t>VÄSTMANLANDS LÄN</t>
        </is>
      </c>
      <c r="E2773" t="inlineStr">
        <is>
          <t>FAGERSTA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4386-2023</t>
        </is>
      </c>
      <c r="B2774" s="1" t="n">
        <v>44955</v>
      </c>
      <c r="C2774" s="1" t="n">
        <v>45757</v>
      </c>
      <c r="D2774" t="inlineStr">
        <is>
          <t>VÄSTMANLANDS LÄN</t>
        </is>
      </c>
      <c r="E2774" t="inlineStr">
        <is>
          <t>SKINNSKATTEBERG</t>
        </is>
      </c>
      <c r="F2774" t="inlineStr">
        <is>
          <t>Sveaskog</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4853-2023</t>
        </is>
      </c>
      <c r="B2775" s="1" t="n">
        <v>44957</v>
      </c>
      <c r="C2775" s="1" t="n">
        <v>45757</v>
      </c>
      <c r="D2775" t="inlineStr">
        <is>
          <t>VÄSTMANLANDS LÄN</t>
        </is>
      </c>
      <c r="E2775" t="inlineStr">
        <is>
          <t>SALA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4637-2023</t>
        </is>
      </c>
      <c r="B2776" s="1" t="n">
        <v>44957</v>
      </c>
      <c r="C2776" s="1" t="n">
        <v>45757</v>
      </c>
      <c r="D2776" t="inlineStr">
        <is>
          <t>VÄSTMANLANDS LÄN</t>
        </is>
      </c>
      <c r="E2776" t="inlineStr">
        <is>
          <t>SALA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4687-2023</t>
        </is>
      </c>
      <c r="B2777" s="1" t="n">
        <v>44957</v>
      </c>
      <c r="C2777" s="1" t="n">
        <v>45757</v>
      </c>
      <c r="D2777" t="inlineStr">
        <is>
          <t>VÄSTMANLANDS LÄN</t>
        </is>
      </c>
      <c r="E2777" t="inlineStr">
        <is>
          <t>KÖPING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4791-2023</t>
        </is>
      </c>
      <c r="B2778" s="1" t="n">
        <v>44957</v>
      </c>
      <c r="C2778" s="1" t="n">
        <v>45757</v>
      </c>
      <c r="D2778" t="inlineStr">
        <is>
          <t>VÄSTMANLANDS LÄN</t>
        </is>
      </c>
      <c r="E2778" t="inlineStr">
        <is>
          <t>SALA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4797-2023</t>
        </is>
      </c>
      <c r="B2779" s="1" t="n">
        <v>44957</v>
      </c>
      <c r="C2779" s="1" t="n">
        <v>45757</v>
      </c>
      <c r="D2779" t="inlineStr">
        <is>
          <t>VÄSTMANLANDS LÄN</t>
        </is>
      </c>
      <c r="E2779" t="inlineStr">
        <is>
          <t>SALA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4852-2023</t>
        </is>
      </c>
      <c r="B2780" s="1" t="n">
        <v>44957</v>
      </c>
      <c r="C2780" s="1" t="n">
        <v>45757</v>
      </c>
      <c r="D2780" t="inlineStr">
        <is>
          <t>VÄSTMANLANDS LÄN</t>
        </is>
      </c>
      <c r="E2780" t="inlineStr">
        <is>
          <t>SALA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5123-2023</t>
        </is>
      </c>
      <c r="B2781" s="1" t="n">
        <v>44958</v>
      </c>
      <c r="C2781" s="1" t="n">
        <v>45757</v>
      </c>
      <c r="D2781" t="inlineStr">
        <is>
          <t>VÄSTMANLANDS LÄN</t>
        </is>
      </c>
      <c r="E2781" t="inlineStr">
        <is>
          <t>VÄSTERÅS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5459-2023</t>
        </is>
      </c>
      <c r="B2782" s="1" t="n">
        <v>44960</v>
      </c>
      <c r="C2782" s="1" t="n">
        <v>45757</v>
      </c>
      <c r="D2782" t="inlineStr">
        <is>
          <t>VÄSTMANLANDS LÄN</t>
        </is>
      </c>
      <c r="E2782" t="inlineStr">
        <is>
          <t>ARBOGA</t>
        </is>
      </c>
      <c r="F2782" t="inlineStr">
        <is>
          <t>Allmännings- och besparingsskogar</t>
        </is>
      </c>
      <c r="G2782" t="n">
        <v>14.8</v>
      </c>
      <c r="H2782" t="n">
        <v>0</v>
      </c>
      <c r="I2782" t="n">
        <v>0</v>
      </c>
      <c r="J2782" t="n">
        <v>0</v>
      </c>
      <c r="K2782" t="n">
        <v>0</v>
      </c>
      <c r="L2782" t="n">
        <v>0</v>
      </c>
      <c r="M2782" t="n">
        <v>0</v>
      </c>
      <c r="N2782" t="n">
        <v>0</v>
      </c>
      <c r="O2782" t="n">
        <v>0</v>
      </c>
      <c r="P2782" t="n">
        <v>0</v>
      </c>
      <c r="Q2782" t="n">
        <v>0</v>
      </c>
      <c r="R2782" s="2" t="inlineStr"/>
    </row>
    <row r="2783" ht="15" customHeight="1">
      <c r="A2783" t="inlineStr">
        <is>
          <t>A 5724-2023</t>
        </is>
      </c>
      <c r="B2783" s="1" t="n">
        <v>44961</v>
      </c>
      <c r="C2783" s="1" t="n">
        <v>45757</v>
      </c>
      <c r="D2783" t="inlineStr">
        <is>
          <t>VÄSTMANLANDS LÄN</t>
        </is>
      </c>
      <c r="E2783" t="inlineStr">
        <is>
          <t>VÄSTERÅS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5782-2023</t>
        </is>
      </c>
      <c r="B2784" s="1" t="n">
        <v>44963</v>
      </c>
      <c r="C2784" s="1" t="n">
        <v>45757</v>
      </c>
      <c r="D2784" t="inlineStr">
        <is>
          <t>VÄSTMANLANDS LÄN</t>
        </is>
      </c>
      <c r="E2784" t="inlineStr">
        <is>
          <t>SALA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6111-2023</t>
        </is>
      </c>
      <c r="B2785" s="1" t="n">
        <v>44964</v>
      </c>
      <c r="C2785" s="1" t="n">
        <v>45757</v>
      </c>
      <c r="D2785" t="inlineStr">
        <is>
          <t>VÄSTMANLANDS LÄN</t>
        </is>
      </c>
      <c r="E2785" t="inlineStr">
        <is>
          <t>SALA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6135-2023</t>
        </is>
      </c>
      <c r="B2786" s="1" t="n">
        <v>44964</v>
      </c>
      <c r="C2786" s="1" t="n">
        <v>45757</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6167-2023</t>
        </is>
      </c>
      <c r="B2787" s="1" t="n">
        <v>44964</v>
      </c>
      <c r="C2787" s="1" t="n">
        <v>45757</v>
      </c>
      <c r="D2787" t="inlineStr">
        <is>
          <t>VÄSTMANLANDS LÄN</t>
        </is>
      </c>
      <c r="E2787" t="inlineStr">
        <is>
          <t>SALA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6130-2023</t>
        </is>
      </c>
      <c r="B2788" s="1" t="n">
        <v>44964</v>
      </c>
      <c r="C2788" s="1" t="n">
        <v>45757</v>
      </c>
      <c r="D2788" t="inlineStr">
        <is>
          <t>VÄSTMANLANDS LÄN</t>
        </is>
      </c>
      <c r="E2788" t="inlineStr">
        <is>
          <t>SALA</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6051-2023</t>
        </is>
      </c>
      <c r="B2789" s="1" t="n">
        <v>44964</v>
      </c>
      <c r="C2789" s="1" t="n">
        <v>45757</v>
      </c>
      <c r="D2789" t="inlineStr">
        <is>
          <t>VÄSTMANLANDS LÄN</t>
        </is>
      </c>
      <c r="E2789" t="inlineStr">
        <is>
          <t>KÖPING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6116-2023</t>
        </is>
      </c>
      <c r="B2790" s="1" t="n">
        <v>44964</v>
      </c>
      <c r="C2790" s="1" t="n">
        <v>45757</v>
      </c>
      <c r="D2790" t="inlineStr">
        <is>
          <t>VÄSTMANLANDS LÄN</t>
        </is>
      </c>
      <c r="E2790" t="inlineStr">
        <is>
          <t>SALA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6139-2023</t>
        </is>
      </c>
      <c r="B2791" s="1" t="n">
        <v>44964</v>
      </c>
      <c r="C2791" s="1" t="n">
        <v>45757</v>
      </c>
      <c r="D2791" t="inlineStr">
        <is>
          <t>VÄSTMANLANDS LÄN</t>
        </is>
      </c>
      <c r="E2791" t="inlineStr">
        <is>
          <t>SALA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6183-2023</t>
        </is>
      </c>
      <c r="B2792" s="1" t="n">
        <v>44964</v>
      </c>
      <c r="C2792" s="1" t="n">
        <v>45757</v>
      </c>
      <c r="D2792" t="inlineStr">
        <is>
          <t>VÄSTMANLANDS LÄN</t>
        </is>
      </c>
      <c r="E2792" t="inlineStr">
        <is>
          <t>SKINNSKATTEBERG</t>
        </is>
      </c>
      <c r="F2792" t="inlineStr">
        <is>
          <t>Sveaskog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6869-2023</t>
        </is>
      </c>
      <c r="B2793" s="1" t="n">
        <v>44964</v>
      </c>
      <c r="C2793" s="1" t="n">
        <v>45757</v>
      </c>
      <c r="D2793" t="inlineStr">
        <is>
          <t>VÄSTMANLANDS LÄN</t>
        </is>
      </c>
      <c r="E2793" t="inlineStr">
        <is>
          <t>SALA</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6298-2023</t>
        </is>
      </c>
      <c r="B2794" s="1" t="n">
        <v>44965</v>
      </c>
      <c r="C2794" s="1" t="n">
        <v>45757</v>
      </c>
      <c r="D2794" t="inlineStr">
        <is>
          <t>VÄSTMANLANDS LÄN</t>
        </is>
      </c>
      <c r="E2794" t="inlineStr">
        <is>
          <t>SKINNSKATTEBERG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6351-2023</t>
        </is>
      </c>
      <c r="B2795" s="1" t="n">
        <v>44965</v>
      </c>
      <c r="C2795" s="1" t="n">
        <v>45757</v>
      </c>
      <c r="D2795" t="inlineStr">
        <is>
          <t>VÄSTMANLANDS LÄN</t>
        </is>
      </c>
      <c r="E2795" t="inlineStr">
        <is>
          <t>SALA</t>
        </is>
      </c>
      <c r="F2795" t="inlineStr">
        <is>
          <t>Kommuner</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6667-2023</t>
        </is>
      </c>
      <c r="B2796" s="1" t="n">
        <v>44966</v>
      </c>
      <c r="C2796" s="1" t="n">
        <v>45757</v>
      </c>
      <c r="D2796" t="inlineStr">
        <is>
          <t>VÄSTMANLANDS LÄN</t>
        </is>
      </c>
      <c r="E2796" t="inlineStr">
        <is>
          <t>KÖPING</t>
        </is>
      </c>
      <c r="G2796" t="n">
        <v>11.9</v>
      </c>
      <c r="H2796" t="n">
        <v>0</v>
      </c>
      <c r="I2796" t="n">
        <v>0</v>
      </c>
      <c r="J2796" t="n">
        <v>0</v>
      </c>
      <c r="K2796" t="n">
        <v>0</v>
      </c>
      <c r="L2796" t="n">
        <v>0</v>
      </c>
      <c r="M2796" t="n">
        <v>0</v>
      </c>
      <c r="N2796" t="n">
        <v>0</v>
      </c>
      <c r="O2796" t="n">
        <v>0</v>
      </c>
      <c r="P2796" t="n">
        <v>0</v>
      </c>
      <c r="Q2796" t="n">
        <v>0</v>
      </c>
      <c r="R2796" s="2" t="inlineStr"/>
    </row>
    <row r="2797" ht="15" customHeight="1">
      <c r="A2797" t="inlineStr">
        <is>
          <t>A 6680-2023</t>
        </is>
      </c>
      <c r="B2797" s="1" t="n">
        <v>44966</v>
      </c>
      <c r="C2797" s="1" t="n">
        <v>45757</v>
      </c>
      <c r="D2797" t="inlineStr">
        <is>
          <t>VÄSTMANLANDS LÄN</t>
        </is>
      </c>
      <c r="E2797" t="inlineStr">
        <is>
          <t>ARBOGA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6851-2023</t>
        </is>
      </c>
      <c r="B2798" s="1" t="n">
        <v>44967</v>
      </c>
      <c r="C2798" s="1" t="n">
        <v>45757</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6946-2023</t>
        </is>
      </c>
      <c r="B2799" s="1" t="n">
        <v>44967</v>
      </c>
      <c r="C2799" s="1" t="n">
        <v>45757</v>
      </c>
      <c r="D2799" t="inlineStr">
        <is>
          <t>VÄSTMANLANDS LÄN</t>
        </is>
      </c>
      <c r="E2799" t="inlineStr">
        <is>
          <t>KÖPING</t>
        </is>
      </c>
      <c r="F2799" t="inlineStr">
        <is>
          <t>Sveaskog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6943-2023</t>
        </is>
      </c>
      <c r="B2800" s="1" t="n">
        <v>44967</v>
      </c>
      <c r="C2800" s="1" t="n">
        <v>45757</v>
      </c>
      <c r="D2800" t="inlineStr">
        <is>
          <t>VÄSTMANLANDS LÄN</t>
        </is>
      </c>
      <c r="E2800" t="inlineStr">
        <is>
          <t>SKINNSKATTEBERG</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6948-2023</t>
        </is>
      </c>
      <c r="B2801" s="1" t="n">
        <v>44967</v>
      </c>
      <c r="C2801" s="1" t="n">
        <v>45757</v>
      </c>
      <c r="D2801" t="inlineStr">
        <is>
          <t>VÄSTMANLANDS LÄN</t>
        </is>
      </c>
      <c r="E2801" t="inlineStr">
        <is>
          <t>KÖPING</t>
        </is>
      </c>
      <c r="F2801" t="inlineStr">
        <is>
          <t>Sveaskog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6949-2023</t>
        </is>
      </c>
      <c r="B2802" s="1" t="n">
        <v>44967</v>
      </c>
      <c r="C2802" s="1" t="n">
        <v>45757</v>
      </c>
      <c r="D2802" t="inlineStr">
        <is>
          <t>VÄSTMANLANDS LÄN</t>
        </is>
      </c>
      <c r="E2802" t="inlineStr">
        <is>
          <t>KÖPING</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7176-2023</t>
        </is>
      </c>
      <c r="B2803" s="1" t="n">
        <v>44970</v>
      </c>
      <c r="C2803" s="1" t="n">
        <v>45757</v>
      </c>
      <c r="D2803" t="inlineStr">
        <is>
          <t>VÄSTMANLANDS LÄN</t>
        </is>
      </c>
      <c r="E2803" t="inlineStr">
        <is>
          <t>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7193-2023</t>
        </is>
      </c>
      <c r="B2804" s="1" t="n">
        <v>44970</v>
      </c>
      <c r="C2804" s="1" t="n">
        <v>45757</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7965-2023</t>
        </is>
      </c>
      <c r="B2805" s="1" t="n">
        <v>44970</v>
      </c>
      <c r="C2805" s="1" t="n">
        <v>45757</v>
      </c>
      <c r="D2805" t="inlineStr">
        <is>
          <t>VÄSTMANLANDS LÄN</t>
        </is>
      </c>
      <c r="E2805" t="inlineStr">
        <is>
          <t>KÖPING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7954-2023</t>
        </is>
      </c>
      <c r="B2806" s="1" t="n">
        <v>44970</v>
      </c>
      <c r="C2806" s="1" t="n">
        <v>45757</v>
      </c>
      <c r="D2806" t="inlineStr">
        <is>
          <t>VÄSTMANLANDS LÄN</t>
        </is>
      </c>
      <c r="E2806" t="inlineStr">
        <is>
          <t>SALA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7377-2023</t>
        </is>
      </c>
      <c r="B2807" s="1" t="n">
        <v>44971</v>
      </c>
      <c r="C2807" s="1" t="n">
        <v>45757</v>
      </c>
      <c r="D2807" t="inlineStr">
        <is>
          <t>VÄSTMANLANDS LÄN</t>
        </is>
      </c>
      <c r="E2807" t="inlineStr">
        <is>
          <t>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7351-2023</t>
        </is>
      </c>
      <c r="B2808" s="1" t="n">
        <v>44971</v>
      </c>
      <c r="C2808" s="1" t="n">
        <v>45757</v>
      </c>
      <c r="D2808" t="inlineStr">
        <is>
          <t>VÄSTMANLANDS LÄN</t>
        </is>
      </c>
      <c r="E2808" t="inlineStr">
        <is>
          <t>SALA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7385-2023</t>
        </is>
      </c>
      <c r="B2809" s="1" t="n">
        <v>44971</v>
      </c>
      <c r="C2809" s="1" t="n">
        <v>45757</v>
      </c>
      <c r="D2809" t="inlineStr">
        <is>
          <t>VÄSTMANLANDS LÄN</t>
        </is>
      </c>
      <c r="E2809" t="inlineStr">
        <is>
          <t>FAGERSTA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7396-2023</t>
        </is>
      </c>
      <c r="B2810" s="1" t="n">
        <v>44971</v>
      </c>
      <c r="C2810" s="1" t="n">
        <v>45757</v>
      </c>
      <c r="D2810" t="inlineStr">
        <is>
          <t>VÄSTMANLANDS LÄN</t>
        </is>
      </c>
      <c r="E2810" t="inlineStr">
        <is>
          <t>FAGERSTA</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7502-2023</t>
        </is>
      </c>
      <c r="B2811" s="1" t="n">
        <v>44971</v>
      </c>
      <c r="C2811" s="1" t="n">
        <v>45757</v>
      </c>
      <c r="D2811" t="inlineStr">
        <is>
          <t>VÄSTMANLANDS LÄN</t>
        </is>
      </c>
      <c r="E2811" t="inlineStr">
        <is>
          <t>SALA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7616-2023</t>
        </is>
      </c>
      <c r="B2812" s="1" t="n">
        <v>44972</v>
      </c>
      <c r="C2812" s="1" t="n">
        <v>45757</v>
      </c>
      <c r="D2812" t="inlineStr">
        <is>
          <t>VÄSTMANLANDS LÄN</t>
        </is>
      </c>
      <c r="E2812" t="inlineStr">
        <is>
          <t>KUNGSÖR</t>
        </is>
      </c>
      <c r="G2812" t="n">
        <v>13.3</v>
      </c>
      <c r="H2812" t="n">
        <v>0</v>
      </c>
      <c r="I2812" t="n">
        <v>0</v>
      </c>
      <c r="J2812" t="n">
        <v>0</v>
      </c>
      <c r="K2812" t="n">
        <v>0</v>
      </c>
      <c r="L2812" t="n">
        <v>0</v>
      </c>
      <c r="M2812" t="n">
        <v>0</v>
      </c>
      <c r="N2812" t="n">
        <v>0</v>
      </c>
      <c r="O2812" t="n">
        <v>0</v>
      </c>
      <c r="P2812" t="n">
        <v>0</v>
      </c>
      <c r="Q2812" t="n">
        <v>0</v>
      </c>
      <c r="R2812" s="2" t="inlineStr"/>
    </row>
    <row r="2813" ht="15" customHeight="1">
      <c r="A2813" t="inlineStr">
        <is>
          <t>A 7664-2023</t>
        </is>
      </c>
      <c r="B2813" s="1" t="n">
        <v>44972</v>
      </c>
      <c r="C2813" s="1" t="n">
        <v>45757</v>
      </c>
      <c r="D2813" t="inlineStr">
        <is>
          <t>VÄSTMANLANDS LÄN</t>
        </is>
      </c>
      <c r="E2813" t="inlineStr">
        <is>
          <t>SALA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7635-2023</t>
        </is>
      </c>
      <c r="B2814" s="1" t="n">
        <v>44972</v>
      </c>
      <c r="C2814" s="1" t="n">
        <v>45757</v>
      </c>
      <c r="D2814" t="inlineStr">
        <is>
          <t>VÄSTMANLANDS LÄN</t>
        </is>
      </c>
      <c r="E2814" t="inlineStr">
        <is>
          <t>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7744-2023</t>
        </is>
      </c>
      <c r="B2815" s="1" t="n">
        <v>44973</v>
      </c>
      <c r="C2815" s="1" t="n">
        <v>45757</v>
      </c>
      <c r="D2815" t="inlineStr">
        <is>
          <t>VÄSTMANLANDS LÄN</t>
        </is>
      </c>
      <c r="E2815" t="inlineStr">
        <is>
          <t>NORBERG</t>
        </is>
      </c>
      <c r="F2815" t="inlineStr">
        <is>
          <t>Övriga Aktiebolag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7772-2023</t>
        </is>
      </c>
      <c r="B2816" s="1" t="n">
        <v>44973</v>
      </c>
      <c r="C2816" s="1" t="n">
        <v>45757</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7813-2023</t>
        </is>
      </c>
      <c r="B2817" s="1" t="n">
        <v>44973</v>
      </c>
      <c r="C2817" s="1" t="n">
        <v>45757</v>
      </c>
      <c r="D2817" t="inlineStr">
        <is>
          <t>VÄSTMANLANDS LÄN</t>
        </is>
      </c>
      <c r="E2817" t="inlineStr">
        <is>
          <t>SALA</t>
        </is>
      </c>
      <c r="F2817" t="inlineStr">
        <is>
          <t>Bergvik skog öst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8746-2023</t>
        </is>
      </c>
      <c r="B2818" s="1" t="n">
        <v>44973</v>
      </c>
      <c r="C2818" s="1" t="n">
        <v>45757</v>
      </c>
      <c r="D2818" t="inlineStr">
        <is>
          <t>VÄSTMANLANDS LÄN</t>
        </is>
      </c>
      <c r="E2818" t="inlineStr">
        <is>
          <t>NORBERG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8744-2023</t>
        </is>
      </c>
      <c r="B2819" s="1" t="n">
        <v>44973</v>
      </c>
      <c r="C2819" s="1" t="n">
        <v>45757</v>
      </c>
      <c r="D2819" t="inlineStr">
        <is>
          <t>VÄSTMANLANDS LÄN</t>
        </is>
      </c>
      <c r="E2819" t="inlineStr">
        <is>
          <t>NORBERG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8047-2023</t>
        </is>
      </c>
      <c r="B2820" s="1" t="n">
        <v>44974</v>
      </c>
      <c r="C2820" s="1" t="n">
        <v>45757</v>
      </c>
      <c r="D2820" t="inlineStr">
        <is>
          <t>VÄSTMANLANDS LÄN</t>
        </is>
      </c>
      <c r="E2820" t="inlineStr">
        <is>
          <t>SALA</t>
        </is>
      </c>
      <c r="G2820" t="n">
        <v>17.4</v>
      </c>
      <c r="H2820" t="n">
        <v>0</v>
      </c>
      <c r="I2820" t="n">
        <v>0</v>
      </c>
      <c r="J2820" t="n">
        <v>0</v>
      </c>
      <c r="K2820" t="n">
        <v>0</v>
      </c>
      <c r="L2820" t="n">
        <v>0</v>
      </c>
      <c r="M2820" t="n">
        <v>0</v>
      </c>
      <c r="N2820" t="n">
        <v>0</v>
      </c>
      <c r="O2820" t="n">
        <v>0</v>
      </c>
      <c r="P2820" t="n">
        <v>0</v>
      </c>
      <c r="Q2820" t="n">
        <v>0</v>
      </c>
      <c r="R2820" s="2" t="inlineStr"/>
    </row>
    <row r="2821" ht="15" customHeight="1">
      <c r="A2821" t="inlineStr">
        <is>
          <t>A 8198-2023</t>
        </is>
      </c>
      <c r="B2821" s="1" t="n">
        <v>44974</v>
      </c>
      <c r="C2821" s="1" t="n">
        <v>45757</v>
      </c>
      <c r="D2821" t="inlineStr">
        <is>
          <t>VÄSTMANLANDS LÄN</t>
        </is>
      </c>
      <c r="E2821" t="inlineStr">
        <is>
          <t>SKINNSKATTEBERG</t>
        </is>
      </c>
      <c r="F2821" t="inlineStr">
        <is>
          <t>Kyrkan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8125-2023</t>
        </is>
      </c>
      <c r="B2822" s="1" t="n">
        <v>44974</v>
      </c>
      <c r="C2822" s="1" t="n">
        <v>45757</v>
      </c>
      <c r="D2822" t="inlineStr">
        <is>
          <t>VÄSTMANLANDS LÄN</t>
        </is>
      </c>
      <c r="E2822" t="inlineStr">
        <is>
          <t>ARBOGA</t>
        </is>
      </c>
      <c r="F2822" t="inlineStr">
        <is>
          <t>Allmännings- och besparingsskogar</t>
        </is>
      </c>
      <c r="G2822" t="n">
        <v>14.1</v>
      </c>
      <c r="H2822" t="n">
        <v>0</v>
      </c>
      <c r="I2822" t="n">
        <v>0</v>
      </c>
      <c r="J2822" t="n">
        <v>0</v>
      </c>
      <c r="K2822" t="n">
        <v>0</v>
      </c>
      <c r="L2822" t="n">
        <v>0</v>
      </c>
      <c r="M2822" t="n">
        <v>0</v>
      </c>
      <c r="N2822" t="n">
        <v>0</v>
      </c>
      <c r="O2822" t="n">
        <v>0</v>
      </c>
      <c r="P2822" t="n">
        <v>0</v>
      </c>
      <c r="Q2822" t="n">
        <v>0</v>
      </c>
      <c r="R2822" s="2" t="inlineStr"/>
    </row>
    <row r="2823" ht="15" customHeight="1">
      <c r="A2823" t="inlineStr">
        <is>
          <t>A 8264-2023</t>
        </is>
      </c>
      <c r="B2823" s="1" t="n">
        <v>44974</v>
      </c>
      <c r="C2823" s="1" t="n">
        <v>45757</v>
      </c>
      <c r="D2823" t="inlineStr">
        <is>
          <t>VÄSTMANLANDS LÄN</t>
        </is>
      </c>
      <c r="E2823" t="inlineStr">
        <is>
          <t>FAGERSTA</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8193-2023</t>
        </is>
      </c>
      <c r="B2824" s="1" t="n">
        <v>44974</v>
      </c>
      <c r="C2824" s="1" t="n">
        <v>45757</v>
      </c>
      <c r="D2824" t="inlineStr">
        <is>
          <t>VÄSTMANLANDS LÄN</t>
        </is>
      </c>
      <c r="E2824" t="inlineStr">
        <is>
          <t>KUNGSÖR</t>
        </is>
      </c>
      <c r="F2824" t="inlineStr">
        <is>
          <t>Allmännings- och besparingsskogar</t>
        </is>
      </c>
      <c r="G2824" t="n">
        <v>10.5</v>
      </c>
      <c r="H2824" t="n">
        <v>0</v>
      </c>
      <c r="I2824" t="n">
        <v>0</v>
      </c>
      <c r="J2824" t="n">
        <v>0</v>
      </c>
      <c r="K2824" t="n">
        <v>0</v>
      </c>
      <c r="L2824" t="n">
        <v>0</v>
      </c>
      <c r="M2824" t="n">
        <v>0</v>
      </c>
      <c r="N2824" t="n">
        <v>0</v>
      </c>
      <c r="O2824" t="n">
        <v>0</v>
      </c>
      <c r="P2824" t="n">
        <v>0</v>
      </c>
      <c r="Q2824" t="n">
        <v>0</v>
      </c>
      <c r="R2824" s="2" t="inlineStr"/>
    </row>
    <row r="2825" ht="15" customHeight="1">
      <c r="A2825" t="inlineStr">
        <is>
          <t>A 8202-2023</t>
        </is>
      </c>
      <c r="B2825" s="1" t="n">
        <v>44974</v>
      </c>
      <c r="C2825" s="1" t="n">
        <v>45757</v>
      </c>
      <c r="D2825" t="inlineStr">
        <is>
          <t>VÄSTMANLANDS LÄN</t>
        </is>
      </c>
      <c r="E2825" t="inlineStr">
        <is>
          <t>SKINNSKATTEBERG</t>
        </is>
      </c>
      <c r="F2825" t="inlineStr">
        <is>
          <t>Kyrkan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8218-2023</t>
        </is>
      </c>
      <c r="B2826" s="1" t="n">
        <v>44974</v>
      </c>
      <c r="C2826" s="1" t="n">
        <v>45757</v>
      </c>
      <c r="D2826" t="inlineStr">
        <is>
          <t>VÄSTMANLANDS LÄN</t>
        </is>
      </c>
      <c r="E2826" t="inlineStr">
        <is>
          <t>SKINNSKATTEBERG</t>
        </is>
      </c>
      <c r="F2826" t="inlineStr">
        <is>
          <t>Kyrkan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8331-2023</t>
        </is>
      </c>
      <c r="B2827" s="1" t="n">
        <v>44974</v>
      </c>
      <c r="C2827" s="1" t="n">
        <v>45757</v>
      </c>
      <c r="D2827" t="inlineStr">
        <is>
          <t>VÄSTMANLANDS LÄN</t>
        </is>
      </c>
      <c r="E2827" t="inlineStr">
        <is>
          <t>KUNGSÖR</t>
        </is>
      </c>
      <c r="F2827" t="inlineStr">
        <is>
          <t>Allmännings- och besparingsskogar</t>
        </is>
      </c>
      <c r="G2827" t="n">
        <v>20.7</v>
      </c>
      <c r="H2827" t="n">
        <v>0</v>
      </c>
      <c r="I2827" t="n">
        <v>0</v>
      </c>
      <c r="J2827" t="n">
        <v>0</v>
      </c>
      <c r="K2827" t="n">
        <v>0</v>
      </c>
      <c r="L2827" t="n">
        <v>0</v>
      </c>
      <c r="M2827" t="n">
        <v>0</v>
      </c>
      <c r="N2827" t="n">
        <v>0</v>
      </c>
      <c r="O2827" t="n">
        <v>0</v>
      </c>
      <c r="P2827" t="n">
        <v>0</v>
      </c>
      <c r="Q2827" t="n">
        <v>0</v>
      </c>
      <c r="R2827" s="2" t="inlineStr"/>
    </row>
    <row r="2828" ht="15" customHeight="1">
      <c r="A2828" t="inlineStr">
        <is>
          <t>A 8199-2023</t>
        </is>
      </c>
      <c r="B2828" s="1" t="n">
        <v>44974</v>
      </c>
      <c r="C2828" s="1" t="n">
        <v>45757</v>
      </c>
      <c r="D2828" t="inlineStr">
        <is>
          <t>VÄSTMANLANDS LÄN</t>
        </is>
      </c>
      <c r="E2828" t="inlineStr">
        <is>
          <t>SKINNSKATTEBERG</t>
        </is>
      </c>
      <c r="F2828" t="inlineStr">
        <is>
          <t>Kyrkan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8228-2023</t>
        </is>
      </c>
      <c r="B2829" s="1" t="n">
        <v>44974</v>
      </c>
      <c r="C2829" s="1" t="n">
        <v>45757</v>
      </c>
      <c r="D2829" t="inlineStr">
        <is>
          <t>VÄSTMANLANDS LÄN</t>
        </is>
      </c>
      <c r="E2829" t="inlineStr">
        <is>
          <t>KUNGSÖR</t>
        </is>
      </c>
      <c r="G2829" t="n">
        <v>13.9</v>
      </c>
      <c r="H2829" t="n">
        <v>0</v>
      </c>
      <c r="I2829" t="n">
        <v>0</v>
      </c>
      <c r="J2829" t="n">
        <v>0</v>
      </c>
      <c r="K2829" t="n">
        <v>0</v>
      </c>
      <c r="L2829" t="n">
        <v>0</v>
      </c>
      <c r="M2829" t="n">
        <v>0</v>
      </c>
      <c r="N2829" t="n">
        <v>0</v>
      </c>
      <c r="O2829" t="n">
        <v>0</v>
      </c>
      <c r="P2829" t="n">
        <v>0</v>
      </c>
      <c r="Q2829" t="n">
        <v>0</v>
      </c>
      <c r="R2829" s="2" t="inlineStr"/>
    </row>
    <row r="2830" ht="15" customHeight="1">
      <c r="A2830" t="inlineStr">
        <is>
          <t>A 8275-2023</t>
        </is>
      </c>
      <c r="B2830" s="1" t="n">
        <v>44974</v>
      </c>
      <c r="C2830" s="1" t="n">
        <v>45757</v>
      </c>
      <c r="D2830" t="inlineStr">
        <is>
          <t>VÄSTMANLANDS LÄN</t>
        </is>
      </c>
      <c r="E2830" t="inlineStr">
        <is>
          <t>KUNGSÖR</t>
        </is>
      </c>
      <c r="F2830" t="inlineStr">
        <is>
          <t>Allmännings- och besparingsskogar</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8436-2023</t>
        </is>
      </c>
      <c r="B2831" s="1" t="n">
        <v>44977</v>
      </c>
      <c r="C2831" s="1" t="n">
        <v>45757</v>
      </c>
      <c r="D2831" t="inlineStr">
        <is>
          <t>VÄSTMANLANDS LÄN</t>
        </is>
      </c>
      <c r="E2831" t="inlineStr">
        <is>
          <t>HALLSTAHAMMAR</t>
        </is>
      </c>
      <c r="F2831" t="inlineStr">
        <is>
          <t>Kyrkan</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8461-2023</t>
        </is>
      </c>
      <c r="B2832" s="1" t="n">
        <v>44977</v>
      </c>
      <c r="C2832" s="1" t="n">
        <v>45757</v>
      </c>
      <c r="D2832" t="inlineStr">
        <is>
          <t>VÄSTMANLANDS LÄN</t>
        </is>
      </c>
      <c r="E2832" t="inlineStr">
        <is>
          <t>KÖPING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8543-2023</t>
        </is>
      </c>
      <c r="B2833" s="1" t="n">
        <v>44977</v>
      </c>
      <c r="C2833" s="1" t="n">
        <v>45757</v>
      </c>
      <c r="D2833" t="inlineStr">
        <is>
          <t>VÄSTMANLANDS LÄN</t>
        </is>
      </c>
      <c r="E2833" t="inlineStr">
        <is>
          <t>VÄSTERÅS</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8578-2023</t>
        </is>
      </c>
      <c r="B2834" s="1" t="n">
        <v>44977</v>
      </c>
      <c r="C2834" s="1" t="n">
        <v>45757</v>
      </c>
      <c r="D2834" t="inlineStr">
        <is>
          <t>VÄSTMANLANDS LÄN</t>
        </is>
      </c>
      <c r="E2834" t="inlineStr">
        <is>
          <t>SKINNSKATTEBERG</t>
        </is>
      </c>
      <c r="F2834" t="inlineStr">
        <is>
          <t>Sveaskog</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8541-2023</t>
        </is>
      </c>
      <c r="B2835" s="1" t="n">
        <v>44977</v>
      </c>
      <c r="C2835" s="1" t="n">
        <v>45757</v>
      </c>
      <c r="D2835" t="inlineStr">
        <is>
          <t>VÄSTMANLANDS LÄN</t>
        </is>
      </c>
      <c r="E2835" t="inlineStr">
        <is>
          <t>VÄSTERÅS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8476-2023</t>
        </is>
      </c>
      <c r="B2836" s="1" t="n">
        <v>44977</v>
      </c>
      <c r="C2836" s="1" t="n">
        <v>45757</v>
      </c>
      <c r="D2836" t="inlineStr">
        <is>
          <t>VÄSTMANLANDS LÄN</t>
        </is>
      </c>
      <c r="E2836" t="inlineStr">
        <is>
          <t>KÖPING</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8542-2023</t>
        </is>
      </c>
      <c r="B2837" s="1" t="n">
        <v>44977</v>
      </c>
      <c r="C2837" s="1" t="n">
        <v>45757</v>
      </c>
      <c r="D2837" t="inlineStr">
        <is>
          <t>VÄSTMANLANDS LÄN</t>
        </is>
      </c>
      <c r="E2837" t="inlineStr">
        <is>
          <t>VÄSTERÅS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8553-2023</t>
        </is>
      </c>
      <c r="B2838" s="1" t="n">
        <v>44977</v>
      </c>
      <c r="C2838" s="1" t="n">
        <v>45757</v>
      </c>
      <c r="D2838" t="inlineStr">
        <is>
          <t>VÄSTMANLANDS LÄN</t>
        </is>
      </c>
      <c r="E2838" t="inlineStr">
        <is>
          <t>SURAHAMMAR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8727-2023</t>
        </is>
      </c>
      <c r="B2839" s="1" t="n">
        <v>44978</v>
      </c>
      <c r="C2839" s="1" t="n">
        <v>45757</v>
      </c>
      <c r="D2839" t="inlineStr">
        <is>
          <t>VÄSTMANLANDS LÄN</t>
        </is>
      </c>
      <c r="E2839" t="inlineStr">
        <is>
          <t>VÄSTERÅS</t>
        </is>
      </c>
      <c r="F2839" t="inlineStr">
        <is>
          <t>Kyrkan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8800-2023</t>
        </is>
      </c>
      <c r="B2840" s="1" t="n">
        <v>44978</v>
      </c>
      <c r="C2840" s="1" t="n">
        <v>45757</v>
      </c>
      <c r="D2840" t="inlineStr">
        <is>
          <t>VÄSTMANLANDS LÄN</t>
        </is>
      </c>
      <c r="E2840" t="inlineStr">
        <is>
          <t>VÄSTERÅS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8833-2023</t>
        </is>
      </c>
      <c r="B2841" s="1" t="n">
        <v>44978</v>
      </c>
      <c r="C2841" s="1" t="n">
        <v>45757</v>
      </c>
      <c r="D2841" t="inlineStr">
        <is>
          <t>VÄSTMANLANDS LÄN</t>
        </is>
      </c>
      <c r="E2841" t="inlineStr">
        <is>
          <t>HALLSTAHAMMAR</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8766-2023</t>
        </is>
      </c>
      <c r="B2842" s="1" t="n">
        <v>44978</v>
      </c>
      <c r="C2842" s="1" t="n">
        <v>45757</v>
      </c>
      <c r="D2842" t="inlineStr">
        <is>
          <t>VÄSTMANLANDS LÄN</t>
        </is>
      </c>
      <c r="E2842" t="inlineStr">
        <is>
          <t>SALA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8818-2023</t>
        </is>
      </c>
      <c r="B2843" s="1" t="n">
        <v>44978</v>
      </c>
      <c r="C2843" s="1" t="n">
        <v>45757</v>
      </c>
      <c r="D2843" t="inlineStr">
        <is>
          <t>VÄSTMANLANDS LÄN</t>
        </is>
      </c>
      <c r="E2843" t="inlineStr">
        <is>
          <t>ARBOGA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8797-2023</t>
        </is>
      </c>
      <c r="B2844" s="1" t="n">
        <v>44978</v>
      </c>
      <c r="C2844" s="1" t="n">
        <v>45757</v>
      </c>
      <c r="D2844" t="inlineStr">
        <is>
          <t>VÄSTMANLANDS LÄN</t>
        </is>
      </c>
      <c r="E2844" t="inlineStr">
        <is>
          <t>VÄSTERÅS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9051-2023</t>
        </is>
      </c>
      <c r="B2845" s="1" t="n">
        <v>44979</v>
      </c>
      <c r="C2845" s="1" t="n">
        <v>45757</v>
      </c>
      <c r="D2845" t="inlineStr">
        <is>
          <t>VÄSTMANLANDS LÄN</t>
        </is>
      </c>
      <c r="E2845" t="inlineStr">
        <is>
          <t>SALA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10749-2023</t>
        </is>
      </c>
      <c r="B2846" s="1" t="n">
        <v>44985</v>
      </c>
      <c r="C2846" s="1" t="n">
        <v>45757</v>
      </c>
      <c r="D2846" t="inlineStr">
        <is>
          <t>VÄSTMANLANDS LÄN</t>
        </is>
      </c>
      <c r="E2846" t="inlineStr">
        <is>
          <t>KÖPING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10750-2023</t>
        </is>
      </c>
      <c r="B2847" s="1" t="n">
        <v>44985</v>
      </c>
      <c r="C2847" s="1" t="n">
        <v>45757</v>
      </c>
      <c r="D2847" t="inlineStr">
        <is>
          <t>VÄSTMANLANDS LÄN</t>
        </is>
      </c>
      <c r="E2847" t="inlineStr">
        <is>
          <t>KÖPING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10132-2023</t>
        </is>
      </c>
      <c r="B2848" s="1" t="n">
        <v>44986</v>
      </c>
      <c r="C2848" s="1" t="n">
        <v>45757</v>
      </c>
      <c r="D2848" t="inlineStr">
        <is>
          <t>VÄSTMANLANDS LÄN</t>
        </is>
      </c>
      <c r="E2848" t="inlineStr">
        <is>
          <t>ARBOGA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10225-2023</t>
        </is>
      </c>
      <c r="B2849" s="1" t="n">
        <v>44986</v>
      </c>
      <c r="C2849" s="1" t="n">
        <v>45757</v>
      </c>
      <c r="D2849" t="inlineStr">
        <is>
          <t>VÄSTMANLANDS LÄN</t>
        </is>
      </c>
      <c r="E2849" t="inlineStr">
        <is>
          <t>VÄSTERÅS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10378-2023</t>
        </is>
      </c>
      <c r="B2850" s="1" t="n">
        <v>44987</v>
      </c>
      <c r="C2850" s="1" t="n">
        <v>45757</v>
      </c>
      <c r="D2850" t="inlineStr">
        <is>
          <t>VÄSTMANLANDS LÄN</t>
        </is>
      </c>
      <c r="E2850" t="inlineStr">
        <is>
          <t>NORBERG</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10380-2023</t>
        </is>
      </c>
      <c r="B2851" s="1" t="n">
        <v>44987</v>
      </c>
      <c r="C2851" s="1" t="n">
        <v>45757</v>
      </c>
      <c r="D2851" t="inlineStr">
        <is>
          <t>VÄSTMANLANDS LÄN</t>
        </is>
      </c>
      <c r="E2851" t="inlineStr">
        <is>
          <t>FAGERSTA</t>
        </is>
      </c>
      <c r="F2851" t="inlineStr">
        <is>
          <t>Övriga Aktiebolag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11137-2023</t>
        </is>
      </c>
      <c r="B2852" s="1" t="n">
        <v>44987</v>
      </c>
      <c r="C2852" s="1" t="n">
        <v>45757</v>
      </c>
      <c r="D2852" t="inlineStr">
        <is>
          <t>VÄSTMANLANDS LÄN</t>
        </is>
      </c>
      <c r="E2852" t="inlineStr">
        <is>
          <t>VÄSTERÅS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10617-2023</t>
        </is>
      </c>
      <c r="B2853" s="1" t="n">
        <v>44988</v>
      </c>
      <c r="C2853" s="1" t="n">
        <v>45757</v>
      </c>
      <c r="D2853" t="inlineStr">
        <is>
          <t>VÄSTMANLANDS LÄN</t>
        </is>
      </c>
      <c r="E2853" t="inlineStr">
        <is>
          <t>ARBOGA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11220-2023</t>
        </is>
      </c>
      <c r="B2854" s="1" t="n">
        <v>44988</v>
      </c>
      <c r="C2854" s="1" t="n">
        <v>45757</v>
      </c>
      <c r="D2854" t="inlineStr">
        <is>
          <t>VÄSTMANLANDS LÄN</t>
        </is>
      </c>
      <c r="E2854" t="inlineStr">
        <is>
          <t>KÖPING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11336-2023</t>
        </is>
      </c>
      <c r="B2855" s="1" t="n">
        <v>44988</v>
      </c>
      <c r="C2855" s="1" t="n">
        <v>45757</v>
      </c>
      <c r="D2855" t="inlineStr">
        <is>
          <t>VÄSTMANLANDS LÄN</t>
        </is>
      </c>
      <c r="E2855" t="inlineStr">
        <is>
          <t>VÄSTERÅS</t>
        </is>
      </c>
      <c r="F2855" t="inlineStr">
        <is>
          <t>Övriga Aktiebolag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11384-2023</t>
        </is>
      </c>
      <c r="B2856" s="1" t="n">
        <v>44988</v>
      </c>
      <c r="C2856" s="1" t="n">
        <v>45757</v>
      </c>
      <c r="D2856" t="inlineStr">
        <is>
          <t>VÄSTMANLANDS LÄN</t>
        </is>
      </c>
      <c r="E2856" t="inlineStr">
        <is>
          <t>KÖPING</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10877-2023</t>
        </is>
      </c>
      <c r="B2857" s="1" t="n">
        <v>44991</v>
      </c>
      <c r="C2857" s="1" t="n">
        <v>45757</v>
      </c>
      <c r="D2857" t="inlineStr">
        <is>
          <t>VÄSTMANLANDS LÄN</t>
        </is>
      </c>
      <c r="E2857" t="inlineStr">
        <is>
          <t>SURAHAMMAR</t>
        </is>
      </c>
      <c r="F2857" t="inlineStr">
        <is>
          <t>Övriga Aktiebolag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10883-2023</t>
        </is>
      </c>
      <c r="B2858" s="1" t="n">
        <v>44991</v>
      </c>
      <c r="C2858" s="1" t="n">
        <v>45757</v>
      </c>
      <c r="D2858" t="inlineStr">
        <is>
          <t>VÄSTMANLANDS LÄN</t>
        </is>
      </c>
      <c r="E2858" t="inlineStr">
        <is>
          <t>SURAHAMMAR</t>
        </is>
      </c>
      <c r="F2858" t="inlineStr">
        <is>
          <t>Övriga Aktiebolag</t>
        </is>
      </c>
      <c r="G2858" t="n">
        <v>12.5</v>
      </c>
      <c r="H2858" t="n">
        <v>0</v>
      </c>
      <c r="I2858" t="n">
        <v>0</v>
      </c>
      <c r="J2858" t="n">
        <v>0</v>
      </c>
      <c r="K2858" t="n">
        <v>0</v>
      </c>
      <c r="L2858" t="n">
        <v>0</v>
      </c>
      <c r="M2858" t="n">
        <v>0</v>
      </c>
      <c r="N2858" t="n">
        <v>0</v>
      </c>
      <c r="O2858" t="n">
        <v>0</v>
      </c>
      <c r="P2858" t="n">
        <v>0</v>
      </c>
      <c r="Q2858" t="n">
        <v>0</v>
      </c>
      <c r="R2858" s="2" t="inlineStr"/>
    </row>
    <row r="2859" ht="15" customHeight="1">
      <c r="A2859" t="inlineStr">
        <is>
          <t>A 10851-2023</t>
        </is>
      </c>
      <c r="B2859" s="1" t="n">
        <v>44991</v>
      </c>
      <c r="C2859" s="1" t="n">
        <v>45757</v>
      </c>
      <c r="D2859" t="inlineStr">
        <is>
          <t>VÄSTMANLANDS LÄN</t>
        </is>
      </c>
      <c r="E2859" t="inlineStr">
        <is>
          <t>FAGERSTA</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11463-2023</t>
        </is>
      </c>
      <c r="B2860" s="1" t="n">
        <v>44991</v>
      </c>
      <c r="C2860" s="1" t="n">
        <v>45757</v>
      </c>
      <c r="D2860" t="inlineStr">
        <is>
          <t>VÄSTMANLANDS LÄN</t>
        </is>
      </c>
      <c r="E2860" t="inlineStr">
        <is>
          <t>VÄSTERÅS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11501-2023</t>
        </is>
      </c>
      <c r="B2861" s="1" t="n">
        <v>44991</v>
      </c>
      <c r="C2861" s="1" t="n">
        <v>45757</v>
      </c>
      <c r="D2861" t="inlineStr">
        <is>
          <t>VÄSTMANLANDS LÄN</t>
        </is>
      </c>
      <c r="E2861" t="inlineStr">
        <is>
          <t>SURAHAMMAR</t>
        </is>
      </c>
      <c r="F2861" t="inlineStr">
        <is>
          <t>Bergvik skog väst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11099-2023</t>
        </is>
      </c>
      <c r="B2862" s="1" t="n">
        <v>44992</v>
      </c>
      <c r="C2862" s="1" t="n">
        <v>45757</v>
      </c>
      <c r="D2862" t="inlineStr">
        <is>
          <t>VÄSTMANLANDS LÄN</t>
        </is>
      </c>
      <c r="E2862" t="inlineStr">
        <is>
          <t>NORBERG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11190-2023</t>
        </is>
      </c>
      <c r="B2863" s="1" t="n">
        <v>44992</v>
      </c>
      <c r="C2863" s="1" t="n">
        <v>45757</v>
      </c>
      <c r="D2863" t="inlineStr">
        <is>
          <t>VÄSTMANLANDS LÄN</t>
        </is>
      </c>
      <c r="E2863" t="inlineStr">
        <is>
          <t>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11166-2023</t>
        </is>
      </c>
      <c r="B2864" s="1" t="n">
        <v>44992</v>
      </c>
      <c r="C2864" s="1" t="n">
        <v>45757</v>
      </c>
      <c r="D2864" t="inlineStr">
        <is>
          <t>VÄSTMANLANDS LÄN</t>
        </is>
      </c>
      <c r="E2864" t="inlineStr">
        <is>
          <t>SALA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11183-2023</t>
        </is>
      </c>
      <c r="B2865" s="1" t="n">
        <v>44992</v>
      </c>
      <c r="C2865" s="1" t="n">
        <v>45757</v>
      </c>
      <c r="D2865" t="inlineStr">
        <is>
          <t>VÄSTMANLANDS LÄN</t>
        </is>
      </c>
      <c r="E2865" t="inlineStr">
        <is>
          <t>SALA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11664-2023</t>
        </is>
      </c>
      <c r="B2866" s="1" t="n">
        <v>44992</v>
      </c>
      <c r="C2866" s="1" t="n">
        <v>45757</v>
      </c>
      <c r="D2866" t="inlineStr">
        <is>
          <t>VÄSTMANLANDS LÄN</t>
        </is>
      </c>
      <c r="E2866" t="inlineStr">
        <is>
          <t>NORBERG</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11494-2023</t>
        </is>
      </c>
      <c r="B2867" s="1" t="n">
        <v>44993</v>
      </c>
      <c r="C2867" s="1" t="n">
        <v>45757</v>
      </c>
      <c r="D2867" t="inlineStr">
        <is>
          <t>VÄSTMANLANDS LÄN</t>
        </is>
      </c>
      <c r="E2867" t="inlineStr">
        <is>
          <t>SKINNSKATTEBERG</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11728-2023</t>
        </is>
      </c>
      <c r="B2868" s="1" t="n">
        <v>44993</v>
      </c>
      <c r="C2868" s="1" t="n">
        <v>45757</v>
      </c>
      <c r="D2868" t="inlineStr">
        <is>
          <t>VÄSTMANLANDS LÄN</t>
        </is>
      </c>
      <c r="E2868" t="inlineStr">
        <is>
          <t>SURAHAMMAR</t>
        </is>
      </c>
      <c r="F2868" t="inlineStr">
        <is>
          <t>Bergvik skog väst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11631-2023</t>
        </is>
      </c>
      <c r="B2869" s="1" t="n">
        <v>44994</v>
      </c>
      <c r="C2869" s="1" t="n">
        <v>45757</v>
      </c>
      <c r="D2869" t="inlineStr">
        <is>
          <t>VÄSTMANLANDS LÄN</t>
        </is>
      </c>
      <c r="E2869" t="inlineStr">
        <is>
          <t>SALA</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11694-2023</t>
        </is>
      </c>
      <c r="B2870" s="1" t="n">
        <v>44994</v>
      </c>
      <c r="C2870" s="1" t="n">
        <v>45757</v>
      </c>
      <c r="D2870" t="inlineStr">
        <is>
          <t>VÄSTMANLANDS LÄN</t>
        </is>
      </c>
      <c r="E2870" t="inlineStr">
        <is>
          <t>ARBOGA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11691-2023</t>
        </is>
      </c>
      <c r="B2871" s="1" t="n">
        <v>44994</v>
      </c>
      <c r="C2871" s="1" t="n">
        <v>45757</v>
      </c>
      <c r="D2871" t="inlineStr">
        <is>
          <t>VÄSTMANLANDS LÄN</t>
        </is>
      </c>
      <c r="E2871" t="inlineStr">
        <is>
          <t>VÄSTERÅS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11748-2023</t>
        </is>
      </c>
      <c r="B2872" s="1" t="n">
        <v>44994</v>
      </c>
      <c r="C2872" s="1" t="n">
        <v>45757</v>
      </c>
      <c r="D2872" t="inlineStr">
        <is>
          <t>VÄSTMANLANDS LÄN</t>
        </is>
      </c>
      <c r="E2872" t="inlineStr">
        <is>
          <t>FAGERSTA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11660-2023</t>
        </is>
      </c>
      <c r="B2873" s="1" t="n">
        <v>44994</v>
      </c>
      <c r="C2873" s="1" t="n">
        <v>45757</v>
      </c>
      <c r="D2873" t="inlineStr">
        <is>
          <t>VÄSTMANLANDS LÄN</t>
        </is>
      </c>
      <c r="E2873" t="inlineStr">
        <is>
          <t>FAGERSTA</t>
        </is>
      </c>
      <c r="F2873" t="inlineStr">
        <is>
          <t>Kommuner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11696-2023</t>
        </is>
      </c>
      <c r="B2874" s="1" t="n">
        <v>44994</v>
      </c>
      <c r="C2874" s="1" t="n">
        <v>45757</v>
      </c>
      <c r="D2874" t="inlineStr">
        <is>
          <t>VÄSTMANLANDS LÄN</t>
        </is>
      </c>
      <c r="E2874" t="inlineStr">
        <is>
          <t>ARBOGA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11757-2023</t>
        </is>
      </c>
      <c r="B2875" s="1" t="n">
        <v>44994</v>
      </c>
      <c r="C2875" s="1" t="n">
        <v>45757</v>
      </c>
      <c r="D2875" t="inlineStr">
        <is>
          <t>VÄSTMANLANDS LÄN</t>
        </is>
      </c>
      <c r="E2875" t="inlineStr">
        <is>
          <t>FAGERSTA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12025-2023</t>
        </is>
      </c>
      <c r="B2876" s="1" t="n">
        <v>44995</v>
      </c>
      <c r="C2876" s="1" t="n">
        <v>45757</v>
      </c>
      <c r="D2876" t="inlineStr">
        <is>
          <t>VÄSTMANLANDS LÄN</t>
        </is>
      </c>
      <c r="E2876" t="inlineStr">
        <is>
          <t>SKINNSKATTEBERG</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12231-2023</t>
        </is>
      </c>
      <c r="B2877" s="1" t="n">
        <v>44995</v>
      </c>
      <c r="C2877" s="1" t="n">
        <v>45757</v>
      </c>
      <c r="D2877" t="inlineStr">
        <is>
          <t>VÄSTMANLANDS LÄN</t>
        </is>
      </c>
      <c r="E2877" t="inlineStr">
        <is>
          <t>SALA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12246-2023</t>
        </is>
      </c>
      <c r="B2878" s="1" t="n">
        <v>44995</v>
      </c>
      <c r="C2878" s="1" t="n">
        <v>45757</v>
      </c>
      <c r="D2878" t="inlineStr">
        <is>
          <t>VÄSTMANLANDS LÄN</t>
        </is>
      </c>
      <c r="E2878" t="inlineStr">
        <is>
          <t>SALA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12272-2023</t>
        </is>
      </c>
      <c r="B2879" s="1" t="n">
        <v>44995</v>
      </c>
      <c r="C2879" s="1" t="n">
        <v>45757</v>
      </c>
      <c r="D2879" t="inlineStr">
        <is>
          <t>VÄSTMANLANDS LÄN</t>
        </is>
      </c>
      <c r="E2879" t="inlineStr">
        <is>
          <t>SALA</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11992-2023</t>
        </is>
      </c>
      <c r="B2880" s="1" t="n">
        <v>44995</v>
      </c>
      <c r="C2880" s="1" t="n">
        <v>45757</v>
      </c>
      <c r="D2880" t="inlineStr">
        <is>
          <t>VÄSTMANLANDS LÄN</t>
        </is>
      </c>
      <c r="E2880" t="inlineStr">
        <is>
          <t>SKINNSKATTEBERG</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12024-2023</t>
        </is>
      </c>
      <c r="B2881" s="1" t="n">
        <v>44995</v>
      </c>
      <c r="C2881" s="1" t="n">
        <v>45757</v>
      </c>
      <c r="D2881" t="inlineStr">
        <is>
          <t>VÄSTMANLANDS LÄN</t>
        </is>
      </c>
      <c r="E2881" t="inlineStr">
        <is>
          <t>SKINNSKATTEBERG</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12242-2023</t>
        </is>
      </c>
      <c r="B2882" s="1" t="n">
        <v>44995</v>
      </c>
      <c r="C2882" s="1" t="n">
        <v>45757</v>
      </c>
      <c r="D2882" t="inlineStr">
        <is>
          <t>VÄSTMANLANDS LÄN</t>
        </is>
      </c>
      <c r="E2882" t="inlineStr">
        <is>
          <t>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12252-2023</t>
        </is>
      </c>
      <c r="B2883" s="1" t="n">
        <v>44995</v>
      </c>
      <c r="C2883" s="1" t="n">
        <v>45757</v>
      </c>
      <c r="D2883" t="inlineStr">
        <is>
          <t>VÄSTMANLANDS LÄN</t>
        </is>
      </c>
      <c r="E2883" t="inlineStr">
        <is>
          <t>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12225-2023</t>
        </is>
      </c>
      <c r="B2884" s="1" t="n">
        <v>44995</v>
      </c>
      <c r="C2884" s="1" t="n">
        <v>45757</v>
      </c>
      <c r="D2884" t="inlineStr">
        <is>
          <t>VÄSTMANLANDS LÄN</t>
        </is>
      </c>
      <c r="E2884" t="inlineStr">
        <is>
          <t>SALA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12170-2023</t>
        </is>
      </c>
      <c r="B2885" s="1" t="n">
        <v>44998</v>
      </c>
      <c r="C2885" s="1" t="n">
        <v>45757</v>
      </c>
      <c r="D2885" t="inlineStr">
        <is>
          <t>VÄSTMANLANDS LÄN</t>
        </is>
      </c>
      <c r="E2885" t="inlineStr">
        <is>
          <t>NORBERG</t>
        </is>
      </c>
      <c r="F2885" t="inlineStr">
        <is>
          <t>Övriga Aktiebolag</t>
        </is>
      </c>
      <c r="G2885" t="n">
        <v>19.6</v>
      </c>
      <c r="H2885" t="n">
        <v>0</v>
      </c>
      <c r="I2885" t="n">
        <v>0</v>
      </c>
      <c r="J2885" t="n">
        <v>0</v>
      </c>
      <c r="K2885" t="n">
        <v>0</v>
      </c>
      <c r="L2885" t="n">
        <v>0</v>
      </c>
      <c r="M2885" t="n">
        <v>0</v>
      </c>
      <c r="N2885" t="n">
        <v>0</v>
      </c>
      <c r="O2885" t="n">
        <v>0</v>
      </c>
      <c r="P2885" t="n">
        <v>0</v>
      </c>
      <c r="Q2885" t="n">
        <v>0</v>
      </c>
      <c r="R2885" s="2" t="inlineStr"/>
    </row>
    <row r="2886" ht="15" customHeight="1">
      <c r="A2886" t="inlineStr">
        <is>
          <t>A 12130-2023</t>
        </is>
      </c>
      <c r="B2886" s="1" t="n">
        <v>44998</v>
      </c>
      <c r="C2886" s="1" t="n">
        <v>45757</v>
      </c>
      <c r="D2886" t="inlineStr">
        <is>
          <t>VÄSTMANLANDS LÄN</t>
        </is>
      </c>
      <c r="E2886" t="inlineStr">
        <is>
          <t>NORBERG</t>
        </is>
      </c>
      <c r="F2886" t="inlineStr">
        <is>
          <t>Övriga Aktiebolag</t>
        </is>
      </c>
      <c r="G2886" t="n">
        <v>14.6</v>
      </c>
      <c r="H2886" t="n">
        <v>0</v>
      </c>
      <c r="I2886" t="n">
        <v>0</v>
      </c>
      <c r="J2886" t="n">
        <v>0</v>
      </c>
      <c r="K2886" t="n">
        <v>0</v>
      </c>
      <c r="L2886" t="n">
        <v>0</v>
      </c>
      <c r="M2886" t="n">
        <v>0</v>
      </c>
      <c r="N2886" t="n">
        <v>0</v>
      </c>
      <c r="O2886" t="n">
        <v>0</v>
      </c>
      <c r="P2886" t="n">
        <v>0</v>
      </c>
      <c r="Q2886" t="n">
        <v>0</v>
      </c>
      <c r="R2886" s="2" t="inlineStr"/>
    </row>
    <row r="2887" ht="15" customHeight="1">
      <c r="A2887" t="inlineStr">
        <is>
          <t>A 12121-2023</t>
        </is>
      </c>
      <c r="B2887" s="1" t="n">
        <v>44998</v>
      </c>
      <c r="C2887" s="1" t="n">
        <v>45757</v>
      </c>
      <c r="D2887" t="inlineStr">
        <is>
          <t>VÄSTMANLANDS LÄN</t>
        </is>
      </c>
      <c r="E2887" t="inlineStr">
        <is>
          <t>FAGERSTA</t>
        </is>
      </c>
      <c r="F2887" t="inlineStr">
        <is>
          <t>Övriga Aktiebolag</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12125-2023</t>
        </is>
      </c>
      <c r="B2888" s="1" t="n">
        <v>44998</v>
      </c>
      <c r="C2888" s="1" t="n">
        <v>45757</v>
      </c>
      <c r="D2888" t="inlineStr">
        <is>
          <t>VÄSTMANLANDS LÄN</t>
        </is>
      </c>
      <c r="E2888" t="inlineStr">
        <is>
          <t>FAGERSTA</t>
        </is>
      </c>
      <c r="F2888" t="inlineStr">
        <is>
          <t>Övriga Aktiebolag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12171-2023</t>
        </is>
      </c>
      <c r="B2889" s="1" t="n">
        <v>44998</v>
      </c>
      <c r="C2889" s="1" t="n">
        <v>45757</v>
      </c>
      <c r="D2889" t="inlineStr">
        <is>
          <t>VÄSTMANLANDS LÄN</t>
        </is>
      </c>
      <c r="E2889" t="inlineStr">
        <is>
          <t>NORBERG</t>
        </is>
      </c>
      <c r="F2889" t="inlineStr">
        <is>
          <t>Övriga Aktiebolag</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12480-2023</t>
        </is>
      </c>
      <c r="B2890" s="1" t="n">
        <v>44999</v>
      </c>
      <c r="C2890" s="1" t="n">
        <v>45757</v>
      </c>
      <c r="D2890" t="inlineStr">
        <is>
          <t>VÄSTMANLANDS LÄN</t>
        </is>
      </c>
      <c r="E2890" t="inlineStr">
        <is>
          <t>VÄSTERÅS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12503-2023</t>
        </is>
      </c>
      <c r="B2891" s="1" t="n">
        <v>44999</v>
      </c>
      <c r="C2891" s="1" t="n">
        <v>45757</v>
      </c>
      <c r="D2891" t="inlineStr">
        <is>
          <t>VÄSTMANLANDS LÄN</t>
        </is>
      </c>
      <c r="E2891" t="inlineStr">
        <is>
          <t>KÖPING</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12509-2023</t>
        </is>
      </c>
      <c r="B2892" s="1" t="n">
        <v>45000</v>
      </c>
      <c r="C2892" s="1" t="n">
        <v>45757</v>
      </c>
      <c r="D2892" t="inlineStr">
        <is>
          <t>VÄSTMANLANDS LÄN</t>
        </is>
      </c>
      <c r="E2892" t="inlineStr">
        <is>
          <t>SALA</t>
        </is>
      </c>
      <c r="G2892" t="n">
        <v>13.9</v>
      </c>
      <c r="H2892" t="n">
        <v>0</v>
      </c>
      <c r="I2892" t="n">
        <v>0</v>
      </c>
      <c r="J2892" t="n">
        <v>0</v>
      </c>
      <c r="K2892" t="n">
        <v>0</v>
      </c>
      <c r="L2892" t="n">
        <v>0</v>
      </c>
      <c r="M2892" t="n">
        <v>0</v>
      </c>
      <c r="N2892" t="n">
        <v>0</v>
      </c>
      <c r="O2892" t="n">
        <v>0</v>
      </c>
      <c r="P2892" t="n">
        <v>0</v>
      </c>
      <c r="Q2892" t="n">
        <v>0</v>
      </c>
      <c r="R2892" s="2" t="inlineStr"/>
    </row>
    <row r="2893" ht="15" customHeight="1">
      <c r="A2893" t="inlineStr">
        <is>
          <t>A 12618-2023</t>
        </is>
      </c>
      <c r="B2893" s="1" t="n">
        <v>44999</v>
      </c>
      <c r="C2893" s="1" t="n">
        <v>45757</v>
      </c>
      <c r="D2893" t="inlineStr">
        <is>
          <t>VÄSTMANLANDS LÄN</t>
        </is>
      </c>
      <c r="E2893" t="inlineStr">
        <is>
          <t>VÄSTERÅS</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12510-2023</t>
        </is>
      </c>
      <c r="B2894" s="1" t="n">
        <v>45000</v>
      </c>
      <c r="C2894" s="1" t="n">
        <v>45757</v>
      </c>
      <c r="D2894" t="inlineStr">
        <is>
          <t>VÄSTMANLANDS LÄN</t>
        </is>
      </c>
      <c r="E2894" t="inlineStr">
        <is>
          <t>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12612-2023</t>
        </is>
      </c>
      <c r="B2895" s="1" t="n">
        <v>44999</v>
      </c>
      <c r="C2895" s="1" t="n">
        <v>45757</v>
      </c>
      <c r="D2895" t="inlineStr">
        <is>
          <t>VÄSTMANLANDS LÄN</t>
        </is>
      </c>
      <c r="E2895" t="inlineStr">
        <is>
          <t>VÄSTERÅS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12649-2023</t>
        </is>
      </c>
      <c r="B2896" s="1" t="n">
        <v>44999</v>
      </c>
      <c r="C2896" s="1" t="n">
        <v>45757</v>
      </c>
      <c r="D2896" t="inlineStr">
        <is>
          <t>VÄSTMANLANDS LÄN</t>
        </is>
      </c>
      <c r="E2896" t="inlineStr">
        <is>
          <t>VÄSTERÅS</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12650-2023</t>
        </is>
      </c>
      <c r="B2897" s="1" t="n">
        <v>45000</v>
      </c>
      <c r="C2897" s="1" t="n">
        <v>45757</v>
      </c>
      <c r="D2897" t="inlineStr">
        <is>
          <t>VÄSTMANLANDS LÄN</t>
        </is>
      </c>
      <c r="E2897" t="inlineStr">
        <is>
          <t>ARBOGA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12796-2023</t>
        </is>
      </c>
      <c r="B2898" s="1" t="n">
        <v>45001</v>
      </c>
      <c r="C2898" s="1" t="n">
        <v>45757</v>
      </c>
      <c r="D2898" t="inlineStr">
        <is>
          <t>VÄSTMANLANDS LÄN</t>
        </is>
      </c>
      <c r="E2898" t="inlineStr">
        <is>
          <t>NORBERG</t>
        </is>
      </c>
      <c r="G2898" t="n">
        <v>22.4</v>
      </c>
      <c r="H2898" t="n">
        <v>0</v>
      </c>
      <c r="I2898" t="n">
        <v>0</v>
      </c>
      <c r="J2898" t="n">
        <v>0</v>
      </c>
      <c r="K2898" t="n">
        <v>0</v>
      </c>
      <c r="L2898" t="n">
        <v>0</v>
      </c>
      <c r="M2898" t="n">
        <v>0</v>
      </c>
      <c r="N2898" t="n">
        <v>0</v>
      </c>
      <c r="O2898" t="n">
        <v>0</v>
      </c>
      <c r="P2898" t="n">
        <v>0</v>
      </c>
      <c r="Q2898" t="n">
        <v>0</v>
      </c>
      <c r="R2898" s="2" t="inlineStr"/>
    </row>
    <row r="2899" ht="15" customHeight="1">
      <c r="A2899" t="inlineStr">
        <is>
          <t>A 12950-2023</t>
        </is>
      </c>
      <c r="B2899" s="1" t="n">
        <v>45001</v>
      </c>
      <c r="C2899" s="1" t="n">
        <v>45757</v>
      </c>
      <c r="D2899" t="inlineStr">
        <is>
          <t>VÄSTMANLANDS LÄN</t>
        </is>
      </c>
      <c r="E2899" t="inlineStr">
        <is>
          <t>VÄSTERÅS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13146-2023</t>
        </is>
      </c>
      <c r="B2900" s="1" t="n">
        <v>45002</v>
      </c>
      <c r="C2900" s="1" t="n">
        <v>45757</v>
      </c>
      <c r="D2900" t="inlineStr">
        <is>
          <t>VÄSTMANLANDS LÄN</t>
        </is>
      </c>
      <c r="E2900" t="inlineStr">
        <is>
          <t>SALA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13022-2023</t>
        </is>
      </c>
      <c r="B2901" s="1" t="n">
        <v>45002</v>
      </c>
      <c r="C2901" s="1" t="n">
        <v>45757</v>
      </c>
      <c r="D2901" t="inlineStr">
        <is>
          <t>VÄSTMANLANDS LÄN</t>
        </is>
      </c>
      <c r="E2901" t="inlineStr">
        <is>
          <t>SALA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13151-2023</t>
        </is>
      </c>
      <c r="B2902" s="1" t="n">
        <v>45002</v>
      </c>
      <c r="C2902" s="1" t="n">
        <v>45757</v>
      </c>
      <c r="D2902" t="inlineStr">
        <is>
          <t>VÄSTMANLANDS LÄN</t>
        </is>
      </c>
      <c r="E2902" t="inlineStr">
        <is>
          <t>SALA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13128-2023</t>
        </is>
      </c>
      <c r="B2903" s="1" t="n">
        <v>45002</v>
      </c>
      <c r="C2903" s="1" t="n">
        <v>45757</v>
      </c>
      <c r="D2903" t="inlineStr">
        <is>
          <t>VÄSTMANLANDS LÄN</t>
        </is>
      </c>
      <c r="E2903" t="inlineStr">
        <is>
          <t>SALA</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13153-2023</t>
        </is>
      </c>
      <c r="B2904" s="1" t="n">
        <v>45002</v>
      </c>
      <c r="C2904" s="1" t="n">
        <v>45757</v>
      </c>
      <c r="D2904" t="inlineStr">
        <is>
          <t>VÄSTMANLANDS LÄN</t>
        </is>
      </c>
      <c r="E2904" t="inlineStr">
        <is>
          <t>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13059-2023</t>
        </is>
      </c>
      <c r="B2905" s="1" t="n">
        <v>45002</v>
      </c>
      <c r="C2905" s="1" t="n">
        <v>45757</v>
      </c>
      <c r="D2905" t="inlineStr">
        <is>
          <t>VÄSTMANLANDS LÄN</t>
        </is>
      </c>
      <c r="E2905" t="inlineStr">
        <is>
          <t>SALA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13136-2023</t>
        </is>
      </c>
      <c r="B2906" s="1" t="n">
        <v>45002</v>
      </c>
      <c r="C2906" s="1" t="n">
        <v>45757</v>
      </c>
      <c r="D2906" t="inlineStr">
        <is>
          <t>VÄSTMANLANDS LÄN</t>
        </is>
      </c>
      <c r="E2906" t="inlineStr">
        <is>
          <t>ARBOGA</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13414-2023</t>
        </is>
      </c>
      <c r="B2907" s="1" t="n">
        <v>45005</v>
      </c>
      <c r="C2907" s="1" t="n">
        <v>45757</v>
      </c>
      <c r="D2907" t="inlineStr">
        <is>
          <t>VÄSTMANLANDS LÄN</t>
        </is>
      </c>
      <c r="E2907" t="inlineStr">
        <is>
          <t>KÖPING</t>
        </is>
      </c>
      <c r="G2907" t="n">
        <v>12.4</v>
      </c>
      <c r="H2907" t="n">
        <v>0</v>
      </c>
      <c r="I2907" t="n">
        <v>0</v>
      </c>
      <c r="J2907" t="n">
        <v>0</v>
      </c>
      <c r="K2907" t="n">
        <v>0</v>
      </c>
      <c r="L2907" t="n">
        <v>0</v>
      </c>
      <c r="M2907" t="n">
        <v>0</v>
      </c>
      <c r="N2907" t="n">
        <v>0</v>
      </c>
      <c r="O2907" t="n">
        <v>0</v>
      </c>
      <c r="P2907" t="n">
        <v>0</v>
      </c>
      <c r="Q2907" t="n">
        <v>0</v>
      </c>
      <c r="R2907" s="2" t="inlineStr"/>
    </row>
    <row r="2908" ht="15" customHeight="1">
      <c r="A2908" t="inlineStr">
        <is>
          <t>A 13454-2023</t>
        </is>
      </c>
      <c r="B2908" s="1" t="n">
        <v>45005</v>
      </c>
      <c r="C2908" s="1" t="n">
        <v>45757</v>
      </c>
      <c r="D2908" t="inlineStr">
        <is>
          <t>VÄSTMANLANDS LÄN</t>
        </is>
      </c>
      <c r="E2908" t="inlineStr">
        <is>
          <t>NORBERG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13453-2023</t>
        </is>
      </c>
      <c r="B2909" s="1" t="n">
        <v>45005</v>
      </c>
      <c r="C2909" s="1" t="n">
        <v>45757</v>
      </c>
      <c r="D2909" t="inlineStr">
        <is>
          <t>VÄSTMANLANDS LÄN</t>
        </is>
      </c>
      <c r="E2909" t="inlineStr">
        <is>
          <t>NORBERG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13479-2023</t>
        </is>
      </c>
      <c r="B2910" s="1" t="n">
        <v>45005</v>
      </c>
      <c r="C2910" s="1" t="n">
        <v>45757</v>
      </c>
      <c r="D2910" t="inlineStr">
        <is>
          <t>VÄSTMANLANDS LÄN</t>
        </is>
      </c>
      <c r="E2910" t="inlineStr">
        <is>
          <t>SURAHAMMAR</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13405-2023</t>
        </is>
      </c>
      <c r="B2911" s="1" t="n">
        <v>45005</v>
      </c>
      <c r="C2911" s="1" t="n">
        <v>45757</v>
      </c>
      <c r="D2911" t="inlineStr">
        <is>
          <t>VÄSTMANLANDS LÄN</t>
        </is>
      </c>
      <c r="E2911" t="inlineStr">
        <is>
          <t>VÄSTERÅS</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13553-2023</t>
        </is>
      </c>
      <c r="B2912" s="1" t="n">
        <v>45006</v>
      </c>
      <c r="C2912" s="1" t="n">
        <v>45757</v>
      </c>
      <c r="D2912" t="inlineStr">
        <is>
          <t>VÄSTMANLANDS LÄN</t>
        </is>
      </c>
      <c r="E2912" t="inlineStr">
        <is>
          <t>SKINNSKATTEBERG</t>
        </is>
      </c>
      <c r="F2912" t="inlineStr">
        <is>
          <t>Allmännings- och besparingsskogar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13544-2023</t>
        </is>
      </c>
      <c r="B2913" s="1" t="n">
        <v>45006</v>
      </c>
      <c r="C2913" s="1" t="n">
        <v>45757</v>
      </c>
      <c r="D2913" t="inlineStr">
        <is>
          <t>VÄSTMANLANDS LÄN</t>
        </is>
      </c>
      <c r="E2913" t="inlineStr">
        <is>
          <t>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13595-2023</t>
        </is>
      </c>
      <c r="B2914" s="1" t="n">
        <v>45006</v>
      </c>
      <c r="C2914" s="1" t="n">
        <v>45757</v>
      </c>
      <c r="D2914" t="inlineStr">
        <is>
          <t>VÄSTMANLANDS LÄN</t>
        </is>
      </c>
      <c r="E2914" t="inlineStr">
        <is>
          <t>ARBOGA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13607-2023</t>
        </is>
      </c>
      <c r="B2915" s="1" t="n">
        <v>45006</v>
      </c>
      <c r="C2915" s="1" t="n">
        <v>45757</v>
      </c>
      <c r="D2915" t="inlineStr">
        <is>
          <t>VÄSTMANLANDS LÄN</t>
        </is>
      </c>
      <c r="E2915" t="inlineStr">
        <is>
          <t>VÄSTERÅS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13737-2023</t>
        </is>
      </c>
      <c r="B2916" s="1" t="n">
        <v>45007</v>
      </c>
      <c r="C2916" s="1" t="n">
        <v>45757</v>
      </c>
      <c r="D2916" t="inlineStr">
        <is>
          <t>VÄSTMANLANDS LÄN</t>
        </is>
      </c>
      <c r="E2916" t="inlineStr">
        <is>
          <t>ARBOGA</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13857-2023</t>
        </is>
      </c>
      <c r="B2917" s="1" t="n">
        <v>45007</v>
      </c>
      <c r="C2917" s="1" t="n">
        <v>45757</v>
      </c>
      <c r="D2917" t="inlineStr">
        <is>
          <t>VÄSTMANLANDS LÄN</t>
        </is>
      </c>
      <c r="E2917" t="inlineStr">
        <is>
          <t>SALA</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13833-2023</t>
        </is>
      </c>
      <c r="B2918" s="1" t="n">
        <v>45007</v>
      </c>
      <c r="C2918" s="1" t="n">
        <v>45757</v>
      </c>
      <c r="D2918" t="inlineStr">
        <is>
          <t>VÄSTMANLANDS LÄN</t>
        </is>
      </c>
      <c r="E2918" t="inlineStr">
        <is>
          <t>SALA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13855-2023</t>
        </is>
      </c>
      <c r="B2919" s="1" t="n">
        <v>45007</v>
      </c>
      <c r="C2919" s="1" t="n">
        <v>45757</v>
      </c>
      <c r="D2919" t="inlineStr">
        <is>
          <t>VÄSTMANLANDS LÄN</t>
        </is>
      </c>
      <c r="E2919" t="inlineStr">
        <is>
          <t>SALA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14033-2023</t>
        </is>
      </c>
      <c r="B2920" s="1" t="n">
        <v>45007</v>
      </c>
      <c r="C2920" s="1" t="n">
        <v>45757</v>
      </c>
      <c r="D2920" t="inlineStr">
        <is>
          <t>VÄSTMANLANDS LÄN</t>
        </is>
      </c>
      <c r="E2920" t="inlineStr">
        <is>
          <t>NORBERG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13990-2023</t>
        </is>
      </c>
      <c r="B2921" s="1" t="n">
        <v>45007</v>
      </c>
      <c r="C2921" s="1" t="n">
        <v>45757</v>
      </c>
      <c r="D2921" t="inlineStr">
        <is>
          <t>VÄSTMANLANDS LÄN</t>
        </is>
      </c>
      <c r="E2921" t="inlineStr">
        <is>
          <t>SALA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13987-2023</t>
        </is>
      </c>
      <c r="B2922" s="1" t="n">
        <v>45007</v>
      </c>
      <c r="C2922" s="1" t="n">
        <v>45757</v>
      </c>
      <c r="D2922" t="inlineStr">
        <is>
          <t>VÄSTMANLANDS LÄN</t>
        </is>
      </c>
      <c r="E2922" t="inlineStr">
        <is>
          <t>SALA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13904-2023</t>
        </is>
      </c>
      <c r="B2923" s="1" t="n">
        <v>45008</v>
      </c>
      <c r="C2923" s="1" t="n">
        <v>45757</v>
      </c>
      <c r="D2923" t="inlineStr">
        <is>
          <t>VÄSTMANLANDS LÄN</t>
        </is>
      </c>
      <c r="E2923" t="inlineStr">
        <is>
          <t>NORBERG</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13935-2023</t>
        </is>
      </c>
      <c r="B2924" s="1" t="n">
        <v>45008</v>
      </c>
      <c r="C2924" s="1" t="n">
        <v>45757</v>
      </c>
      <c r="D2924" t="inlineStr">
        <is>
          <t>VÄSTMANLANDS LÄN</t>
        </is>
      </c>
      <c r="E2924" t="inlineStr">
        <is>
          <t>SALA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14034-2023</t>
        </is>
      </c>
      <c r="B2925" s="1" t="n">
        <v>45008</v>
      </c>
      <c r="C2925" s="1" t="n">
        <v>45757</v>
      </c>
      <c r="D2925" t="inlineStr">
        <is>
          <t>VÄSTMANLANDS LÄN</t>
        </is>
      </c>
      <c r="E2925" t="inlineStr">
        <is>
          <t>VÄSTERÅS</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14172-2023</t>
        </is>
      </c>
      <c r="B2926" s="1" t="n">
        <v>45009</v>
      </c>
      <c r="C2926" s="1" t="n">
        <v>45757</v>
      </c>
      <c r="D2926" t="inlineStr">
        <is>
          <t>VÄSTMANLANDS LÄN</t>
        </is>
      </c>
      <c r="E2926" t="inlineStr">
        <is>
          <t>SKINNSKATTEBERG</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14230-2023</t>
        </is>
      </c>
      <c r="B2927" s="1" t="n">
        <v>45009</v>
      </c>
      <c r="C2927" s="1" t="n">
        <v>45757</v>
      </c>
      <c r="D2927" t="inlineStr">
        <is>
          <t>VÄSTMANLANDS LÄN</t>
        </is>
      </c>
      <c r="E2927" t="inlineStr">
        <is>
          <t>KÖPING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14414-2023</t>
        </is>
      </c>
      <c r="B2928" s="1" t="n">
        <v>45012</v>
      </c>
      <c r="C2928" s="1" t="n">
        <v>45757</v>
      </c>
      <c r="D2928" t="inlineStr">
        <is>
          <t>VÄSTMANLANDS LÄN</t>
        </is>
      </c>
      <c r="E2928" t="inlineStr">
        <is>
          <t>ARBOGA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14413-2023</t>
        </is>
      </c>
      <c r="B2929" s="1" t="n">
        <v>45012</v>
      </c>
      <c r="C2929" s="1" t="n">
        <v>45757</v>
      </c>
      <c r="D2929" t="inlineStr">
        <is>
          <t>VÄSTMANLANDS LÄN</t>
        </is>
      </c>
      <c r="E2929" t="inlineStr">
        <is>
          <t>ARBOGA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14420-2023</t>
        </is>
      </c>
      <c r="B2930" s="1" t="n">
        <v>45012</v>
      </c>
      <c r="C2930" s="1" t="n">
        <v>45757</v>
      </c>
      <c r="D2930" t="inlineStr">
        <is>
          <t>VÄSTMANLANDS LÄN</t>
        </is>
      </c>
      <c r="E2930" t="inlineStr">
        <is>
          <t>ARBOGA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14626-2023</t>
        </is>
      </c>
      <c r="B2931" s="1" t="n">
        <v>45012</v>
      </c>
      <c r="C2931" s="1" t="n">
        <v>45757</v>
      </c>
      <c r="D2931" t="inlineStr">
        <is>
          <t>VÄSTMANLANDS LÄN</t>
        </is>
      </c>
      <c r="E2931" t="inlineStr">
        <is>
          <t>SURAHAMMAR</t>
        </is>
      </c>
      <c r="F2931" t="inlineStr">
        <is>
          <t>Bergvik skog väst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14578-2023</t>
        </is>
      </c>
      <c r="B2932" s="1" t="n">
        <v>45013</v>
      </c>
      <c r="C2932" s="1" t="n">
        <v>45757</v>
      </c>
      <c r="D2932" t="inlineStr">
        <is>
          <t>VÄSTMANLANDS LÄN</t>
        </is>
      </c>
      <c r="E2932" t="inlineStr">
        <is>
          <t>SALA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14583-2023</t>
        </is>
      </c>
      <c r="B2933" s="1" t="n">
        <v>45013</v>
      </c>
      <c r="C2933" s="1" t="n">
        <v>45757</v>
      </c>
      <c r="D2933" t="inlineStr">
        <is>
          <t>VÄSTMANLANDS LÄN</t>
        </is>
      </c>
      <c r="E2933" t="inlineStr">
        <is>
          <t>SURAHAMMAR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14617-2023</t>
        </is>
      </c>
      <c r="B2934" s="1" t="n">
        <v>45013</v>
      </c>
      <c r="C2934" s="1" t="n">
        <v>45757</v>
      </c>
      <c r="D2934" t="inlineStr">
        <is>
          <t>VÄSTMANLANDS LÄN</t>
        </is>
      </c>
      <c r="E2934" t="inlineStr">
        <is>
          <t>NORBERG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14566-2023</t>
        </is>
      </c>
      <c r="B2935" s="1" t="n">
        <v>45013</v>
      </c>
      <c r="C2935" s="1" t="n">
        <v>45757</v>
      </c>
      <c r="D2935" t="inlineStr">
        <is>
          <t>VÄSTMANLANDS LÄN</t>
        </is>
      </c>
      <c r="E2935" t="inlineStr">
        <is>
          <t>SKINNSKATTEBERG</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14616-2023</t>
        </is>
      </c>
      <c r="B2936" s="1" t="n">
        <v>45013</v>
      </c>
      <c r="C2936" s="1" t="n">
        <v>45757</v>
      </c>
      <c r="D2936" t="inlineStr">
        <is>
          <t>VÄSTMANLANDS LÄN</t>
        </is>
      </c>
      <c r="E2936" t="inlineStr">
        <is>
          <t>NORBERG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14827-2023</t>
        </is>
      </c>
      <c r="B2937" s="1" t="n">
        <v>45013</v>
      </c>
      <c r="C2937" s="1" t="n">
        <v>45757</v>
      </c>
      <c r="D2937" t="inlineStr">
        <is>
          <t>VÄSTMANLANDS LÄN</t>
        </is>
      </c>
      <c r="E2937" t="inlineStr">
        <is>
          <t>NORBERG</t>
        </is>
      </c>
      <c r="G2937" t="n">
        <v>17.9</v>
      </c>
      <c r="H2937" t="n">
        <v>0</v>
      </c>
      <c r="I2937" t="n">
        <v>0</v>
      </c>
      <c r="J2937" t="n">
        <v>0</v>
      </c>
      <c r="K2937" t="n">
        <v>0</v>
      </c>
      <c r="L2937" t="n">
        <v>0</v>
      </c>
      <c r="M2937" t="n">
        <v>0</v>
      </c>
      <c r="N2937" t="n">
        <v>0</v>
      </c>
      <c r="O2937" t="n">
        <v>0</v>
      </c>
      <c r="P2937" t="n">
        <v>0</v>
      </c>
      <c r="Q2937" t="n">
        <v>0</v>
      </c>
      <c r="R2937" s="2" t="inlineStr"/>
    </row>
    <row r="2938" ht="15" customHeight="1">
      <c r="A2938" t="inlineStr">
        <is>
          <t>A 14711-2023</t>
        </is>
      </c>
      <c r="B2938" s="1" t="n">
        <v>45014</v>
      </c>
      <c r="C2938" s="1" t="n">
        <v>45757</v>
      </c>
      <c r="D2938" t="inlineStr">
        <is>
          <t>VÄSTMANLANDS LÄN</t>
        </is>
      </c>
      <c r="E2938" t="inlineStr">
        <is>
          <t>SKINNSKATTEBERG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14717-2023</t>
        </is>
      </c>
      <c r="B2939" s="1" t="n">
        <v>45014</v>
      </c>
      <c r="C2939" s="1" t="n">
        <v>45757</v>
      </c>
      <c r="D2939" t="inlineStr">
        <is>
          <t>VÄSTMANLANDS LÄN</t>
        </is>
      </c>
      <c r="E2939" t="inlineStr">
        <is>
          <t>SKINNSKATTEBERG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14733-2023</t>
        </is>
      </c>
      <c r="B2940" s="1" t="n">
        <v>45014</v>
      </c>
      <c r="C2940" s="1" t="n">
        <v>45757</v>
      </c>
      <c r="D2940" t="inlineStr">
        <is>
          <t>VÄSTMANLANDS LÄN</t>
        </is>
      </c>
      <c r="E2940" t="inlineStr">
        <is>
          <t>SKINNSKATTEBERG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14719-2023</t>
        </is>
      </c>
      <c r="B2941" s="1" t="n">
        <v>45014</v>
      </c>
      <c r="C2941" s="1" t="n">
        <v>45757</v>
      </c>
      <c r="D2941" t="inlineStr">
        <is>
          <t>VÄSTMANLANDS LÄN</t>
        </is>
      </c>
      <c r="E2941" t="inlineStr">
        <is>
          <t>SKINNSKATTEBERG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14736-2023</t>
        </is>
      </c>
      <c r="B2942" s="1" t="n">
        <v>45014</v>
      </c>
      <c r="C2942" s="1" t="n">
        <v>45757</v>
      </c>
      <c r="D2942" t="inlineStr">
        <is>
          <t>VÄSTMANLANDS LÄN</t>
        </is>
      </c>
      <c r="E2942" t="inlineStr">
        <is>
          <t>SKINNSKATTEBERG</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14823-2023</t>
        </is>
      </c>
      <c r="B2943" s="1" t="n">
        <v>45014</v>
      </c>
      <c r="C2943" s="1" t="n">
        <v>45757</v>
      </c>
      <c r="D2943" t="inlineStr">
        <is>
          <t>VÄSTMANLANDS LÄN</t>
        </is>
      </c>
      <c r="E2943" t="inlineStr">
        <is>
          <t>SALA</t>
        </is>
      </c>
      <c r="F2943" t="inlineStr">
        <is>
          <t>Kyrkan</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14790-2023</t>
        </is>
      </c>
      <c r="B2944" s="1" t="n">
        <v>45014</v>
      </c>
      <c r="C2944" s="1" t="n">
        <v>45757</v>
      </c>
      <c r="D2944" t="inlineStr">
        <is>
          <t>VÄSTMANLANDS LÄN</t>
        </is>
      </c>
      <c r="E2944" t="inlineStr">
        <is>
          <t>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14903-2023</t>
        </is>
      </c>
      <c r="B2945" s="1" t="n">
        <v>45014</v>
      </c>
      <c r="C2945" s="1" t="n">
        <v>45757</v>
      </c>
      <c r="D2945" t="inlineStr">
        <is>
          <t>VÄSTMANLANDS LÄN</t>
        </is>
      </c>
      <c r="E2945" t="inlineStr">
        <is>
          <t>NORBERG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14904-2023</t>
        </is>
      </c>
      <c r="B2946" s="1" t="n">
        <v>45014</v>
      </c>
      <c r="C2946" s="1" t="n">
        <v>45757</v>
      </c>
      <c r="D2946" t="inlineStr">
        <is>
          <t>VÄSTMANLANDS LÄN</t>
        </is>
      </c>
      <c r="E2946" t="inlineStr">
        <is>
          <t>NORBERG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15042-2023</t>
        </is>
      </c>
      <c r="B2947" s="1" t="n">
        <v>45015</v>
      </c>
      <c r="C2947" s="1" t="n">
        <v>45757</v>
      </c>
      <c r="D2947" t="inlineStr">
        <is>
          <t>VÄSTMANLANDS LÄN</t>
        </is>
      </c>
      <c r="E2947" t="inlineStr">
        <is>
          <t>VÄSTERÅS</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15083-2023</t>
        </is>
      </c>
      <c r="B2948" s="1" t="n">
        <v>45016</v>
      </c>
      <c r="C2948" s="1" t="n">
        <v>45757</v>
      </c>
      <c r="D2948" t="inlineStr">
        <is>
          <t>VÄSTMANLANDS LÄN</t>
        </is>
      </c>
      <c r="E2948" t="inlineStr">
        <is>
          <t>NORBERG</t>
        </is>
      </c>
      <c r="F2948" t="inlineStr">
        <is>
          <t>Bergvik skog väst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15084-2023</t>
        </is>
      </c>
      <c r="B2949" s="1" t="n">
        <v>45016</v>
      </c>
      <c r="C2949" s="1" t="n">
        <v>45757</v>
      </c>
      <c r="D2949" t="inlineStr">
        <is>
          <t>VÄSTMANLANDS LÄN</t>
        </is>
      </c>
      <c r="E2949" t="inlineStr">
        <is>
          <t>NORBERG</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15098-2023</t>
        </is>
      </c>
      <c r="B2950" s="1" t="n">
        <v>45016</v>
      </c>
      <c r="C2950" s="1" t="n">
        <v>45757</v>
      </c>
      <c r="D2950" t="inlineStr">
        <is>
          <t>VÄSTMANLANDS LÄN</t>
        </is>
      </c>
      <c r="E2950" t="inlineStr">
        <is>
          <t>NORBERG</t>
        </is>
      </c>
      <c r="F2950" t="inlineStr">
        <is>
          <t>Övriga Aktiebolag</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15350-2023</t>
        </is>
      </c>
      <c r="B2951" s="1" t="n">
        <v>45019</v>
      </c>
      <c r="C2951" s="1" t="n">
        <v>45757</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15329-2023</t>
        </is>
      </c>
      <c r="B2952" s="1" t="n">
        <v>45019</v>
      </c>
      <c r="C2952" s="1" t="n">
        <v>45757</v>
      </c>
      <c r="D2952" t="inlineStr">
        <is>
          <t>VÄSTMANLANDS LÄN</t>
        </is>
      </c>
      <c r="E2952" t="inlineStr">
        <is>
          <t>VÄSTERÅS</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15348-2023</t>
        </is>
      </c>
      <c r="B2953" s="1" t="n">
        <v>45019</v>
      </c>
      <c r="C2953" s="1" t="n">
        <v>45757</v>
      </c>
      <c r="D2953" t="inlineStr">
        <is>
          <t>VÄSTMANLANDS LÄN</t>
        </is>
      </c>
      <c r="E2953" t="inlineStr">
        <is>
          <t>VÄSTERÅS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15297-2023</t>
        </is>
      </c>
      <c r="B2954" s="1" t="n">
        <v>45019</v>
      </c>
      <c r="C2954" s="1" t="n">
        <v>45757</v>
      </c>
      <c r="D2954" t="inlineStr">
        <is>
          <t>VÄSTMANLANDS LÄN</t>
        </is>
      </c>
      <c r="E2954" t="inlineStr">
        <is>
          <t>FAGERSTA</t>
        </is>
      </c>
      <c r="F2954" t="inlineStr">
        <is>
          <t>Övriga Aktiebolag</t>
        </is>
      </c>
      <c r="G2954" t="n">
        <v>26.3</v>
      </c>
      <c r="H2954" t="n">
        <v>0</v>
      </c>
      <c r="I2954" t="n">
        <v>0</v>
      </c>
      <c r="J2954" t="n">
        <v>0</v>
      </c>
      <c r="K2954" t="n">
        <v>0</v>
      </c>
      <c r="L2954" t="n">
        <v>0</v>
      </c>
      <c r="M2954" t="n">
        <v>0</v>
      </c>
      <c r="N2954" t="n">
        <v>0</v>
      </c>
      <c r="O2954" t="n">
        <v>0</v>
      </c>
      <c r="P2954" t="n">
        <v>0</v>
      </c>
      <c r="Q2954" t="n">
        <v>0</v>
      </c>
      <c r="R2954" s="2" t="inlineStr"/>
    </row>
    <row r="2955" ht="15" customHeight="1">
      <c r="A2955" t="inlineStr">
        <is>
          <t>A 15330-2023</t>
        </is>
      </c>
      <c r="B2955" s="1" t="n">
        <v>45019</v>
      </c>
      <c r="C2955" s="1" t="n">
        <v>45757</v>
      </c>
      <c r="D2955" t="inlineStr">
        <is>
          <t>VÄSTMANLANDS LÄN</t>
        </is>
      </c>
      <c r="E2955" t="inlineStr">
        <is>
          <t>VÄSTERÅS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15355-2023</t>
        </is>
      </c>
      <c r="B2956" s="1" t="n">
        <v>45019</v>
      </c>
      <c r="C2956" s="1" t="n">
        <v>45757</v>
      </c>
      <c r="D2956" t="inlineStr">
        <is>
          <t>VÄSTMANLANDS LÄN</t>
        </is>
      </c>
      <c r="E2956" t="inlineStr">
        <is>
          <t>VÄSTERÅS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15431-2023</t>
        </is>
      </c>
      <c r="B2957" s="1" t="n">
        <v>45020</v>
      </c>
      <c r="C2957" s="1" t="n">
        <v>45757</v>
      </c>
      <c r="D2957" t="inlineStr">
        <is>
          <t>VÄSTMANLANDS LÄN</t>
        </is>
      </c>
      <c r="E2957" t="inlineStr">
        <is>
          <t>NORBERG</t>
        </is>
      </c>
      <c r="F2957" t="inlineStr">
        <is>
          <t>Övriga Aktiebolag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15589-2023</t>
        </is>
      </c>
      <c r="B2958" s="1" t="n">
        <v>45020</v>
      </c>
      <c r="C2958" s="1" t="n">
        <v>45757</v>
      </c>
      <c r="D2958" t="inlineStr">
        <is>
          <t>VÄSTMANLANDS LÄN</t>
        </is>
      </c>
      <c r="E2958" t="inlineStr">
        <is>
          <t>SALA</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15429-2023</t>
        </is>
      </c>
      <c r="B2959" s="1" t="n">
        <v>45020</v>
      </c>
      <c r="C2959" s="1" t="n">
        <v>45757</v>
      </c>
      <c r="D2959" t="inlineStr">
        <is>
          <t>VÄSTMANLANDS LÄN</t>
        </is>
      </c>
      <c r="E2959" t="inlineStr">
        <is>
          <t>NORBERG</t>
        </is>
      </c>
      <c r="F2959" t="inlineStr">
        <is>
          <t>Övriga Aktiebolag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15584-2023</t>
        </is>
      </c>
      <c r="B2960" s="1" t="n">
        <v>45020</v>
      </c>
      <c r="C2960" s="1" t="n">
        <v>45757</v>
      </c>
      <c r="D2960" t="inlineStr">
        <is>
          <t>VÄSTMANLANDS LÄN</t>
        </is>
      </c>
      <c r="E2960" t="inlineStr">
        <is>
          <t>SALA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15743-2023</t>
        </is>
      </c>
      <c r="B2961" s="1" t="n">
        <v>45021</v>
      </c>
      <c r="C2961" s="1" t="n">
        <v>45757</v>
      </c>
      <c r="D2961" t="inlineStr">
        <is>
          <t>VÄSTMANLANDS LÄN</t>
        </is>
      </c>
      <c r="E2961" t="inlineStr">
        <is>
          <t>SURAHAMMAR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15739-2023</t>
        </is>
      </c>
      <c r="B2962" s="1" t="n">
        <v>45021</v>
      </c>
      <c r="C2962" s="1" t="n">
        <v>45757</v>
      </c>
      <c r="D2962" t="inlineStr">
        <is>
          <t>VÄSTMANLANDS LÄN</t>
        </is>
      </c>
      <c r="E2962" t="inlineStr">
        <is>
          <t>SURAHAMMAR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15772-2023</t>
        </is>
      </c>
      <c r="B2963" s="1" t="n">
        <v>45021</v>
      </c>
      <c r="C2963" s="1" t="n">
        <v>45757</v>
      </c>
      <c r="D2963" t="inlineStr">
        <is>
          <t>VÄSTMANLANDS LÄN</t>
        </is>
      </c>
      <c r="E2963" t="inlineStr">
        <is>
          <t>VÄSTERÅS</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15768-2023</t>
        </is>
      </c>
      <c r="B2964" s="1" t="n">
        <v>45021</v>
      </c>
      <c r="C2964" s="1" t="n">
        <v>45757</v>
      </c>
      <c r="D2964" t="inlineStr">
        <is>
          <t>VÄSTMANLANDS LÄN</t>
        </is>
      </c>
      <c r="E2964" t="inlineStr">
        <is>
          <t>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15811-2023</t>
        </is>
      </c>
      <c r="B2965" s="1" t="n">
        <v>45021</v>
      </c>
      <c r="C2965" s="1" t="n">
        <v>45757</v>
      </c>
      <c r="D2965" t="inlineStr">
        <is>
          <t>VÄSTMANLANDS LÄN</t>
        </is>
      </c>
      <c r="E2965" t="inlineStr">
        <is>
          <t>KÖPING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15657-2023</t>
        </is>
      </c>
      <c r="B2966" s="1" t="n">
        <v>45021</v>
      </c>
      <c r="C2966" s="1" t="n">
        <v>45757</v>
      </c>
      <c r="D2966" t="inlineStr">
        <is>
          <t>VÄSTMANLANDS LÄN</t>
        </is>
      </c>
      <c r="E2966" t="inlineStr">
        <is>
          <t>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15766-2023</t>
        </is>
      </c>
      <c r="B2967" s="1" t="n">
        <v>45021</v>
      </c>
      <c r="C2967" s="1" t="n">
        <v>45757</v>
      </c>
      <c r="D2967" t="inlineStr">
        <is>
          <t>VÄSTMANLANDS LÄN</t>
        </is>
      </c>
      <c r="E2967" t="inlineStr">
        <is>
          <t>VÄSTERÅS</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16103-2023</t>
        </is>
      </c>
      <c r="B2968" s="1" t="n">
        <v>45021</v>
      </c>
      <c r="C2968" s="1" t="n">
        <v>45757</v>
      </c>
      <c r="D2968" t="inlineStr">
        <is>
          <t>VÄSTMANLANDS LÄN</t>
        </is>
      </c>
      <c r="E2968" t="inlineStr">
        <is>
          <t>NORBERG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16105-2023</t>
        </is>
      </c>
      <c r="B2969" s="1" t="n">
        <v>45021</v>
      </c>
      <c r="C2969" s="1" t="n">
        <v>45757</v>
      </c>
      <c r="D2969" t="inlineStr">
        <is>
          <t>VÄSTMANLANDS LÄN</t>
        </is>
      </c>
      <c r="E2969" t="inlineStr">
        <is>
          <t>NORBERG</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15945-2023</t>
        </is>
      </c>
      <c r="B2970" s="1" t="n">
        <v>45022</v>
      </c>
      <c r="C2970" s="1" t="n">
        <v>45757</v>
      </c>
      <c r="D2970" t="inlineStr">
        <is>
          <t>VÄSTMANLANDS LÄN</t>
        </is>
      </c>
      <c r="E2970" t="inlineStr">
        <is>
          <t>SKINNSKATTEBERG</t>
        </is>
      </c>
      <c r="F2970" t="inlineStr">
        <is>
          <t>Sveaskog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16003-2023</t>
        </is>
      </c>
      <c r="B2971" s="1" t="n">
        <v>45024</v>
      </c>
      <c r="C2971" s="1" t="n">
        <v>45757</v>
      </c>
      <c r="D2971" t="inlineStr">
        <is>
          <t>VÄSTMANLANDS LÄN</t>
        </is>
      </c>
      <c r="E2971" t="inlineStr">
        <is>
          <t>SALA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16002-2023</t>
        </is>
      </c>
      <c r="B2972" s="1" t="n">
        <v>45024</v>
      </c>
      <c r="C2972" s="1" t="n">
        <v>45757</v>
      </c>
      <c r="D2972" t="inlineStr">
        <is>
          <t>VÄSTMANLANDS LÄN</t>
        </is>
      </c>
      <c r="E2972" t="inlineStr">
        <is>
          <t>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16013-2023</t>
        </is>
      </c>
      <c r="B2973" s="1" t="n">
        <v>45026</v>
      </c>
      <c r="C2973" s="1" t="n">
        <v>45757</v>
      </c>
      <c r="D2973" t="inlineStr">
        <is>
          <t>VÄSTMANLANDS LÄN</t>
        </is>
      </c>
      <c r="E2973" t="inlineStr">
        <is>
          <t>SURAHAMMAR</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16039-2023</t>
        </is>
      </c>
      <c r="B2974" s="1" t="n">
        <v>45027</v>
      </c>
      <c r="C2974" s="1" t="n">
        <v>45757</v>
      </c>
      <c r="D2974" t="inlineStr">
        <is>
          <t>VÄSTMANLANDS LÄN</t>
        </is>
      </c>
      <c r="E2974" t="inlineStr">
        <is>
          <t>VÄSTERÅS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16035-2023</t>
        </is>
      </c>
      <c r="B2975" s="1" t="n">
        <v>45027</v>
      </c>
      <c r="C2975" s="1" t="n">
        <v>45757</v>
      </c>
      <c r="D2975" t="inlineStr">
        <is>
          <t>VÄSTMANLANDS LÄN</t>
        </is>
      </c>
      <c r="E2975" t="inlineStr">
        <is>
          <t>VÄSTERÅS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16037-2023</t>
        </is>
      </c>
      <c r="B2976" s="1" t="n">
        <v>45027</v>
      </c>
      <c r="C2976" s="1" t="n">
        <v>45757</v>
      </c>
      <c r="D2976" t="inlineStr">
        <is>
          <t>VÄSTMANLANDS LÄN</t>
        </is>
      </c>
      <c r="E2976" t="inlineStr">
        <is>
          <t>VÄSTERÅS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16041-2023</t>
        </is>
      </c>
      <c r="B2977" s="1" t="n">
        <v>45027</v>
      </c>
      <c r="C2977" s="1" t="n">
        <v>45757</v>
      </c>
      <c r="D2977" t="inlineStr">
        <is>
          <t>VÄSTMANLANDS LÄN</t>
        </is>
      </c>
      <c r="E2977" t="inlineStr">
        <is>
          <t>SALA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16033-2023</t>
        </is>
      </c>
      <c r="B2978" s="1" t="n">
        <v>45027</v>
      </c>
      <c r="C2978" s="1" t="n">
        <v>45757</v>
      </c>
      <c r="D2978" t="inlineStr">
        <is>
          <t>VÄSTMANLANDS LÄN</t>
        </is>
      </c>
      <c r="E2978" t="inlineStr">
        <is>
          <t>VÄSTERÅS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16142-2023</t>
        </is>
      </c>
      <c r="B2979" s="1" t="n">
        <v>45027</v>
      </c>
      <c r="C2979" s="1" t="n">
        <v>45757</v>
      </c>
      <c r="D2979" t="inlineStr">
        <is>
          <t>VÄSTMANLANDS LÄN</t>
        </is>
      </c>
      <c r="E2979" t="inlineStr">
        <is>
          <t>SALA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16083-2023</t>
        </is>
      </c>
      <c r="B2980" s="1" t="n">
        <v>45027</v>
      </c>
      <c r="C2980" s="1" t="n">
        <v>45757</v>
      </c>
      <c r="D2980" t="inlineStr">
        <is>
          <t>VÄSTMANLANDS LÄN</t>
        </is>
      </c>
      <c r="E2980" t="inlineStr">
        <is>
          <t>SALA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16172-2023</t>
        </is>
      </c>
      <c r="B2981" s="1" t="n">
        <v>45027</v>
      </c>
      <c r="C2981" s="1" t="n">
        <v>45757</v>
      </c>
      <c r="D2981" t="inlineStr">
        <is>
          <t>VÄSTMANLANDS LÄN</t>
        </is>
      </c>
      <c r="E2981" t="inlineStr">
        <is>
          <t>VÄSTERÅS</t>
        </is>
      </c>
      <c r="F2981" t="inlineStr">
        <is>
          <t>Kommuner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16638-2023</t>
        </is>
      </c>
      <c r="B2982" s="1" t="n">
        <v>45027</v>
      </c>
      <c r="C2982" s="1" t="n">
        <v>45757</v>
      </c>
      <c r="D2982" t="inlineStr">
        <is>
          <t>VÄSTMANLANDS LÄN</t>
        </is>
      </c>
      <c r="E2982" t="inlineStr">
        <is>
          <t>SALA</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16355-2023</t>
        </is>
      </c>
      <c r="B2983" s="1" t="n">
        <v>45028</v>
      </c>
      <c r="C2983" s="1" t="n">
        <v>45757</v>
      </c>
      <c r="D2983" t="inlineStr">
        <is>
          <t>VÄSTMANLANDS LÄN</t>
        </is>
      </c>
      <c r="E2983" t="inlineStr">
        <is>
          <t>VÄSTERÅS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16225-2023</t>
        </is>
      </c>
      <c r="B2984" s="1" t="n">
        <v>45028</v>
      </c>
      <c r="C2984" s="1" t="n">
        <v>45757</v>
      </c>
      <c r="D2984" t="inlineStr">
        <is>
          <t>VÄSTMANLANDS LÄN</t>
        </is>
      </c>
      <c r="E2984" t="inlineStr">
        <is>
          <t>NORBERG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16214-2023</t>
        </is>
      </c>
      <c r="B2985" s="1" t="n">
        <v>45028</v>
      </c>
      <c r="C2985" s="1" t="n">
        <v>45757</v>
      </c>
      <c r="D2985" t="inlineStr">
        <is>
          <t>VÄSTMANLANDS LÄN</t>
        </is>
      </c>
      <c r="E2985" t="inlineStr">
        <is>
          <t>VÄSTERÅS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16262-2023</t>
        </is>
      </c>
      <c r="B2986" s="1" t="n">
        <v>45028</v>
      </c>
      <c r="C2986" s="1" t="n">
        <v>45757</v>
      </c>
      <c r="D2986" t="inlineStr">
        <is>
          <t>VÄSTMANLANDS LÄN</t>
        </is>
      </c>
      <c r="E2986" t="inlineStr">
        <is>
          <t>VÄSTERÅS</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16351-2023</t>
        </is>
      </c>
      <c r="B2987" s="1" t="n">
        <v>45028</v>
      </c>
      <c r="C2987" s="1" t="n">
        <v>45757</v>
      </c>
      <c r="D2987" t="inlineStr">
        <is>
          <t>VÄSTMANLANDS LÄN</t>
        </is>
      </c>
      <c r="E2987" t="inlineStr">
        <is>
          <t>KUNGSÖR</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16356-2023</t>
        </is>
      </c>
      <c r="B2988" s="1" t="n">
        <v>45028</v>
      </c>
      <c r="C2988" s="1" t="n">
        <v>45757</v>
      </c>
      <c r="D2988" t="inlineStr">
        <is>
          <t>VÄSTMANLANDS LÄN</t>
        </is>
      </c>
      <c r="E2988" t="inlineStr">
        <is>
          <t>VÄSTERÅS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16693-2023</t>
        </is>
      </c>
      <c r="B2989" s="1" t="n">
        <v>45028</v>
      </c>
      <c r="C2989" s="1" t="n">
        <v>45757</v>
      </c>
      <c r="D2989" t="inlineStr">
        <is>
          <t>VÄSTMANLANDS LÄN</t>
        </is>
      </c>
      <c r="E2989" t="inlineStr">
        <is>
          <t>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16396-2023</t>
        </is>
      </c>
      <c r="B2990" s="1" t="n">
        <v>45029</v>
      </c>
      <c r="C2990" s="1" t="n">
        <v>45757</v>
      </c>
      <c r="D2990" t="inlineStr">
        <is>
          <t>VÄSTMANLANDS LÄN</t>
        </is>
      </c>
      <c r="E2990" t="inlineStr">
        <is>
          <t>NORBERG</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16546-2023</t>
        </is>
      </c>
      <c r="B2991" s="1" t="n">
        <v>45029</v>
      </c>
      <c r="C2991" s="1" t="n">
        <v>45757</v>
      </c>
      <c r="D2991" t="inlineStr">
        <is>
          <t>VÄSTMANLANDS LÄN</t>
        </is>
      </c>
      <c r="E2991" t="inlineStr">
        <is>
          <t>SALA</t>
        </is>
      </c>
      <c r="F2991" t="inlineStr">
        <is>
          <t>Sveaskog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16543-2023</t>
        </is>
      </c>
      <c r="B2992" s="1" t="n">
        <v>45029</v>
      </c>
      <c r="C2992" s="1" t="n">
        <v>45757</v>
      </c>
      <c r="D2992" t="inlineStr">
        <is>
          <t>VÄSTMANLANDS LÄN</t>
        </is>
      </c>
      <c r="E2992" t="inlineStr">
        <is>
          <t>SALA</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16953-2023</t>
        </is>
      </c>
      <c r="B2993" s="1" t="n">
        <v>45029</v>
      </c>
      <c r="C2993" s="1" t="n">
        <v>45757</v>
      </c>
      <c r="D2993" t="inlineStr">
        <is>
          <t>VÄSTMANLANDS LÄN</t>
        </is>
      </c>
      <c r="E2993" t="inlineStr">
        <is>
          <t>NORBERG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16544-2023</t>
        </is>
      </c>
      <c r="B2994" s="1" t="n">
        <v>45029</v>
      </c>
      <c r="C2994" s="1" t="n">
        <v>45757</v>
      </c>
      <c r="D2994" t="inlineStr">
        <is>
          <t>VÄSTMANLANDS LÄN</t>
        </is>
      </c>
      <c r="E2994" t="inlineStr">
        <is>
          <t>SALA</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16547-2023</t>
        </is>
      </c>
      <c r="B2995" s="1" t="n">
        <v>45029</v>
      </c>
      <c r="C2995" s="1" t="n">
        <v>45757</v>
      </c>
      <c r="D2995" t="inlineStr">
        <is>
          <t>VÄSTMANLANDS LÄN</t>
        </is>
      </c>
      <c r="E2995" t="inlineStr">
        <is>
          <t>SALA</t>
        </is>
      </c>
      <c r="F2995" t="inlineStr">
        <is>
          <t>Sveaskog</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16955-2023</t>
        </is>
      </c>
      <c r="B2996" s="1" t="n">
        <v>45029</v>
      </c>
      <c r="C2996" s="1" t="n">
        <v>45757</v>
      </c>
      <c r="D2996" t="inlineStr">
        <is>
          <t>VÄSTMANLANDS LÄN</t>
        </is>
      </c>
      <c r="E2996" t="inlineStr">
        <is>
          <t>NORBERG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16545-2023</t>
        </is>
      </c>
      <c r="B2997" s="1" t="n">
        <v>45029</v>
      </c>
      <c r="C2997" s="1" t="n">
        <v>45757</v>
      </c>
      <c r="D2997" t="inlineStr">
        <is>
          <t>VÄSTMANLANDS LÄN</t>
        </is>
      </c>
      <c r="E2997" t="inlineStr">
        <is>
          <t>SALA</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16735-2023</t>
        </is>
      </c>
      <c r="B2998" s="1" t="n">
        <v>45030</v>
      </c>
      <c r="C2998" s="1" t="n">
        <v>45757</v>
      </c>
      <c r="D2998" t="inlineStr">
        <is>
          <t>VÄSTMANLANDS LÄN</t>
        </is>
      </c>
      <c r="E2998" t="inlineStr">
        <is>
          <t>KUNGSÖR</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16603-2023</t>
        </is>
      </c>
      <c r="B2999" s="1" t="n">
        <v>45030</v>
      </c>
      <c r="C2999" s="1" t="n">
        <v>45757</v>
      </c>
      <c r="D2999" t="inlineStr">
        <is>
          <t>VÄSTMANLANDS LÄN</t>
        </is>
      </c>
      <c r="E2999" t="inlineStr">
        <is>
          <t>ARBOGA</t>
        </is>
      </c>
      <c r="F2999" t="inlineStr">
        <is>
          <t>Sveaskog</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16801-2023</t>
        </is>
      </c>
      <c r="B3000" s="1" t="n">
        <v>45033</v>
      </c>
      <c r="C3000" s="1" t="n">
        <v>45757</v>
      </c>
      <c r="D3000" t="inlineStr">
        <is>
          <t>VÄSTMANLANDS LÄN</t>
        </is>
      </c>
      <c r="E3000" t="inlineStr">
        <is>
          <t>SKINNSKATTEBERG</t>
        </is>
      </c>
      <c r="F3000" t="inlineStr">
        <is>
          <t>Sveaskog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16844-2023</t>
        </is>
      </c>
      <c r="B3001" s="1" t="n">
        <v>45033</v>
      </c>
      <c r="C3001" s="1" t="n">
        <v>45757</v>
      </c>
      <c r="D3001" t="inlineStr">
        <is>
          <t>VÄSTMANLANDS LÄN</t>
        </is>
      </c>
      <c r="E3001" t="inlineStr">
        <is>
          <t>VÄSTERÅS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16794-2023</t>
        </is>
      </c>
      <c r="B3002" s="1" t="n">
        <v>45033</v>
      </c>
      <c r="C3002" s="1" t="n">
        <v>45757</v>
      </c>
      <c r="D3002" t="inlineStr">
        <is>
          <t>VÄSTMANLANDS LÄN</t>
        </is>
      </c>
      <c r="E3002" t="inlineStr">
        <is>
          <t>SKINNSKATTEBERG</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16798-2023</t>
        </is>
      </c>
      <c r="B3003" s="1" t="n">
        <v>45033</v>
      </c>
      <c r="C3003" s="1" t="n">
        <v>45757</v>
      </c>
      <c r="D3003" t="inlineStr">
        <is>
          <t>VÄSTMANLANDS LÄN</t>
        </is>
      </c>
      <c r="E3003" t="inlineStr">
        <is>
          <t>SKINNSKATTEBERG</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16894-2023</t>
        </is>
      </c>
      <c r="B3004" s="1" t="n">
        <v>45033</v>
      </c>
      <c r="C3004" s="1" t="n">
        <v>45757</v>
      </c>
      <c r="D3004" t="inlineStr">
        <is>
          <t>VÄSTMANLANDS LÄN</t>
        </is>
      </c>
      <c r="E3004" t="inlineStr">
        <is>
          <t>VÄSTERÅS</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16795-2023</t>
        </is>
      </c>
      <c r="B3005" s="1" t="n">
        <v>45033</v>
      </c>
      <c r="C3005" s="1" t="n">
        <v>45757</v>
      </c>
      <c r="D3005" t="inlineStr">
        <is>
          <t>VÄSTMANLANDS LÄN</t>
        </is>
      </c>
      <c r="E3005" t="inlineStr">
        <is>
          <t>SKINNSKATTEBERG</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16800-2023</t>
        </is>
      </c>
      <c r="B3006" s="1" t="n">
        <v>45033</v>
      </c>
      <c r="C3006" s="1" t="n">
        <v>45757</v>
      </c>
      <c r="D3006" t="inlineStr">
        <is>
          <t>VÄSTMANLANDS LÄN</t>
        </is>
      </c>
      <c r="E3006" t="inlineStr">
        <is>
          <t>SKINNSKATTEBERG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16806-2023</t>
        </is>
      </c>
      <c r="B3007" s="1" t="n">
        <v>45033</v>
      </c>
      <c r="C3007" s="1" t="n">
        <v>45757</v>
      </c>
      <c r="D3007" t="inlineStr">
        <is>
          <t>VÄSTMANLANDS LÄN</t>
        </is>
      </c>
      <c r="E3007" t="inlineStr">
        <is>
          <t>SKINNSKATTEBERG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16984-2023</t>
        </is>
      </c>
      <c r="B3008" s="1" t="n">
        <v>45033</v>
      </c>
      <c r="C3008" s="1" t="n">
        <v>45757</v>
      </c>
      <c r="D3008" t="inlineStr">
        <is>
          <t>VÄSTMANLANDS LÄN</t>
        </is>
      </c>
      <c r="E3008" t="inlineStr">
        <is>
          <t>SALA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16855-2023</t>
        </is>
      </c>
      <c r="B3009" s="1" t="n">
        <v>45033</v>
      </c>
      <c r="C3009" s="1" t="n">
        <v>45757</v>
      </c>
      <c r="D3009" t="inlineStr">
        <is>
          <t>VÄSTMANLANDS LÄN</t>
        </is>
      </c>
      <c r="E3009" t="inlineStr">
        <is>
          <t>VÄSTERÅS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16859-2023</t>
        </is>
      </c>
      <c r="B3010" s="1" t="n">
        <v>45033</v>
      </c>
      <c r="C3010" s="1" t="n">
        <v>45757</v>
      </c>
      <c r="D3010" t="inlineStr">
        <is>
          <t>VÄSTMANLANDS LÄN</t>
        </is>
      </c>
      <c r="E3010" t="inlineStr">
        <is>
          <t>VÄSTERÅS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17038-2023</t>
        </is>
      </c>
      <c r="B3011" s="1" t="n">
        <v>45034</v>
      </c>
      <c r="C3011" s="1" t="n">
        <v>45757</v>
      </c>
      <c r="D3011" t="inlineStr">
        <is>
          <t>VÄSTMANLANDS LÄN</t>
        </is>
      </c>
      <c r="E3011" t="inlineStr">
        <is>
          <t>NORBERG</t>
        </is>
      </c>
      <c r="F3011" t="inlineStr">
        <is>
          <t>Bergvik skog väst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17075-2023</t>
        </is>
      </c>
      <c r="B3012" s="1" t="n">
        <v>45034</v>
      </c>
      <c r="C3012" s="1" t="n">
        <v>45757</v>
      </c>
      <c r="D3012" t="inlineStr">
        <is>
          <t>VÄSTMANLANDS LÄN</t>
        </is>
      </c>
      <c r="E3012" t="inlineStr">
        <is>
          <t>NORBERG</t>
        </is>
      </c>
      <c r="F3012" t="inlineStr">
        <is>
          <t>Bergvik skog väst AB</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17079-2023</t>
        </is>
      </c>
      <c r="B3013" s="1" t="n">
        <v>45034</v>
      </c>
      <c r="C3013" s="1" t="n">
        <v>45757</v>
      </c>
      <c r="D3013" t="inlineStr">
        <is>
          <t>VÄSTMANLANDS LÄN</t>
        </is>
      </c>
      <c r="E3013" t="inlineStr">
        <is>
          <t>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17117-2023</t>
        </is>
      </c>
      <c r="B3014" s="1" t="n">
        <v>45034</v>
      </c>
      <c r="C3014" s="1" t="n">
        <v>45757</v>
      </c>
      <c r="D3014" t="inlineStr">
        <is>
          <t>VÄSTMANLANDS LÄN</t>
        </is>
      </c>
      <c r="E3014" t="inlineStr">
        <is>
          <t>SALA</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17011-2023</t>
        </is>
      </c>
      <c r="B3015" s="1" t="n">
        <v>45034</v>
      </c>
      <c r="C3015" s="1" t="n">
        <v>45757</v>
      </c>
      <c r="D3015" t="inlineStr">
        <is>
          <t>VÄSTMANLANDS LÄN</t>
        </is>
      </c>
      <c r="E3015" t="inlineStr">
        <is>
          <t>ARBOGA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17109-2023</t>
        </is>
      </c>
      <c r="B3016" s="1" t="n">
        <v>45034</v>
      </c>
      <c r="C3016" s="1" t="n">
        <v>45757</v>
      </c>
      <c r="D3016" t="inlineStr">
        <is>
          <t>VÄSTMANLANDS LÄN</t>
        </is>
      </c>
      <c r="E3016" t="inlineStr">
        <is>
          <t>SALA</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17120-2023</t>
        </is>
      </c>
      <c r="B3017" s="1" t="n">
        <v>45034</v>
      </c>
      <c r="C3017" s="1" t="n">
        <v>45757</v>
      </c>
      <c r="D3017" t="inlineStr">
        <is>
          <t>VÄSTMANLANDS LÄN</t>
        </is>
      </c>
      <c r="E3017" t="inlineStr">
        <is>
          <t>SALA</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17204-2023</t>
        </is>
      </c>
      <c r="B3018" s="1" t="n">
        <v>45034</v>
      </c>
      <c r="C3018" s="1" t="n">
        <v>45757</v>
      </c>
      <c r="D3018" t="inlineStr">
        <is>
          <t>VÄSTMANLANDS LÄN</t>
        </is>
      </c>
      <c r="E3018" t="inlineStr">
        <is>
          <t>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17189-2023</t>
        </is>
      </c>
      <c r="B3019" s="1" t="n">
        <v>45034</v>
      </c>
      <c r="C3019" s="1" t="n">
        <v>45757</v>
      </c>
      <c r="D3019" t="inlineStr">
        <is>
          <t>VÄSTMANLANDS LÄN</t>
        </is>
      </c>
      <c r="E3019" t="inlineStr">
        <is>
          <t>VÄSTERÅS</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17302-2023</t>
        </is>
      </c>
      <c r="B3020" s="1" t="n">
        <v>45035</v>
      </c>
      <c r="C3020" s="1" t="n">
        <v>45757</v>
      </c>
      <c r="D3020" t="inlineStr">
        <is>
          <t>VÄSTMANLANDS LÄN</t>
        </is>
      </c>
      <c r="E3020" t="inlineStr">
        <is>
          <t>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17264-2023</t>
        </is>
      </c>
      <c r="B3021" s="1" t="n">
        <v>45035</v>
      </c>
      <c r="C3021" s="1" t="n">
        <v>45757</v>
      </c>
      <c r="D3021" t="inlineStr">
        <is>
          <t>VÄSTMANLANDS LÄN</t>
        </is>
      </c>
      <c r="E3021" t="inlineStr">
        <is>
          <t>SKINNSKATTEBERG</t>
        </is>
      </c>
      <c r="F3021" t="inlineStr">
        <is>
          <t>Sveaskog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17295-2023</t>
        </is>
      </c>
      <c r="B3022" s="1" t="n">
        <v>45035</v>
      </c>
      <c r="C3022" s="1" t="n">
        <v>45757</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17402-2023</t>
        </is>
      </c>
      <c r="B3023" s="1" t="n">
        <v>45035</v>
      </c>
      <c r="C3023" s="1" t="n">
        <v>45757</v>
      </c>
      <c r="D3023" t="inlineStr">
        <is>
          <t>VÄSTMANLANDS LÄN</t>
        </is>
      </c>
      <c r="E3023" t="inlineStr">
        <is>
          <t>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17239-2023</t>
        </is>
      </c>
      <c r="B3024" s="1" t="n">
        <v>45035</v>
      </c>
      <c r="C3024" s="1" t="n">
        <v>45757</v>
      </c>
      <c r="D3024" t="inlineStr">
        <is>
          <t>VÄSTMANLANDS LÄN</t>
        </is>
      </c>
      <c r="E3024" t="inlineStr">
        <is>
          <t>SKINNSKATTEBERG</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17263-2023</t>
        </is>
      </c>
      <c r="B3025" s="1" t="n">
        <v>45035</v>
      </c>
      <c r="C3025" s="1" t="n">
        <v>45757</v>
      </c>
      <c r="D3025" t="inlineStr">
        <is>
          <t>VÄSTMANLANDS LÄN</t>
        </is>
      </c>
      <c r="E3025" t="inlineStr">
        <is>
          <t>SKINNSKATTEBERG</t>
        </is>
      </c>
      <c r="F3025" t="inlineStr">
        <is>
          <t>Sveaskog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17265-2023</t>
        </is>
      </c>
      <c r="B3026" s="1" t="n">
        <v>45035</v>
      </c>
      <c r="C3026" s="1" t="n">
        <v>45757</v>
      </c>
      <c r="D3026" t="inlineStr">
        <is>
          <t>VÄSTMANLANDS LÄN</t>
        </is>
      </c>
      <c r="E3026" t="inlineStr">
        <is>
          <t>SKINNSKATTEBERG</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17380-2023</t>
        </is>
      </c>
      <c r="B3027" s="1" t="n">
        <v>45035</v>
      </c>
      <c r="C3027" s="1" t="n">
        <v>45757</v>
      </c>
      <c r="D3027" t="inlineStr">
        <is>
          <t>VÄSTMANLANDS LÄN</t>
        </is>
      </c>
      <c r="E3027" t="inlineStr">
        <is>
          <t>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17738-2023</t>
        </is>
      </c>
      <c r="B3028" s="1" t="n">
        <v>45037</v>
      </c>
      <c r="C3028" s="1" t="n">
        <v>45757</v>
      </c>
      <c r="D3028" t="inlineStr">
        <is>
          <t>VÄSTMANLANDS LÄN</t>
        </is>
      </c>
      <c r="E3028" t="inlineStr">
        <is>
          <t>SKINNSKATTEBERG</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17752-2023</t>
        </is>
      </c>
      <c r="B3029" s="1" t="n">
        <v>45037</v>
      </c>
      <c r="C3029" s="1" t="n">
        <v>45757</v>
      </c>
      <c r="D3029" t="inlineStr">
        <is>
          <t>VÄSTMANLANDS LÄN</t>
        </is>
      </c>
      <c r="E3029" t="inlineStr">
        <is>
          <t>SKINNSKATTEBERG</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17808-2023</t>
        </is>
      </c>
      <c r="B3030" s="1" t="n">
        <v>45037</v>
      </c>
      <c r="C3030" s="1" t="n">
        <v>45757</v>
      </c>
      <c r="D3030" t="inlineStr">
        <is>
          <t>VÄSTMANLANDS LÄN</t>
        </is>
      </c>
      <c r="E3030" t="inlineStr">
        <is>
          <t>VÄSTERÅS</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17809-2023</t>
        </is>
      </c>
      <c r="B3031" s="1" t="n">
        <v>45037</v>
      </c>
      <c r="C3031" s="1" t="n">
        <v>45757</v>
      </c>
      <c r="D3031" t="inlineStr">
        <is>
          <t>VÄSTMANLANDS LÄN</t>
        </is>
      </c>
      <c r="E3031" t="inlineStr">
        <is>
          <t>VÄSTERÅS</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18077-2023</t>
        </is>
      </c>
      <c r="B3032" s="1" t="n">
        <v>45040</v>
      </c>
      <c r="C3032" s="1" t="n">
        <v>45757</v>
      </c>
      <c r="D3032" t="inlineStr">
        <is>
          <t>VÄSTMANLANDS LÄN</t>
        </is>
      </c>
      <c r="E3032" t="inlineStr">
        <is>
          <t>KÖPING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18100-2023</t>
        </is>
      </c>
      <c r="B3033" s="1" t="n">
        <v>45040</v>
      </c>
      <c r="C3033" s="1" t="n">
        <v>45757</v>
      </c>
      <c r="D3033" t="inlineStr">
        <is>
          <t>VÄSTMANLANDS LÄN</t>
        </is>
      </c>
      <c r="E3033" t="inlineStr">
        <is>
          <t>SALA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18109-2023</t>
        </is>
      </c>
      <c r="B3034" s="1" t="n">
        <v>45040</v>
      </c>
      <c r="C3034" s="1" t="n">
        <v>45757</v>
      </c>
      <c r="D3034" t="inlineStr">
        <is>
          <t>VÄSTMANLANDS LÄN</t>
        </is>
      </c>
      <c r="E3034" t="inlineStr">
        <is>
          <t>SKINNSKATTEBERG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17990-2023</t>
        </is>
      </c>
      <c r="B3035" s="1" t="n">
        <v>45040</v>
      </c>
      <c r="C3035" s="1" t="n">
        <v>45757</v>
      </c>
      <c r="D3035" t="inlineStr">
        <is>
          <t>VÄSTMANLANDS LÄN</t>
        </is>
      </c>
      <c r="E3035" t="inlineStr">
        <is>
          <t>NORBERG</t>
        </is>
      </c>
      <c r="G3035" t="n">
        <v>11.9</v>
      </c>
      <c r="H3035" t="n">
        <v>0</v>
      </c>
      <c r="I3035" t="n">
        <v>0</v>
      </c>
      <c r="J3035" t="n">
        <v>0</v>
      </c>
      <c r="K3035" t="n">
        <v>0</v>
      </c>
      <c r="L3035" t="n">
        <v>0</v>
      </c>
      <c r="M3035" t="n">
        <v>0</v>
      </c>
      <c r="N3035" t="n">
        <v>0</v>
      </c>
      <c r="O3035" t="n">
        <v>0</v>
      </c>
      <c r="P3035" t="n">
        <v>0</v>
      </c>
      <c r="Q3035" t="n">
        <v>0</v>
      </c>
      <c r="R3035" s="2" t="inlineStr"/>
    </row>
    <row r="3036" ht="15" customHeight="1">
      <c r="A3036" t="inlineStr">
        <is>
          <t>A 18065-2023</t>
        </is>
      </c>
      <c r="B3036" s="1" t="n">
        <v>45040</v>
      </c>
      <c r="C3036" s="1" t="n">
        <v>45757</v>
      </c>
      <c r="D3036" t="inlineStr">
        <is>
          <t>VÄSTMANLANDS LÄN</t>
        </is>
      </c>
      <c r="E3036" t="inlineStr">
        <is>
          <t>VÄSTERÅS</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18187-2023</t>
        </is>
      </c>
      <c r="B3037" s="1" t="n">
        <v>45041</v>
      </c>
      <c r="C3037" s="1" t="n">
        <v>45757</v>
      </c>
      <c r="D3037" t="inlineStr">
        <is>
          <t>VÄSTMANLANDS LÄN</t>
        </is>
      </c>
      <c r="E3037" t="inlineStr">
        <is>
          <t>FAGERSTA</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18223-2023</t>
        </is>
      </c>
      <c r="B3038" s="1" t="n">
        <v>45041</v>
      </c>
      <c r="C3038" s="1" t="n">
        <v>45757</v>
      </c>
      <c r="D3038" t="inlineStr">
        <is>
          <t>VÄSTMANLANDS LÄN</t>
        </is>
      </c>
      <c r="E3038" t="inlineStr">
        <is>
          <t>SURAHAMMAR</t>
        </is>
      </c>
      <c r="F3038" t="inlineStr">
        <is>
          <t>Övriga Aktiebolag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18186-2023</t>
        </is>
      </c>
      <c r="B3039" s="1" t="n">
        <v>45041</v>
      </c>
      <c r="C3039" s="1" t="n">
        <v>45757</v>
      </c>
      <c r="D3039" t="inlineStr">
        <is>
          <t>VÄSTMANLANDS LÄN</t>
        </is>
      </c>
      <c r="E3039" t="inlineStr">
        <is>
          <t>FAGERSTA</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18194-2023</t>
        </is>
      </c>
      <c r="B3040" s="1" t="n">
        <v>45041</v>
      </c>
      <c r="C3040" s="1" t="n">
        <v>45757</v>
      </c>
      <c r="D3040" t="inlineStr">
        <is>
          <t>VÄSTMANLANDS LÄN</t>
        </is>
      </c>
      <c r="E3040" t="inlineStr">
        <is>
          <t>NORBERG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18184-2023</t>
        </is>
      </c>
      <c r="B3041" s="1" t="n">
        <v>45041</v>
      </c>
      <c r="C3041" s="1" t="n">
        <v>45757</v>
      </c>
      <c r="D3041" t="inlineStr">
        <is>
          <t>VÄSTMANLANDS LÄN</t>
        </is>
      </c>
      <c r="E3041" t="inlineStr">
        <is>
          <t>FAGERSTA</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18188-2023</t>
        </is>
      </c>
      <c r="B3042" s="1" t="n">
        <v>45041</v>
      </c>
      <c r="C3042" s="1" t="n">
        <v>45757</v>
      </c>
      <c r="D3042" t="inlineStr">
        <is>
          <t>VÄSTMANLANDS LÄN</t>
        </is>
      </c>
      <c r="E3042" t="inlineStr">
        <is>
          <t>FAGERSTA</t>
        </is>
      </c>
      <c r="F3042" t="inlineStr">
        <is>
          <t>Sveaskog</t>
        </is>
      </c>
      <c r="G3042" t="n">
        <v>13.2</v>
      </c>
      <c r="H3042" t="n">
        <v>0</v>
      </c>
      <c r="I3042" t="n">
        <v>0</v>
      </c>
      <c r="J3042" t="n">
        <v>0</v>
      </c>
      <c r="K3042" t="n">
        <v>0</v>
      </c>
      <c r="L3042" t="n">
        <v>0</v>
      </c>
      <c r="M3042" t="n">
        <v>0</v>
      </c>
      <c r="N3042" t="n">
        <v>0</v>
      </c>
      <c r="O3042" t="n">
        <v>0</v>
      </c>
      <c r="P3042" t="n">
        <v>0</v>
      </c>
      <c r="Q3042" t="n">
        <v>0</v>
      </c>
      <c r="R3042" s="2" t="inlineStr"/>
    </row>
    <row r="3043" ht="15" customHeight="1">
      <c r="A3043" t="inlineStr">
        <is>
          <t>A 18454-2023</t>
        </is>
      </c>
      <c r="B3043" s="1" t="n">
        <v>45042</v>
      </c>
      <c r="C3043" s="1" t="n">
        <v>45757</v>
      </c>
      <c r="D3043" t="inlineStr">
        <is>
          <t>VÄSTMANLANDS LÄN</t>
        </is>
      </c>
      <c r="E3043" t="inlineStr">
        <is>
          <t>VÄSTERÅS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18467-2023</t>
        </is>
      </c>
      <c r="B3044" s="1" t="n">
        <v>45042</v>
      </c>
      <c r="C3044" s="1" t="n">
        <v>45757</v>
      </c>
      <c r="D3044" t="inlineStr">
        <is>
          <t>VÄSTMANLANDS LÄN</t>
        </is>
      </c>
      <c r="E3044" t="inlineStr">
        <is>
          <t>VÄSTERÅS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18431-2023</t>
        </is>
      </c>
      <c r="B3045" s="1" t="n">
        <v>45042</v>
      </c>
      <c r="C3045" s="1" t="n">
        <v>45757</v>
      </c>
      <c r="D3045" t="inlineStr">
        <is>
          <t>VÄSTMANLANDS LÄN</t>
        </is>
      </c>
      <c r="E3045" t="inlineStr">
        <is>
          <t>SALA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18452-2023</t>
        </is>
      </c>
      <c r="B3046" s="1" t="n">
        <v>45042</v>
      </c>
      <c r="C3046" s="1" t="n">
        <v>45757</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18465-2023</t>
        </is>
      </c>
      <c r="B3047" s="1" t="n">
        <v>45042</v>
      </c>
      <c r="C3047" s="1" t="n">
        <v>45757</v>
      </c>
      <c r="D3047" t="inlineStr">
        <is>
          <t>VÄSTMANLANDS LÄN</t>
        </is>
      </c>
      <c r="E3047" t="inlineStr">
        <is>
          <t>VÄSTERÅS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18483-2023</t>
        </is>
      </c>
      <c r="B3048" s="1" t="n">
        <v>45042</v>
      </c>
      <c r="C3048" s="1" t="n">
        <v>45757</v>
      </c>
      <c r="D3048" t="inlineStr">
        <is>
          <t>VÄSTMANLANDS LÄN</t>
        </is>
      </c>
      <c r="E3048" t="inlineStr">
        <is>
          <t>VÄSTERÅS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18384-2023</t>
        </is>
      </c>
      <c r="B3049" s="1" t="n">
        <v>45042</v>
      </c>
      <c r="C3049" s="1" t="n">
        <v>45757</v>
      </c>
      <c r="D3049" t="inlineStr">
        <is>
          <t>VÄSTMANLANDS LÄN</t>
        </is>
      </c>
      <c r="E3049" t="inlineStr">
        <is>
          <t>NORBERG</t>
        </is>
      </c>
      <c r="F3049" t="inlineStr">
        <is>
          <t>Övriga Aktiebolag</t>
        </is>
      </c>
      <c r="G3049" t="n">
        <v>14.8</v>
      </c>
      <c r="H3049" t="n">
        <v>0</v>
      </c>
      <c r="I3049" t="n">
        <v>0</v>
      </c>
      <c r="J3049" t="n">
        <v>0</v>
      </c>
      <c r="K3049" t="n">
        <v>0</v>
      </c>
      <c r="L3049" t="n">
        <v>0</v>
      </c>
      <c r="M3049" t="n">
        <v>0</v>
      </c>
      <c r="N3049" t="n">
        <v>0</v>
      </c>
      <c r="O3049" t="n">
        <v>0</v>
      </c>
      <c r="P3049" t="n">
        <v>0</v>
      </c>
      <c r="Q3049" t="n">
        <v>0</v>
      </c>
      <c r="R3049" s="2" t="inlineStr"/>
    </row>
    <row r="3050" ht="15" customHeight="1">
      <c r="A3050" t="inlineStr">
        <is>
          <t>A 18451-2023</t>
        </is>
      </c>
      <c r="B3050" s="1" t="n">
        <v>45042</v>
      </c>
      <c r="C3050" s="1" t="n">
        <v>45757</v>
      </c>
      <c r="D3050" t="inlineStr">
        <is>
          <t>VÄSTMANLANDS LÄN</t>
        </is>
      </c>
      <c r="E3050" t="inlineStr">
        <is>
          <t>VÄSTERÅS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18482-2023</t>
        </is>
      </c>
      <c r="B3051" s="1" t="n">
        <v>45042</v>
      </c>
      <c r="C3051" s="1" t="n">
        <v>45757</v>
      </c>
      <c r="D3051" t="inlineStr">
        <is>
          <t>VÄSTMANLANDS LÄN</t>
        </is>
      </c>
      <c r="E3051" t="inlineStr">
        <is>
          <t>VÄSTERÅS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18457-2023</t>
        </is>
      </c>
      <c r="B3052" s="1" t="n">
        <v>45042</v>
      </c>
      <c r="C3052" s="1" t="n">
        <v>45757</v>
      </c>
      <c r="D3052" t="inlineStr">
        <is>
          <t>VÄSTMANLANDS LÄN</t>
        </is>
      </c>
      <c r="E3052" t="inlineStr">
        <is>
          <t>VÄSTERÅS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18468-2023</t>
        </is>
      </c>
      <c r="B3053" s="1" t="n">
        <v>45042</v>
      </c>
      <c r="C3053" s="1" t="n">
        <v>45757</v>
      </c>
      <c r="D3053" t="inlineStr">
        <is>
          <t>VÄSTMANLANDS LÄN</t>
        </is>
      </c>
      <c r="E3053" t="inlineStr">
        <is>
          <t>VÄSTERÅS</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18721-2023</t>
        </is>
      </c>
      <c r="B3054" s="1" t="n">
        <v>45043</v>
      </c>
      <c r="C3054" s="1" t="n">
        <v>45757</v>
      </c>
      <c r="D3054" t="inlineStr">
        <is>
          <t>VÄSTMANLANDS LÄN</t>
        </is>
      </c>
      <c r="E3054" t="inlineStr">
        <is>
          <t>KUNGSÖR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18745-2023</t>
        </is>
      </c>
      <c r="B3055" s="1" t="n">
        <v>45043</v>
      </c>
      <c r="C3055" s="1" t="n">
        <v>45757</v>
      </c>
      <c r="D3055" t="inlineStr">
        <is>
          <t>VÄSTMANLANDS LÄN</t>
        </is>
      </c>
      <c r="E3055" t="inlineStr">
        <is>
          <t>NORBERG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18744-2023</t>
        </is>
      </c>
      <c r="B3056" s="1" t="n">
        <v>45043</v>
      </c>
      <c r="C3056" s="1" t="n">
        <v>45757</v>
      </c>
      <c r="D3056" t="inlineStr">
        <is>
          <t>VÄSTMANLANDS LÄN</t>
        </is>
      </c>
      <c r="E3056" t="inlineStr">
        <is>
          <t>NORBERG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18649-2023</t>
        </is>
      </c>
      <c r="B3057" s="1" t="n">
        <v>45043</v>
      </c>
      <c r="C3057" s="1" t="n">
        <v>45757</v>
      </c>
      <c r="D3057" t="inlineStr">
        <is>
          <t>VÄSTMANLANDS LÄN</t>
        </is>
      </c>
      <c r="E3057" t="inlineStr">
        <is>
          <t>SKINNSKATTEBERG</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18877-2023</t>
        </is>
      </c>
      <c r="B3058" s="1" t="n">
        <v>45044</v>
      </c>
      <c r="C3058" s="1" t="n">
        <v>45757</v>
      </c>
      <c r="D3058" t="inlineStr">
        <is>
          <t>VÄSTMANLANDS LÄN</t>
        </is>
      </c>
      <c r="E3058" t="inlineStr">
        <is>
          <t>SALA</t>
        </is>
      </c>
      <c r="F3058" t="inlineStr">
        <is>
          <t>Kommuner</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19019-2023</t>
        </is>
      </c>
      <c r="B3059" s="1" t="n">
        <v>45047</v>
      </c>
      <c r="C3059" s="1" t="n">
        <v>45757</v>
      </c>
      <c r="D3059" t="inlineStr">
        <is>
          <t>VÄSTMANLANDS LÄN</t>
        </is>
      </c>
      <c r="E3059" t="inlineStr">
        <is>
          <t>NORBERG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19020-2023</t>
        </is>
      </c>
      <c r="B3060" s="1" t="n">
        <v>45047</v>
      </c>
      <c r="C3060" s="1" t="n">
        <v>45757</v>
      </c>
      <c r="D3060" t="inlineStr">
        <is>
          <t>VÄSTMANLANDS LÄN</t>
        </is>
      </c>
      <c r="E3060" t="inlineStr">
        <is>
          <t>NORBERG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19081-2023</t>
        </is>
      </c>
      <c r="B3061" s="1" t="n">
        <v>45048</v>
      </c>
      <c r="C3061" s="1" t="n">
        <v>45757</v>
      </c>
      <c r="D3061" t="inlineStr">
        <is>
          <t>VÄSTMANLANDS LÄN</t>
        </is>
      </c>
      <c r="E3061" t="inlineStr">
        <is>
          <t>SKINNSKATTEBERG</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19086-2023</t>
        </is>
      </c>
      <c r="B3062" s="1" t="n">
        <v>45048</v>
      </c>
      <c r="C3062" s="1" t="n">
        <v>45757</v>
      </c>
      <c r="D3062" t="inlineStr">
        <is>
          <t>VÄSTMANLANDS LÄN</t>
        </is>
      </c>
      <c r="E3062" t="inlineStr">
        <is>
          <t>SKINNSKATTEBERG</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19082-2023</t>
        </is>
      </c>
      <c r="B3063" s="1" t="n">
        <v>45048</v>
      </c>
      <c r="C3063" s="1" t="n">
        <v>45757</v>
      </c>
      <c r="D3063" t="inlineStr">
        <is>
          <t>VÄSTMANLANDS LÄN</t>
        </is>
      </c>
      <c r="E3063" t="inlineStr">
        <is>
          <t>KUNGSÖR</t>
        </is>
      </c>
      <c r="F3063" t="inlineStr">
        <is>
          <t>Allmännings- och besparingsskogar</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19093-2023</t>
        </is>
      </c>
      <c r="B3064" s="1" t="n">
        <v>45048</v>
      </c>
      <c r="C3064" s="1" t="n">
        <v>45757</v>
      </c>
      <c r="D3064" t="inlineStr">
        <is>
          <t>VÄSTMANLANDS LÄN</t>
        </is>
      </c>
      <c r="E3064" t="inlineStr">
        <is>
          <t>SKINNSKATTEBERG</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19254-2023</t>
        </is>
      </c>
      <c r="B3065" s="1" t="n">
        <v>45049</v>
      </c>
      <c r="C3065" s="1" t="n">
        <v>45757</v>
      </c>
      <c r="D3065" t="inlineStr">
        <is>
          <t>VÄSTMANLANDS LÄN</t>
        </is>
      </c>
      <c r="E3065" t="inlineStr">
        <is>
          <t>NORBERG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19253-2023</t>
        </is>
      </c>
      <c r="B3066" s="1" t="n">
        <v>45049</v>
      </c>
      <c r="C3066" s="1" t="n">
        <v>45757</v>
      </c>
      <c r="D3066" t="inlineStr">
        <is>
          <t>VÄSTMANLANDS LÄN</t>
        </is>
      </c>
      <c r="E3066" t="inlineStr">
        <is>
          <t>NORBERG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19576-2023</t>
        </is>
      </c>
      <c r="B3067" s="1" t="n">
        <v>45050</v>
      </c>
      <c r="C3067" s="1" t="n">
        <v>45757</v>
      </c>
      <c r="D3067" t="inlineStr">
        <is>
          <t>VÄSTMANLANDS LÄN</t>
        </is>
      </c>
      <c r="E3067" t="inlineStr">
        <is>
          <t>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19543-2023</t>
        </is>
      </c>
      <c r="B3068" s="1" t="n">
        <v>45050</v>
      </c>
      <c r="C3068" s="1" t="n">
        <v>45757</v>
      </c>
      <c r="D3068" t="inlineStr">
        <is>
          <t>VÄSTMANLANDS LÄN</t>
        </is>
      </c>
      <c r="E3068" t="inlineStr">
        <is>
          <t>ARBOGA</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19563-2023</t>
        </is>
      </c>
      <c r="B3069" s="1" t="n">
        <v>45050</v>
      </c>
      <c r="C3069" s="1" t="n">
        <v>45757</v>
      </c>
      <c r="D3069" t="inlineStr">
        <is>
          <t>VÄSTMANLANDS LÄN</t>
        </is>
      </c>
      <c r="E3069" t="inlineStr">
        <is>
          <t>KÖPING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19568-2023</t>
        </is>
      </c>
      <c r="B3070" s="1" t="n">
        <v>45050</v>
      </c>
      <c r="C3070" s="1" t="n">
        <v>45757</v>
      </c>
      <c r="D3070" t="inlineStr">
        <is>
          <t>VÄSTMANLANDS LÄN</t>
        </is>
      </c>
      <c r="E3070" t="inlineStr">
        <is>
          <t>KÖPING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19575-2023</t>
        </is>
      </c>
      <c r="B3071" s="1" t="n">
        <v>45050</v>
      </c>
      <c r="C3071" s="1" t="n">
        <v>45757</v>
      </c>
      <c r="D3071" t="inlineStr">
        <is>
          <t>VÄSTMANLANDS LÄN</t>
        </is>
      </c>
      <c r="E3071" t="inlineStr">
        <is>
          <t>KÖPING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19477-2023</t>
        </is>
      </c>
      <c r="B3072" s="1" t="n">
        <v>45050</v>
      </c>
      <c r="C3072" s="1" t="n">
        <v>45757</v>
      </c>
      <c r="D3072" t="inlineStr">
        <is>
          <t>VÄSTMANLANDS LÄN</t>
        </is>
      </c>
      <c r="E3072" t="inlineStr">
        <is>
          <t>KÖPING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19778-2023</t>
        </is>
      </c>
      <c r="B3073" s="1" t="n">
        <v>45050</v>
      </c>
      <c r="C3073" s="1" t="n">
        <v>45757</v>
      </c>
      <c r="D3073" t="inlineStr">
        <is>
          <t>VÄSTMANLANDS LÄN</t>
        </is>
      </c>
      <c r="E3073" t="inlineStr">
        <is>
          <t>SURAHAMMAR</t>
        </is>
      </c>
      <c r="F3073" t="inlineStr">
        <is>
          <t>Bergvik skog väst AB</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19779-2023</t>
        </is>
      </c>
      <c r="B3074" s="1" t="n">
        <v>45050</v>
      </c>
      <c r="C3074" s="1" t="n">
        <v>45757</v>
      </c>
      <c r="D3074" t="inlineStr">
        <is>
          <t>VÄSTMANLANDS LÄN</t>
        </is>
      </c>
      <c r="E3074" t="inlineStr">
        <is>
          <t>SURAHAMMAR</t>
        </is>
      </c>
      <c r="F3074" t="inlineStr">
        <is>
          <t>Bergvik skog väst AB</t>
        </is>
      </c>
      <c r="G3074" t="n">
        <v>11.1</v>
      </c>
      <c r="H3074" t="n">
        <v>0</v>
      </c>
      <c r="I3074" t="n">
        <v>0</v>
      </c>
      <c r="J3074" t="n">
        <v>0</v>
      </c>
      <c r="K3074" t="n">
        <v>0</v>
      </c>
      <c r="L3074" t="n">
        <v>0</v>
      </c>
      <c r="M3074" t="n">
        <v>0</v>
      </c>
      <c r="N3074" t="n">
        <v>0</v>
      </c>
      <c r="O3074" t="n">
        <v>0</v>
      </c>
      <c r="P3074" t="n">
        <v>0</v>
      </c>
      <c r="Q3074" t="n">
        <v>0</v>
      </c>
      <c r="R3074" s="2" t="inlineStr"/>
    </row>
    <row r="3075" ht="15" customHeight="1">
      <c r="A3075" t="inlineStr">
        <is>
          <t>A 19786-2023</t>
        </is>
      </c>
      <c r="B3075" s="1" t="n">
        <v>45050</v>
      </c>
      <c r="C3075" s="1" t="n">
        <v>45757</v>
      </c>
      <c r="D3075" t="inlineStr">
        <is>
          <t>VÄSTMANLANDS LÄN</t>
        </is>
      </c>
      <c r="E3075" t="inlineStr">
        <is>
          <t>SURAHAMMAR</t>
        </is>
      </c>
      <c r="F3075" t="inlineStr">
        <is>
          <t>Bergvik skog väst AB</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19782-2023</t>
        </is>
      </c>
      <c r="B3076" s="1" t="n">
        <v>45050</v>
      </c>
      <c r="C3076" s="1" t="n">
        <v>45757</v>
      </c>
      <c r="D3076" t="inlineStr">
        <is>
          <t>VÄSTMANLANDS LÄN</t>
        </is>
      </c>
      <c r="E3076" t="inlineStr">
        <is>
          <t>SURAHAMMAR</t>
        </is>
      </c>
      <c r="F3076" t="inlineStr">
        <is>
          <t>Bergvik skog väst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19740-2023</t>
        </is>
      </c>
      <c r="B3077" s="1" t="n">
        <v>45051</v>
      </c>
      <c r="C3077" s="1" t="n">
        <v>45757</v>
      </c>
      <c r="D3077" t="inlineStr">
        <is>
          <t>VÄSTMANLANDS LÄN</t>
        </is>
      </c>
      <c r="E3077" t="inlineStr">
        <is>
          <t>VÄSTERÅS</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20148-2023</t>
        </is>
      </c>
      <c r="B3078" s="1" t="n">
        <v>45051</v>
      </c>
      <c r="C3078" s="1" t="n">
        <v>45757</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20158-2023</t>
        </is>
      </c>
      <c r="B3079" s="1" t="n">
        <v>45051</v>
      </c>
      <c r="C3079" s="1" t="n">
        <v>45757</v>
      </c>
      <c r="D3079" t="inlineStr">
        <is>
          <t>VÄSTMANLANDS LÄN</t>
        </is>
      </c>
      <c r="E3079" t="inlineStr">
        <is>
          <t>KÖPING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20151-2023</t>
        </is>
      </c>
      <c r="B3080" s="1" t="n">
        <v>45051</v>
      </c>
      <c r="C3080" s="1" t="n">
        <v>45757</v>
      </c>
      <c r="D3080" t="inlineStr">
        <is>
          <t>VÄSTMANLANDS LÄN</t>
        </is>
      </c>
      <c r="E3080" t="inlineStr">
        <is>
          <t>KÖPING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20155-2023</t>
        </is>
      </c>
      <c r="B3081" s="1" t="n">
        <v>45051</v>
      </c>
      <c r="C3081" s="1" t="n">
        <v>45757</v>
      </c>
      <c r="D3081" t="inlineStr">
        <is>
          <t>VÄSTMANLANDS LÄN</t>
        </is>
      </c>
      <c r="E3081" t="inlineStr">
        <is>
          <t>KÖPING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19916-2023</t>
        </is>
      </c>
      <c r="B3082" s="1" t="n">
        <v>45054</v>
      </c>
      <c r="C3082" s="1" t="n">
        <v>45757</v>
      </c>
      <c r="D3082" t="inlineStr">
        <is>
          <t>VÄSTMANLANDS LÄN</t>
        </is>
      </c>
      <c r="E3082" t="inlineStr">
        <is>
          <t>SALA</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19991-2023</t>
        </is>
      </c>
      <c r="B3083" s="1" t="n">
        <v>45054</v>
      </c>
      <c r="C3083" s="1" t="n">
        <v>45757</v>
      </c>
      <c r="D3083" t="inlineStr">
        <is>
          <t>VÄSTMANLANDS LÄN</t>
        </is>
      </c>
      <c r="E3083" t="inlineStr">
        <is>
          <t>FAGERSTA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20020-2023</t>
        </is>
      </c>
      <c r="B3084" s="1" t="n">
        <v>45054</v>
      </c>
      <c r="C3084" s="1" t="n">
        <v>45757</v>
      </c>
      <c r="D3084" t="inlineStr">
        <is>
          <t>VÄSTMANLANDS LÄN</t>
        </is>
      </c>
      <c r="E3084" t="inlineStr">
        <is>
          <t>SURAHAMMAR</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20018-2023</t>
        </is>
      </c>
      <c r="B3085" s="1" t="n">
        <v>45054</v>
      </c>
      <c r="C3085" s="1" t="n">
        <v>45757</v>
      </c>
      <c r="D3085" t="inlineStr">
        <is>
          <t>VÄSTMANLANDS LÄN</t>
        </is>
      </c>
      <c r="E3085" t="inlineStr">
        <is>
          <t>SURAHAMMAR</t>
        </is>
      </c>
      <c r="F3085" t="inlineStr">
        <is>
          <t>Sveaskog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20073-2023</t>
        </is>
      </c>
      <c r="B3086" s="1" t="n">
        <v>45054</v>
      </c>
      <c r="C3086" s="1" t="n">
        <v>45757</v>
      </c>
      <c r="D3086" t="inlineStr">
        <is>
          <t>VÄSTMANLANDS LÄN</t>
        </is>
      </c>
      <c r="E3086" t="inlineStr">
        <is>
          <t>SKINNSKATTEBERG</t>
        </is>
      </c>
      <c r="F3086" t="inlineStr">
        <is>
          <t>Sveaskog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20071-2023</t>
        </is>
      </c>
      <c r="B3087" s="1" t="n">
        <v>45054</v>
      </c>
      <c r="C3087" s="1" t="n">
        <v>45757</v>
      </c>
      <c r="D3087" t="inlineStr">
        <is>
          <t>VÄSTMANLANDS LÄN</t>
        </is>
      </c>
      <c r="E3087" t="inlineStr">
        <is>
          <t>FAGERSTA</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20072-2023</t>
        </is>
      </c>
      <c r="B3088" s="1" t="n">
        <v>45054</v>
      </c>
      <c r="C3088" s="1" t="n">
        <v>45757</v>
      </c>
      <c r="D3088" t="inlineStr">
        <is>
          <t>VÄSTMANLANDS LÄN</t>
        </is>
      </c>
      <c r="E3088" t="inlineStr">
        <is>
          <t>SKINNSKATTEBERG</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20019-2023</t>
        </is>
      </c>
      <c r="B3089" s="1" t="n">
        <v>45054</v>
      </c>
      <c r="C3089" s="1" t="n">
        <v>45757</v>
      </c>
      <c r="D3089" t="inlineStr">
        <is>
          <t>VÄSTMANLANDS LÄN</t>
        </is>
      </c>
      <c r="E3089" t="inlineStr">
        <is>
          <t>SURAHAMMAR</t>
        </is>
      </c>
      <c r="F3089" t="inlineStr">
        <is>
          <t>Sveaskog</t>
        </is>
      </c>
      <c r="G3089" t="n">
        <v>18.5</v>
      </c>
      <c r="H3089" t="n">
        <v>0</v>
      </c>
      <c r="I3089" t="n">
        <v>0</v>
      </c>
      <c r="J3089" t="n">
        <v>0</v>
      </c>
      <c r="K3089" t="n">
        <v>0</v>
      </c>
      <c r="L3089" t="n">
        <v>0</v>
      </c>
      <c r="M3089" t="n">
        <v>0</v>
      </c>
      <c r="N3089" t="n">
        <v>0</v>
      </c>
      <c r="O3089" t="n">
        <v>0</v>
      </c>
      <c r="P3089" t="n">
        <v>0</v>
      </c>
      <c r="Q3089" t="n">
        <v>0</v>
      </c>
      <c r="R3089" s="2" t="inlineStr"/>
    </row>
    <row r="3090" ht="15" customHeight="1">
      <c r="A3090" t="inlineStr">
        <is>
          <t>A 20023-2023</t>
        </is>
      </c>
      <c r="B3090" s="1" t="n">
        <v>45054</v>
      </c>
      <c r="C3090" s="1" t="n">
        <v>45757</v>
      </c>
      <c r="D3090" t="inlineStr">
        <is>
          <t>VÄSTMANLANDS LÄN</t>
        </is>
      </c>
      <c r="E3090" t="inlineStr">
        <is>
          <t>SURAHAMMAR</t>
        </is>
      </c>
      <c r="F3090" t="inlineStr">
        <is>
          <t>Sveaskog</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20074-2023</t>
        </is>
      </c>
      <c r="B3091" s="1" t="n">
        <v>45054</v>
      </c>
      <c r="C3091" s="1" t="n">
        <v>45757</v>
      </c>
      <c r="D3091" t="inlineStr">
        <is>
          <t>VÄSTMANLANDS LÄN</t>
        </is>
      </c>
      <c r="E3091" t="inlineStr">
        <is>
          <t>SKINNSKATTEBERG</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20197-2023</t>
        </is>
      </c>
      <c r="B3092" s="1" t="n">
        <v>45055</v>
      </c>
      <c r="C3092" s="1" t="n">
        <v>45757</v>
      </c>
      <c r="D3092" t="inlineStr">
        <is>
          <t>VÄSTMANLANDS LÄN</t>
        </is>
      </c>
      <c r="E3092" t="inlineStr">
        <is>
          <t>KUNGSÖR</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20568-2023</t>
        </is>
      </c>
      <c r="B3093" s="1" t="n">
        <v>45055</v>
      </c>
      <c r="C3093" s="1" t="n">
        <v>45757</v>
      </c>
      <c r="D3093" t="inlineStr">
        <is>
          <t>VÄSTMANLANDS LÄN</t>
        </is>
      </c>
      <c r="E3093" t="inlineStr">
        <is>
          <t>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20567-2023</t>
        </is>
      </c>
      <c r="B3094" s="1" t="n">
        <v>45055</v>
      </c>
      <c r="C3094" s="1" t="n">
        <v>45757</v>
      </c>
      <c r="D3094" t="inlineStr">
        <is>
          <t>VÄSTMANLANDS LÄN</t>
        </is>
      </c>
      <c r="E3094" t="inlineStr">
        <is>
          <t>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20381-2023</t>
        </is>
      </c>
      <c r="B3095" s="1" t="n">
        <v>45056</v>
      </c>
      <c r="C3095" s="1" t="n">
        <v>45757</v>
      </c>
      <c r="D3095" t="inlineStr">
        <is>
          <t>VÄSTMANLANDS LÄN</t>
        </is>
      </c>
      <c r="E3095" t="inlineStr">
        <is>
          <t>NORBERG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20405-2023</t>
        </is>
      </c>
      <c r="B3096" s="1" t="n">
        <v>45056</v>
      </c>
      <c r="C3096" s="1" t="n">
        <v>45757</v>
      </c>
      <c r="D3096" t="inlineStr">
        <is>
          <t>VÄSTMANLANDS LÄN</t>
        </is>
      </c>
      <c r="E3096" t="inlineStr">
        <is>
          <t>SALA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20429-2023</t>
        </is>
      </c>
      <c r="B3097" s="1" t="n">
        <v>45056</v>
      </c>
      <c r="C3097" s="1" t="n">
        <v>45757</v>
      </c>
      <c r="D3097" t="inlineStr">
        <is>
          <t>VÄSTMANLANDS LÄN</t>
        </is>
      </c>
      <c r="E3097" t="inlineStr">
        <is>
          <t>SURAHAMMAR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20378-2023</t>
        </is>
      </c>
      <c r="B3098" s="1" t="n">
        <v>45056</v>
      </c>
      <c r="C3098" s="1" t="n">
        <v>45757</v>
      </c>
      <c r="D3098" t="inlineStr">
        <is>
          <t>VÄSTMANLANDS LÄN</t>
        </is>
      </c>
      <c r="E3098" t="inlineStr">
        <is>
          <t>NORBERG</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20430-2023</t>
        </is>
      </c>
      <c r="B3099" s="1" t="n">
        <v>45056</v>
      </c>
      <c r="C3099" s="1" t="n">
        <v>45757</v>
      </c>
      <c r="D3099" t="inlineStr">
        <is>
          <t>VÄSTMANLANDS LÄN</t>
        </is>
      </c>
      <c r="E3099" t="inlineStr">
        <is>
          <t>SKINNSKATTEBERG</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20587-2023</t>
        </is>
      </c>
      <c r="B3100" s="1" t="n">
        <v>45057</v>
      </c>
      <c r="C3100" s="1" t="n">
        <v>45757</v>
      </c>
      <c r="D3100" t="inlineStr">
        <is>
          <t>VÄSTMANLANDS LÄN</t>
        </is>
      </c>
      <c r="E3100" t="inlineStr">
        <is>
          <t>SALA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20816-2023</t>
        </is>
      </c>
      <c r="B3101" s="1" t="n">
        <v>45058</v>
      </c>
      <c r="C3101" s="1" t="n">
        <v>45757</v>
      </c>
      <c r="D3101" t="inlineStr">
        <is>
          <t>VÄSTMANLANDS LÄN</t>
        </is>
      </c>
      <c r="E3101" t="inlineStr">
        <is>
          <t>SKINNSKATTEBERG</t>
        </is>
      </c>
      <c r="F3101" t="inlineStr">
        <is>
          <t>Sveaskog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20833-2023</t>
        </is>
      </c>
      <c r="B3102" s="1" t="n">
        <v>45058</v>
      </c>
      <c r="C3102" s="1" t="n">
        <v>45757</v>
      </c>
      <c r="D3102" t="inlineStr">
        <is>
          <t>VÄSTMANLANDS LÄN</t>
        </is>
      </c>
      <c r="E3102" t="inlineStr">
        <is>
          <t>SKINNSKATTEBERG</t>
        </is>
      </c>
      <c r="F3102" t="inlineStr">
        <is>
          <t>Sveaskog</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20789-2023</t>
        </is>
      </c>
      <c r="B3103" s="1" t="n">
        <v>45058</v>
      </c>
      <c r="C3103" s="1" t="n">
        <v>45757</v>
      </c>
      <c r="D3103" t="inlineStr">
        <is>
          <t>VÄSTMANLANDS LÄN</t>
        </is>
      </c>
      <c r="E3103" t="inlineStr">
        <is>
          <t>ARBOGA</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20812-2023</t>
        </is>
      </c>
      <c r="B3104" s="1" t="n">
        <v>45058</v>
      </c>
      <c r="C3104" s="1" t="n">
        <v>45757</v>
      </c>
      <c r="D3104" t="inlineStr">
        <is>
          <t>VÄSTMANLANDS LÄN</t>
        </is>
      </c>
      <c r="E3104" t="inlineStr">
        <is>
          <t>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21455-2023</t>
        </is>
      </c>
      <c r="B3105" s="1" t="n">
        <v>45058</v>
      </c>
      <c r="C3105" s="1" t="n">
        <v>45757</v>
      </c>
      <c r="D3105" t="inlineStr">
        <is>
          <t>VÄSTMANLANDS LÄN</t>
        </is>
      </c>
      <c r="E3105" t="inlineStr">
        <is>
          <t>SALA</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20904-2023</t>
        </is>
      </c>
      <c r="B3106" s="1" t="n">
        <v>45060</v>
      </c>
      <c r="C3106" s="1" t="n">
        <v>45757</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21497-2023</t>
        </is>
      </c>
      <c r="B3107" s="1" t="n">
        <v>45063</v>
      </c>
      <c r="C3107" s="1" t="n">
        <v>45757</v>
      </c>
      <c r="D3107" t="inlineStr">
        <is>
          <t>VÄSTMANLANDS LÄN</t>
        </is>
      </c>
      <c r="E3107" t="inlineStr">
        <is>
          <t>SKINNSKATTEBERG</t>
        </is>
      </c>
      <c r="F3107" t="inlineStr">
        <is>
          <t>Sveaskog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21558-2023</t>
        </is>
      </c>
      <c r="B3108" s="1" t="n">
        <v>45063</v>
      </c>
      <c r="C3108" s="1" t="n">
        <v>45757</v>
      </c>
      <c r="D3108" t="inlineStr">
        <is>
          <t>VÄSTMANLANDS LÄN</t>
        </is>
      </c>
      <c r="E3108" t="inlineStr">
        <is>
          <t>SKINNSKATTEBERG</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21528-2023</t>
        </is>
      </c>
      <c r="B3109" s="1" t="n">
        <v>45063</v>
      </c>
      <c r="C3109" s="1" t="n">
        <v>45757</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21543-2023</t>
        </is>
      </c>
      <c r="B3110" s="1" t="n">
        <v>45063</v>
      </c>
      <c r="C3110" s="1" t="n">
        <v>45757</v>
      </c>
      <c r="D3110" t="inlineStr">
        <is>
          <t>VÄSTMANLANDS LÄN</t>
        </is>
      </c>
      <c r="E3110" t="inlineStr">
        <is>
          <t>NORBERG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21566-2023</t>
        </is>
      </c>
      <c r="B3111" s="1" t="n">
        <v>45063</v>
      </c>
      <c r="C3111" s="1" t="n">
        <v>45757</v>
      </c>
      <c r="D3111" t="inlineStr">
        <is>
          <t>VÄSTMANLANDS LÄN</t>
        </is>
      </c>
      <c r="E3111" t="inlineStr">
        <is>
          <t>SKINNSKATTEBERG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21571-2023</t>
        </is>
      </c>
      <c r="B3112" s="1" t="n">
        <v>45063</v>
      </c>
      <c r="C3112" s="1" t="n">
        <v>45757</v>
      </c>
      <c r="D3112" t="inlineStr">
        <is>
          <t>VÄSTMANLANDS LÄN</t>
        </is>
      </c>
      <c r="E3112" t="inlineStr">
        <is>
          <t>SKINNSKATTEBERG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21579-2023</t>
        </is>
      </c>
      <c r="B3113" s="1" t="n">
        <v>45063</v>
      </c>
      <c r="C3113" s="1" t="n">
        <v>45757</v>
      </c>
      <c r="D3113" t="inlineStr">
        <is>
          <t>VÄSTMANLANDS LÄN</t>
        </is>
      </c>
      <c r="E3113" t="inlineStr">
        <is>
          <t>SKINNSKATTEBERG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21576-2023</t>
        </is>
      </c>
      <c r="B3114" s="1" t="n">
        <v>45063</v>
      </c>
      <c r="C3114" s="1" t="n">
        <v>45757</v>
      </c>
      <c r="D3114" t="inlineStr">
        <is>
          <t>VÄSTMANLANDS LÄN</t>
        </is>
      </c>
      <c r="E3114" t="inlineStr">
        <is>
          <t>SKINNSKATTEBERG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22097-2023</t>
        </is>
      </c>
      <c r="B3115" s="1" t="n">
        <v>45065</v>
      </c>
      <c r="C3115" s="1" t="n">
        <v>45757</v>
      </c>
      <c r="D3115" t="inlineStr">
        <is>
          <t>VÄSTMANLANDS LÄN</t>
        </is>
      </c>
      <c r="E3115" t="inlineStr">
        <is>
          <t>SALA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21902-2023</t>
        </is>
      </c>
      <c r="B3116" s="1" t="n">
        <v>45068</v>
      </c>
      <c r="C3116" s="1" t="n">
        <v>45757</v>
      </c>
      <c r="D3116" t="inlineStr">
        <is>
          <t>VÄSTMANLANDS LÄN</t>
        </is>
      </c>
      <c r="E3116" t="inlineStr">
        <is>
          <t>SKINNSKATTEBERG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21906-2023</t>
        </is>
      </c>
      <c r="B3117" s="1" t="n">
        <v>45068</v>
      </c>
      <c r="C3117" s="1" t="n">
        <v>45757</v>
      </c>
      <c r="D3117" t="inlineStr">
        <is>
          <t>VÄSTMANLANDS LÄN</t>
        </is>
      </c>
      <c r="E3117" t="inlineStr">
        <is>
          <t>SURAHAMMAR</t>
        </is>
      </c>
      <c r="F3117" t="inlineStr">
        <is>
          <t>Sveaskog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21972-2023</t>
        </is>
      </c>
      <c r="B3118" s="1" t="n">
        <v>45068</v>
      </c>
      <c r="C3118" s="1" t="n">
        <v>45757</v>
      </c>
      <c r="D3118" t="inlineStr">
        <is>
          <t>VÄSTMANLANDS LÄN</t>
        </is>
      </c>
      <c r="E3118" t="inlineStr">
        <is>
          <t>HALLSTAHAMMAR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21905-2023</t>
        </is>
      </c>
      <c r="B3119" s="1" t="n">
        <v>45068</v>
      </c>
      <c r="C3119" s="1" t="n">
        <v>45757</v>
      </c>
      <c r="D3119" t="inlineStr">
        <is>
          <t>VÄSTMANLANDS LÄN</t>
        </is>
      </c>
      <c r="E3119" t="inlineStr">
        <is>
          <t>SURAHAMMAR</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21971-2023</t>
        </is>
      </c>
      <c r="B3120" s="1" t="n">
        <v>45068</v>
      </c>
      <c r="C3120" s="1" t="n">
        <v>45757</v>
      </c>
      <c r="D3120" t="inlineStr">
        <is>
          <t>VÄSTMANLANDS LÄN</t>
        </is>
      </c>
      <c r="E3120" t="inlineStr">
        <is>
          <t>KÖPING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21984-2023</t>
        </is>
      </c>
      <c r="B3121" s="1" t="n">
        <v>45068</v>
      </c>
      <c r="C3121" s="1" t="n">
        <v>45757</v>
      </c>
      <c r="D3121" t="inlineStr">
        <is>
          <t>VÄSTMANLANDS LÄN</t>
        </is>
      </c>
      <c r="E3121" t="inlineStr">
        <is>
          <t>ARBOGA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21904-2023</t>
        </is>
      </c>
      <c r="B3122" s="1" t="n">
        <v>45068</v>
      </c>
      <c r="C3122" s="1" t="n">
        <v>45757</v>
      </c>
      <c r="D3122" t="inlineStr">
        <is>
          <t>VÄSTMANLANDS LÄN</t>
        </is>
      </c>
      <c r="E3122" t="inlineStr">
        <is>
          <t>SURAHAMMAR</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21908-2023</t>
        </is>
      </c>
      <c r="B3123" s="1" t="n">
        <v>45068</v>
      </c>
      <c r="C3123" s="1" t="n">
        <v>45757</v>
      </c>
      <c r="D3123" t="inlineStr">
        <is>
          <t>VÄSTMANLANDS LÄN</t>
        </is>
      </c>
      <c r="E3123" t="inlineStr">
        <is>
          <t>SKINNSKATTEBERG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21903-2023</t>
        </is>
      </c>
      <c r="B3124" s="1" t="n">
        <v>45068</v>
      </c>
      <c r="C3124" s="1" t="n">
        <v>45757</v>
      </c>
      <c r="D3124" t="inlineStr">
        <is>
          <t>VÄSTMANLANDS LÄN</t>
        </is>
      </c>
      <c r="E3124" t="inlineStr">
        <is>
          <t>KÖPING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22076-2023</t>
        </is>
      </c>
      <c r="B3125" s="1" t="n">
        <v>45069</v>
      </c>
      <c r="C3125" s="1" t="n">
        <v>45757</v>
      </c>
      <c r="D3125" t="inlineStr">
        <is>
          <t>VÄSTMANLANDS LÄN</t>
        </is>
      </c>
      <c r="E3125" t="inlineStr">
        <is>
          <t>SALA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22115-2023</t>
        </is>
      </c>
      <c r="B3126" s="1" t="n">
        <v>45069</v>
      </c>
      <c r="C3126" s="1" t="n">
        <v>45757</v>
      </c>
      <c r="D3126" t="inlineStr">
        <is>
          <t>VÄSTMANLANDS LÄN</t>
        </is>
      </c>
      <c r="E3126" t="inlineStr">
        <is>
          <t>KÖPING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22146-2023</t>
        </is>
      </c>
      <c r="B3127" s="1" t="n">
        <v>45069</v>
      </c>
      <c r="C3127" s="1" t="n">
        <v>45757</v>
      </c>
      <c r="D3127" t="inlineStr">
        <is>
          <t>VÄSTMANLANDS LÄN</t>
        </is>
      </c>
      <c r="E3127" t="inlineStr">
        <is>
          <t>SALA</t>
        </is>
      </c>
      <c r="F3127" t="inlineStr">
        <is>
          <t>Kommuner</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22091-2023</t>
        </is>
      </c>
      <c r="B3128" s="1" t="n">
        <v>45069</v>
      </c>
      <c r="C3128" s="1" t="n">
        <v>45757</v>
      </c>
      <c r="D3128" t="inlineStr">
        <is>
          <t>VÄSTMANLANDS LÄN</t>
        </is>
      </c>
      <c r="E3128" t="inlineStr">
        <is>
          <t>SALA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22118-2023</t>
        </is>
      </c>
      <c r="B3129" s="1" t="n">
        <v>45069</v>
      </c>
      <c r="C3129" s="1" t="n">
        <v>45757</v>
      </c>
      <c r="D3129" t="inlineStr">
        <is>
          <t>VÄSTMANLANDS LÄN</t>
        </is>
      </c>
      <c r="E3129" t="inlineStr">
        <is>
          <t>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22072-2023</t>
        </is>
      </c>
      <c r="B3130" s="1" t="n">
        <v>45069</v>
      </c>
      <c r="C3130" s="1" t="n">
        <v>45757</v>
      </c>
      <c r="D3130" t="inlineStr">
        <is>
          <t>VÄSTMANLANDS LÄN</t>
        </is>
      </c>
      <c r="E3130" t="inlineStr">
        <is>
          <t>HALLSTAHAMMAR</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22082-2023</t>
        </is>
      </c>
      <c r="B3131" s="1" t="n">
        <v>45069</v>
      </c>
      <c r="C3131" s="1" t="n">
        <v>45757</v>
      </c>
      <c r="D3131" t="inlineStr">
        <is>
          <t>VÄSTMANLANDS LÄN</t>
        </is>
      </c>
      <c r="E3131" t="inlineStr">
        <is>
          <t>SALA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22391-2023</t>
        </is>
      </c>
      <c r="B3132" s="1" t="n">
        <v>45069</v>
      </c>
      <c r="C3132" s="1" t="n">
        <v>45757</v>
      </c>
      <c r="D3132" t="inlineStr">
        <is>
          <t>VÄSTMANLANDS LÄN</t>
        </is>
      </c>
      <c r="E3132" t="inlineStr">
        <is>
          <t>FAGERSTA</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22523-2023</t>
        </is>
      </c>
      <c r="B3133" s="1" t="n">
        <v>45069</v>
      </c>
      <c r="C3133" s="1" t="n">
        <v>45757</v>
      </c>
      <c r="D3133" t="inlineStr">
        <is>
          <t>VÄSTMANLANDS LÄN</t>
        </is>
      </c>
      <c r="E3133" t="inlineStr">
        <is>
          <t>SALA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22921-2023</t>
        </is>
      </c>
      <c r="B3134" s="1" t="n">
        <v>45070</v>
      </c>
      <c r="C3134" s="1" t="n">
        <v>45757</v>
      </c>
      <c r="D3134" t="inlineStr">
        <is>
          <t>VÄSTMANLANDS LÄN</t>
        </is>
      </c>
      <c r="E3134" t="inlineStr">
        <is>
          <t>SALA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22915-2023</t>
        </is>
      </c>
      <c r="B3135" s="1" t="n">
        <v>45070</v>
      </c>
      <c r="C3135" s="1" t="n">
        <v>45757</v>
      </c>
      <c r="D3135" t="inlineStr">
        <is>
          <t>VÄSTMANLANDS LÄN</t>
        </is>
      </c>
      <c r="E3135" t="inlineStr">
        <is>
          <t>SURAHAMMAR</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22482-2023</t>
        </is>
      </c>
      <c r="B3136" s="1" t="n">
        <v>45071</v>
      </c>
      <c r="C3136" s="1" t="n">
        <v>45757</v>
      </c>
      <c r="D3136" t="inlineStr">
        <is>
          <t>VÄSTMANLANDS LÄN</t>
        </is>
      </c>
      <c r="E3136" t="inlineStr">
        <is>
          <t>FAGERSTA</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22484-2023</t>
        </is>
      </c>
      <c r="B3137" s="1" t="n">
        <v>45071</v>
      </c>
      <c r="C3137" s="1" t="n">
        <v>45757</v>
      </c>
      <c r="D3137" t="inlineStr">
        <is>
          <t>VÄSTMANLANDS LÄN</t>
        </is>
      </c>
      <c r="E3137" t="inlineStr">
        <is>
          <t>FAGERSTA</t>
        </is>
      </c>
      <c r="F3137" t="inlineStr">
        <is>
          <t>Sveaskog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22660-2023</t>
        </is>
      </c>
      <c r="B3138" s="1" t="n">
        <v>45071</v>
      </c>
      <c r="C3138" s="1" t="n">
        <v>45757</v>
      </c>
      <c r="D3138" t="inlineStr">
        <is>
          <t>VÄSTMANLANDS LÄN</t>
        </is>
      </c>
      <c r="E3138" t="inlineStr">
        <is>
          <t>SURAHAMMAR</t>
        </is>
      </c>
      <c r="F3138" t="inlineStr">
        <is>
          <t>Sveaskog</t>
        </is>
      </c>
      <c r="G3138" t="n">
        <v>15.3</v>
      </c>
      <c r="H3138" t="n">
        <v>0</v>
      </c>
      <c r="I3138" t="n">
        <v>0</v>
      </c>
      <c r="J3138" t="n">
        <v>0</v>
      </c>
      <c r="K3138" t="n">
        <v>0</v>
      </c>
      <c r="L3138" t="n">
        <v>0</v>
      </c>
      <c r="M3138" t="n">
        <v>0</v>
      </c>
      <c r="N3138" t="n">
        <v>0</v>
      </c>
      <c r="O3138" t="n">
        <v>0</v>
      </c>
      <c r="P3138" t="n">
        <v>0</v>
      </c>
      <c r="Q3138" t="n">
        <v>0</v>
      </c>
      <c r="R3138" s="2" t="inlineStr"/>
    </row>
    <row r="3139" ht="15" customHeight="1">
      <c r="A3139" t="inlineStr">
        <is>
          <t>A 22485-2023</t>
        </is>
      </c>
      <c r="B3139" s="1" t="n">
        <v>45071</v>
      </c>
      <c r="C3139" s="1" t="n">
        <v>45757</v>
      </c>
      <c r="D3139" t="inlineStr">
        <is>
          <t>VÄSTMANLANDS LÄN</t>
        </is>
      </c>
      <c r="E3139" t="inlineStr">
        <is>
          <t>FAGERSTA</t>
        </is>
      </c>
      <c r="F3139" t="inlineStr">
        <is>
          <t>Sveaskog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22483-2023</t>
        </is>
      </c>
      <c r="B3140" s="1" t="n">
        <v>45071</v>
      </c>
      <c r="C3140" s="1" t="n">
        <v>45757</v>
      </c>
      <c r="D3140" t="inlineStr">
        <is>
          <t>VÄSTMANLANDS LÄN</t>
        </is>
      </c>
      <c r="E3140" t="inlineStr">
        <is>
          <t>FAGERSTA</t>
        </is>
      </c>
      <c r="F3140" t="inlineStr">
        <is>
          <t>Sveaskog</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22662-2023</t>
        </is>
      </c>
      <c r="B3141" s="1" t="n">
        <v>45071</v>
      </c>
      <c r="C3141" s="1" t="n">
        <v>45757</v>
      </c>
      <c r="D3141" t="inlineStr">
        <is>
          <t>VÄSTMANLANDS LÄN</t>
        </is>
      </c>
      <c r="E3141" t="inlineStr">
        <is>
          <t>SURAHAMMAR</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22661-2023</t>
        </is>
      </c>
      <c r="B3142" s="1" t="n">
        <v>45071</v>
      </c>
      <c r="C3142" s="1" t="n">
        <v>45757</v>
      </c>
      <c r="D3142" t="inlineStr">
        <is>
          <t>VÄSTMANLANDS LÄN</t>
        </is>
      </c>
      <c r="E3142" t="inlineStr">
        <is>
          <t>SURAHAMMAR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22659-2023</t>
        </is>
      </c>
      <c r="B3143" s="1" t="n">
        <v>45071</v>
      </c>
      <c r="C3143" s="1" t="n">
        <v>45757</v>
      </c>
      <c r="D3143" t="inlineStr">
        <is>
          <t>VÄSTMANLANDS LÄN</t>
        </is>
      </c>
      <c r="E3143" t="inlineStr">
        <is>
          <t>SURAHAMMAR</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22817-2023</t>
        </is>
      </c>
      <c r="B3144" s="1" t="n">
        <v>45072</v>
      </c>
      <c r="C3144" s="1" t="n">
        <v>45757</v>
      </c>
      <c r="D3144" t="inlineStr">
        <is>
          <t>VÄSTMANLANDS LÄN</t>
        </is>
      </c>
      <c r="E3144" t="inlineStr">
        <is>
          <t>FAGERSTA</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22832-2023</t>
        </is>
      </c>
      <c r="B3145" s="1" t="n">
        <v>45072</v>
      </c>
      <c r="C3145" s="1" t="n">
        <v>45757</v>
      </c>
      <c r="D3145" t="inlineStr">
        <is>
          <t>VÄSTMANLANDS LÄN</t>
        </is>
      </c>
      <c r="E3145" t="inlineStr">
        <is>
          <t>VÄSTERÅS</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22933-2023</t>
        </is>
      </c>
      <c r="B3146" s="1" t="n">
        <v>45072</v>
      </c>
      <c r="C3146" s="1" t="n">
        <v>45757</v>
      </c>
      <c r="D3146" t="inlineStr">
        <is>
          <t>VÄSTMANLANDS LÄN</t>
        </is>
      </c>
      <c r="E3146" t="inlineStr">
        <is>
          <t>SKINNSKATTEBERG</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22937-2023</t>
        </is>
      </c>
      <c r="B3147" s="1" t="n">
        <v>45072</v>
      </c>
      <c r="C3147" s="1" t="n">
        <v>45757</v>
      </c>
      <c r="D3147" t="inlineStr">
        <is>
          <t>VÄSTMANLANDS LÄN</t>
        </is>
      </c>
      <c r="E3147" t="inlineStr">
        <is>
          <t>SKINNSKATTEBERG</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22963-2023</t>
        </is>
      </c>
      <c r="B3148" s="1" t="n">
        <v>45072</v>
      </c>
      <c r="C3148" s="1" t="n">
        <v>45757</v>
      </c>
      <c r="D3148" t="inlineStr">
        <is>
          <t>VÄSTMANLANDS LÄN</t>
        </is>
      </c>
      <c r="E3148" t="inlineStr">
        <is>
          <t>SALA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22961-2023</t>
        </is>
      </c>
      <c r="B3149" s="1" t="n">
        <v>45072</v>
      </c>
      <c r="C3149" s="1" t="n">
        <v>45757</v>
      </c>
      <c r="D3149" t="inlineStr">
        <is>
          <t>VÄSTMANLANDS LÄN</t>
        </is>
      </c>
      <c r="E3149" t="inlineStr">
        <is>
          <t>SALA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22940-2023</t>
        </is>
      </c>
      <c r="B3150" s="1" t="n">
        <v>45072</v>
      </c>
      <c r="C3150" s="1" t="n">
        <v>45757</v>
      </c>
      <c r="D3150" t="inlineStr">
        <is>
          <t>VÄSTMANLANDS LÄN</t>
        </is>
      </c>
      <c r="E3150" t="inlineStr">
        <is>
          <t>SKINNSKATTEBERG</t>
        </is>
      </c>
      <c r="F3150" t="inlineStr">
        <is>
          <t>Sveaskog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23145-2023</t>
        </is>
      </c>
      <c r="B3151" s="1" t="n">
        <v>45075</v>
      </c>
      <c r="C3151" s="1" t="n">
        <v>45757</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23209-2023</t>
        </is>
      </c>
      <c r="B3152" s="1" t="n">
        <v>45075</v>
      </c>
      <c r="C3152" s="1" t="n">
        <v>45757</v>
      </c>
      <c r="D3152" t="inlineStr">
        <is>
          <t>VÄSTMANLANDS LÄN</t>
        </is>
      </c>
      <c r="E3152" t="inlineStr">
        <is>
          <t>SKINNSKATTEBERG</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23256-2023</t>
        </is>
      </c>
      <c r="B3153" s="1" t="n">
        <v>45075</v>
      </c>
      <c r="C3153" s="1" t="n">
        <v>45757</v>
      </c>
      <c r="D3153" t="inlineStr">
        <is>
          <t>VÄSTMANLANDS LÄN</t>
        </is>
      </c>
      <c r="E3153" t="inlineStr">
        <is>
          <t>VÄSTERÅS</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23146-2023</t>
        </is>
      </c>
      <c r="B3154" s="1" t="n">
        <v>45075</v>
      </c>
      <c r="C3154" s="1" t="n">
        <v>45757</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23224-2023</t>
        </is>
      </c>
      <c r="B3155" s="1" t="n">
        <v>45075</v>
      </c>
      <c r="C3155" s="1" t="n">
        <v>45757</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23222-2023</t>
        </is>
      </c>
      <c r="B3156" s="1" t="n">
        <v>45075</v>
      </c>
      <c r="C3156" s="1" t="n">
        <v>45757</v>
      </c>
      <c r="D3156" t="inlineStr">
        <is>
          <t>VÄSTMANLANDS LÄN</t>
        </is>
      </c>
      <c r="E3156" t="inlineStr">
        <is>
          <t>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23232-2023</t>
        </is>
      </c>
      <c r="B3157" s="1" t="n">
        <v>45075</v>
      </c>
      <c r="C3157" s="1" t="n">
        <v>45757</v>
      </c>
      <c r="D3157" t="inlineStr">
        <is>
          <t>VÄSTMANLANDS LÄN</t>
        </is>
      </c>
      <c r="E3157" t="inlineStr">
        <is>
          <t>SALA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23386-2023</t>
        </is>
      </c>
      <c r="B3158" s="1" t="n">
        <v>45076</v>
      </c>
      <c r="C3158" s="1" t="n">
        <v>45757</v>
      </c>
      <c r="D3158" t="inlineStr">
        <is>
          <t>VÄSTMANLANDS LÄN</t>
        </is>
      </c>
      <c r="E3158" t="inlineStr">
        <is>
          <t>KÖPING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23390-2023</t>
        </is>
      </c>
      <c r="B3159" s="1" t="n">
        <v>45076</v>
      </c>
      <c r="C3159" s="1" t="n">
        <v>45757</v>
      </c>
      <c r="D3159" t="inlineStr">
        <is>
          <t>VÄSTMANLANDS LÄN</t>
        </is>
      </c>
      <c r="E3159" t="inlineStr">
        <is>
          <t>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23374-2023</t>
        </is>
      </c>
      <c r="B3160" s="1" t="n">
        <v>45076</v>
      </c>
      <c r="C3160" s="1" t="n">
        <v>45757</v>
      </c>
      <c r="D3160" t="inlineStr">
        <is>
          <t>VÄSTMANLANDS LÄN</t>
        </is>
      </c>
      <c r="E3160" t="inlineStr">
        <is>
          <t>SALA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23387-2023</t>
        </is>
      </c>
      <c r="B3161" s="1" t="n">
        <v>45076</v>
      </c>
      <c r="C3161" s="1" t="n">
        <v>45757</v>
      </c>
      <c r="D3161" t="inlineStr">
        <is>
          <t>VÄSTMANLANDS LÄN</t>
        </is>
      </c>
      <c r="E3161" t="inlineStr">
        <is>
          <t>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23372-2023</t>
        </is>
      </c>
      <c r="B3162" s="1" t="n">
        <v>45076</v>
      </c>
      <c r="C3162" s="1" t="n">
        <v>45757</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23389-2023</t>
        </is>
      </c>
      <c r="B3163" s="1" t="n">
        <v>45076</v>
      </c>
      <c r="C3163" s="1" t="n">
        <v>45757</v>
      </c>
      <c r="D3163" t="inlineStr">
        <is>
          <t>VÄSTMANLANDS LÄN</t>
        </is>
      </c>
      <c r="E3163" t="inlineStr">
        <is>
          <t>KÖPING</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23631-2023</t>
        </is>
      </c>
      <c r="B3164" s="1" t="n">
        <v>45077</v>
      </c>
      <c r="C3164" s="1" t="n">
        <v>45757</v>
      </c>
      <c r="D3164" t="inlineStr">
        <is>
          <t>VÄSTMANLANDS LÄN</t>
        </is>
      </c>
      <c r="E3164" t="inlineStr">
        <is>
          <t>VÄSTERÅS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23661-2023</t>
        </is>
      </c>
      <c r="B3165" s="1" t="n">
        <v>45077</v>
      </c>
      <c r="C3165" s="1" t="n">
        <v>45757</v>
      </c>
      <c r="D3165" t="inlineStr">
        <is>
          <t>VÄSTMANLANDS LÄN</t>
        </is>
      </c>
      <c r="E3165" t="inlineStr">
        <is>
          <t>SKINNSKATTEBERG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23665-2023</t>
        </is>
      </c>
      <c r="B3166" s="1" t="n">
        <v>45077</v>
      </c>
      <c r="C3166" s="1" t="n">
        <v>45757</v>
      </c>
      <c r="D3166" t="inlineStr">
        <is>
          <t>VÄSTMANLANDS LÄN</t>
        </is>
      </c>
      <c r="E3166" t="inlineStr">
        <is>
          <t>SKINNSKATTEBERG</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23542-2023</t>
        </is>
      </c>
      <c r="B3167" s="1" t="n">
        <v>45077</v>
      </c>
      <c r="C3167" s="1" t="n">
        <v>45757</v>
      </c>
      <c r="D3167" t="inlineStr">
        <is>
          <t>VÄSTMANLANDS LÄN</t>
        </is>
      </c>
      <c r="E3167" t="inlineStr">
        <is>
          <t>NORBERG</t>
        </is>
      </c>
      <c r="F3167" t="inlineStr">
        <is>
          <t>Bergvik skog väst AB</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23658-2023</t>
        </is>
      </c>
      <c r="B3168" s="1" t="n">
        <v>45077</v>
      </c>
      <c r="C3168" s="1" t="n">
        <v>45757</v>
      </c>
      <c r="D3168" t="inlineStr">
        <is>
          <t>VÄSTMANLANDS LÄN</t>
        </is>
      </c>
      <c r="E3168" t="inlineStr">
        <is>
          <t>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23659-2023</t>
        </is>
      </c>
      <c r="B3169" s="1" t="n">
        <v>45077</v>
      </c>
      <c r="C3169" s="1" t="n">
        <v>45757</v>
      </c>
      <c r="D3169" t="inlineStr">
        <is>
          <t>VÄSTMANLANDS LÄN</t>
        </is>
      </c>
      <c r="E3169" t="inlineStr">
        <is>
          <t>SALA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23731-2023</t>
        </is>
      </c>
      <c r="B3170" s="1" t="n">
        <v>45077</v>
      </c>
      <c r="C3170" s="1" t="n">
        <v>45757</v>
      </c>
      <c r="D3170" t="inlineStr">
        <is>
          <t>VÄSTMANLANDS LÄN</t>
        </is>
      </c>
      <c r="E3170" t="inlineStr">
        <is>
          <t>SURAHAMMAR</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23574-2023</t>
        </is>
      </c>
      <c r="B3171" s="1" t="n">
        <v>45077</v>
      </c>
      <c r="C3171" s="1" t="n">
        <v>45757</v>
      </c>
      <c r="D3171" t="inlineStr">
        <is>
          <t>VÄSTMANLANDS LÄN</t>
        </is>
      </c>
      <c r="E3171" t="inlineStr">
        <is>
          <t>KUNGSÖR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23616-2023</t>
        </is>
      </c>
      <c r="B3172" s="1" t="n">
        <v>45077</v>
      </c>
      <c r="C3172" s="1" t="n">
        <v>45757</v>
      </c>
      <c r="D3172" t="inlineStr">
        <is>
          <t>VÄSTMANLANDS LÄN</t>
        </is>
      </c>
      <c r="E3172" t="inlineStr">
        <is>
          <t>NORBERG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23641-2023</t>
        </is>
      </c>
      <c r="B3173" s="1" t="n">
        <v>45077</v>
      </c>
      <c r="C3173" s="1" t="n">
        <v>45757</v>
      </c>
      <c r="D3173" t="inlineStr">
        <is>
          <t>VÄSTMANLANDS LÄN</t>
        </is>
      </c>
      <c r="E3173" t="inlineStr">
        <is>
          <t>VÄSTERÅS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23656-2023</t>
        </is>
      </c>
      <c r="B3174" s="1" t="n">
        <v>45077</v>
      </c>
      <c r="C3174" s="1" t="n">
        <v>45757</v>
      </c>
      <c r="D3174" t="inlineStr">
        <is>
          <t>VÄSTMANLANDS LÄN</t>
        </is>
      </c>
      <c r="E3174" t="inlineStr">
        <is>
          <t>KÖPING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23875-2023</t>
        </is>
      </c>
      <c r="B3175" s="1" t="n">
        <v>45078</v>
      </c>
      <c r="C3175" s="1" t="n">
        <v>45757</v>
      </c>
      <c r="D3175" t="inlineStr">
        <is>
          <t>VÄSTMANLANDS LÄN</t>
        </is>
      </c>
      <c r="E3175" t="inlineStr">
        <is>
          <t>VÄSTERÅS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23905-2023</t>
        </is>
      </c>
      <c r="B3176" s="1" t="n">
        <v>45078</v>
      </c>
      <c r="C3176" s="1" t="n">
        <v>45757</v>
      </c>
      <c r="D3176" t="inlineStr">
        <is>
          <t>VÄSTMANLANDS LÄN</t>
        </is>
      </c>
      <c r="E3176" t="inlineStr">
        <is>
          <t>VÄSTERÅS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23927-2023</t>
        </is>
      </c>
      <c r="B3177" s="1" t="n">
        <v>45078</v>
      </c>
      <c r="C3177" s="1" t="n">
        <v>45757</v>
      </c>
      <c r="D3177" t="inlineStr">
        <is>
          <t>VÄSTMANLANDS LÄN</t>
        </is>
      </c>
      <c r="E3177" t="inlineStr">
        <is>
          <t>KUNGSÖR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23932-2023</t>
        </is>
      </c>
      <c r="B3178" s="1" t="n">
        <v>45078</v>
      </c>
      <c r="C3178" s="1" t="n">
        <v>45757</v>
      </c>
      <c r="D3178" t="inlineStr">
        <is>
          <t>VÄSTMANLANDS LÄN</t>
        </is>
      </c>
      <c r="E3178" t="inlineStr">
        <is>
          <t>KUNGSÖR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23791-2023</t>
        </is>
      </c>
      <c r="B3179" s="1" t="n">
        <v>45078</v>
      </c>
      <c r="C3179" s="1" t="n">
        <v>45757</v>
      </c>
      <c r="D3179" t="inlineStr">
        <is>
          <t>VÄSTMANLANDS LÄN</t>
        </is>
      </c>
      <c r="E3179" t="inlineStr">
        <is>
          <t>NORBERG</t>
        </is>
      </c>
      <c r="F3179" t="inlineStr">
        <is>
          <t>Bergvik skog väst AB</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23825-2023</t>
        </is>
      </c>
      <c r="B3180" s="1" t="n">
        <v>45078</v>
      </c>
      <c r="C3180" s="1" t="n">
        <v>45757</v>
      </c>
      <c r="D3180" t="inlineStr">
        <is>
          <t>VÄSTMANLANDS LÄN</t>
        </is>
      </c>
      <c r="E3180" t="inlineStr">
        <is>
          <t>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23917-2023</t>
        </is>
      </c>
      <c r="B3181" s="1" t="n">
        <v>45078</v>
      </c>
      <c r="C3181" s="1" t="n">
        <v>45757</v>
      </c>
      <c r="D3181" t="inlineStr">
        <is>
          <t>VÄSTMANLANDS LÄN</t>
        </is>
      </c>
      <c r="E3181" t="inlineStr">
        <is>
          <t>NORBERG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23920-2023</t>
        </is>
      </c>
      <c r="B3182" s="1" t="n">
        <v>45078</v>
      </c>
      <c r="C3182" s="1" t="n">
        <v>45757</v>
      </c>
      <c r="D3182" t="inlineStr">
        <is>
          <t>VÄSTMANLANDS LÄN</t>
        </is>
      </c>
      <c r="E3182" t="inlineStr">
        <is>
          <t>VÄSTERÅS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24098-2023</t>
        </is>
      </c>
      <c r="B3183" s="1" t="n">
        <v>45079</v>
      </c>
      <c r="C3183" s="1" t="n">
        <v>45757</v>
      </c>
      <c r="D3183" t="inlineStr">
        <is>
          <t>VÄSTMANLANDS LÄN</t>
        </is>
      </c>
      <c r="E3183" t="inlineStr">
        <is>
          <t>SKINNSKATTEBERG</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24156-2023</t>
        </is>
      </c>
      <c r="B3184" s="1" t="n">
        <v>45079</v>
      </c>
      <c r="C3184" s="1" t="n">
        <v>45757</v>
      </c>
      <c r="D3184" t="inlineStr">
        <is>
          <t>VÄSTMANLANDS LÄN</t>
        </is>
      </c>
      <c r="E3184" t="inlineStr">
        <is>
          <t>SURAHAMMAR</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24248-2023</t>
        </is>
      </c>
      <c r="B3185" s="1" t="n">
        <v>45079</v>
      </c>
      <c r="C3185" s="1" t="n">
        <v>45757</v>
      </c>
      <c r="D3185" t="inlineStr">
        <is>
          <t>VÄSTMANLANDS LÄN</t>
        </is>
      </c>
      <c r="E3185" t="inlineStr">
        <is>
          <t>SALA</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24091-2023</t>
        </is>
      </c>
      <c r="B3186" s="1" t="n">
        <v>45079</v>
      </c>
      <c r="C3186" s="1" t="n">
        <v>45757</v>
      </c>
      <c r="D3186" t="inlineStr">
        <is>
          <t>VÄSTMANLANDS LÄN</t>
        </is>
      </c>
      <c r="E3186" t="inlineStr">
        <is>
          <t>SKINNSKATTEBERG</t>
        </is>
      </c>
      <c r="F3186" t="inlineStr">
        <is>
          <t>Sveaskog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24158-2023</t>
        </is>
      </c>
      <c r="B3187" s="1" t="n">
        <v>45079</v>
      </c>
      <c r="C3187" s="1" t="n">
        <v>45757</v>
      </c>
      <c r="D3187" t="inlineStr">
        <is>
          <t>VÄSTMANLANDS LÄN</t>
        </is>
      </c>
      <c r="E3187" t="inlineStr">
        <is>
          <t>SURAHAMMAR</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24197-2023</t>
        </is>
      </c>
      <c r="B3188" s="1" t="n">
        <v>45079</v>
      </c>
      <c r="C3188" s="1" t="n">
        <v>45757</v>
      </c>
      <c r="D3188" t="inlineStr">
        <is>
          <t>VÄSTMANLANDS LÄN</t>
        </is>
      </c>
      <c r="E3188" t="inlineStr">
        <is>
          <t>SURAHAMMAR</t>
        </is>
      </c>
      <c r="F3188" t="inlineStr">
        <is>
          <t>Sveaskog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24180-2023</t>
        </is>
      </c>
      <c r="B3189" s="1" t="n">
        <v>45079</v>
      </c>
      <c r="C3189" s="1" t="n">
        <v>45757</v>
      </c>
      <c r="D3189" t="inlineStr">
        <is>
          <t>VÄSTMANLANDS LÄN</t>
        </is>
      </c>
      <c r="E3189" t="inlineStr">
        <is>
          <t>SURAHAMMAR</t>
        </is>
      </c>
      <c r="F3189" t="inlineStr">
        <is>
          <t>Sveaskog</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24099-2023</t>
        </is>
      </c>
      <c r="B3190" s="1" t="n">
        <v>45079</v>
      </c>
      <c r="C3190" s="1" t="n">
        <v>45757</v>
      </c>
      <c r="D3190" t="inlineStr">
        <is>
          <t>VÄSTMANLANDS LÄN</t>
        </is>
      </c>
      <c r="E3190" t="inlineStr">
        <is>
          <t>SKINNSKATTEBERG</t>
        </is>
      </c>
      <c r="F3190" t="inlineStr">
        <is>
          <t>Sveaskog</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24137-2023</t>
        </is>
      </c>
      <c r="B3191" s="1" t="n">
        <v>45079</v>
      </c>
      <c r="C3191" s="1" t="n">
        <v>45757</v>
      </c>
      <c r="D3191" t="inlineStr">
        <is>
          <t>VÄSTMANLANDS LÄN</t>
        </is>
      </c>
      <c r="E3191" t="inlineStr">
        <is>
          <t>SKINNSKATTEBERG</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24504-2023</t>
        </is>
      </c>
      <c r="B3192" s="1" t="n">
        <v>45082</v>
      </c>
      <c r="C3192" s="1" t="n">
        <v>45757</v>
      </c>
      <c r="D3192" t="inlineStr">
        <is>
          <t>VÄSTMANLANDS LÄN</t>
        </is>
      </c>
      <c r="E3192" t="inlineStr">
        <is>
          <t>SKINNSKATTEBERG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24427-2023</t>
        </is>
      </c>
      <c r="B3193" s="1" t="n">
        <v>45082</v>
      </c>
      <c r="C3193" s="1" t="n">
        <v>45757</v>
      </c>
      <c r="D3193" t="inlineStr">
        <is>
          <t>VÄSTMANLANDS LÄN</t>
        </is>
      </c>
      <c r="E3193" t="inlineStr">
        <is>
          <t>SKINNSKATTEBERG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24495-2023</t>
        </is>
      </c>
      <c r="B3194" s="1" t="n">
        <v>45082</v>
      </c>
      <c r="C3194" s="1" t="n">
        <v>45757</v>
      </c>
      <c r="D3194" t="inlineStr">
        <is>
          <t>VÄSTMANLANDS LÄN</t>
        </is>
      </c>
      <c r="E3194" t="inlineStr">
        <is>
          <t>SALA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24572-2023</t>
        </is>
      </c>
      <c r="B3195" s="1" t="n">
        <v>45083</v>
      </c>
      <c r="C3195" s="1" t="n">
        <v>45757</v>
      </c>
      <c r="D3195" t="inlineStr">
        <is>
          <t>VÄSTMANLANDS LÄN</t>
        </is>
      </c>
      <c r="E3195" t="inlineStr">
        <is>
          <t>VÄSTERÅS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24585-2023</t>
        </is>
      </c>
      <c r="B3196" s="1" t="n">
        <v>45083</v>
      </c>
      <c r="C3196" s="1" t="n">
        <v>45757</v>
      </c>
      <c r="D3196" t="inlineStr">
        <is>
          <t>VÄSTMANLANDS LÄN</t>
        </is>
      </c>
      <c r="E3196" t="inlineStr">
        <is>
          <t>SALA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24584-2023</t>
        </is>
      </c>
      <c r="B3197" s="1" t="n">
        <v>45083</v>
      </c>
      <c r="C3197" s="1" t="n">
        <v>45757</v>
      </c>
      <c r="D3197" t="inlineStr">
        <is>
          <t>VÄSTMANLANDS LÄN</t>
        </is>
      </c>
      <c r="E3197" t="inlineStr">
        <is>
          <t>SALA</t>
        </is>
      </c>
      <c r="F3197" t="inlineStr">
        <is>
          <t>Sveaskog</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24573-2023</t>
        </is>
      </c>
      <c r="B3198" s="1" t="n">
        <v>45083</v>
      </c>
      <c r="C3198" s="1" t="n">
        <v>45757</v>
      </c>
      <c r="D3198" t="inlineStr">
        <is>
          <t>VÄSTMANLANDS LÄN</t>
        </is>
      </c>
      <c r="E3198" t="inlineStr">
        <is>
          <t>VÄSTERÅS</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24586-2023</t>
        </is>
      </c>
      <c r="B3199" s="1" t="n">
        <v>45083</v>
      </c>
      <c r="C3199" s="1" t="n">
        <v>45757</v>
      </c>
      <c r="D3199" t="inlineStr">
        <is>
          <t>VÄSTMANLANDS LÄN</t>
        </is>
      </c>
      <c r="E3199" t="inlineStr">
        <is>
          <t>SALA</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24665-2023</t>
        </is>
      </c>
      <c r="B3200" s="1" t="n">
        <v>45084</v>
      </c>
      <c r="C3200" s="1" t="n">
        <v>45757</v>
      </c>
      <c r="D3200" t="inlineStr">
        <is>
          <t>VÄSTMANLANDS LÄN</t>
        </is>
      </c>
      <c r="E3200" t="inlineStr">
        <is>
          <t>SURAHAMMAR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24606-2023</t>
        </is>
      </c>
      <c r="B3201" s="1" t="n">
        <v>45084</v>
      </c>
      <c r="C3201" s="1" t="n">
        <v>45757</v>
      </c>
      <c r="D3201" t="inlineStr">
        <is>
          <t>VÄSTMANLANDS LÄN</t>
        </is>
      </c>
      <c r="E3201" t="inlineStr">
        <is>
          <t>NORBERG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24773-2023</t>
        </is>
      </c>
      <c r="B3202" s="1" t="n">
        <v>45084</v>
      </c>
      <c r="C3202" s="1" t="n">
        <v>45757</v>
      </c>
      <c r="D3202" t="inlineStr">
        <is>
          <t>VÄSTMANLANDS LÄN</t>
        </is>
      </c>
      <c r="E3202" t="inlineStr">
        <is>
          <t>SALA</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24777-2023</t>
        </is>
      </c>
      <c r="B3203" s="1" t="n">
        <v>45084</v>
      </c>
      <c r="C3203" s="1" t="n">
        <v>45757</v>
      </c>
      <c r="D3203" t="inlineStr">
        <is>
          <t>VÄSTMANLANDS LÄN</t>
        </is>
      </c>
      <c r="E3203" t="inlineStr">
        <is>
          <t>SALA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25761-2023</t>
        </is>
      </c>
      <c r="B3204" s="1" t="n">
        <v>45084</v>
      </c>
      <c r="C3204" s="1" t="n">
        <v>45757</v>
      </c>
      <c r="D3204" t="inlineStr">
        <is>
          <t>VÄSTMANLANDS LÄN</t>
        </is>
      </c>
      <c r="E3204" t="inlineStr">
        <is>
          <t>NORBERG</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24883-2023</t>
        </is>
      </c>
      <c r="B3205" s="1" t="n">
        <v>45085</v>
      </c>
      <c r="C3205" s="1" t="n">
        <v>45757</v>
      </c>
      <c r="D3205" t="inlineStr">
        <is>
          <t>VÄSTMANLANDS LÄN</t>
        </is>
      </c>
      <c r="E3205" t="inlineStr">
        <is>
          <t>SKINNSKATTEBERG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24884-2023</t>
        </is>
      </c>
      <c r="B3206" s="1" t="n">
        <v>45085</v>
      </c>
      <c r="C3206" s="1" t="n">
        <v>45757</v>
      </c>
      <c r="D3206" t="inlineStr">
        <is>
          <t>VÄSTMANLANDS LÄN</t>
        </is>
      </c>
      <c r="E3206" t="inlineStr">
        <is>
          <t>SKINNSKATTEBERG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24944-2023</t>
        </is>
      </c>
      <c r="B3207" s="1" t="n">
        <v>45085</v>
      </c>
      <c r="C3207" s="1" t="n">
        <v>45757</v>
      </c>
      <c r="D3207" t="inlineStr">
        <is>
          <t>VÄSTMANLANDS LÄN</t>
        </is>
      </c>
      <c r="E3207" t="inlineStr">
        <is>
          <t>SALA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25260-2023</t>
        </is>
      </c>
      <c r="B3208" s="1" t="n">
        <v>45086</v>
      </c>
      <c r="C3208" s="1" t="n">
        <v>45757</v>
      </c>
      <c r="D3208" t="inlineStr">
        <is>
          <t>VÄSTMANLANDS LÄN</t>
        </is>
      </c>
      <c r="E3208" t="inlineStr">
        <is>
          <t>SALA</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25233-2023</t>
        </is>
      </c>
      <c r="B3209" s="1" t="n">
        <v>45086</v>
      </c>
      <c r="C3209" s="1" t="n">
        <v>45757</v>
      </c>
      <c r="D3209" t="inlineStr">
        <is>
          <t>VÄSTMANLANDS LÄN</t>
        </is>
      </c>
      <c r="E3209" t="inlineStr">
        <is>
          <t>SALA</t>
        </is>
      </c>
      <c r="F3209" t="inlineStr">
        <is>
          <t>Kommuner</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26229-2023</t>
        </is>
      </c>
      <c r="B3210" s="1" t="n">
        <v>45086</v>
      </c>
      <c r="C3210" s="1" t="n">
        <v>45757</v>
      </c>
      <c r="D3210" t="inlineStr">
        <is>
          <t>VÄSTMANLANDS LÄN</t>
        </is>
      </c>
      <c r="E3210" t="inlineStr">
        <is>
          <t>SALA</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25412-2023</t>
        </is>
      </c>
      <c r="B3211" s="1" t="n">
        <v>45089</v>
      </c>
      <c r="C3211" s="1" t="n">
        <v>45757</v>
      </c>
      <c r="D3211" t="inlineStr">
        <is>
          <t>VÄSTMANLANDS LÄN</t>
        </is>
      </c>
      <c r="E3211" t="inlineStr">
        <is>
          <t>HALLSTAHAMMAR</t>
        </is>
      </c>
      <c r="F3211" t="inlineStr">
        <is>
          <t>Allmännings- och besparingsskogar</t>
        </is>
      </c>
      <c r="G3211" t="n">
        <v>18.3</v>
      </c>
      <c r="H3211" t="n">
        <v>0</v>
      </c>
      <c r="I3211" t="n">
        <v>0</v>
      </c>
      <c r="J3211" t="n">
        <v>0</v>
      </c>
      <c r="K3211" t="n">
        <v>0</v>
      </c>
      <c r="L3211" t="n">
        <v>0</v>
      </c>
      <c r="M3211" t="n">
        <v>0</v>
      </c>
      <c r="N3211" t="n">
        <v>0</v>
      </c>
      <c r="O3211" t="n">
        <v>0</v>
      </c>
      <c r="P3211" t="n">
        <v>0</v>
      </c>
      <c r="Q3211" t="n">
        <v>0</v>
      </c>
      <c r="R3211" s="2" t="inlineStr"/>
    </row>
    <row r="3212" ht="15" customHeight="1">
      <c r="A3212" t="inlineStr">
        <is>
          <t>A 25420-2023</t>
        </is>
      </c>
      <c r="B3212" s="1" t="n">
        <v>45089</v>
      </c>
      <c r="C3212" s="1" t="n">
        <v>45757</v>
      </c>
      <c r="D3212" t="inlineStr">
        <is>
          <t>VÄSTMANLANDS LÄN</t>
        </is>
      </c>
      <c r="E3212" t="inlineStr">
        <is>
          <t>VÄSTERÅS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25477-2023</t>
        </is>
      </c>
      <c r="B3213" s="1" t="n">
        <v>45089</v>
      </c>
      <c r="C3213" s="1" t="n">
        <v>45757</v>
      </c>
      <c r="D3213" t="inlineStr">
        <is>
          <t>VÄSTMANLANDS LÄN</t>
        </is>
      </c>
      <c r="E3213" t="inlineStr">
        <is>
          <t>NORBERG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25540-2023</t>
        </is>
      </c>
      <c r="B3214" s="1" t="n">
        <v>45089</v>
      </c>
      <c r="C3214" s="1" t="n">
        <v>45757</v>
      </c>
      <c r="D3214" t="inlineStr">
        <is>
          <t>VÄSTMANLANDS LÄN</t>
        </is>
      </c>
      <c r="E3214" t="inlineStr">
        <is>
          <t>NORBERG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25566-2023</t>
        </is>
      </c>
      <c r="B3215" s="1" t="n">
        <v>45089</v>
      </c>
      <c r="C3215" s="1" t="n">
        <v>45757</v>
      </c>
      <c r="D3215" t="inlineStr">
        <is>
          <t>VÄSTMANLANDS LÄN</t>
        </is>
      </c>
      <c r="E3215" t="inlineStr">
        <is>
          <t>SALA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25571-2023</t>
        </is>
      </c>
      <c r="B3216" s="1" t="n">
        <v>45089</v>
      </c>
      <c r="C3216" s="1" t="n">
        <v>45757</v>
      </c>
      <c r="D3216" t="inlineStr">
        <is>
          <t>VÄSTMANLANDS LÄN</t>
        </is>
      </c>
      <c r="E3216" t="inlineStr">
        <is>
          <t>SALA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25576-2023</t>
        </is>
      </c>
      <c r="B3217" s="1" t="n">
        <v>45089</v>
      </c>
      <c r="C3217" s="1" t="n">
        <v>45757</v>
      </c>
      <c r="D3217" t="inlineStr">
        <is>
          <t>VÄSTMANLANDS LÄN</t>
        </is>
      </c>
      <c r="E3217" t="inlineStr">
        <is>
          <t>SALA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25580-2023</t>
        </is>
      </c>
      <c r="B3218" s="1" t="n">
        <v>45089</v>
      </c>
      <c r="C3218" s="1" t="n">
        <v>45757</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25804-2023</t>
        </is>
      </c>
      <c r="B3219" s="1" t="n">
        <v>45090</v>
      </c>
      <c r="C3219" s="1" t="n">
        <v>45757</v>
      </c>
      <c r="D3219" t="inlineStr">
        <is>
          <t>VÄSTMANLANDS LÄN</t>
        </is>
      </c>
      <c r="E3219" t="inlineStr">
        <is>
          <t>KÖPING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25775-2023</t>
        </is>
      </c>
      <c r="B3220" s="1" t="n">
        <v>45090</v>
      </c>
      <c r="C3220" s="1" t="n">
        <v>45757</v>
      </c>
      <c r="D3220" t="inlineStr">
        <is>
          <t>VÄSTMANLANDS LÄN</t>
        </is>
      </c>
      <c r="E3220" t="inlineStr">
        <is>
          <t>SURAHAMMAR</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25780-2023</t>
        </is>
      </c>
      <c r="B3221" s="1" t="n">
        <v>45090</v>
      </c>
      <c r="C3221" s="1" t="n">
        <v>45757</v>
      </c>
      <c r="D3221" t="inlineStr">
        <is>
          <t>VÄSTMANLANDS LÄN</t>
        </is>
      </c>
      <c r="E3221" t="inlineStr">
        <is>
          <t>SURAHAMMAR</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25843-2023</t>
        </is>
      </c>
      <c r="B3222" s="1" t="n">
        <v>45090</v>
      </c>
      <c r="C3222" s="1" t="n">
        <v>45757</v>
      </c>
      <c r="D3222" t="inlineStr">
        <is>
          <t>VÄSTMANLANDS LÄN</t>
        </is>
      </c>
      <c r="E3222" t="inlineStr">
        <is>
          <t>SKINNSKATTEBERG</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25894-2023</t>
        </is>
      </c>
      <c r="B3223" s="1" t="n">
        <v>45090</v>
      </c>
      <c r="C3223" s="1" t="n">
        <v>45757</v>
      </c>
      <c r="D3223" t="inlineStr">
        <is>
          <t>VÄSTMANLANDS LÄN</t>
        </is>
      </c>
      <c r="E3223" t="inlineStr">
        <is>
          <t>SALA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25904-2023</t>
        </is>
      </c>
      <c r="B3224" s="1" t="n">
        <v>45090</v>
      </c>
      <c r="C3224" s="1" t="n">
        <v>45757</v>
      </c>
      <c r="D3224" t="inlineStr">
        <is>
          <t>VÄSTMANLANDS LÄN</t>
        </is>
      </c>
      <c r="E3224" t="inlineStr">
        <is>
          <t>VÄSTERÅS</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26607-2023</t>
        </is>
      </c>
      <c r="B3225" s="1" t="n">
        <v>45090</v>
      </c>
      <c r="C3225" s="1" t="n">
        <v>45757</v>
      </c>
      <c r="D3225" t="inlineStr">
        <is>
          <t>VÄSTMANLANDS LÄN</t>
        </is>
      </c>
      <c r="E3225" t="inlineStr">
        <is>
          <t>SALA</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26238-2023</t>
        </is>
      </c>
      <c r="B3226" s="1" t="n">
        <v>45091</v>
      </c>
      <c r="C3226" s="1" t="n">
        <v>45757</v>
      </c>
      <c r="D3226" t="inlineStr">
        <is>
          <t>VÄSTMANLANDS LÄN</t>
        </is>
      </c>
      <c r="E3226" t="inlineStr">
        <is>
          <t>VÄSTERÅS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26069-2023</t>
        </is>
      </c>
      <c r="B3227" s="1" t="n">
        <v>45091</v>
      </c>
      <c r="C3227" s="1" t="n">
        <v>45757</v>
      </c>
      <c r="D3227" t="inlineStr">
        <is>
          <t>VÄSTMANLANDS LÄN</t>
        </is>
      </c>
      <c r="E3227" t="inlineStr">
        <is>
          <t>NORBERG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26068-2023</t>
        </is>
      </c>
      <c r="B3228" s="1" t="n">
        <v>45091</v>
      </c>
      <c r="C3228" s="1" t="n">
        <v>45757</v>
      </c>
      <c r="D3228" t="inlineStr">
        <is>
          <t>VÄSTMANLANDS LÄN</t>
        </is>
      </c>
      <c r="E3228" t="inlineStr">
        <is>
          <t>NORBERG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26072-2023</t>
        </is>
      </c>
      <c r="B3229" s="1" t="n">
        <v>45091</v>
      </c>
      <c r="C3229" s="1" t="n">
        <v>45757</v>
      </c>
      <c r="D3229" t="inlineStr">
        <is>
          <t>VÄSTMANLANDS LÄN</t>
        </is>
      </c>
      <c r="E3229" t="inlineStr">
        <is>
          <t>NORBERG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26066-2023</t>
        </is>
      </c>
      <c r="B3230" s="1" t="n">
        <v>45091</v>
      </c>
      <c r="C3230" s="1" t="n">
        <v>45757</v>
      </c>
      <c r="D3230" t="inlineStr">
        <is>
          <t>VÄSTMANLANDS LÄN</t>
        </is>
      </c>
      <c r="E3230" t="inlineStr">
        <is>
          <t>NORBERG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26505-2023</t>
        </is>
      </c>
      <c r="B3231" s="1" t="n">
        <v>45092</v>
      </c>
      <c r="C3231" s="1" t="n">
        <v>45757</v>
      </c>
      <c r="D3231" t="inlineStr">
        <is>
          <t>VÄSTMANLANDS LÄN</t>
        </is>
      </c>
      <c r="E3231" t="inlineStr">
        <is>
          <t>SALA</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26509-2023</t>
        </is>
      </c>
      <c r="B3232" s="1" t="n">
        <v>45092</v>
      </c>
      <c r="C3232" s="1" t="n">
        <v>45757</v>
      </c>
      <c r="D3232" t="inlineStr">
        <is>
          <t>VÄSTMANLANDS LÄN</t>
        </is>
      </c>
      <c r="E3232" t="inlineStr">
        <is>
          <t>SALA</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26382-2023</t>
        </is>
      </c>
      <c r="B3233" s="1" t="n">
        <v>45092</v>
      </c>
      <c r="C3233" s="1" t="n">
        <v>45757</v>
      </c>
      <c r="D3233" t="inlineStr">
        <is>
          <t>VÄSTMANLANDS LÄN</t>
        </is>
      </c>
      <c r="E3233" t="inlineStr">
        <is>
          <t>KUNGSÖR</t>
        </is>
      </c>
      <c r="F3233" t="inlineStr">
        <is>
          <t>Allmännings- och besparingsskogar</t>
        </is>
      </c>
      <c r="G3233" t="n">
        <v>20.3</v>
      </c>
      <c r="H3233" t="n">
        <v>0</v>
      </c>
      <c r="I3233" t="n">
        <v>0</v>
      </c>
      <c r="J3233" t="n">
        <v>0</v>
      </c>
      <c r="K3233" t="n">
        <v>0</v>
      </c>
      <c r="L3233" t="n">
        <v>0</v>
      </c>
      <c r="M3233" t="n">
        <v>0</v>
      </c>
      <c r="N3233" t="n">
        <v>0</v>
      </c>
      <c r="O3233" t="n">
        <v>0</v>
      </c>
      <c r="P3233" t="n">
        <v>0</v>
      </c>
      <c r="Q3233" t="n">
        <v>0</v>
      </c>
      <c r="R3233" s="2" t="inlineStr"/>
    </row>
    <row r="3234" ht="15" customHeight="1">
      <c r="A3234" t="inlineStr">
        <is>
          <t>A 26584-2023</t>
        </is>
      </c>
      <c r="B3234" s="1" t="n">
        <v>45092</v>
      </c>
      <c r="C3234" s="1" t="n">
        <v>45757</v>
      </c>
      <c r="D3234" t="inlineStr">
        <is>
          <t>VÄSTMANLANDS LÄN</t>
        </is>
      </c>
      <c r="E3234" t="inlineStr">
        <is>
          <t>SKINNSKATTEBERG</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26508-2023</t>
        </is>
      </c>
      <c r="B3235" s="1" t="n">
        <v>45092</v>
      </c>
      <c r="C3235" s="1" t="n">
        <v>45757</v>
      </c>
      <c r="D3235" t="inlineStr">
        <is>
          <t>VÄSTMANLANDS LÄN</t>
        </is>
      </c>
      <c r="E3235" t="inlineStr">
        <is>
          <t>SALA</t>
        </is>
      </c>
      <c r="F3235" t="inlineStr">
        <is>
          <t>Sveaskog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26416-2023</t>
        </is>
      </c>
      <c r="B3236" s="1" t="n">
        <v>45092</v>
      </c>
      <c r="C3236" s="1" t="n">
        <v>45757</v>
      </c>
      <c r="D3236" t="inlineStr">
        <is>
          <t>VÄSTMANLANDS LÄN</t>
        </is>
      </c>
      <c r="E3236" t="inlineStr">
        <is>
          <t>SALA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26507-2023</t>
        </is>
      </c>
      <c r="B3237" s="1" t="n">
        <v>45092</v>
      </c>
      <c r="C3237" s="1" t="n">
        <v>45757</v>
      </c>
      <c r="D3237" t="inlineStr">
        <is>
          <t>VÄSTMANLANDS LÄN</t>
        </is>
      </c>
      <c r="E3237" t="inlineStr">
        <is>
          <t>SALA</t>
        </is>
      </c>
      <c r="F3237" t="inlineStr">
        <is>
          <t>Sveaskog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26580-2023</t>
        </is>
      </c>
      <c r="B3238" s="1" t="n">
        <v>45092</v>
      </c>
      <c r="C3238" s="1" t="n">
        <v>45757</v>
      </c>
      <c r="D3238" t="inlineStr">
        <is>
          <t>VÄSTMANLANDS LÄN</t>
        </is>
      </c>
      <c r="E3238" t="inlineStr">
        <is>
          <t>SKINNSKATTEBERG</t>
        </is>
      </c>
      <c r="F3238" t="inlineStr">
        <is>
          <t>Sveaskog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26581-2023</t>
        </is>
      </c>
      <c r="B3239" s="1" t="n">
        <v>45092</v>
      </c>
      <c r="C3239" s="1" t="n">
        <v>45757</v>
      </c>
      <c r="D3239" t="inlineStr">
        <is>
          <t>VÄSTMANLANDS LÄN</t>
        </is>
      </c>
      <c r="E3239" t="inlineStr">
        <is>
          <t>SKINNSKATTEBERG</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26633-2023</t>
        </is>
      </c>
      <c r="B3240" s="1" t="n">
        <v>45092</v>
      </c>
      <c r="C3240" s="1" t="n">
        <v>45757</v>
      </c>
      <c r="D3240" t="inlineStr">
        <is>
          <t>VÄSTMANLANDS LÄN</t>
        </is>
      </c>
      <c r="E3240" t="inlineStr">
        <is>
          <t>ARBOGA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26727-2023</t>
        </is>
      </c>
      <c r="B3241" s="1" t="n">
        <v>45093</v>
      </c>
      <c r="C3241" s="1" t="n">
        <v>45757</v>
      </c>
      <c r="D3241" t="inlineStr">
        <is>
          <t>VÄSTMANLANDS LÄN</t>
        </is>
      </c>
      <c r="E3241" t="inlineStr">
        <is>
          <t>VÄSTERÅS</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26692-2023</t>
        </is>
      </c>
      <c r="B3242" s="1" t="n">
        <v>45093</v>
      </c>
      <c r="C3242" s="1" t="n">
        <v>45757</v>
      </c>
      <c r="D3242" t="inlineStr">
        <is>
          <t>VÄSTMANLANDS LÄN</t>
        </is>
      </c>
      <c r="E3242" t="inlineStr">
        <is>
          <t>SALA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26802-2023</t>
        </is>
      </c>
      <c r="B3243" s="1" t="n">
        <v>45093</v>
      </c>
      <c r="C3243" s="1" t="n">
        <v>45757</v>
      </c>
      <c r="D3243" t="inlineStr">
        <is>
          <t>VÄSTMANLANDS LÄN</t>
        </is>
      </c>
      <c r="E3243" t="inlineStr">
        <is>
          <t>NORBERG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26761-2023</t>
        </is>
      </c>
      <c r="B3244" s="1" t="n">
        <v>45093</v>
      </c>
      <c r="C3244" s="1" t="n">
        <v>45757</v>
      </c>
      <c r="D3244" t="inlineStr">
        <is>
          <t>VÄSTMANLANDS LÄN</t>
        </is>
      </c>
      <c r="E3244" t="inlineStr">
        <is>
          <t>SALA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27635-2023</t>
        </is>
      </c>
      <c r="B3245" s="1" t="n">
        <v>45093</v>
      </c>
      <c r="C3245" s="1" t="n">
        <v>45757</v>
      </c>
      <c r="D3245" t="inlineStr">
        <is>
          <t>VÄSTMANLANDS LÄN</t>
        </is>
      </c>
      <c r="E3245" t="inlineStr">
        <is>
          <t>NORBERG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27023-2023</t>
        </is>
      </c>
      <c r="B3246" s="1" t="n">
        <v>45094</v>
      </c>
      <c r="C3246" s="1" t="n">
        <v>45757</v>
      </c>
      <c r="D3246" t="inlineStr">
        <is>
          <t>VÄSTMANLANDS LÄN</t>
        </is>
      </c>
      <c r="E3246" t="inlineStr">
        <is>
          <t>SALA</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27038-2023</t>
        </is>
      </c>
      <c r="B3247" s="1" t="n">
        <v>45095</v>
      </c>
      <c r="C3247" s="1" t="n">
        <v>45757</v>
      </c>
      <c r="D3247" t="inlineStr">
        <is>
          <t>VÄSTMANLANDS LÄN</t>
        </is>
      </c>
      <c r="E3247" t="inlineStr">
        <is>
          <t>SALA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27140-2023</t>
        </is>
      </c>
      <c r="B3248" s="1" t="n">
        <v>45096</v>
      </c>
      <c r="C3248" s="1" t="n">
        <v>45757</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27156-2023</t>
        </is>
      </c>
      <c r="B3249" s="1" t="n">
        <v>45096</v>
      </c>
      <c r="C3249" s="1" t="n">
        <v>45757</v>
      </c>
      <c r="D3249" t="inlineStr">
        <is>
          <t>VÄSTMANLANDS LÄN</t>
        </is>
      </c>
      <c r="E3249" t="inlineStr">
        <is>
          <t>SURAHAMMAR</t>
        </is>
      </c>
      <c r="F3249" t="inlineStr">
        <is>
          <t>Sveaskog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27142-2023</t>
        </is>
      </c>
      <c r="B3250" s="1" t="n">
        <v>45096</v>
      </c>
      <c r="C3250" s="1" t="n">
        <v>45757</v>
      </c>
      <c r="D3250" t="inlineStr">
        <is>
          <t>VÄSTMANLANDS LÄN</t>
        </is>
      </c>
      <c r="E3250" t="inlineStr">
        <is>
          <t>SURAHAMMAR</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27171-2023</t>
        </is>
      </c>
      <c r="B3251" s="1" t="n">
        <v>45096</v>
      </c>
      <c r="C3251" s="1" t="n">
        <v>45757</v>
      </c>
      <c r="D3251" t="inlineStr">
        <is>
          <t>VÄSTMANLANDS LÄN</t>
        </is>
      </c>
      <c r="E3251" t="inlineStr">
        <is>
          <t>SURAHAMMAR</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27201-2023</t>
        </is>
      </c>
      <c r="B3252" s="1" t="n">
        <v>45096</v>
      </c>
      <c r="C3252" s="1" t="n">
        <v>45757</v>
      </c>
      <c r="D3252" t="inlineStr">
        <is>
          <t>VÄSTMANLANDS LÄN</t>
        </is>
      </c>
      <c r="E3252" t="inlineStr">
        <is>
          <t>FAGERSTA</t>
        </is>
      </c>
      <c r="F3252" t="inlineStr">
        <is>
          <t>Övriga Aktiebolag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27228-2023</t>
        </is>
      </c>
      <c r="B3253" s="1" t="n">
        <v>45096</v>
      </c>
      <c r="C3253" s="1" t="n">
        <v>45757</v>
      </c>
      <c r="D3253" t="inlineStr">
        <is>
          <t>VÄSTMANLANDS LÄN</t>
        </is>
      </c>
      <c r="E3253" t="inlineStr">
        <is>
          <t>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27255-2023</t>
        </is>
      </c>
      <c r="B3254" s="1" t="n">
        <v>45096</v>
      </c>
      <c r="C3254" s="1" t="n">
        <v>45757</v>
      </c>
      <c r="D3254" t="inlineStr">
        <is>
          <t>VÄSTMANLANDS LÄN</t>
        </is>
      </c>
      <c r="E3254" t="inlineStr">
        <is>
          <t>SALA</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27230-2023</t>
        </is>
      </c>
      <c r="B3255" s="1" t="n">
        <v>45096</v>
      </c>
      <c r="C3255" s="1" t="n">
        <v>45757</v>
      </c>
      <c r="D3255" t="inlineStr">
        <is>
          <t>VÄSTMANLANDS LÄN</t>
        </is>
      </c>
      <c r="E3255" t="inlineStr">
        <is>
          <t>KÖPING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27329-2023</t>
        </is>
      </c>
      <c r="B3256" s="1" t="n">
        <v>45096</v>
      </c>
      <c r="C3256" s="1" t="n">
        <v>45757</v>
      </c>
      <c r="D3256" t="inlineStr">
        <is>
          <t>VÄSTMANLANDS LÄN</t>
        </is>
      </c>
      <c r="E3256" t="inlineStr">
        <is>
          <t>SKINNSKATTEBERG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27309-2023</t>
        </is>
      </c>
      <c r="B3257" s="1" t="n">
        <v>45096</v>
      </c>
      <c r="C3257" s="1" t="n">
        <v>45757</v>
      </c>
      <c r="D3257" t="inlineStr">
        <is>
          <t>VÄSTMANLANDS LÄN</t>
        </is>
      </c>
      <c r="E3257" t="inlineStr">
        <is>
          <t>VÄSTERÅS</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27328-2023</t>
        </is>
      </c>
      <c r="B3258" s="1" t="n">
        <v>45096</v>
      </c>
      <c r="C3258" s="1" t="n">
        <v>45757</v>
      </c>
      <c r="D3258" t="inlineStr">
        <is>
          <t>VÄSTMANLANDS LÄN</t>
        </is>
      </c>
      <c r="E3258" t="inlineStr">
        <is>
          <t>SKINNSKATTEBERG</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27326-2023</t>
        </is>
      </c>
      <c r="B3259" s="1" t="n">
        <v>45096</v>
      </c>
      <c r="C3259" s="1" t="n">
        <v>45757</v>
      </c>
      <c r="D3259" t="inlineStr">
        <is>
          <t>VÄSTMANLANDS LÄN</t>
        </is>
      </c>
      <c r="E3259" t="inlineStr">
        <is>
          <t>SKINNSKATTEBERG</t>
        </is>
      </c>
      <c r="F3259" t="inlineStr">
        <is>
          <t>Sveaskog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27424-2023</t>
        </is>
      </c>
      <c r="B3260" s="1" t="n">
        <v>45097</v>
      </c>
      <c r="C3260" s="1" t="n">
        <v>45757</v>
      </c>
      <c r="D3260" t="inlineStr">
        <is>
          <t>VÄSTMANLANDS LÄN</t>
        </is>
      </c>
      <c r="E3260" t="inlineStr">
        <is>
          <t>SALA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27638-2023</t>
        </is>
      </c>
      <c r="B3261" s="1" t="n">
        <v>45097</v>
      </c>
      <c r="C3261" s="1" t="n">
        <v>45757</v>
      </c>
      <c r="D3261" t="inlineStr">
        <is>
          <t>VÄSTMANLANDS LÄN</t>
        </is>
      </c>
      <c r="E3261" t="inlineStr">
        <is>
          <t>SALA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27657-2023</t>
        </is>
      </c>
      <c r="B3262" s="1" t="n">
        <v>45097</v>
      </c>
      <c r="C3262" s="1" t="n">
        <v>45757</v>
      </c>
      <c r="D3262" t="inlineStr">
        <is>
          <t>VÄSTMANLANDS LÄN</t>
        </is>
      </c>
      <c r="E3262" t="inlineStr">
        <is>
          <t>SALA</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27653-2023</t>
        </is>
      </c>
      <c r="B3263" s="1" t="n">
        <v>45097</v>
      </c>
      <c r="C3263" s="1" t="n">
        <v>45757</v>
      </c>
      <c r="D3263" t="inlineStr">
        <is>
          <t>VÄSTMANLANDS LÄN</t>
        </is>
      </c>
      <c r="E3263" t="inlineStr">
        <is>
          <t>SKINNSKATTEBERG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27747-2023</t>
        </is>
      </c>
      <c r="B3264" s="1" t="n">
        <v>45098</v>
      </c>
      <c r="C3264" s="1" t="n">
        <v>45757</v>
      </c>
      <c r="D3264" t="inlineStr">
        <is>
          <t>VÄSTMANLANDS LÄN</t>
        </is>
      </c>
      <c r="E3264" t="inlineStr">
        <is>
          <t>FAGERSTA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27731-2023</t>
        </is>
      </c>
      <c r="B3265" s="1" t="n">
        <v>45098</v>
      </c>
      <c r="C3265" s="1" t="n">
        <v>45757</v>
      </c>
      <c r="D3265" t="inlineStr">
        <is>
          <t>VÄSTMANLANDS LÄN</t>
        </is>
      </c>
      <c r="E3265" t="inlineStr">
        <is>
          <t>FAGERSTA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27744-2023</t>
        </is>
      </c>
      <c r="B3266" s="1" t="n">
        <v>45098</v>
      </c>
      <c r="C3266" s="1" t="n">
        <v>45757</v>
      </c>
      <c r="D3266" t="inlineStr">
        <is>
          <t>VÄSTMANLANDS LÄN</t>
        </is>
      </c>
      <c r="E3266" t="inlineStr">
        <is>
          <t>SALA</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27783-2023</t>
        </is>
      </c>
      <c r="B3267" s="1" t="n">
        <v>45098</v>
      </c>
      <c r="C3267" s="1" t="n">
        <v>45757</v>
      </c>
      <c r="D3267" t="inlineStr">
        <is>
          <t>VÄSTMANLANDS LÄN</t>
        </is>
      </c>
      <c r="E3267" t="inlineStr">
        <is>
          <t>SKINNSKATTEBERG</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27834-2023</t>
        </is>
      </c>
      <c r="B3268" s="1" t="n">
        <v>45098</v>
      </c>
      <c r="C3268" s="1" t="n">
        <v>45757</v>
      </c>
      <c r="D3268" t="inlineStr">
        <is>
          <t>VÄSTMANLANDS LÄN</t>
        </is>
      </c>
      <c r="E3268" t="inlineStr">
        <is>
          <t>SALA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27824-2023</t>
        </is>
      </c>
      <c r="B3269" s="1" t="n">
        <v>45098</v>
      </c>
      <c r="C3269" s="1" t="n">
        <v>45757</v>
      </c>
      <c r="D3269" t="inlineStr">
        <is>
          <t>VÄSTMANLANDS LÄN</t>
        </is>
      </c>
      <c r="E3269" t="inlineStr">
        <is>
          <t>SALA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27891-2023</t>
        </is>
      </c>
      <c r="B3270" s="1" t="n">
        <v>45098</v>
      </c>
      <c r="C3270" s="1" t="n">
        <v>45757</v>
      </c>
      <c r="D3270" t="inlineStr">
        <is>
          <t>VÄSTMANLANDS LÄN</t>
        </is>
      </c>
      <c r="E3270" t="inlineStr">
        <is>
          <t>KÖPING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27737-2023</t>
        </is>
      </c>
      <c r="B3271" s="1" t="n">
        <v>45098</v>
      </c>
      <c r="C3271" s="1" t="n">
        <v>45757</v>
      </c>
      <c r="D3271" t="inlineStr">
        <is>
          <t>VÄSTMANLANDS LÄN</t>
        </is>
      </c>
      <c r="E3271" t="inlineStr">
        <is>
          <t>FAGERSTA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27741-2023</t>
        </is>
      </c>
      <c r="B3272" s="1" t="n">
        <v>45098</v>
      </c>
      <c r="C3272" s="1" t="n">
        <v>45757</v>
      </c>
      <c r="D3272" t="inlineStr">
        <is>
          <t>VÄSTMANLANDS LÄN</t>
        </is>
      </c>
      <c r="E3272" t="inlineStr">
        <is>
          <t>VÄSTERÅS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27749-2023</t>
        </is>
      </c>
      <c r="B3273" s="1" t="n">
        <v>45098</v>
      </c>
      <c r="C3273" s="1" t="n">
        <v>45757</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29542-2023</t>
        </is>
      </c>
      <c r="B3274" s="1" t="n">
        <v>45098</v>
      </c>
      <c r="C3274" s="1" t="n">
        <v>45757</v>
      </c>
      <c r="D3274" t="inlineStr">
        <is>
          <t>VÄSTMANLANDS LÄN</t>
        </is>
      </c>
      <c r="E3274" t="inlineStr">
        <is>
          <t>SALA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28051-2023</t>
        </is>
      </c>
      <c r="B3275" s="1" t="n">
        <v>45099</v>
      </c>
      <c r="C3275" s="1" t="n">
        <v>45757</v>
      </c>
      <c r="D3275" t="inlineStr">
        <is>
          <t>VÄSTMANLANDS LÄN</t>
        </is>
      </c>
      <c r="E3275" t="inlineStr">
        <is>
          <t>SURAHAMMAR</t>
        </is>
      </c>
      <c r="F3275" t="inlineStr">
        <is>
          <t>Allmännings- och besparingsskogar</t>
        </is>
      </c>
      <c r="G3275" t="n">
        <v>23.3</v>
      </c>
      <c r="H3275" t="n">
        <v>0</v>
      </c>
      <c r="I3275" t="n">
        <v>0</v>
      </c>
      <c r="J3275" t="n">
        <v>0</v>
      </c>
      <c r="K3275" t="n">
        <v>0</v>
      </c>
      <c r="L3275" t="n">
        <v>0</v>
      </c>
      <c r="M3275" t="n">
        <v>0</v>
      </c>
      <c r="N3275" t="n">
        <v>0</v>
      </c>
      <c r="O3275" t="n">
        <v>0</v>
      </c>
      <c r="P3275" t="n">
        <v>0</v>
      </c>
      <c r="Q3275" t="n">
        <v>0</v>
      </c>
      <c r="R3275" s="2" t="inlineStr"/>
    </row>
    <row r="3276" ht="15" customHeight="1">
      <c r="A3276" t="inlineStr">
        <is>
          <t>A 28230-2023</t>
        </is>
      </c>
      <c r="B3276" s="1" t="n">
        <v>45099</v>
      </c>
      <c r="C3276" s="1" t="n">
        <v>45757</v>
      </c>
      <c r="D3276" t="inlineStr">
        <is>
          <t>VÄSTMANLANDS LÄN</t>
        </is>
      </c>
      <c r="E3276" t="inlineStr">
        <is>
          <t>KÖPING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28237-2023</t>
        </is>
      </c>
      <c r="B3277" s="1" t="n">
        <v>45099</v>
      </c>
      <c r="C3277" s="1" t="n">
        <v>45757</v>
      </c>
      <c r="D3277" t="inlineStr">
        <is>
          <t>VÄSTMANLANDS LÄN</t>
        </is>
      </c>
      <c r="E3277" t="inlineStr">
        <is>
          <t>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28324-2023</t>
        </is>
      </c>
      <c r="B3278" s="1" t="n">
        <v>45099</v>
      </c>
      <c r="C3278" s="1" t="n">
        <v>45757</v>
      </c>
      <c r="D3278" t="inlineStr">
        <is>
          <t>VÄSTMANLANDS LÄN</t>
        </is>
      </c>
      <c r="E3278" t="inlineStr">
        <is>
          <t>VÄSTERÅS</t>
        </is>
      </c>
      <c r="F3278" t="inlineStr">
        <is>
          <t>Sveaskog</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28312-2023</t>
        </is>
      </c>
      <c r="B3279" s="1" t="n">
        <v>45099</v>
      </c>
      <c r="C3279" s="1" t="n">
        <v>45757</v>
      </c>
      <c r="D3279" t="inlineStr">
        <is>
          <t>VÄSTMANLANDS LÄN</t>
        </is>
      </c>
      <c r="E3279" t="inlineStr">
        <is>
          <t>SKINNSKATTEBERG</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28325-2023</t>
        </is>
      </c>
      <c r="B3280" s="1" t="n">
        <v>45099</v>
      </c>
      <c r="C3280" s="1" t="n">
        <v>45757</v>
      </c>
      <c r="D3280" t="inlineStr">
        <is>
          <t>VÄSTMANLANDS LÄN</t>
        </is>
      </c>
      <c r="E3280" t="inlineStr">
        <is>
          <t>VÄSTERÅS</t>
        </is>
      </c>
      <c r="F3280" t="inlineStr">
        <is>
          <t>Sveaskog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28328-2023</t>
        </is>
      </c>
      <c r="B3281" s="1" t="n">
        <v>45099</v>
      </c>
      <c r="C3281" s="1" t="n">
        <v>45757</v>
      </c>
      <c r="D3281" t="inlineStr">
        <is>
          <t>VÄSTMANLANDS LÄN</t>
        </is>
      </c>
      <c r="E3281" t="inlineStr">
        <is>
          <t>SALA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28308-2023</t>
        </is>
      </c>
      <c r="B3282" s="1" t="n">
        <v>45099</v>
      </c>
      <c r="C3282" s="1" t="n">
        <v>45757</v>
      </c>
      <c r="D3282" t="inlineStr">
        <is>
          <t>VÄSTMANLANDS LÄN</t>
        </is>
      </c>
      <c r="E3282" t="inlineStr">
        <is>
          <t>SKINNSKATTEBERG</t>
        </is>
      </c>
      <c r="F3282" t="inlineStr">
        <is>
          <t>Sveaskog</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28326-2023</t>
        </is>
      </c>
      <c r="B3283" s="1" t="n">
        <v>45099</v>
      </c>
      <c r="C3283" s="1" t="n">
        <v>45757</v>
      </c>
      <c r="D3283" t="inlineStr">
        <is>
          <t>VÄSTMANLANDS LÄN</t>
        </is>
      </c>
      <c r="E3283" t="inlineStr">
        <is>
          <t>VÄSTERÅS</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28534-2023</t>
        </is>
      </c>
      <c r="B3284" s="1" t="n">
        <v>45103</v>
      </c>
      <c r="C3284" s="1" t="n">
        <v>45757</v>
      </c>
      <c r="D3284" t="inlineStr">
        <is>
          <t>VÄSTMANLANDS LÄN</t>
        </is>
      </c>
      <c r="E3284" t="inlineStr">
        <is>
          <t>SKINNSKATTEBERG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28589-2023</t>
        </is>
      </c>
      <c r="B3285" s="1" t="n">
        <v>45103</v>
      </c>
      <c r="C3285" s="1" t="n">
        <v>45757</v>
      </c>
      <c r="D3285" t="inlineStr">
        <is>
          <t>VÄSTMANLANDS LÄN</t>
        </is>
      </c>
      <c r="E3285" t="inlineStr">
        <is>
          <t>NORBERG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28696-2023</t>
        </is>
      </c>
      <c r="B3286" s="1" t="n">
        <v>45103</v>
      </c>
      <c r="C3286" s="1" t="n">
        <v>45757</v>
      </c>
      <c r="D3286" t="inlineStr">
        <is>
          <t>VÄSTMANLANDS LÄN</t>
        </is>
      </c>
      <c r="E3286" t="inlineStr">
        <is>
          <t>SALA</t>
        </is>
      </c>
      <c r="F3286" t="inlineStr">
        <is>
          <t>Kommuner</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28521-2023</t>
        </is>
      </c>
      <c r="B3287" s="1" t="n">
        <v>45103</v>
      </c>
      <c r="C3287" s="1" t="n">
        <v>45757</v>
      </c>
      <c r="D3287" t="inlineStr">
        <is>
          <t>VÄSTMANLANDS LÄN</t>
        </is>
      </c>
      <c r="E3287" t="inlineStr">
        <is>
          <t>VÄSTERÅS</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28811-2023</t>
        </is>
      </c>
      <c r="B3288" s="1" t="n">
        <v>45104</v>
      </c>
      <c r="C3288" s="1" t="n">
        <v>45757</v>
      </c>
      <c r="D3288" t="inlineStr">
        <is>
          <t>VÄSTMANLANDS LÄN</t>
        </is>
      </c>
      <c r="E3288" t="inlineStr">
        <is>
          <t>HALLSTAHAMMAR</t>
        </is>
      </c>
      <c r="F3288" t="inlineStr">
        <is>
          <t>Allmännings- och besparingsskogar</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29175-2023</t>
        </is>
      </c>
      <c r="B3289" s="1" t="n">
        <v>45105</v>
      </c>
      <c r="C3289" s="1" t="n">
        <v>45757</v>
      </c>
      <c r="D3289" t="inlineStr">
        <is>
          <t>VÄSTMANLANDS LÄN</t>
        </is>
      </c>
      <c r="E3289" t="inlineStr">
        <is>
          <t>SKINNSKATTEBERG</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29241-2023</t>
        </is>
      </c>
      <c r="B3290" s="1" t="n">
        <v>45105</v>
      </c>
      <c r="C3290" s="1" t="n">
        <v>45757</v>
      </c>
      <c r="D3290" t="inlineStr">
        <is>
          <t>VÄSTMANLANDS LÄN</t>
        </is>
      </c>
      <c r="E3290" t="inlineStr">
        <is>
          <t>SALA</t>
        </is>
      </c>
      <c r="F3290" t="inlineStr">
        <is>
          <t>Kommuner</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29456-2023</t>
        </is>
      </c>
      <c r="B3291" s="1" t="n">
        <v>45106</v>
      </c>
      <c r="C3291" s="1" t="n">
        <v>45757</v>
      </c>
      <c r="D3291" t="inlineStr">
        <is>
          <t>VÄSTMANLANDS LÄN</t>
        </is>
      </c>
      <c r="E3291" t="inlineStr">
        <is>
          <t>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29496-2023</t>
        </is>
      </c>
      <c r="B3292" s="1" t="n">
        <v>45106</v>
      </c>
      <c r="C3292" s="1" t="n">
        <v>45757</v>
      </c>
      <c r="D3292" t="inlineStr">
        <is>
          <t>VÄSTMANLANDS LÄN</t>
        </is>
      </c>
      <c r="E3292" t="inlineStr">
        <is>
          <t>SKINNSKATTEBERG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29789-2023</t>
        </is>
      </c>
      <c r="B3293" s="1" t="n">
        <v>45107</v>
      </c>
      <c r="C3293" s="1" t="n">
        <v>45757</v>
      </c>
      <c r="D3293" t="inlineStr">
        <is>
          <t>VÄSTMANLANDS LÄN</t>
        </is>
      </c>
      <c r="E3293" t="inlineStr">
        <is>
          <t>VÄSTERÅS</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31945-2023</t>
        </is>
      </c>
      <c r="B3294" s="1" t="n">
        <v>45107</v>
      </c>
      <c r="C3294" s="1" t="n">
        <v>45757</v>
      </c>
      <c r="D3294" t="inlineStr">
        <is>
          <t>VÄSTMANLANDS LÄN</t>
        </is>
      </c>
      <c r="E3294" t="inlineStr">
        <is>
          <t>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31950-2023</t>
        </is>
      </c>
      <c r="B3295" s="1" t="n">
        <v>45107</v>
      </c>
      <c r="C3295" s="1" t="n">
        <v>45757</v>
      </c>
      <c r="D3295" t="inlineStr">
        <is>
          <t>VÄSTMANLANDS LÄN</t>
        </is>
      </c>
      <c r="E3295" t="inlineStr">
        <is>
          <t>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31953-2023</t>
        </is>
      </c>
      <c r="B3296" s="1" t="n">
        <v>45107</v>
      </c>
      <c r="C3296" s="1" t="n">
        <v>45757</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29999-2023</t>
        </is>
      </c>
      <c r="B3297" s="1" t="n">
        <v>45109</v>
      </c>
      <c r="C3297" s="1" t="n">
        <v>45757</v>
      </c>
      <c r="D3297" t="inlineStr">
        <is>
          <t>VÄSTMANLANDS LÄN</t>
        </is>
      </c>
      <c r="E3297" t="inlineStr">
        <is>
          <t>ARBOGA</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30096-2023</t>
        </is>
      </c>
      <c r="B3298" s="1" t="n">
        <v>45110</v>
      </c>
      <c r="C3298" s="1" t="n">
        <v>45757</v>
      </c>
      <c r="D3298" t="inlineStr">
        <is>
          <t>VÄSTMANLANDS LÄN</t>
        </is>
      </c>
      <c r="E3298" t="inlineStr">
        <is>
          <t>VÄSTERÅS</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30081-2023</t>
        </is>
      </c>
      <c r="B3299" s="1" t="n">
        <v>45110</v>
      </c>
      <c r="C3299" s="1" t="n">
        <v>45757</v>
      </c>
      <c r="D3299" t="inlineStr">
        <is>
          <t>VÄSTMANLANDS LÄN</t>
        </is>
      </c>
      <c r="E3299" t="inlineStr">
        <is>
          <t>VÄSTERÅS</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30204-2023</t>
        </is>
      </c>
      <c r="B3300" s="1" t="n">
        <v>45110</v>
      </c>
      <c r="C3300" s="1" t="n">
        <v>45757</v>
      </c>
      <c r="D3300" t="inlineStr">
        <is>
          <t>VÄSTMANLANDS LÄN</t>
        </is>
      </c>
      <c r="E3300" t="inlineStr">
        <is>
          <t>ARBOGA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30076-2023</t>
        </is>
      </c>
      <c r="B3301" s="1" t="n">
        <v>45110</v>
      </c>
      <c r="C3301" s="1" t="n">
        <v>45757</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32350-2023</t>
        </is>
      </c>
      <c r="B3302" s="1" t="n">
        <v>45110</v>
      </c>
      <c r="C3302" s="1" t="n">
        <v>45757</v>
      </c>
      <c r="D3302" t="inlineStr">
        <is>
          <t>VÄSTMANLANDS LÄN</t>
        </is>
      </c>
      <c r="E3302" t="inlineStr">
        <is>
          <t>VÄSTERÅS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30219-2023</t>
        </is>
      </c>
      <c r="B3303" s="1" t="n">
        <v>45110</v>
      </c>
      <c r="C3303" s="1" t="n">
        <v>45757</v>
      </c>
      <c r="D3303" t="inlineStr">
        <is>
          <t>VÄSTMANLANDS LÄN</t>
        </is>
      </c>
      <c r="E3303" t="inlineStr">
        <is>
          <t>ARBOGA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32341-2023</t>
        </is>
      </c>
      <c r="B3304" s="1" t="n">
        <v>45110</v>
      </c>
      <c r="C3304" s="1" t="n">
        <v>45757</v>
      </c>
      <c r="D3304" t="inlineStr">
        <is>
          <t>VÄSTMANLANDS LÄN</t>
        </is>
      </c>
      <c r="E3304" t="inlineStr">
        <is>
          <t>VÄSTERÅS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32345-2023</t>
        </is>
      </c>
      <c r="B3305" s="1" t="n">
        <v>45110</v>
      </c>
      <c r="C3305" s="1" t="n">
        <v>45757</v>
      </c>
      <c r="D3305" t="inlineStr">
        <is>
          <t>VÄSTMANLANDS LÄN</t>
        </is>
      </c>
      <c r="E3305" t="inlineStr">
        <is>
          <t>VÄSTERÅS</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30462-2023</t>
        </is>
      </c>
      <c r="B3306" s="1" t="n">
        <v>45111</v>
      </c>
      <c r="C3306" s="1" t="n">
        <v>45757</v>
      </c>
      <c r="D3306" t="inlineStr">
        <is>
          <t>VÄSTMANLANDS LÄN</t>
        </is>
      </c>
      <c r="E3306" t="inlineStr">
        <is>
          <t>KUNGSÖR</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30323-2023</t>
        </is>
      </c>
      <c r="B3307" s="1" t="n">
        <v>45111</v>
      </c>
      <c r="C3307" s="1" t="n">
        <v>45757</v>
      </c>
      <c r="D3307" t="inlineStr">
        <is>
          <t>VÄSTMANLANDS LÄN</t>
        </is>
      </c>
      <c r="E3307" t="inlineStr">
        <is>
          <t>ARBOGA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30353-2023</t>
        </is>
      </c>
      <c r="B3308" s="1" t="n">
        <v>45111</v>
      </c>
      <c r="C3308" s="1" t="n">
        <v>45757</v>
      </c>
      <c r="D3308" t="inlineStr">
        <is>
          <t>VÄSTMANLANDS LÄN</t>
        </is>
      </c>
      <c r="E3308" t="inlineStr">
        <is>
          <t>SKINNSKATTEBERG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30361-2023</t>
        </is>
      </c>
      <c r="B3309" s="1" t="n">
        <v>45111</v>
      </c>
      <c r="C3309" s="1" t="n">
        <v>45757</v>
      </c>
      <c r="D3309" t="inlineStr">
        <is>
          <t>VÄSTMANLANDS LÄN</t>
        </is>
      </c>
      <c r="E3309" t="inlineStr">
        <is>
          <t>SKINNSKATTEBERG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30623-2023</t>
        </is>
      </c>
      <c r="B3310" s="1" t="n">
        <v>45112</v>
      </c>
      <c r="C3310" s="1" t="n">
        <v>45757</v>
      </c>
      <c r="D3310" t="inlineStr">
        <is>
          <t>VÄSTMANLANDS LÄN</t>
        </is>
      </c>
      <c r="E3310" t="inlineStr">
        <is>
          <t>KUNGSÖR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30634-2023</t>
        </is>
      </c>
      <c r="B3311" s="1" t="n">
        <v>45112</v>
      </c>
      <c r="C3311" s="1" t="n">
        <v>45757</v>
      </c>
      <c r="D3311" t="inlineStr">
        <is>
          <t>VÄSTMANLANDS LÄN</t>
        </is>
      </c>
      <c r="E3311" t="inlineStr">
        <is>
          <t>KUNGSÖR</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30621-2023</t>
        </is>
      </c>
      <c r="B3312" s="1" t="n">
        <v>45112</v>
      </c>
      <c r="C3312" s="1" t="n">
        <v>45757</v>
      </c>
      <c r="D3312" t="inlineStr">
        <is>
          <t>VÄSTMANLANDS LÄN</t>
        </is>
      </c>
      <c r="E3312" t="inlineStr">
        <is>
          <t>KUNGSÖR</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30630-2023</t>
        </is>
      </c>
      <c r="B3313" s="1" t="n">
        <v>45112</v>
      </c>
      <c r="C3313" s="1" t="n">
        <v>45757</v>
      </c>
      <c r="D3313" t="inlineStr">
        <is>
          <t>VÄSTMANLANDS LÄN</t>
        </is>
      </c>
      <c r="E3313" t="inlineStr">
        <is>
          <t>FAGERSTA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32686-2023</t>
        </is>
      </c>
      <c r="B3314" s="1" t="n">
        <v>45112</v>
      </c>
      <c r="C3314" s="1" t="n">
        <v>45757</v>
      </c>
      <c r="D3314" t="inlineStr">
        <is>
          <t>VÄSTMANLANDS LÄN</t>
        </is>
      </c>
      <c r="E3314" t="inlineStr">
        <is>
          <t>NORBERG</t>
        </is>
      </c>
      <c r="F3314" t="inlineStr">
        <is>
          <t>Bergvik skog väst AB</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31169-2023</t>
        </is>
      </c>
      <c r="B3315" s="1" t="n">
        <v>45113</v>
      </c>
      <c r="C3315" s="1" t="n">
        <v>45757</v>
      </c>
      <c r="D3315" t="inlineStr">
        <is>
          <t>VÄSTMANLANDS LÄN</t>
        </is>
      </c>
      <c r="E3315" t="inlineStr">
        <is>
          <t>KÖPING</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31298-2023</t>
        </is>
      </c>
      <c r="B3316" s="1" t="n">
        <v>45114</v>
      </c>
      <c r="C3316" s="1" t="n">
        <v>45757</v>
      </c>
      <c r="D3316" t="inlineStr">
        <is>
          <t>VÄSTMANLANDS LÄN</t>
        </is>
      </c>
      <c r="E3316" t="inlineStr">
        <is>
          <t>SALA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31227-2023</t>
        </is>
      </c>
      <c r="B3317" s="1" t="n">
        <v>45114</v>
      </c>
      <c r="C3317" s="1" t="n">
        <v>45757</v>
      </c>
      <c r="D3317" t="inlineStr">
        <is>
          <t>VÄSTMANLANDS LÄN</t>
        </is>
      </c>
      <c r="E3317" t="inlineStr">
        <is>
          <t>KÖPING</t>
        </is>
      </c>
      <c r="F3317" t="inlineStr">
        <is>
          <t>Sveaskog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31239-2023</t>
        </is>
      </c>
      <c r="B3318" s="1" t="n">
        <v>45114</v>
      </c>
      <c r="C3318" s="1" t="n">
        <v>45757</v>
      </c>
      <c r="D3318" t="inlineStr">
        <is>
          <t>VÄSTMANLANDS LÄN</t>
        </is>
      </c>
      <c r="E3318" t="inlineStr">
        <is>
          <t>KUNGSÖR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31231-2023</t>
        </is>
      </c>
      <c r="B3319" s="1" t="n">
        <v>45114</v>
      </c>
      <c r="C3319" s="1" t="n">
        <v>45757</v>
      </c>
      <c r="D3319" t="inlineStr">
        <is>
          <t>VÄSTMANLANDS LÄN</t>
        </is>
      </c>
      <c r="E3319" t="inlineStr">
        <is>
          <t>KÖPING</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31262-2023</t>
        </is>
      </c>
      <c r="B3320" s="1" t="n">
        <v>45114</v>
      </c>
      <c r="C3320" s="1" t="n">
        <v>45757</v>
      </c>
      <c r="D3320" t="inlineStr">
        <is>
          <t>VÄSTMANLANDS LÄN</t>
        </is>
      </c>
      <c r="E3320" t="inlineStr">
        <is>
          <t>SKINNSKATTEBERG</t>
        </is>
      </c>
      <c r="F3320" t="inlineStr">
        <is>
          <t>Sveaskog</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31245-2023</t>
        </is>
      </c>
      <c r="B3321" s="1" t="n">
        <v>45114</v>
      </c>
      <c r="C3321" s="1" t="n">
        <v>45757</v>
      </c>
      <c r="D3321" t="inlineStr">
        <is>
          <t>VÄSTMANLANDS LÄN</t>
        </is>
      </c>
      <c r="E3321" t="inlineStr">
        <is>
          <t>KUNGSÖR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31357-2023</t>
        </is>
      </c>
      <c r="B3322" s="1" t="n">
        <v>45114</v>
      </c>
      <c r="C3322" s="1" t="n">
        <v>45757</v>
      </c>
      <c r="D3322" t="inlineStr">
        <is>
          <t>VÄSTMANLANDS LÄN</t>
        </is>
      </c>
      <c r="E3322" t="inlineStr">
        <is>
          <t>VÄSTERÅS</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31356-2023</t>
        </is>
      </c>
      <c r="B3323" s="1" t="n">
        <v>45114</v>
      </c>
      <c r="C3323" s="1" t="n">
        <v>45757</v>
      </c>
      <c r="D3323" t="inlineStr">
        <is>
          <t>VÄSTMANLANDS LÄN</t>
        </is>
      </c>
      <c r="E3323" t="inlineStr">
        <is>
          <t>VÄSTERÅS</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31260-2023</t>
        </is>
      </c>
      <c r="B3324" s="1" t="n">
        <v>45114</v>
      </c>
      <c r="C3324" s="1" t="n">
        <v>45757</v>
      </c>
      <c r="D3324" t="inlineStr">
        <is>
          <t>VÄSTMANLANDS LÄN</t>
        </is>
      </c>
      <c r="E3324" t="inlineStr">
        <is>
          <t>SKINNSKATTEBERG</t>
        </is>
      </c>
      <c r="F3324" t="inlineStr">
        <is>
          <t>Sveaskog</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31264-2023</t>
        </is>
      </c>
      <c r="B3325" s="1" t="n">
        <v>45114</v>
      </c>
      <c r="C3325" s="1" t="n">
        <v>45757</v>
      </c>
      <c r="D3325" t="inlineStr">
        <is>
          <t>VÄSTMANLANDS LÄN</t>
        </is>
      </c>
      <c r="E3325" t="inlineStr">
        <is>
          <t>SKINNSKATTEBERG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31268-2023</t>
        </is>
      </c>
      <c r="B3326" s="1" t="n">
        <v>45114</v>
      </c>
      <c r="C3326" s="1" t="n">
        <v>45757</v>
      </c>
      <c r="D3326" t="inlineStr">
        <is>
          <t>VÄSTMANLANDS LÄN</t>
        </is>
      </c>
      <c r="E3326" t="inlineStr">
        <is>
          <t>SKINNSKATTEBERG</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31315-2023</t>
        </is>
      </c>
      <c r="B3327" s="1" t="n">
        <v>45114</v>
      </c>
      <c r="C3327" s="1" t="n">
        <v>45757</v>
      </c>
      <c r="D3327" t="inlineStr">
        <is>
          <t>VÄSTMANLANDS LÄN</t>
        </is>
      </c>
      <c r="E3327" t="inlineStr">
        <is>
          <t>SALA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31646-2023</t>
        </is>
      </c>
      <c r="B3328" s="1" t="n">
        <v>45117</v>
      </c>
      <c r="C3328" s="1" t="n">
        <v>45757</v>
      </c>
      <c r="D3328" t="inlineStr">
        <is>
          <t>VÄSTMANLANDS LÄN</t>
        </is>
      </c>
      <c r="E3328" t="inlineStr">
        <is>
          <t>SALA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31859-2023</t>
        </is>
      </c>
      <c r="B3329" s="1" t="n">
        <v>45118</v>
      </c>
      <c r="C3329" s="1" t="n">
        <v>45757</v>
      </c>
      <c r="D3329" t="inlineStr">
        <is>
          <t>VÄSTMANLANDS LÄN</t>
        </is>
      </c>
      <c r="E3329" t="inlineStr">
        <is>
          <t>SALA</t>
        </is>
      </c>
      <c r="G3329" t="n">
        <v>0.5</v>
      </c>
      <c r="H3329" t="n">
        <v>0</v>
      </c>
      <c r="I3329" t="n">
        <v>0</v>
      </c>
      <c r="J3329" t="n">
        <v>0</v>
      </c>
      <c r="K3329" t="n">
        <v>0</v>
      </c>
      <c r="L3329" t="n">
        <v>0</v>
      </c>
      <c r="M3329" t="n">
        <v>0</v>
      </c>
      <c r="N3329" t="n">
        <v>0</v>
      </c>
      <c r="O3329" t="n">
        <v>0</v>
      </c>
      <c r="P3329" t="n">
        <v>0</v>
      </c>
      <c r="Q3329" t="n">
        <v>0</v>
      </c>
      <c r="R3329" s="2" t="inlineStr"/>
      <c r="U3329">
        <f>HYPERLINK("https://klasma.github.io/Logging_1981/knärot/A 31859-2023 karta knärot.png", "A 31859-2023")</f>
        <v/>
      </c>
      <c r="V3329">
        <f>HYPERLINK("https://klasma.github.io/Logging_1981/klagomål/A 31859-2023 FSC-klagomål.docx", "A 31859-2023")</f>
        <v/>
      </c>
      <c r="W3329">
        <f>HYPERLINK("https://klasma.github.io/Logging_1981/klagomålsmail/A 31859-2023 FSC-klagomål mail.docx", "A 31859-2023")</f>
        <v/>
      </c>
      <c r="X3329">
        <f>HYPERLINK("https://klasma.github.io/Logging_1981/tillsyn/A 31859-2023 tillsynsbegäran.docx", "A 31859-2023")</f>
        <v/>
      </c>
      <c r="Y3329">
        <f>HYPERLINK("https://klasma.github.io/Logging_1981/tillsynsmail/A 31859-2023 tillsynsbegäran mail.docx", "A 31859-2023")</f>
        <v/>
      </c>
    </row>
    <row r="3330" ht="15" customHeight="1">
      <c r="A3330" t="inlineStr">
        <is>
          <t>A 32052-2023</t>
        </is>
      </c>
      <c r="B3330" s="1" t="n">
        <v>45119</v>
      </c>
      <c r="C3330" s="1" t="n">
        <v>45757</v>
      </c>
      <c r="D3330" t="inlineStr">
        <is>
          <t>VÄSTMANLANDS LÄN</t>
        </is>
      </c>
      <c r="E3330" t="inlineStr">
        <is>
          <t>VÄSTERÅS</t>
        </is>
      </c>
      <c r="F3330" t="inlineStr">
        <is>
          <t>Sveaskog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32057-2023</t>
        </is>
      </c>
      <c r="B3331" s="1" t="n">
        <v>45119</v>
      </c>
      <c r="C3331" s="1" t="n">
        <v>45757</v>
      </c>
      <c r="D3331" t="inlineStr">
        <is>
          <t>VÄSTMANLANDS LÄN</t>
        </is>
      </c>
      <c r="E3331" t="inlineStr">
        <is>
          <t>VÄSTERÅS</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32093-2023</t>
        </is>
      </c>
      <c r="B3332" s="1" t="n">
        <v>45119</v>
      </c>
      <c r="C3332" s="1" t="n">
        <v>45757</v>
      </c>
      <c r="D3332" t="inlineStr">
        <is>
          <t>VÄSTMANLANDS LÄN</t>
        </is>
      </c>
      <c r="E3332" t="inlineStr">
        <is>
          <t>NORBERG</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32053-2023</t>
        </is>
      </c>
      <c r="B3333" s="1" t="n">
        <v>45119</v>
      </c>
      <c r="C3333" s="1" t="n">
        <v>45757</v>
      </c>
      <c r="D3333" t="inlineStr">
        <is>
          <t>VÄSTMANLANDS LÄN</t>
        </is>
      </c>
      <c r="E3333" t="inlineStr">
        <is>
          <t>VÄSTERÅS</t>
        </is>
      </c>
      <c r="F3333" t="inlineStr">
        <is>
          <t>Sveaskog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32524-2023</t>
        </is>
      </c>
      <c r="B3334" s="1" t="n">
        <v>45121</v>
      </c>
      <c r="C3334" s="1" t="n">
        <v>45757</v>
      </c>
      <c r="D3334" t="inlineStr">
        <is>
          <t>VÄSTMANLANDS LÄN</t>
        </is>
      </c>
      <c r="E3334" t="inlineStr">
        <is>
          <t>NORBERG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32529-2023</t>
        </is>
      </c>
      <c r="B3335" s="1" t="n">
        <v>45121</v>
      </c>
      <c r="C3335" s="1" t="n">
        <v>45757</v>
      </c>
      <c r="D3335" t="inlineStr">
        <is>
          <t>VÄSTMANLANDS LÄN</t>
        </is>
      </c>
      <c r="E3335" t="inlineStr">
        <is>
          <t>NORBERG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32606-2023</t>
        </is>
      </c>
      <c r="B3336" s="1" t="n">
        <v>45121</v>
      </c>
      <c r="C3336" s="1" t="n">
        <v>45757</v>
      </c>
      <c r="D3336" t="inlineStr">
        <is>
          <t>VÄSTMANLANDS LÄN</t>
        </is>
      </c>
      <c r="E3336" t="inlineStr">
        <is>
          <t>VÄSTERÅS</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32513-2023</t>
        </is>
      </c>
      <c r="B3337" s="1" t="n">
        <v>45121</v>
      </c>
      <c r="C3337" s="1" t="n">
        <v>45757</v>
      </c>
      <c r="D3337" t="inlineStr">
        <is>
          <t>VÄSTMANLANDS LÄN</t>
        </is>
      </c>
      <c r="E3337" t="inlineStr">
        <is>
          <t>NORBERG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32604-2023</t>
        </is>
      </c>
      <c r="B3338" s="1" t="n">
        <v>45121</v>
      </c>
      <c r="C3338" s="1" t="n">
        <v>45757</v>
      </c>
      <c r="D3338" t="inlineStr">
        <is>
          <t>VÄSTMANLANDS LÄN</t>
        </is>
      </c>
      <c r="E3338" t="inlineStr">
        <is>
          <t>VÄSTERÅS</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32516-2023</t>
        </is>
      </c>
      <c r="B3339" s="1" t="n">
        <v>45121</v>
      </c>
      <c r="C3339" s="1" t="n">
        <v>45757</v>
      </c>
      <c r="D3339" t="inlineStr">
        <is>
          <t>VÄSTMANLANDS LÄN</t>
        </is>
      </c>
      <c r="E3339" t="inlineStr">
        <is>
          <t>NORBERG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32637-2023</t>
        </is>
      </c>
      <c r="B3340" s="1" t="n">
        <v>45121</v>
      </c>
      <c r="C3340" s="1" t="n">
        <v>45757</v>
      </c>
      <c r="D3340" t="inlineStr">
        <is>
          <t>VÄSTMANLANDS LÄN</t>
        </is>
      </c>
      <c r="E3340" t="inlineStr">
        <is>
          <t>VÄSTERÅS</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32635-2023</t>
        </is>
      </c>
      <c r="B3341" s="1" t="n">
        <v>45121</v>
      </c>
      <c r="C3341" s="1" t="n">
        <v>45757</v>
      </c>
      <c r="D3341" t="inlineStr">
        <is>
          <t>VÄSTMANLANDS LÄN</t>
        </is>
      </c>
      <c r="E3341" t="inlineStr">
        <is>
          <t>VÄSTERÅS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33909-2023</t>
        </is>
      </c>
      <c r="B3342" s="1" t="n">
        <v>45122</v>
      </c>
      <c r="C3342" s="1" t="n">
        <v>45757</v>
      </c>
      <c r="D3342" t="inlineStr">
        <is>
          <t>VÄSTMANLANDS LÄN</t>
        </is>
      </c>
      <c r="E3342" t="inlineStr">
        <is>
          <t>NORBERG</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32998-2023</t>
        </is>
      </c>
      <c r="B3343" s="1" t="n">
        <v>45125</v>
      </c>
      <c r="C3343" s="1" t="n">
        <v>45757</v>
      </c>
      <c r="D3343" t="inlineStr">
        <is>
          <t>VÄSTMANLANDS LÄN</t>
        </is>
      </c>
      <c r="E3343" t="inlineStr">
        <is>
          <t>VÄSTERÅS</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32945-2023</t>
        </is>
      </c>
      <c r="B3344" s="1" t="n">
        <v>45125</v>
      </c>
      <c r="C3344" s="1" t="n">
        <v>45757</v>
      </c>
      <c r="D3344" t="inlineStr">
        <is>
          <t>VÄSTMANLANDS LÄN</t>
        </is>
      </c>
      <c r="E3344" t="inlineStr">
        <is>
          <t>SALA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33007-2023</t>
        </is>
      </c>
      <c r="B3345" s="1" t="n">
        <v>45125</v>
      </c>
      <c r="C3345" s="1" t="n">
        <v>45757</v>
      </c>
      <c r="D3345" t="inlineStr">
        <is>
          <t>VÄSTMANLANDS LÄN</t>
        </is>
      </c>
      <c r="E3345" t="inlineStr">
        <is>
          <t>FAGERSTA</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32997-2023</t>
        </is>
      </c>
      <c r="B3346" s="1" t="n">
        <v>45125</v>
      </c>
      <c r="C3346" s="1" t="n">
        <v>45757</v>
      </c>
      <c r="D3346" t="inlineStr">
        <is>
          <t>VÄSTMANLANDS LÄN</t>
        </is>
      </c>
      <c r="E3346" t="inlineStr">
        <is>
          <t>VÄSTERÅS</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33086-2023</t>
        </is>
      </c>
      <c r="B3347" s="1" t="n">
        <v>45126</v>
      </c>
      <c r="C3347" s="1" t="n">
        <v>45757</v>
      </c>
      <c r="D3347" t="inlineStr">
        <is>
          <t>VÄSTMANLANDS LÄN</t>
        </is>
      </c>
      <c r="E3347" t="inlineStr">
        <is>
          <t>SKINNSKATTEBERG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33152-2023</t>
        </is>
      </c>
      <c r="B3348" s="1" t="n">
        <v>45126</v>
      </c>
      <c r="C3348" s="1" t="n">
        <v>45757</v>
      </c>
      <c r="D3348" t="inlineStr">
        <is>
          <t>VÄSTMANLANDS LÄN</t>
        </is>
      </c>
      <c r="E3348" t="inlineStr">
        <is>
          <t>SALA</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33151-2023</t>
        </is>
      </c>
      <c r="B3349" s="1" t="n">
        <v>45126</v>
      </c>
      <c r="C3349" s="1" t="n">
        <v>45757</v>
      </c>
      <c r="D3349" t="inlineStr">
        <is>
          <t>VÄSTMANLANDS LÄN</t>
        </is>
      </c>
      <c r="E3349" t="inlineStr">
        <is>
          <t>SALA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33180-2023</t>
        </is>
      </c>
      <c r="B3350" s="1" t="n">
        <v>45127</v>
      </c>
      <c r="C3350" s="1" t="n">
        <v>45757</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33273-2023</t>
        </is>
      </c>
      <c r="B3351" s="1" t="n">
        <v>45127</v>
      </c>
      <c r="C3351" s="1" t="n">
        <v>45757</v>
      </c>
      <c r="D3351" t="inlineStr">
        <is>
          <t>VÄSTMANLANDS LÄN</t>
        </is>
      </c>
      <c r="E3351" t="inlineStr">
        <is>
          <t>SALA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33357-2023</t>
        </is>
      </c>
      <c r="B3352" s="1" t="n">
        <v>45128</v>
      </c>
      <c r="C3352" s="1" t="n">
        <v>45757</v>
      </c>
      <c r="D3352" t="inlineStr">
        <is>
          <t>VÄSTMANLANDS LÄN</t>
        </is>
      </c>
      <c r="E3352" t="inlineStr">
        <is>
          <t>FAGERSTA</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33406-2023</t>
        </is>
      </c>
      <c r="B3353" s="1" t="n">
        <v>45128</v>
      </c>
      <c r="C3353" s="1" t="n">
        <v>45757</v>
      </c>
      <c r="D3353" t="inlineStr">
        <is>
          <t>VÄSTMANLANDS LÄN</t>
        </is>
      </c>
      <c r="E3353" t="inlineStr">
        <is>
          <t>SKINNSKATTEBERG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33378-2023</t>
        </is>
      </c>
      <c r="B3354" s="1" t="n">
        <v>45128</v>
      </c>
      <c r="C3354" s="1" t="n">
        <v>45757</v>
      </c>
      <c r="D3354" t="inlineStr">
        <is>
          <t>VÄSTMANLANDS LÄN</t>
        </is>
      </c>
      <c r="E3354" t="inlineStr">
        <is>
          <t>NORBERG</t>
        </is>
      </c>
      <c r="F3354" t="inlineStr">
        <is>
          <t>Sveaskog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33379-2023</t>
        </is>
      </c>
      <c r="B3355" s="1" t="n">
        <v>45128</v>
      </c>
      <c r="C3355" s="1" t="n">
        <v>45757</v>
      </c>
      <c r="D3355" t="inlineStr">
        <is>
          <t>VÄSTMANLANDS LÄN</t>
        </is>
      </c>
      <c r="E3355" t="inlineStr">
        <is>
          <t>NORBERG</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33396-2023</t>
        </is>
      </c>
      <c r="B3356" s="1" t="n">
        <v>45128</v>
      </c>
      <c r="C3356" s="1" t="n">
        <v>45757</v>
      </c>
      <c r="D3356" t="inlineStr">
        <is>
          <t>VÄSTMANLANDS LÄN</t>
        </is>
      </c>
      <c r="E3356" t="inlineStr">
        <is>
          <t>SKINNSKATTEBERG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33356-2023</t>
        </is>
      </c>
      <c r="B3357" s="1" t="n">
        <v>45128</v>
      </c>
      <c r="C3357" s="1" t="n">
        <v>45757</v>
      </c>
      <c r="D3357" t="inlineStr">
        <is>
          <t>VÄSTMANLANDS LÄN</t>
        </is>
      </c>
      <c r="E3357" t="inlineStr">
        <is>
          <t>FAGERSTA</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33376-2023</t>
        </is>
      </c>
      <c r="B3358" s="1" t="n">
        <v>45128</v>
      </c>
      <c r="C3358" s="1" t="n">
        <v>45757</v>
      </c>
      <c r="D3358" t="inlineStr">
        <is>
          <t>VÄSTMANLANDS LÄN</t>
        </is>
      </c>
      <c r="E3358" t="inlineStr">
        <is>
          <t>NORBERG</t>
        </is>
      </c>
      <c r="F3358" t="inlineStr">
        <is>
          <t>Sveaskog</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33527-2023</t>
        </is>
      </c>
      <c r="B3359" s="1" t="n">
        <v>45131</v>
      </c>
      <c r="C3359" s="1" t="n">
        <v>45757</v>
      </c>
      <c r="D3359" t="inlineStr">
        <is>
          <t>VÄSTMANLANDS LÄN</t>
        </is>
      </c>
      <c r="E3359" t="inlineStr">
        <is>
          <t>SALA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33785-2023</t>
        </is>
      </c>
      <c r="B3360" s="1" t="n">
        <v>45131</v>
      </c>
      <c r="C3360" s="1" t="n">
        <v>45757</v>
      </c>
      <c r="D3360" t="inlineStr">
        <is>
          <t>VÄSTMANLANDS LÄN</t>
        </is>
      </c>
      <c r="E3360" t="inlineStr">
        <is>
          <t>FAGERSTA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34361-2023</t>
        </is>
      </c>
      <c r="B3361" s="1" t="n">
        <v>45131</v>
      </c>
      <c r="C3361" s="1" t="n">
        <v>45757</v>
      </c>
      <c r="D3361" t="inlineStr">
        <is>
          <t>VÄSTMANLANDS LÄN</t>
        </is>
      </c>
      <c r="E3361" t="inlineStr">
        <is>
          <t>SALA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33732-2023</t>
        </is>
      </c>
      <c r="B3362" s="1" t="n">
        <v>45133</v>
      </c>
      <c r="C3362" s="1" t="n">
        <v>45757</v>
      </c>
      <c r="D3362" t="inlineStr">
        <is>
          <t>VÄSTMANLANDS LÄN</t>
        </is>
      </c>
      <c r="E3362" t="inlineStr">
        <is>
          <t>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33743-2023</t>
        </is>
      </c>
      <c r="B3363" s="1" t="n">
        <v>45133</v>
      </c>
      <c r="C3363" s="1" t="n">
        <v>45757</v>
      </c>
      <c r="D3363" t="inlineStr">
        <is>
          <t>VÄSTMANLANDS LÄN</t>
        </is>
      </c>
      <c r="E3363" t="inlineStr">
        <is>
          <t>SALA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34494-2023</t>
        </is>
      </c>
      <c r="B3364" s="1" t="n">
        <v>45133</v>
      </c>
      <c r="C3364" s="1" t="n">
        <v>45757</v>
      </c>
      <c r="D3364" t="inlineStr">
        <is>
          <t>VÄSTMANLANDS LÄN</t>
        </is>
      </c>
      <c r="E3364" t="inlineStr">
        <is>
          <t>SALA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33900-2023</t>
        </is>
      </c>
      <c r="B3365" s="1" t="n">
        <v>45134</v>
      </c>
      <c r="C3365" s="1" t="n">
        <v>45757</v>
      </c>
      <c r="D3365" t="inlineStr">
        <is>
          <t>VÄSTMANLANDS LÄN</t>
        </is>
      </c>
      <c r="E3365" t="inlineStr">
        <is>
          <t>SKINNSKATTEBERG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33896-2023</t>
        </is>
      </c>
      <c r="B3366" s="1" t="n">
        <v>45134</v>
      </c>
      <c r="C3366" s="1" t="n">
        <v>45757</v>
      </c>
      <c r="D3366" t="inlineStr">
        <is>
          <t>VÄSTMANLANDS LÄN</t>
        </is>
      </c>
      <c r="E3366" t="inlineStr">
        <is>
          <t>SKINNSKATTEBERG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34215-2023</t>
        </is>
      </c>
      <c r="B3367" s="1" t="n">
        <v>45138</v>
      </c>
      <c r="C3367" s="1" t="n">
        <v>45757</v>
      </c>
      <c r="D3367" t="inlineStr">
        <is>
          <t>VÄSTMANLANDS LÄN</t>
        </is>
      </c>
      <c r="E3367" t="inlineStr">
        <is>
          <t>SALA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34290-2023</t>
        </is>
      </c>
      <c r="B3368" s="1" t="n">
        <v>45138</v>
      </c>
      <c r="C3368" s="1" t="n">
        <v>45757</v>
      </c>
      <c r="D3368" t="inlineStr">
        <is>
          <t>VÄSTMANLANDS LÄN</t>
        </is>
      </c>
      <c r="E3368" t="inlineStr">
        <is>
          <t>KÖPING</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34291-2023</t>
        </is>
      </c>
      <c r="B3369" s="1" t="n">
        <v>45138</v>
      </c>
      <c r="C3369" s="1" t="n">
        <v>45757</v>
      </c>
      <c r="D3369" t="inlineStr">
        <is>
          <t>VÄSTMANLANDS LÄN</t>
        </is>
      </c>
      <c r="E3369" t="inlineStr">
        <is>
          <t>KÖPING</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34602-2023</t>
        </is>
      </c>
      <c r="B3370" s="1" t="n">
        <v>45140</v>
      </c>
      <c r="C3370" s="1" t="n">
        <v>45757</v>
      </c>
      <c r="D3370" t="inlineStr">
        <is>
          <t>VÄSTMANLANDS LÄN</t>
        </is>
      </c>
      <c r="E3370" t="inlineStr">
        <is>
          <t>FAGERSTA</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34606-2023</t>
        </is>
      </c>
      <c r="B3371" s="1" t="n">
        <v>45140</v>
      </c>
      <c r="C3371" s="1" t="n">
        <v>45757</v>
      </c>
      <c r="D3371" t="inlineStr">
        <is>
          <t>VÄSTMANLANDS LÄN</t>
        </is>
      </c>
      <c r="E3371" t="inlineStr">
        <is>
          <t>SKINNSKATTEBERG</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34600-2023</t>
        </is>
      </c>
      <c r="B3372" s="1" t="n">
        <v>45140</v>
      </c>
      <c r="C3372" s="1" t="n">
        <v>45757</v>
      </c>
      <c r="D3372" t="inlineStr">
        <is>
          <t>VÄSTMANLANDS LÄN</t>
        </is>
      </c>
      <c r="E3372" t="inlineStr">
        <is>
          <t>FAGERSTA</t>
        </is>
      </c>
      <c r="F3372" t="inlineStr">
        <is>
          <t>Sveaskog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34604-2023</t>
        </is>
      </c>
      <c r="B3373" s="1" t="n">
        <v>45140</v>
      </c>
      <c r="C3373" s="1" t="n">
        <v>45757</v>
      </c>
      <c r="D3373" t="inlineStr">
        <is>
          <t>VÄSTMANLANDS LÄN</t>
        </is>
      </c>
      <c r="E3373" t="inlineStr">
        <is>
          <t>FAGERSTA</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34599-2023</t>
        </is>
      </c>
      <c r="B3374" s="1" t="n">
        <v>45140</v>
      </c>
      <c r="C3374" s="1" t="n">
        <v>45757</v>
      </c>
      <c r="D3374" t="inlineStr">
        <is>
          <t>VÄSTMANLANDS LÄN</t>
        </is>
      </c>
      <c r="E3374" t="inlineStr">
        <is>
          <t>FAGERSTA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34603-2023</t>
        </is>
      </c>
      <c r="B3375" s="1" t="n">
        <v>45140</v>
      </c>
      <c r="C3375" s="1" t="n">
        <v>45757</v>
      </c>
      <c r="D3375" t="inlineStr">
        <is>
          <t>VÄSTMANLANDS LÄN</t>
        </is>
      </c>
      <c r="E3375" t="inlineStr">
        <is>
          <t>FAGERSTA</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34605-2023</t>
        </is>
      </c>
      <c r="B3376" s="1" t="n">
        <v>45140</v>
      </c>
      <c r="C3376" s="1" t="n">
        <v>45757</v>
      </c>
      <c r="D3376" t="inlineStr">
        <is>
          <t>VÄSTMANLANDS LÄN</t>
        </is>
      </c>
      <c r="E3376" t="inlineStr">
        <is>
          <t>FAGERSTA</t>
        </is>
      </c>
      <c r="F3376" t="inlineStr">
        <is>
          <t>Sveaskog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34867-2023</t>
        </is>
      </c>
      <c r="B3377" s="1" t="n">
        <v>45142</v>
      </c>
      <c r="C3377" s="1" t="n">
        <v>45757</v>
      </c>
      <c r="D3377" t="inlineStr">
        <is>
          <t>VÄSTMANLANDS LÄN</t>
        </is>
      </c>
      <c r="E3377" t="inlineStr">
        <is>
          <t>SALA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34942-2023</t>
        </is>
      </c>
      <c r="B3378" s="1" t="n">
        <v>45142</v>
      </c>
      <c r="C3378" s="1" t="n">
        <v>45757</v>
      </c>
      <c r="D3378" t="inlineStr">
        <is>
          <t>VÄSTMANLANDS LÄN</t>
        </is>
      </c>
      <c r="E3378" t="inlineStr">
        <is>
          <t>FAGERSTA</t>
        </is>
      </c>
      <c r="F3378" t="inlineStr">
        <is>
          <t>Sveaskog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34967-2023</t>
        </is>
      </c>
      <c r="B3379" s="1" t="n">
        <v>45142</v>
      </c>
      <c r="C3379" s="1" t="n">
        <v>45757</v>
      </c>
      <c r="D3379" t="inlineStr">
        <is>
          <t>VÄSTMANLANDS LÄN</t>
        </is>
      </c>
      <c r="E3379" t="inlineStr">
        <is>
          <t>NORBERG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35312-2023</t>
        </is>
      </c>
      <c r="B3380" s="1" t="n">
        <v>45145</v>
      </c>
      <c r="C3380" s="1" t="n">
        <v>45757</v>
      </c>
      <c r="D3380" t="inlineStr">
        <is>
          <t>VÄSTMANLANDS LÄN</t>
        </is>
      </c>
      <c r="E3380" t="inlineStr">
        <is>
          <t>ARBOGA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35315-2023</t>
        </is>
      </c>
      <c r="B3381" s="1" t="n">
        <v>45145</v>
      </c>
      <c r="C3381" s="1" t="n">
        <v>45757</v>
      </c>
      <c r="D3381" t="inlineStr">
        <is>
          <t>VÄSTMANLANDS LÄN</t>
        </is>
      </c>
      <c r="E3381" t="inlineStr">
        <is>
          <t>ARBOGA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35314-2023</t>
        </is>
      </c>
      <c r="B3382" s="1" t="n">
        <v>45145</v>
      </c>
      <c r="C3382" s="1" t="n">
        <v>45757</v>
      </c>
      <c r="D3382" t="inlineStr">
        <is>
          <t>VÄSTMANLANDS LÄN</t>
        </is>
      </c>
      <c r="E3382" t="inlineStr">
        <is>
          <t>ARBOGA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35434-2023</t>
        </is>
      </c>
      <c r="B3383" s="1" t="n">
        <v>45146</v>
      </c>
      <c r="C3383" s="1" t="n">
        <v>45757</v>
      </c>
      <c r="D3383" t="inlineStr">
        <is>
          <t>VÄSTMANLANDS LÄN</t>
        </is>
      </c>
      <c r="E3383" t="inlineStr">
        <is>
          <t>SALA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35577-2023</t>
        </is>
      </c>
      <c r="B3384" s="1" t="n">
        <v>45147</v>
      </c>
      <c r="C3384" s="1" t="n">
        <v>45757</v>
      </c>
      <c r="D3384" t="inlineStr">
        <is>
          <t>VÄSTMANLANDS LÄN</t>
        </is>
      </c>
      <c r="E3384" t="inlineStr">
        <is>
          <t>VÄSTERÅS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35716-2023</t>
        </is>
      </c>
      <c r="B3385" s="1" t="n">
        <v>45147</v>
      </c>
      <c r="C3385" s="1" t="n">
        <v>45757</v>
      </c>
      <c r="D3385" t="inlineStr">
        <is>
          <t>VÄSTMANLANDS LÄN</t>
        </is>
      </c>
      <c r="E3385" t="inlineStr">
        <is>
          <t>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35582-2023</t>
        </is>
      </c>
      <c r="B3386" s="1" t="n">
        <v>45147</v>
      </c>
      <c r="C3386" s="1" t="n">
        <v>45757</v>
      </c>
      <c r="D3386" t="inlineStr">
        <is>
          <t>VÄSTMANLANDS LÄN</t>
        </is>
      </c>
      <c r="E3386" t="inlineStr">
        <is>
          <t>VÄSTERÅS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35796-2023</t>
        </is>
      </c>
      <c r="B3387" s="1" t="n">
        <v>45147</v>
      </c>
      <c r="C3387" s="1" t="n">
        <v>45757</v>
      </c>
      <c r="D3387" t="inlineStr">
        <is>
          <t>VÄSTMANLANDS LÄN</t>
        </is>
      </c>
      <c r="E3387" t="inlineStr">
        <is>
          <t>ARBOGA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36161-2023</t>
        </is>
      </c>
      <c r="B3388" s="1" t="n">
        <v>45149</v>
      </c>
      <c r="C3388" s="1" t="n">
        <v>45757</v>
      </c>
      <c r="D3388" t="inlineStr">
        <is>
          <t>VÄSTMANLANDS LÄN</t>
        </is>
      </c>
      <c r="E3388" t="inlineStr">
        <is>
          <t>KÖPING</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36165-2023</t>
        </is>
      </c>
      <c r="B3389" s="1" t="n">
        <v>45149</v>
      </c>
      <c r="C3389" s="1" t="n">
        <v>45757</v>
      </c>
      <c r="D3389" t="inlineStr">
        <is>
          <t>VÄSTMANLANDS LÄN</t>
        </is>
      </c>
      <c r="E3389" t="inlineStr">
        <is>
          <t>KÖPING</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36393-2023</t>
        </is>
      </c>
      <c r="B3390" s="1" t="n">
        <v>45152</v>
      </c>
      <c r="C3390" s="1" t="n">
        <v>45757</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36279-2023</t>
        </is>
      </c>
      <c r="B3391" s="1" t="n">
        <v>45152</v>
      </c>
      <c r="C3391" s="1" t="n">
        <v>45757</v>
      </c>
      <c r="D3391" t="inlineStr">
        <is>
          <t>VÄSTMANLANDS LÄN</t>
        </is>
      </c>
      <c r="E3391" t="inlineStr">
        <is>
          <t>KÖPING</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36405-2023</t>
        </is>
      </c>
      <c r="B3392" s="1" t="n">
        <v>45152</v>
      </c>
      <c r="C3392" s="1" t="n">
        <v>45757</v>
      </c>
      <c r="D3392" t="inlineStr">
        <is>
          <t>VÄSTMANLANDS LÄN</t>
        </is>
      </c>
      <c r="E3392" t="inlineStr">
        <is>
          <t>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36471-2023</t>
        </is>
      </c>
      <c r="B3393" s="1" t="n">
        <v>45152</v>
      </c>
      <c r="C3393" s="1" t="n">
        <v>45757</v>
      </c>
      <c r="D3393" t="inlineStr">
        <is>
          <t>VÄSTMANLANDS LÄN</t>
        </is>
      </c>
      <c r="E3393" t="inlineStr">
        <is>
          <t>SKINNSKATTEBERG</t>
        </is>
      </c>
      <c r="F3393" t="inlineStr">
        <is>
          <t>Sveaskog</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36475-2023</t>
        </is>
      </c>
      <c r="B3394" s="1" t="n">
        <v>45152</v>
      </c>
      <c r="C3394" s="1" t="n">
        <v>45757</v>
      </c>
      <c r="D3394" t="inlineStr">
        <is>
          <t>VÄSTMANLANDS LÄN</t>
        </is>
      </c>
      <c r="E3394" t="inlineStr">
        <is>
          <t>SKINNSKATTEBERG</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36409-2023</t>
        </is>
      </c>
      <c r="B3395" s="1" t="n">
        <v>45152</v>
      </c>
      <c r="C3395" s="1" t="n">
        <v>45757</v>
      </c>
      <c r="D3395" t="inlineStr">
        <is>
          <t>VÄSTMANLANDS LÄN</t>
        </is>
      </c>
      <c r="E3395" t="inlineStr">
        <is>
          <t>KÖPING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36476-2023</t>
        </is>
      </c>
      <c r="B3396" s="1" t="n">
        <v>45152</v>
      </c>
      <c r="C3396" s="1" t="n">
        <v>45757</v>
      </c>
      <c r="D3396" t="inlineStr">
        <is>
          <t>VÄSTMANLANDS LÄN</t>
        </is>
      </c>
      <c r="E3396" t="inlineStr">
        <is>
          <t>SKINNSKATTEBERG</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36473-2023</t>
        </is>
      </c>
      <c r="B3397" s="1" t="n">
        <v>45152</v>
      </c>
      <c r="C3397" s="1" t="n">
        <v>45757</v>
      </c>
      <c r="D3397" t="inlineStr">
        <is>
          <t>VÄSTMANLANDS LÄN</t>
        </is>
      </c>
      <c r="E3397" t="inlineStr">
        <is>
          <t>SKINNSKATTEBERG</t>
        </is>
      </c>
      <c r="F3397" t="inlineStr">
        <is>
          <t>Sveaskog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36529-2023</t>
        </is>
      </c>
      <c r="B3398" s="1" t="n">
        <v>45153</v>
      </c>
      <c r="C3398" s="1" t="n">
        <v>45757</v>
      </c>
      <c r="D3398" t="inlineStr">
        <is>
          <t>VÄSTMANLANDS LÄN</t>
        </is>
      </c>
      <c r="E3398" t="inlineStr">
        <is>
          <t>ARBOGA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36530-2023</t>
        </is>
      </c>
      <c r="B3399" s="1" t="n">
        <v>45153</v>
      </c>
      <c r="C3399" s="1" t="n">
        <v>45757</v>
      </c>
      <c r="D3399" t="inlineStr">
        <is>
          <t>VÄSTMANLANDS LÄN</t>
        </is>
      </c>
      <c r="E3399" t="inlineStr">
        <is>
          <t>ARBOGA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36641-2023</t>
        </is>
      </c>
      <c r="B3400" s="1" t="n">
        <v>45153</v>
      </c>
      <c r="C3400" s="1" t="n">
        <v>45757</v>
      </c>
      <c r="D3400" t="inlineStr">
        <is>
          <t>VÄSTMANLANDS LÄN</t>
        </is>
      </c>
      <c r="E3400" t="inlineStr">
        <is>
          <t>VÄSTERÅS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36658-2023</t>
        </is>
      </c>
      <c r="B3401" s="1" t="n">
        <v>45153</v>
      </c>
      <c r="C3401" s="1" t="n">
        <v>45757</v>
      </c>
      <c r="D3401" t="inlineStr">
        <is>
          <t>VÄSTMANLANDS LÄN</t>
        </is>
      </c>
      <c r="E3401" t="inlineStr">
        <is>
          <t>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36712-2023</t>
        </is>
      </c>
      <c r="B3402" s="1" t="n">
        <v>45153</v>
      </c>
      <c r="C3402" s="1" t="n">
        <v>45757</v>
      </c>
      <c r="D3402" t="inlineStr">
        <is>
          <t>VÄSTMANLANDS LÄN</t>
        </is>
      </c>
      <c r="E3402" t="inlineStr">
        <is>
          <t>KÖPING</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36702-2023</t>
        </is>
      </c>
      <c r="B3403" s="1" t="n">
        <v>45153</v>
      </c>
      <c r="C3403" s="1" t="n">
        <v>45757</v>
      </c>
      <c r="D3403" t="inlineStr">
        <is>
          <t>VÄSTMANLANDS LÄN</t>
        </is>
      </c>
      <c r="E3403" t="inlineStr">
        <is>
          <t>VÄSTERÅS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36704-2023</t>
        </is>
      </c>
      <c r="B3404" s="1" t="n">
        <v>45153</v>
      </c>
      <c r="C3404" s="1" t="n">
        <v>45757</v>
      </c>
      <c r="D3404" t="inlineStr">
        <is>
          <t>VÄSTMANLANDS LÄN</t>
        </is>
      </c>
      <c r="E3404" t="inlineStr">
        <is>
          <t>KÖPING</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36709-2023</t>
        </is>
      </c>
      <c r="B3405" s="1" t="n">
        <v>45153</v>
      </c>
      <c r="C3405" s="1" t="n">
        <v>45757</v>
      </c>
      <c r="D3405" t="inlineStr">
        <is>
          <t>VÄSTMANLANDS LÄN</t>
        </is>
      </c>
      <c r="E3405" t="inlineStr">
        <is>
          <t>KÖPING</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36858-2023</t>
        </is>
      </c>
      <c r="B3406" s="1" t="n">
        <v>45154</v>
      </c>
      <c r="C3406" s="1" t="n">
        <v>45757</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36905-2023</t>
        </is>
      </c>
      <c r="B3407" s="1" t="n">
        <v>45154</v>
      </c>
      <c r="C3407" s="1" t="n">
        <v>45757</v>
      </c>
      <c r="D3407" t="inlineStr">
        <is>
          <t>VÄSTMANLANDS LÄN</t>
        </is>
      </c>
      <c r="E3407" t="inlineStr">
        <is>
          <t>NORBERG</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37196-2023</t>
        </is>
      </c>
      <c r="B3408" s="1" t="n">
        <v>45154</v>
      </c>
      <c r="C3408" s="1" t="n">
        <v>45757</v>
      </c>
      <c r="D3408" t="inlineStr">
        <is>
          <t>VÄSTMANLANDS LÄN</t>
        </is>
      </c>
      <c r="E3408" t="inlineStr">
        <is>
          <t>SKINNSKATTEBERG</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37017-2023</t>
        </is>
      </c>
      <c r="B3409" s="1" t="n">
        <v>45155</v>
      </c>
      <c r="C3409" s="1" t="n">
        <v>45757</v>
      </c>
      <c r="D3409" t="inlineStr">
        <is>
          <t>VÄSTMANLANDS LÄN</t>
        </is>
      </c>
      <c r="E3409" t="inlineStr">
        <is>
          <t>NORBERG</t>
        </is>
      </c>
      <c r="F3409" t="inlineStr">
        <is>
          <t>Övriga Aktiebolag</t>
        </is>
      </c>
      <c r="G3409" t="n">
        <v>15.9</v>
      </c>
      <c r="H3409" t="n">
        <v>0</v>
      </c>
      <c r="I3409" t="n">
        <v>0</v>
      </c>
      <c r="J3409" t="n">
        <v>0</v>
      </c>
      <c r="K3409" t="n">
        <v>0</v>
      </c>
      <c r="L3409" t="n">
        <v>0</v>
      </c>
      <c r="M3409" t="n">
        <v>0</v>
      </c>
      <c r="N3409" t="n">
        <v>0</v>
      </c>
      <c r="O3409" t="n">
        <v>0</v>
      </c>
      <c r="P3409" t="n">
        <v>0</v>
      </c>
      <c r="Q3409" t="n">
        <v>0</v>
      </c>
      <c r="R3409" s="2" t="inlineStr"/>
    </row>
    <row r="3410" ht="15" customHeight="1">
      <c r="A3410" t="inlineStr">
        <is>
          <t>A 37007-2023</t>
        </is>
      </c>
      <c r="B3410" s="1" t="n">
        <v>45155</v>
      </c>
      <c r="C3410" s="1" t="n">
        <v>45757</v>
      </c>
      <c r="D3410" t="inlineStr">
        <is>
          <t>VÄSTMANLANDS LÄN</t>
        </is>
      </c>
      <c r="E3410" t="inlineStr">
        <is>
          <t>SKINNSKATTEBERG</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37011-2023</t>
        </is>
      </c>
      <c r="B3411" s="1" t="n">
        <v>45155</v>
      </c>
      <c r="C3411" s="1" t="n">
        <v>45757</v>
      </c>
      <c r="D3411" t="inlineStr">
        <is>
          <t>VÄSTMANLANDS LÄN</t>
        </is>
      </c>
      <c r="E3411" t="inlineStr">
        <is>
          <t>NORBERG</t>
        </is>
      </c>
      <c r="F3411" t="inlineStr">
        <is>
          <t>Övriga Aktiebolag</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37006-2023</t>
        </is>
      </c>
      <c r="B3412" s="1" t="n">
        <v>45155</v>
      </c>
      <c r="C3412" s="1" t="n">
        <v>45757</v>
      </c>
      <c r="D3412" t="inlineStr">
        <is>
          <t>VÄSTMANLANDS LÄN</t>
        </is>
      </c>
      <c r="E3412" t="inlineStr">
        <is>
          <t>SKINNSKATTEBERG</t>
        </is>
      </c>
      <c r="F3412" t="inlineStr">
        <is>
          <t>Sveaskog</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37138-2023</t>
        </is>
      </c>
      <c r="B3413" s="1" t="n">
        <v>45155</v>
      </c>
      <c r="C3413" s="1" t="n">
        <v>45757</v>
      </c>
      <c r="D3413" t="inlineStr">
        <is>
          <t>VÄSTMANLANDS LÄN</t>
        </is>
      </c>
      <c r="E3413" t="inlineStr">
        <is>
          <t>SURAHAMMAR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37200-2023</t>
        </is>
      </c>
      <c r="B3414" s="1" t="n">
        <v>45155</v>
      </c>
      <c r="C3414" s="1" t="n">
        <v>45757</v>
      </c>
      <c r="D3414" t="inlineStr">
        <is>
          <t>VÄSTMANLANDS LÄN</t>
        </is>
      </c>
      <c r="E3414" t="inlineStr">
        <is>
          <t>NORBERG</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37198-2023</t>
        </is>
      </c>
      <c r="B3415" s="1" t="n">
        <v>45155</v>
      </c>
      <c r="C3415" s="1" t="n">
        <v>45757</v>
      </c>
      <c r="D3415" t="inlineStr">
        <is>
          <t>VÄSTMANLANDS LÄN</t>
        </is>
      </c>
      <c r="E3415" t="inlineStr">
        <is>
          <t>NORBERG</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37287-2023</t>
        </is>
      </c>
      <c r="B3416" s="1" t="n">
        <v>45156</v>
      </c>
      <c r="C3416" s="1" t="n">
        <v>45757</v>
      </c>
      <c r="D3416" t="inlineStr">
        <is>
          <t>VÄSTMANLANDS LÄN</t>
        </is>
      </c>
      <c r="E3416" t="inlineStr">
        <is>
          <t>SURAHAMMAR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37342-2023</t>
        </is>
      </c>
      <c r="B3417" s="1" t="n">
        <v>45156</v>
      </c>
      <c r="C3417" s="1" t="n">
        <v>45757</v>
      </c>
      <c r="D3417" t="inlineStr">
        <is>
          <t>VÄSTMANLANDS LÄN</t>
        </is>
      </c>
      <c r="E3417" t="inlineStr">
        <is>
          <t>SKINNSKATTEBERG</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37411-2023</t>
        </is>
      </c>
      <c r="B3418" s="1" t="n">
        <v>45156</v>
      </c>
      <c r="C3418" s="1" t="n">
        <v>45757</v>
      </c>
      <c r="D3418" t="inlineStr">
        <is>
          <t>VÄSTMANLANDS LÄN</t>
        </is>
      </c>
      <c r="E3418" t="inlineStr">
        <is>
          <t>FAGERSTA</t>
        </is>
      </c>
      <c r="F3418" t="inlineStr">
        <is>
          <t>Bergvik skog väst AB</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37432-2023</t>
        </is>
      </c>
      <c r="B3419" s="1" t="n">
        <v>45156</v>
      </c>
      <c r="C3419" s="1" t="n">
        <v>45757</v>
      </c>
      <c r="D3419" t="inlineStr">
        <is>
          <t>VÄSTMANLANDS LÄN</t>
        </is>
      </c>
      <c r="E3419" t="inlineStr">
        <is>
          <t>SKINNSKATTEBERG</t>
        </is>
      </c>
      <c r="F3419" t="inlineStr">
        <is>
          <t>Sveaskog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37407-2023</t>
        </is>
      </c>
      <c r="B3420" s="1" t="n">
        <v>45156</v>
      </c>
      <c r="C3420" s="1" t="n">
        <v>45757</v>
      </c>
      <c r="D3420" t="inlineStr">
        <is>
          <t>VÄSTMANLANDS LÄN</t>
        </is>
      </c>
      <c r="E3420" t="inlineStr">
        <is>
          <t>HALLSTAHAMMAR</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37437-2023</t>
        </is>
      </c>
      <c r="B3421" s="1" t="n">
        <v>45156</v>
      </c>
      <c r="C3421" s="1" t="n">
        <v>45757</v>
      </c>
      <c r="D3421" t="inlineStr">
        <is>
          <t>VÄSTMANLANDS LÄN</t>
        </is>
      </c>
      <c r="E3421" t="inlineStr">
        <is>
          <t>SKINNSKATTEBERG</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37635-2023</t>
        </is>
      </c>
      <c r="B3422" s="1" t="n">
        <v>45159</v>
      </c>
      <c r="C3422" s="1" t="n">
        <v>45757</v>
      </c>
      <c r="D3422" t="inlineStr">
        <is>
          <t>VÄSTMANLANDS LÄN</t>
        </is>
      </c>
      <c r="E3422" t="inlineStr">
        <is>
          <t>SURAHAMMAR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37639-2023</t>
        </is>
      </c>
      <c r="B3423" s="1" t="n">
        <v>45159</v>
      </c>
      <c r="C3423" s="1" t="n">
        <v>45757</v>
      </c>
      <c r="D3423" t="inlineStr">
        <is>
          <t>VÄSTMANLANDS LÄN</t>
        </is>
      </c>
      <c r="E3423" t="inlineStr">
        <is>
          <t>SURAHAMMAR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37601-2023</t>
        </is>
      </c>
      <c r="B3424" s="1" t="n">
        <v>45159</v>
      </c>
      <c r="C3424" s="1" t="n">
        <v>45757</v>
      </c>
      <c r="D3424" t="inlineStr">
        <is>
          <t>VÄSTMANLANDS LÄN</t>
        </is>
      </c>
      <c r="E3424" t="inlineStr">
        <is>
          <t>ARBOGA</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37669-2023</t>
        </is>
      </c>
      <c r="B3425" s="1" t="n">
        <v>45159</v>
      </c>
      <c r="C3425" s="1" t="n">
        <v>45757</v>
      </c>
      <c r="D3425" t="inlineStr">
        <is>
          <t>VÄSTMANLANDS LÄN</t>
        </is>
      </c>
      <c r="E3425" t="inlineStr">
        <is>
          <t>KÖPING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37752-2023</t>
        </is>
      </c>
      <c r="B3426" s="1" t="n">
        <v>45159</v>
      </c>
      <c r="C3426" s="1" t="n">
        <v>45757</v>
      </c>
      <c r="D3426" t="inlineStr">
        <is>
          <t>VÄSTMANLANDS LÄN</t>
        </is>
      </c>
      <c r="E3426" t="inlineStr">
        <is>
          <t>KÖPING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38055-2023</t>
        </is>
      </c>
      <c r="B3427" s="1" t="n">
        <v>45160</v>
      </c>
      <c r="C3427" s="1" t="n">
        <v>45757</v>
      </c>
      <c r="D3427" t="inlineStr">
        <is>
          <t>VÄSTMANLANDS LÄN</t>
        </is>
      </c>
      <c r="E3427" t="inlineStr">
        <is>
          <t>KÖPING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37880-2023</t>
        </is>
      </c>
      <c r="B3428" s="1" t="n">
        <v>45160</v>
      </c>
      <c r="C3428" s="1" t="n">
        <v>45757</v>
      </c>
      <c r="D3428" t="inlineStr">
        <is>
          <t>VÄSTMANLANDS LÄN</t>
        </is>
      </c>
      <c r="E3428" t="inlineStr">
        <is>
          <t>SKINNSKATTEBERG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37955-2023</t>
        </is>
      </c>
      <c r="B3429" s="1" t="n">
        <v>45160</v>
      </c>
      <c r="C3429" s="1" t="n">
        <v>45757</v>
      </c>
      <c r="D3429" t="inlineStr">
        <is>
          <t>VÄSTMANLANDS LÄN</t>
        </is>
      </c>
      <c r="E3429" t="inlineStr">
        <is>
          <t>FAGERSTA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38436-2023</t>
        </is>
      </c>
      <c r="B3430" s="1" t="n">
        <v>45160</v>
      </c>
      <c r="C3430" s="1" t="n">
        <v>45757</v>
      </c>
      <c r="D3430" t="inlineStr">
        <is>
          <t>VÄSTMANLANDS LÄN</t>
        </is>
      </c>
      <c r="E3430" t="inlineStr">
        <is>
          <t>VÄSTERÅS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38432-2023</t>
        </is>
      </c>
      <c r="B3431" s="1" t="n">
        <v>45160</v>
      </c>
      <c r="C3431" s="1" t="n">
        <v>45757</v>
      </c>
      <c r="D3431" t="inlineStr">
        <is>
          <t>VÄSTMANLANDS LÄN</t>
        </is>
      </c>
      <c r="E3431" t="inlineStr">
        <is>
          <t>VÄSTERÅS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38308-2023</t>
        </is>
      </c>
      <c r="B3432" s="1" t="n">
        <v>45161</v>
      </c>
      <c r="C3432" s="1" t="n">
        <v>45757</v>
      </c>
      <c r="D3432" t="inlineStr">
        <is>
          <t>VÄSTMANLANDS LÄN</t>
        </is>
      </c>
      <c r="E3432" t="inlineStr">
        <is>
          <t>KUNGSÖR</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38773-2023</t>
        </is>
      </c>
      <c r="B3433" s="1" t="n">
        <v>45161</v>
      </c>
      <c r="C3433" s="1" t="n">
        <v>45757</v>
      </c>
      <c r="D3433" t="inlineStr">
        <is>
          <t>VÄSTMANLANDS LÄN</t>
        </is>
      </c>
      <c r="E3433" t="inlineStr">
        <is>
          <t>SALA</t>
        </is>
      </c>
      <c r="G3433" t="n">
        <v>12.5</v>
      </c>
      <c r="H3433" t="n">
        <v>0</v>
      </c>
      <c r="I3433" t="n">
        <v>0</v>
      </c>
      <c r="J3433" t="n">
        <v>0</v>
      </c>
      <c r="K3433" t="n">
        <v>0</v>
      </c>
      <c r="L3433" t="n">
        <v>0</v>
      </c>
      <c r="M3433" t="n">
        <v>0</v>
      </c>
      <c r="N3433" t="n">
        <v>0</v>
      </c>
      <c r="O3433" t="n">
        <v>0</v>
      </c>
      <c r="P3433" t="n">
        <v>0</v>
      </c>
      <c r="Q3433" t="n">
        <v>0</v>
      </c>
      <c r="R3433" s="2" t="inlineStr"/>
    </row>
    <row r="3434" ht="15" customHeight="1">
      <c r="A3434" t="inlineStr">
        <is>
          <t>A 38561-2023</t>
        </is>
      </c>
      <c r="B3434" s="1" t="n">
        <v>45162</v>
      </c>
      <c r="C3434" s="1" t="n">
        <v>45757</v>
      </c>
      <c r="D3434" t="inlineStr">
        <is>
          <t>VÄSTMANLANDS LÄN</t>
        </is>
      </c>
      <c r="E3434" t="inlineStr">
        <is>
          <t>SALA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38581-2023</t>
        </is>
      </c>
      <c r="B3435" s="1" t="n">
        <v>45162</v>
      </c>
      <c r="C3435" s="1" t="n">
        <v>45757</v>
      </c>
      <c r="D3435" t="inlineStr">
        <is>
          <t>VÄSTMANLANDS LÄN</t>
        </is>
      </c>
      <c r="E3435" t="inlineStr">
        <is>
          <t>VÄSTERÅS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39011-2023</t>
        </is>
      </c>
      <c r="B3436" s="1" t="n">
        <v>45162</v>
      </c>
      <c r="C3436" s="1" t="n">
        <v>45757</v>
      </c>
      <c r="D3436" t="inlineStr">
        <is>
          <t>VÄSTMANLANDS LÄN</t>
        </is>
      </c>
      <c r="E3436" t="inlineStr">
        <is>
          <t>SALA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38521-2023</t>
        </is>
      </c>
      <c r="B3437" s="1" t="n">
        <v>45162</v>
      </c>
      <c r="C3437" s="1" t="n">
        <v>45757</v>
      </c>
      <c r="D3437" t="inlineStr">
        <is>
          <t>VÄSTMANLANDS LÄN</t>
        </is>
      </c>
      <c r="E3437" t="inlineStr">
        <is>
          <t>SKINNSKATTEBERG</t>
        </is>
      </c>
      <c r="F3437" t="inlineStr">
        <is>
          <t>Sveaskog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38538-2023</t>
        </is>
      </c>
      <c r="B3438" s="1" t="n">
        <v>45162</v>
      </c>
      <c r="C3438" s="1" t="n">
        <v>45757</v>
      </c>
      <c r="D3438" t="inlineStr">
        <is>
          <t>VÄSTMANLANDS LÄN</t>
        </is>
      </c>
      <c r="E3438" t="inlineStr">
        <is>
          <t>VÄSTERÅS</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38714-2023</t>
        </is>
      </c>
      <c r="B3439" s="1" t="n">
        <v>45163</v>
      </c>
      <c r="C3439" s="1" t="n">
        <v>45757</v>
      </c>
      <c r="D3439" t="inlineStr">
        <is>
          <t>VÄSTMANLANDS LÄN</t>
        </is>
      </c>
      <c r="E3439" t="inlineStr">
        <is>
          <t>SKINNSKATTEBERG</t>
        </is>
      </c>
      <c r="F3439" t="inlineStr">
        <is>
          <t>Sveaskog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38739-2023</t>
        </is>
      </c>
      <c r="B3440" s="1" t="n">
        <v>45163</v>
      </c>
      <c r="C3440" s="1" t="n">
        <v>45757</v>
      </c>
      <c r="D3440" t="inlineStr">
        <is>
          <t>VÄSTMANLANDS LÄN</t>
        </is>
      </c>
      <c r="E3440" t="inlineStr">
        <is>
          <t>SKINNSKATTEBERG</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38731-2023</t>
        </is>
      </c>
      <c r="B3441" s="1" t="n">
        <v>45163</v>
      </c>
      <c r="C3441" s="1" t="n">
        <v>45757</v>
      </c>
      <c r="D3441" t="inlineStr">
        <is>
          <t>VÄSTMANLANDS LÄN</t>
        </is>
      </c>
      <c r="E3441" t="inlineStr">
        <is>
          <t>SKINNSKATTEBERG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38748-2023</t>
        </is>
      </c>
      <c r="B3442" s="1" t="n">
        <v>45163</v>
      </c>
      <c r="C3442" s="1" t="n">
        <v>45757</v>
      </c>
      <c r="D3442" t="inlineStr">
        <is>
          <t>VÄSTMANLANDS LÄN</t>
        </is>
      </c>
      <c r="E3442" t="inlineStr">
        <is>
          <t>VÄSTERÅS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38802-2023</t>
        </is>
      </c>
      <c r="B3443" s="1" t="n">
        <v>45163</v>
      </c>
      <c r="C3443" s="1" t="n">
        <v>45757</v>
      </c>
      <c r="D3443" t="inlineStr">
        <is>
          <t>VÄSTMANLANDS LÄN</t>
        </is>
      </c>
      <c r="E3443" t="inlineStr">
        <is>
          <t>VÄSTERÅS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38709-2023</t>
        </is>
      </c>
      <c r="B3444" s="1" t="n">
        <v>45163</v>
      </c>
      <c r="C3444" s="1" t="n">
        <v>45757</v>
      </c>
      <c r="D3444" t="inlineStr">
        <is>
          <t>VÄSTMANLANDS LÄN</t>
        </is>
      </c>
      <c r="E3444" t="inlineStr">
        <is>
          <t>VÄSTERÅS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39604-2023</t>
        </is>
      </c>
      <c r="B3445" s="1" t="n">
        <v>45163</v>
      </c>
      <c r="C3445" s="1" t="n">
        <v>45757</v>
      </c>
      <c r="D3445" t="inlineStr">
        <is>
          <t>VÄSTMANLANDS LÄN</t>
        </is>
      </c>
      <c r="E3445" t="inlineStr">
        <is>
          <t>SALA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39269-2023</t>
        </is>
      </c>
      <c r="B3446" s="1" t="n">
        <v>45166</v>
      </c>
      <c r="C3446" s="1" t="n">
        <v>45757</v>
      </c>
      <c r="D3446" t="inlineStr">
        <is>
          <t>VÄSTMANLANDS LÄN</t>
        </is>
      </c>
      <c r="E3446" t="inlineStr">
        <is>
          <t>KUNGSÖR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39267-2023</t>
        </is>
      </c>
      <c r="B3447" s="1" t="n">
        <v>45166</v>
      </c>
      <c r="C3447" s="1" t="n">
        <v>45757</v>
      </c>
      <c r="D3447" t="inlineStr">
        <is>
          <t>VÄSTMANLANDS LÄN</t>
        </is>
      </c>
      <c r="E3447" t="inlineStr">
        <is>
          <t>HALLSTAHAMMAR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39646-2023</t>
        </is>
      </c>
      <c r="B3448" s="1" t="n">
        <v>45166</v>
      </c>
      <c r="C3448" s="1" t="n">
        <v>45757</v>
      </c>
      <c r="D3448" t="inlineStr">
        <is>
          <t>VÄSTMANLANDS LÄN</t>
        </is>
      </c>
      <c r="E3448" t="inlineStr">
        <is>
          <t>KÖPING</t>
        </is>
      </c>
      <c r="G3448" t="n">
        <v>9.300000000000001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39717-2023</t>
        </is>
      </c>
      <c r="B3449" s="1" t="n">
        <v>45167</v>
      </c>
      <c r="C3449" s="1" t="n">
        <v>45757</v>
      </c>
      <c r="D3449" t="inlineStr">
        <is>
          <t>VÄSTMANLANDS LÄN</t>
        </is>
      </c>
      <c r="E3449" t="inlineStr">
        <is>
          <t>KUNGSÖR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39682-2023</t>
        </is>
      </c>
      <c r="B3450" s="1" t="n">
        <v>45167</v>
      </c>
      <c r="C3450" s="1" t="n">
        <v>45757</v>
      </c>
      <c r="D3450" t="inlineStr">
        <is>
          <t>VÄSTMANLANDS LÄN</t>
        </is>
      </c>
      <c r="E3450" t="inlineStr">
        <is>
          <t>KUNGSÖR</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39714-2023</t>
        </is>
      </c>
      <c r="B3451" s="1" t="n">
        <v>45167</v>
      </c>
      <c r="C3451" s="1" t="n">
        <v>45757</v>
      </c>
      <c r="D3451" t="inlineStr">
        <is>
          <t>VÄSTMANLANDS LÄN</t>
        </is>
      </c>
      <c r="E3451" t="inlineStr">
        <is>
          <t>SALA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39708-2023</t>
        </is>
      </c>
      <c r="B3452" s="1" t="n">
        <v>45167</v>
      </c>
      <c r="C3452" s="1" t="n">
        <v>45757</v>
      </c>
      <c r="D3452" t="inlineStr">
        <is>
          <t>VÄSTMANLANDS LÄN</t>
        </is>
      </c>
      <c r="E3452" t="inlineStr">
        <is>
          <t>SALA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39713-2023</t>
        </is>
      </c>
      <c r="B3453" s="1" t="n">
        <v>45167</v>
      </c>
      <c r="C3453" s="1" t="n">
        <v>45757</v>
      </c>
      <c r="D3453" t="inlineStr">
        <is>
          <t>VÄSTMANLANDS LÄN</t>
        </is>
      </c>
      <c r="E3453" t="inlineStr">
        <is>
          <t>SALA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39780-2023</t>
        </is>
      </c>
      <c r="B3454" s="1" t="n">
        <v>45167</v>
      </c>
      <c r="C3454" s="1" t="n">
        <v>45757</v>
      </c>
      <c r="D3454" t="inlineStr">
        <is>
          <t>VÄSTMANLANDS LÄN</t>
        </is>
      </c>
      <c r="E3454" t="inlineStr">
        <is>
          <t>ARBOGA</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39720-2023</t>
        </is>
      </c>
      <c r="B3455" s="1" t="n">
        <v>45167</v>
      </c>
      <c r="C3455" s="1" t="n">
        <v>45757</v>
      </c>
      <c r="D3455" t="inlineStr">
        <is>
          <t>VÄSTMANLANDS LÄN</t>
        </is>
      </c>
      <c r="E3455" t="inlineStr">
        <is>
          <t>KUNGSÖR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40138-2023</t>
        </is>
      </c>
      <c r="B3456" s="1" t="n">
        <v>45169</v>
      </c>
      <c r="C3456" s="1" t="n">
        <v>45757</v>
      </c>
      <c r="D3456" t="inlineStr">
        <is>
          <t>VÄSTMANLANDS LÄN</t>
        </is>
      </c>
      <c r="E3456" t="inlineStr">
        <is>
          <t>NORBERG</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40144-2023</t>
        </is>
      </c>
      <c r="B3457" s="1" t="n">
        <v>45169</v>
      </c>
      <c r="C3457" s="1" t="n">
        <v>45757</v>
      </c>
      <c r="D3457" t="inlineStr">
        <is>
          <t>VÄSTMANLANDS LÄN</t>
        </is>
      </c>
      <c r="E3457" t="inlineStr">
        <is>
          <t>NORBERG</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40301-2023</t>
        </is>
      </c>
      <c r="B3458" s="1" t="n">
        <v>45169</v>
      </c>
      <c r="C3458" s="1" t="n">
        <v>45757</v>
      </c>
      <c r="D3458" t="inlineStr">
        <is>
          <t>VÄSTMANLANDS LÄN</t>
        </is>
      </c>
      <c r="E3458" t="inlineStr">
        <is>
          <t>SKINNSKATTEBERG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40238-2023</t>
        </is>
      </c>
      <c r="B3459" s="1" t="n">
        <v>45169</v>
      </c>
      <c r="C3459" s="1" t="n">
        <v>45757</v>
      </c>
      <c r="D3459" t="inlineStr">
        <is>
          <t>VÄSTMANLANDS LÄN</t>
        </is>
      </c>
      <c r="E3459" t="inlineStr">
        <is>
          <t>ARBOGA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40304-2023</t>
        </is>
      </c>
      <c r="B3460" s="1" t="n">
        <v>45169</v>
      </c>
      <c r="C3460" s="1" t="n">
        <v>45757</v>
      </c>
      <c r="D3460" t="inlineStr">
        <is>
          <t>VÄSTMANLANDS LÄN</t>
        </is>
      </c>
      <c r="E3460" t="inlineStr">
        <is>
          <t>VÄSTERÅS</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40140-2023</t>
        </is>
      </c>
      <c r="B3461" s="1" t="n">
        <v>45169</v>
      </c>
      <c r="C3461" s="1" t="n">
        <v>45757</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40145-2023</t>
        </is>
      </c>
      <c r="B3462" s="1" t="n">
        <v>45169</v>
      </c>
      <c r="C3462" s="1" t="n">
        <v>45757</v>
      </c>
      <c r="D3462" t="inlineStr">
        <is>
          <t>VÄSTMANLANDS LÄN</t>
        </is>
      </c>
      <c r="E3462" t="inlineStr">
        <is>
          <t>NORBERG</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40141-2023</t>
        </is>
      </c>
      <c r="B3463" s="1" t="n">
        <v>45169</v>
      </c>
      <c r="C3463" s="1" t="n">
        <v>45757</v>
      </c>
      <c r="D3463" t="inlineStr">
        <is>
          <t>VÄSTMANLANDS LÄN</t>
        </is>
      </c>
      <c r="E3463" t="inlineStr">
        <is>
          <t>NORBERG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40153-2023</t>
        </is>
      </c>
      <c r="B3464" s="1" t="n">
        <v>45169</v>
      </c>
      <c r="C3464" s="1" t="n">
        <v>45757</v>
      </c>
      <c r="D3464" t="inlineStr">
        <is>
          <t>VÄSTMANLANDS LÄN</t>
        </is>
      </c>
      <c r="E3464" t="inlineStr">
        <is>
          <t>NORBERG</t>
        </is>
      </c>
      <c r="F3464" t="inlineStr">
        <is>
          <t>Sveaskog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40254-2023</t>
        </is>
      </c>
      <c r="B3465" s="1" t="n">
        <v>45169</v>
      </c>
      <c r="C3465" s="1" t="n">
        <v>45757</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40262-2023</t>
        </is>
      </c>
      <c r="B3466" s="1" t="n">
        <v>45169</v>
      </c>
      <c r="C3466" s="1" t="n">
        <v>45757</v>
      </c>
      <c r="D3466" t="inlineStr">
        <is>
          <t>VÄSTMANLANDS LÄN</t>
        </is>
      </c>
      <c r="E3466" t="inlineStr">
        <is>
          <t>ARBOGA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40150-2023</t>
        </is>
      </c>
      <c r="B3467" s="1" t="n">
        <v>45169</v>
      </c>
      <c r="C3467" s="1" t="n">
        <v>45757</v>
      </c>
      <c r="D3467" t="inlineStr">
        <is>
          <t>VÄSTMANLANDS LÄN</t>
        </is>
      </c>
      <c r="E3467" t="inlineStr">
        <is>
          <t>NORBERG</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40154-2023</t>
        </is>
      </c>
      <c r="B3468" s="1" t="n">
        <v>45169</v>
      </c>
      <c r="C3468" s="1" t="n">
        <v>45757</v>
      </c>
      <c r="D3468" t="inlineStr">
        <is>
          <t>VÄSTMANLANDS LÄN</t>
        </is>
      </c>
      <c r="E3468" t="inlineStr">
        <is>
          <t>NORBERG</t>
        </is>
      </c>
      <c r="F3468" t="inlineStr">
        <is>
          <t>Sveaskog</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40956-2023</t>
        </is>
      </c>
      <c r="B3469" s="1" t="n">
        <v>45169</v>
      </c>
      <c r="C3469" s="1" t="n">
        <v>45757</v>
      </c>
      <c r="D3469" t="inlineStr">
        <is>
          <t>VÄSTMANLANDS LÄN</t>
        </is>
      </c>
      <c r="E3469" t="inlineStr">
        <is>
          <t>SURAHAMMAR</t>
        </is>
      </c>
      <c r="F3469" t="inlineStr">
        <is>
          <t>Bergvik skog väst AB</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40214-2023</t>
        </is>
      </c>
      <c r="B3470" s="1" t="n">
        <v>45169</v>
      </c>
      <c r="C3470" s="1" t="n">
        <v>45757</v>
      </c>
      <c r="D3470" t="inlineStr">
        <is>
          <t>VÄSTMANLANDS LÄN</t>
        </is>
      </c>
      <c r="E3470" t="inlineStr">
        <is>
          <t>SALA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40320-2023</t>
        </is>
      </c>
      <c r="B3471" s="1" t="n">
        <v>45169</v>
      </c>
      <c r="C3471" s="1" t="n">
        <v>45757</v>
      </c>
      <c r="D3471" t="inlineStr">
        <is>
          <t>VÄSTMANLANDS LÄN</t>
        </is>
      </c>
      <c r="E3471" t="inlineStr">
        <is>
          <t>SKINNSKATTEBERG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40517-2023</t>
        </is>
      </c>
      <c r="B3472" s="1" t="n">
        <v>45170</v>
      </c>
      <c r="C3472" s="1" t="n">
        <v>45757</v>
      </c>
      <c r="D3472" t="inlineStr">
        <is>
          <t>VÄSTMANLANDS LÄN</t>
        </is>
      </c>
      <c r="E3472" t="inlineStr">
        <is>
          <t>SKINNSKATTEBERG</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40545-2023</t>
        </is>
      </c>
      <c r="B3473" s="1" t="n">
        <v>45170</v>
      </c>
      <c r="C3473" s="1" t="n">
        <v>45757</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40445-2023</t>
        </is>
      </c>
      <c r="B3474" s="1" t="n">
        <v>45170</v>
      </c>
      <c r="C3474" s="1" t="n">
        <v>45757</v>
      </c>
      <c r="D3474" t="inlineStr">
        <is>
          <t>VÄSTMANLANDS LÄN</t>
        </is>
      </c>
      <c r="E3474" t="inlineStr">
        <is>
          <t>SURAHAMMAR</t>
        </is>
      </c>
      <c r="G3474" t="n">
        <v>15.6</v>
      </c>
      <c r="H3474" t="n">
        <v>0</v>
      </c>
      <c r="I3474" t="n">
        <v>0</v>
      </c>
      <c r="J3474" t="n">
        <v>0</v>
      </c>
      <c r="K3474" t="n">
        <v>0</v>
      </c>
      <c r="L3474" t="n">
        <v>0</v>
      </c>
      <c r="M3474" t="n">
        <v>0</v>
      </c>
      <c r="N3474" t="n">
        <v>0</v>
      </c>
      <c r="O3474" t="n">
        <v>0</v>
      </c>
      <c r="P3474" t="n">
        <v>0</v>
      </c>
      <c r="Q3474" t="n">
        <v>0</v>
      </c>
      <c r="R3474" s="2" t="inlineStr"/>
    </row>
    <row r="3475" ht="15" customHeight="1">
      <c r="A3475" t="inlineStr">
        <is>
          <t>A 40495-2023</t>
        </is>
      </c>
      <c r="B3475" s="1" t="n">
        <v>45170</v>
      </c>
      <c r="C3475" s="1" t="n">
        <v>45757</v>
      </c>
      <c r="D3475" t="inlineStr">
        <is>
          <t>VÄSTMANLANDS LÄN</t>
        </is>
      </c>
      <c r="E3475" t="inlineStr">
        <is>
          <t>SKINNSKATTEBERG</t>
        </is>
      </c>
      <c r="F3475" t="inlineStr">
        <is>
          <t>Sveaskog</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40521-2023</t>
        </is>
      </c>
      <c r="B3476" s="1" t="n">
        <v>45170</v>
      </c>
      <c r="C3476" s="1" t="n">
        <v>45757</v>
      </c>
      <c r="D3476" t="inlineStr">
        <is>
          <t>VÄSTMANLANDS LÄN</t>
        </is>
      </c>
      <c r="E3476" t="inlineStr">
        <is>
          <t>SKINNSKATTEBERG</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40539-2023</t>
        </is>
      </c>
      <c r="B3477" s="1" t="n">
        <v>45170</v>
      </c>
      <c r="C3477" s="1" t="n">
        <v>45757</v>
      </c>
      <c r="D3477" t="inlineStr">
        <is>
          <t>VÄSTMANLANDS LÄN</t>
        </is>
      </c>
      <c r="E3477" t="inlineStr">
        <is>
          <t>SKINNSKATTEBERG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40690-2023</t>
        </is>
      </c>
      <c r="B3478" s="1" t="n">
        <v>45170</v>
      </c>
      <c r="C3478" s="1" t="n">
        <v>45757</v>
      </c>
      <c r="D3478" t="inlineStr">
        <is>
          <t>VÄSTMANLANDS LÄN</t>
        </is>
      </c>
      <c r="E3478" t="inlineStr">
        <is>
          <t>KÖPING</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40497-2023</t>
        </is>
      </c>
      <c r="B3479" s="1" t="n">
        <v>45170</v>
      </c>
      <c r="C3479" s="1" t="n">
        <v>45757</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40519-2023</t>
        </is>
      </c>
      <c r="B3480" s="1" t="n">
        <v>45170</v>
      </c>
      <c r="C3480" s="1" t="n">
        <v>45757</v>
      </c>
      <c r="D3480" t="inlineStr">
        <is>
          <t>VÄSTMANLANDS LÄN</t>
        </is>
      </c>
      <c r="E3480" t="inlineStr">
        <is>
          <t>SKINNSKATTEBERG</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40546-2023</t>
        </is>
      </c>
      <c r="B3481" s="1" t="n">
        <v>45170</v>
      </c>
      <c r="C3481" s="1" t="n">
        <v>45757</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40693-2023</t>
        </is>
      </c>
      <c r="B3482" s="1" t="n">
        <v>45170</v>
      </c>
      <c r="C3482" s="1" t="n">
        <v>45757</v>
      </c>
      <c r="D3482" t="inlineStr">
        <is>
          <t>VÄSTMANLANDS LÄN</t>
        </is>
      </c>
      <c r="E3482" t="inlineStr">
        <is>
          <t>KÖPING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40893-2023</t>
        </is>
      </c>
      <c r="B3483" s="1" t="n">
        <v>45173</v>
      </c>
      <c r="C3483" s="1" t="n">
        <v>45757</v>
      </c>
      <c r="D3483" t="inlineStr">
        <is>
          <t>VÄSTMANLANDS LÄN</t>
        </is>
      </c>
      <c r="E3483" t="inlineStr">
        <is>
          <t>NORBERG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41613-2023</t>
        </is>
      </c>
      <c r="B3484" s="1" t="n">
        <v>45173</v>
      </c>
      <c r="C3484" s="1" t="n">
        <v>45757</v>
      </c>
      <c r="D3484" t="inlineStr">
        <is>
          <t>VÄSTMANLANDS LÄN</t>
        </is>
      </c>
      <c r="E3484" t="inlineStr">
        <is>
          <t>SALA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41619-2023</t>
        </is>
      </c>
      <c r="B3485" s="1" t="n">
        <v>45173</v>
      </c>
      <c r="C3485" s="1" t="n">
        <v>45757</v>
      </c>
      <c r="D3485" t="inlineStr">
        <is>
          <t>VÄSTMANLANDS LÄN</t>
        </is>
      </c>
      <c r="E3485" t="inlineStr">
        <is>
          <t>SALA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41333-2023</t>
        </is>
      </c>
      <c r="B3486" s="1" t="n">
        <v>45174</v>
      </c>
      <c r="C3486" s="1" t="n">
        <v>45757</v>
      </c>
      <c r="D3486" t="inlineStr">
        <is>
          <t>VÄSTMANLANDS LÄN</t>
        </is>
      </c>
      <c r="E3486" t="inlineStr">
        <is>
          <t>SKINNSKATTEBERG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41341-2023</t>
        </is>
      </c>
      <c r="B3487" s="1" t="n">
        <v>45174</v>
      </c>
      <c r="C3487" s="1" t="n">
        <v>45757</v>
      </c>
      <c r="D3487" t="inlineStr">
        <is>
          <t>VÄSTMANLANDS LÄN</t>
        </is>
      </c>
      <c r="E3487" t="inlineStr">
        <is>
          <t>VÄSTERÅS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41334-2023</t>
        </is>
      </c>
      <c r="B3488" s="1" t="n">
        <v>45174</v>
      </c>
      <c r="C3488" s="1" t="n">
        <v>45757</v>
      </c>
      <c r="D3488" t="inlineStr">
        <is>
          <t>VÄSTMANLANDS LÄN</t>
        </is>
      </c>
      <c r="E3488" t="inlineStr">
        <is>
          <t>SKINNSKATTEBERG</t>
        </is>
      </c>
      <c r="F3488" t="inlineStr">
        <is>
          <t>Sveaskog</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41332-2023</t>
        </is>
      </c>
      <c r="B3489" s="1" t="n">
        <v>45174</v>
      </c>
      <c r="C3489" s="1" t="n">
        <v>45757</v>
      </c>
      <c r="D3489" t="inlineStr">
        <is>
          <t>VÄSTMANLANDS LÄN</t>
        </is>
      </c>
      <c r="E3489" t="inlineStr">
        <is>
          <t>SKINNSKATTEBERG</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41340-2023</t>
        </is>
      </c>
      <c r="B3490" s="1" t="n">
        <v>45174</v>
      </c>
      <c r="C3490" s="1" t="n">
        <v>45757</v>
      </c>
      <c r="D3490" t="inlineStr">
        <is>
          <t>VÄSTMANLANDS LÄN</t>
        </is>
      </c>
      <c r="E3490" t="inlineStr">
        <is>
          <t>VÄSTERÅS</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41344-2023</t>
        </is>
      </c>
      <c r="B3491" s="1" t="n">
        <v>45174</v>
      </c>
      <c r="C3491" s="1" t="n">
        <v>45757</v>
      </c>
      <c r="D3491" t="inlineStr">
        <is>
          <t>VÄSTMANLANDS LÄN</t>
        </is>
      </c>
      <c r="E3491" t="inlineStr">
        <is>
          <t>VÄSTERÅS</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41343-2023</t>
        </is>
      </c>
      <c r="B3492" s="1" t="n">
        <v>45174</v>
      </c>
      <c r="C3492" s="1" t="n">
        <v>45757</v>
      </c>
      <c r="D3492" t="inlineStr">
        <is>
          <t>VÄSTMANLANDS LÄN</t>
        </is>
      </c>
      <c r="E3492" t="inlineStr">
        <is>
          <t>VÄSTERÅS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41562-2023</t>
        </is>
      </c>
      <c r="B3493" s="1" t="n">
        <v>45175</v>
      </c>
      <c r="C3493" s="1" t="n">
        <v>45757</v>
      </c>
      <c r="D3493" t="inlineStr">
        <is>
          <t>VÄSTMANLANDS LÄN</t>
        </is>
      </c>
      <c r="E3493" t="inlineStr">
        <is>
          <t>SKINNSKATTEBERG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41443-2023</t>
        </is>
      </c>
      <c r="B3494" s="1" t="n">
        <v>45175</v>
      </c>
      <c r="C3494" s="1" t="n">
        <v>45757</v>
      </c>
      <c r="D3494" t="inlineStr">
        <is>
          <t>VÄSTMANLANDS LÄN</t>
        </is>
      </c>
      <c r="E3494" t="inlineStr">
        <is>
          <t>KUNGSÖR</t>
        </is>
      </c>
      <c r="F3494" t="inlineStr">
        <is>
          <t>Allmännings- och besparingsskogar</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41491-2023</t>
        </is>
      </c>
      <c r="B3495" s="1" t="n">
        <v>45175</v>
      </c>
      <c r="C3495" s="1" t="n">
        <v>45757</v>
      </c>
      <c r="D3495" t="inlineStr">
        <is>
          <t>VÄSTMANLANDS LÄN</t>
        </is>
      </c>
      <c r="E3495" t="inlineStr">
        <is>
          <t>FAGERSTA</t>
        </is>
      </c>
      <c r="F3495" t="inlineStr">
        <is>
          <t>Kommuner</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41446-2023</t>
        </is>
      </c>
      <c r="B3496" s="1" t="n">
        <v>45175</v>
      </c>
      <c r="C3496" s="1" t="n">
        <v>45757</v>
      </c>
      <c r="D3496" t="inlineStr">
        <is>
          <t>VÄSTMANLANDS LÄN</t>
        </is>
      </c>
      <c r="E3496" t="inlineStr">
        <is>
          <t>KUNGSÖR</t>
        </is>
      </c>
      <c r="F3496" t="inlineStr">
        <is>
          <t>Allmännings- och besparingsskogar</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41452-2023</t>
        </is>
      </c>
      <c r="B3497" s="1" t="n">
        <v>45175</v>
      </c>
      <c r="C3497" s="1" t="n">
        <v>45757</v>
      </c>
      <c r="D3497" t="inlineStr">
        <is>
          <t>VÄSTMANLANDS LÄN</t>
        </is>
      </c>
      <c r="E3497" t="inlineStr">
        <is>
          <t>ARBOGA</t>
        </is>
      </c>
      <c r="F3497" t="inlineStr">
        <is>
          <t>Allmännings- och besparingsskogar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42312-2023</t>
        </is>
      </c>
      <c r="B3498" s="1" t="n">
        <v>45175</v>
      </c>
      <c r="C3498" s="1" t="n">
        <v>45757</v>
      </c>
      <c r="D3498" t="inlineStr">
        <is>
          <t>VÄSTMANLANDS LÄN</t>
        </is>
      </c>
      <c r="E3498" t="inlineStr">
        <is>
          <t>SALA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41797-2023</t>
        </is>
      </c>
      <c r="B3499" s="1" t="n">
        <v>45176</v>
      </c>
      <c r="C3499" s="1" t="n">
        <v>45757</v>
      </c>
      <c r="D3499" t="inlineStr">
        <is>
          <t>VÄSTMANLANDS LÄN</t>
        </is>
      </c>
      <c r="E3499" t="inlineStr">
        <is>
          <t>SKINNSKATTEBERG</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41812-2023</t>
        </is>
      </c>
      <c r="B3500" s="1" t="n">
        <v>45176</v>
      </c>
      <c r="C3500" s="1" t="n">
        <v>45757</v>
      </c>
      <c r="D3500" t="inlineStr">
        <is>
          <t>VÄSTMANLANDS LÄN</t>
        </is>
      </c>
      <c r="E3500" t="inlineStr">
        <is>
          <t>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41866-2023</t>
        </is>
      </c>
      <c r="B3501" s="1" t="n">
        <v>45176</v>
      </c>
      <c r="C3501" s="1" t="n">
        <v>45757</v>
      </c>
      <c r="D3501" t="inlineStr">
        <is>
          <t>VÄSTMANLANDS LÄN</t>
        </is>
      </c>
      <c r="E3501" t="inlineStr">
        <is>
          <t>SKINNSKATTEBERG</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41815-2023</t>
        </is>
      </c>
      <c r="B3502" s="1" t="n">
        <v>45176</v>
      </c>
      <c r="C3502" s="1" t="n">
        <v>45757</v>
      </c>
      <c r="D3502" t="inlineStr">
        <is>
          <t>VÄSTMANLANDS LÄN</t>
        </is>
      </c>
      <c r="E3502" t="inlineStr">
        <is>
          <t>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41818-2023</t>
        </is>
      </c>
      <c r="B3503" s="1" t="n">
        <v>45176</v>
      </c>
      <c r="C3503" s="1" t="n">
        <v>45757</v>
      </c>
      <c r="D3503" t="inlineStr">
        <is>
          <t>VÄSTMANLANDS LÄN</t>
        </is>
      </c>
      <c r="E3503" t="inlineStr">
        <is>
          <t>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42476-2023</t>
        </is>
      </c>
      <c r="B3504" s="1" t="n">
        <v>45176</v>
      </c>
      <c r="C3504" s="1" t="n">
        <v>45757</v>
      </c>
      <c r="D3504" t="inlineStr">
        <is>
          <t>VÄSTMANLANDS LÄN</t>
        </is>
      </c>
      <c r="E3504" t="inlineStr">
        <is>
          <t>VÄSTERÅS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42090-2023</t>
        </is>
      </c>
      <c r="B3505" s="1" t="n">
        <v>45177</v>
      </c>
      <c r="C3505" s="1" t="n">
        <v>45757</v>
      </c>
      <c r="D3505" t="inlineStr">
        <is>
          <t>VÄSTMANLANDS LÄN</t>
        </is>
      </c>
      <c r="E3505" t="inlineStr">
        <is>
          <t>VÄSTERÅS</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42082-2023</t>
        </is>
      </c>
      <c r="B3506" s="1" t="n">
        <v>45177</v>
      </c>
      <c r="C3506" s="1" t="n">
        <v>45757</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42092-2023</t>
        </is>
      </c>
      <c r="B3507" s="1" t="n">
        <v>45177</v>
      </c>
      <c r="C3507" s="1" t="n">
        <v>45757</v>
      </c>
      <c r="D3507" t="inlineStr">
        <is>
          <t>VÄSTMANLANDS LÄN</t>
        </is>
      </c>
      <c r="E3507" t="inlineStr">
        <is>
          <t>SKINNSKATTEBERG</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42087-2023</t>
        </is>
      </c>
      <c r="B3508" s="1" t="n">
        <v>45177</v>
      </c>
      <c r="C3508" s="1" t="n">
        <v>45757</v>
      </c>
      <c r="D3508" t="inlineStr">
        <is>
          <t>VÄSTMANLANDS LÄN</t>
        </is>
      </c>
      <c r="E3508" t="inlineStr">
        <is>
          <t>SKINNSKATTEBERG</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42091-2023</t>
        </is>
      </c>
      <c r="B3509" s="1" t="n">
        <v>45177</v>
      </c>
      <c r="C3509" s="1" t="n">
        <v>45757</v>
      </c>
      <c r="D3509" t="inlineStr">
        <is>
          <t>VÄSTMANLANDS LÄN</t>
        </is>
      </c>
      <c r="E3509" t="inlineStr">
        <is>
          <t>VÄSTERÅS</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42093-2023</t>
        </is>
      </c>
      <c r="B3510" s="1" t="n">
        <v>45177</v>
      </c>
      <c r="C3510" s="1" t="n">
        <v>45757</v>
      </c>
      <c r="D3510" t="inlineStr">
        <is>
          <t>VÄSTMANLANDS LÄN</t>
        </is>
      </c>
      <c r="E3510" t="inlineStr">
        <is>
          <t>SKINNSKATTEBERG</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42195-2023</t>
        </is>
      </c>
      <c r="B3511" s="1" t="n">
        <v>45179</v>
      </c>
      <c r="C3511" s="1" t="n">
        <v>45757</v>
      </c>
      <c r="D3511" t="inlineStr">
        <is>
          <t>VÄSTMANLANDS LÄN</t>
        </is>
      </c>
      <c r="E3511" t="inlineStr">
        <is>
          <t>NORBERG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42197-2023</t>
        </is>
      </c>
      <c r="B3512" s="1" t="n">
        <v>45179</v>
      </c>
      <c r="C3512" s="1" t="n">
        <v>45757</v>
      </c>
      <c r="D3512" t="inlineStr">
        <is>
          <t>VÄSTMANLANDS LÄN</t>
        </is>
      </c>
      <c r="E3512" t="inlineStr">
        <is>
          <t>NORBERG</t>
        </is>
      </c>
      <c r="F3512" t="inlineStr">
        <is>
          <t>Sveaskog</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42198-2023</t>
        </is>
      </c>
      <c r="B3513" s="1" t="n">
        <v>45179</v>
      </c>
      <c r="C3513" s="1" t="n">
        <v>45757</v>
      </c>
      <c r="D3513" t="inlineStr">
        <is>
          <t>VÄSTMANLANDS LÄN</t>
        </is>
      </c>
      <c r="E3513" t="inlineStr">
        <is>
          <t>NORBERG</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42938-2023</t>
        </is>
      </c>
      <c r="B3514" s="1" t="n">
        <v>45179</v>
      </c>
      <c r="C3514" s="1" t="n">
        <v>45757</v>
      </c>
      <c r="D3514" t="inlineStr">
        <is>
          <t>VÄSTMANLANDS LÄN</t>
        </is>
      </c>
      <c r="E3514" t="inlineStr">
        <is>
          <t>SALA</t>
        </is>
      </c>
      <c r="G3514" t="n">
        <v>10.9</v>
      </c>
      <c r="H3514" t="n">
        <v>0</v>
      </c>
      <c r="I3514" t="n">
        <v>0</v>
      </c>
      <c r="J3514" t="n">
        <v>0</v>
      </c>
      <c r="K3514" t="n">
        <v>0</v>
      </c>
      <c r="L3514" t="n">
        <v>0</v>
      </c>
      <c r="M3514" t="n">
        <v>0</v>
      </c>
      <c r="N3514" t="n">
        <v>0</v>
      </c>
      <c r="O3514" t="n">
        <v>0</v>
      </c>
      <c r="P3514" t="n">
        <v>0</v>
      </c>
      <c r="Q3514" t="n">
        <v>0</v>
      </c>
      <c r="R3514" s="2" t="inlineStr"/>
    </row>
    <row r="3515" ht="15" customHeight="1">
      <c r="A3515" t="inlineStr">
        <is>
          <t>A 42984-2023</t>
        </is>
      </c>
      <c r="B3515" s="1" t="n">
        <v>45179</v>
      </c>
      <c r="C3515" s="1" t="n">
        <v>45757</v>
      </c>
      <c r="D3515" t="inlineStr">
        <is>
          <t>VÄSTMANLANDS LÄN</t>
        </is>
      </c>
      <c r="E3515" t="inlineStr">
        <is>
          <t>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42991-2023</t>
        </is>
      </c>
      <c r="B3516" s="1" t="n">
        <v>45179</v>
      </c>
      <c r="C3516" s="1" t="n">
        <v>45757</v>
      </c>
      <c r="D3516" t="inlineStr">
        <is>
          <t>VÄSTMANLANDS LÄN</t>
        </is>
      </c>
      <c r="E3516" t="inlineStr">
        <is>
          <t>SALA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42253-2023</t>
        </is>
      </c>
      <c r="B3517" s="1" t="n">
        <v>45180</v>
      </c>
      <c r="C3517" s="1" t="n">
        <v>45757</v>
      </c>
      <c r="D3517" t="inlineStr">
        <is>
          <t>VÄSTMANLANDS LÄN</t>
        </is>
      </c>
      <c r="E3517" t="inlineStr">
        <is>
          <t>VÄSTERÅS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42251-2023</t>
        </is>
      </c>
      <c r="B3518" s="1" t="n">
        <v>45180</v>
      </c>
      <c r="C3518" s="1" t="n">
        <v>45757</v>
      </c>
      <c r="D3518" t="inlineStr">
        <is>
          <t>VÄSTMANLANDS LÄN</t>
        </is>
      </c>
      <c r="E3518" t="inlineStr">
        <is>
          <t>VÄSTERÅS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42257-2023</t>
        </is>
      </c>
      <c r="B3519" s="1" t="n">
        <v>45180</v>
      </c>
      <c r="C3519" s="1" t="n">
        <v>45757</v>
      </c>
      <c r="D3519" t="inlineStr">
        <is>
          <t>VÄSTMANLANDS LÄN</t>
        </is>
      </c>
      <c r="E3519" t="inlineStr">
        <is>
          <t>VÄSTERÅS</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42425-2023</t>
        </is>
      </c>
      <c r="B3520" s="1" t="n">
        <v>45180</v>
      </c>
      <c r="C3520" s="1" t="n">
        <v>45757</v>
      </c>
      <c r="D3520" t="inlineStr">
        <is>
          <t>VÄSTMANLANDS LÄN</t>
        </is>
      </c>
      <c r="E3520" t="inlineStr">
        <is>
          <t>SKINNSKATTEBERG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42262-2023</t>
        </is>
      </c>
      <c r="B3521" s="1" t="n">
        <v>45180</v>
      </c>
      <c r="C3521" s="1" t="n">
        <v>45757</v>
      </c>
      <c r="D3521" t="inlineStr">
        <is>
          <t>VÄSTMANLANDS LÄN</t>
        </is>
      </c>
      <c r="E3521" t="inlineStr">
        <is>
          <t>VÄSTERÅS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42976-2023</t>
        </is>
      </c>
      <c r="B3522" s="1" t="n">
        <v>45182</v>
      </c>
      <c r="C3522" s="1" t="n">
        <v>45757</v>
      </c>
      <c r="D3522" t="inlineStr">
        <is>
          <t>VÄSTMANLANDS LÄN</t>
        </is>
      </c>
      <c r="E3522" t="inlineStr">
        <is>
          <t>SKINNSKATTEBERG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42973-2023</t>
        </is>
      </c>
      <c r="B3523" s="1" t="n">
        <v>45182</v>
      </c>
      <c r="C3523" s="1" t="n">
        <v>45757</v>
      </c>
      <c r="D3523" t="inlineStr">
        <is>
          <t>VÄSTMANLANDS LÄN</t>
        </is>
      </c>
      <c r="E3523" t="inlineStr">
        <is>
          <t>SKINNSKATTEBERG</t>
        </is>
      </c>
      <c r="F3523" t="inlineStr">
        <is>
          <t>Sveaskog</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43025-2023</t>
        </is>
      </c>
      <c r="B3524" s="1" t="n">
        <v>45182</v>
      </c>
      <c r="C3524" s="1" t="n">
        <v>45757</v>
      </c>
      <c r="D3524" t="inlineStr">
        <is>
          <t>VÄSTMANLANDS LÄN</t>
        </is>
      </c>
      <c r="E3524" t="inlineStr">
        <is>
          <t>VÄSTERÅS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44247-2023</t>
        </is>
      </c>
      <c r="B3525" s="1" t="n">
        <v>45182</v>
      </c>
      <c r="C3525" s="1" t="n">
        <v>45757</v>
      </c>
      <c r="D3525" t="inlineStr">
        <is>
          <t>VÄSTMANLANDS LÄN</t>
        </is>
      </c>
      <c r="E3525" t="inlineStr">
        <is>
          <t>SALA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43188-2023</t>
        </is>
      </c>
      <c r="B3526" s="1" t="n">
        <v>45183</v>
      </c>
      <c r="C3526" s="1" t="n">
        <v>45757</v>
      </c>
      <c r="D3526" t="inlineStr">
        <is>
          <t>VÄSTMANLANDS LÄN</t>
        </is>
      </c>
      <c r="E3526" t="inlineStr">
        <is>
          <t>SALA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43184-2023</t>
        </is>
      </c>
      <c r="B3527" s="1" t="n">
        <v>45183</v>
      </c>
      <c r="C3527" s="1" t="n">
        <v>45757</v>
      </c>
      <c r="D3527" t="inlineStr">
        <is>
          <t>VÄSTMANLANDS LÄN</t>
        </is>
      </c>
      <c r="E3527" t="inlineStr">
        <is>
          <t>SALA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43205-2023</t>
        </is>
      </c>
      <c r="B3528" s="1" t="n">
        <v>45183</v>
      </c>
      <c r="C3528" s="1" t="n">
        <v>45757</v>
      </c>
      <c r="D3528" t="inlineStr">
        <is>
          <t>VÄSTMANLANDS LÄN</t>
        </is>
      </c>
      <c r="E3528" t="inlineStr">
        <is>
          <t>SALA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43176-2023</t>
        </is>
      </c>
      <c r="B3529" s="1" t="n">
        <v>45183</v>
      </c>
      <c r="C3529" s="1" t="n">
        <v>45757</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43187-2023</t>
        </is>
      </c>
      <c r="B3530" s="1" t="n">
        <v>45183</v>
      </c>
      <c r="C3530" s="1" t="n">
        <v>45757</v>
      </c>
      <c r="D3530" t="inlineStr">
        <is>
          <t>VÄSTMANLANDS LÄN</t>
        </is>
      </c>
      <c r="E3530" t="inlineStr">
        <is>
          <t>SALA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43363-2023</t>
        </is>
      </c>
      <c r="B3531" s="1" t="n">
        <v>45183</v>
      </c>
      <c r="C3531" s="1" t="n">
        <v>45757</v>
      </c>
      <c r="D3531" t="inlineStr">
        <is>
          <t>VÄSTMANLANDS LÄN</t>
        </is>
      </c>
      <c r="E3531" t="inlineStr">
        <is>
          <t>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43332-2023</t>
        </is>
      </c>
      <c r="B3532" s="1" t="n">
        <v>45183</v>
      </c>
      <c r="C3532" s="1" t="n">
        <v>45757</v>
      </c>
      <c r="D3532" t="inlineStr">
        <is>
          <t>VÄSTMANLANDS LÄN</t>
        </is>
      </c>
      <c r="E3532" t="inlineStr">
        <is>
          <t>VÄSTERÅS</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43362-2023</t>
        </is>
      </c>
      <c r="B3533" s="1" t="n">
        <v>45183</v>
      </c>
      <c r="C3533" s="1" t="n">
        <v>45757</v>
      </c>
      <c r="D3533" t="inlineStr">
        <is>
          <t>VÄSTMANLANDS LÄN</t>
        </is>
      </c>
      <c r="E3533" t="inlineStr">
        <is>
          <t>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43564-2023</t>
        </is>
      </c>
      <c r="B3534" s="1" t="n">
        <v>45184</v>
      </c>
      <c r="C3534" s="1" t="n">
        <v>45757</v>
      </c>
      <c r="D3534" t="inlineStr">
        <is>
          <t>VÄSTMANLANDS LÄN</t>
        </is>
      </c>
      <c r="E3534" t="inlineStr">
        <is>
          <t>ARBOGA</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44713-2023</t>
        </is>
      </c>
      <c r="B3535" s="1" t="n">
        <v>45184</v>
      </c>
      <c r="C3535" s="1" t="n">
        <v>45757</v>
      </c>
      <c r="D3535" t="inlineStr">
        <is>
          <t>VÄSTMANLANDS LÄN</t>
        </is>
      </c>
      <c r="E3535" t="inlineStr">
        <is>
          <t>SALA</t>
        </is>
      </c>
      <c r="F3535" t="inlineStr">
        <is>
          <t>Kyrkan</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43602-2023</t>
        </is>
      </c>
      <c r="B3536" s="1" t="n">
        <v>45184</v>
      </c>
      <c r="C3536" s="1" t="n">
        <v>45757</v>
      </c>
      <c r="D3536" t="inlineStr">
        <is>
          <t>VÄSTMANLANDS LÄN</t>
        </is>
      </c>
      <c r="E3536" t="inlineStr">
        <is>
          <t>ARBOGA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44720-2023</t>
        </is>
      </c>
      <c r="B3537" s="1" t="n">
        <v>45184</v>
      </c>
      <c r="C3537" s="1" t="n">
        <v>45757</v>
      </c>
      <c r="D3537" t="inlineStr">
        <is>
          <t>VÄSTMANLANDS LÄN</t>
        </is>
      </c>
      <c r="E3537" t="inlineStr">
        <is>
          <t>SALA</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43806-2023</t>
        </is>
      </c>
      <c r="B3538" s="1" t="n">
        <v>45187</v>
      </c>
      <c r="C3538" s="1" t="n">
        <v>45757</v>
      </c>
      <c r="D3538" t="inlineStr">
        <is>
          <t>VÄSTMANLANDS LÄN</t>
        </is>
      </c>
      <c r="E3538" t="inlineStr">
        <is>
          <t>ARBOGA</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43812-2023</t>
        </is>
      </c>
      <c r="B3539" s="1" t="n">
        <v>45187</v>
      </c>
      <c r="C3539" s="1" t="n">
        <v>45757</v>
      </c>
      <c r="D3539" t="inlineStr">
        <is>
          <t>VÄSTMANLANDS LÄN</t>
        </is>
      </c>
      <c r="E3539" t="inlineStr">
        <is>
          <t>ARBOGA</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43813-2023</t>
        </is>
      </c>
      <c r="B3540" s="1" t="n">
        <v>45187</v>
      </c>
      <c r="C3540" s="1" t="n">
        <v>45757</v>
      </c>
      <c r="D3540" t="inlineStr">
        <is>
          <t>VÄSTMANLANDS LÄN</t>
        </is>
      </c>
      <c r="E3540" t="inlineStr">
        <is>
          <t>ARBOGA</t>
        </is>
      </c>
      <c r="F3540" t="inlineStr">
        <is>
          <t>Sveaskog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43753-2023</t>
        </is>
      </c>
      <c r="B3541" s="1" t="n">
        <v>45187</v>
      </c>
      <c r="C3541" s="1" t="n">
        <v>45757</v>
      </c>
      <c r="D3541" t="inlineStr">
        <is>
          <t>VÄSTMANLANDS LÄN</t>
        </is>
      </c>
      <c r="E3541" t="inlineStr">
        <is>
          <t>VÄSTERÅS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44297-2023</t>
        </is>
      </c>
      <c r="B3542" s="1" t="n">
        <v>45188</v>
      </c>
      <c r="C3542" s="1" t="n">
        <v>45757</v>
      </c>
      <c r="D3542" t="inlineStr">
        <is>
          <t>VÄSTMANLANDS LÄN</t>
        </is>
      </c>
      <c r="E3542" t="inlineStr">
        <is>
          <t>SALA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44586-2023</t>
        </is>
      </c>
      <c r="B3543" s="1" t="n">
        <v>45189</v>
      </c>
      <c r="C3543" s="1" t="n">
        <v>45757</v>
      </c>
      <c r="D3543" t="inlineStr">
        <is>
          <t>VÄSTMANLANDS LÄN</t>
        </is>
      </c>
      <c r="E3543" t="inlineStr">
        <is>
          <t>KÖPING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44604-2023</t>
        </is>
      </c>
      <c r="B3544" s="1" t="n">
        <v>45189</v>
      </c>
      <c r="C3544" s="1" t="n">
        <v>45757</v>
      </c>
      <c r="D3544" t="inlineStr">
        <is>
          <t>VÄSTMANLANDS LÄN</t>
        </is>
      </c>
      <c r="E3544" t="inlineStr">
        <is>
          <t>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44621-2023</t>
        </is>
      </c>
      <c r="B3545" s="1" t="n">
        <v>45189</v>
      </c>
      <c r="C3545" s="1" t="n">
        <v>45757</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44616-2023</t>
        </is>
      </c>
      <c r="B3546" s="1" t="n">
        <v>45189</v>
      </c>
      <c r="C3546" s="1" t="n">
        <v>45757</v>
      </c>
      <c r="D3546" t="inlineStr">
        <is>
          <t>VÄSTMANLANDS LÄN</t>
        </is>
      </c>
      <c r="E3546" t="inlineStr">
        <is>
          <t>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44582-2023</t>
        </is>
      </c>
      <c r="B3547" s="1" t="n">
        <v>45189</v>
      </c>
      <c r="C3547" s="1" t="n">
        <v>45757</v>
      </c>
      <c r="D3547" t="inlineStr">
        <is>
          <t>VÄSTMANLANDS LÄN</t>
        </is>
      </c>
      <c r="E3547" t="inlineStr">
        <is>
          <t>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46006-2023</t>
        </is>
      </c>
      <c r="B3548" s="1" t="n">
        <v>45189</v>
      </c>
      <c r="C3548" s="1" t="n">
        <v>45757</v>
      </c>
      <c r="D3548" t="inlineStr">
        <is>
          <t>VÄSTMANLANDS LÄN</t>
        </is>
      </c>
      <c r="E3548" t="inlineStr">
        <is>
          <t>FAGERSTA</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44846-2023</t>
        </is>
      </c>
      <c r="B3549" s="1" t="n">
        <v>45190</v>
      </c>
      <c r="C3549" s="1" t="n">
        <v>45757</v>
      </c>
      <c r="D3549" t="inlineStr">
        <is>
          <t>VÄSTMANLANDS LÄN</t>
        </is>
      </c>
      <c r="E3549" t="inlineStr">
        <is>
          <t>SALA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44857-2023</t>
        </is>
      </c>
      <c r="B3550" s="1" t="n">
        <v>45190</v>
      </c>
      <c r="C3550" s="1" t="n">
        <v>45757</v>
      </c>
      <c r="D3550" t="inlineStr">
        <is>
          <t>VÄSTMANLANDS LÄN</t>
        </is>
      </c>
      <c r="E3550" t="inlineStr">
        <is>
          <t>SALA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44906-2023</t>
        </is>
      </c>
      <c r="B3551" s="1" t="n">
        <v>45190</v>
      </c>
      <c r="C3551" s="1" t="n">
        <v>45757</v>
      </c>
      <c r="D3551" t="inlineStr">
        <is>
          <t>VÄSTMANLANDS LÄN</t>
        </is>
      </c>
      <c r="E3551" t="inlineStr">
        <is>
          <t>SKINNSKATTEBERG</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44814-2023</t>
        </is>
      </c>
      <c r="B3552" s="1" t="n">
        <v>45190</v>
      </c>
      <c r="C3552" s="1" t="n">
        <v>45757</v>
      </c>
      <c r="D3552" t="inlineStr">
        <is>
          <t>VÄSTMANLANDS LÄN</t>
        </is>
      </c>
      <c r="E3552" t="inlineStr">
        <is>
          <t>KÖPING</t>
        </is>
      </c>
      <c r="G3552" t="n">
        <v>24.2</v>
      </c>
      <c r="H3552" t="n">
        <v>0</v>
      </c>
      <c r="I3552" t="n">
        <v>0</v>
      </c>
      <c r="J3552" t="n">
        <v>0</v>
      </c>
      <c r="K3552" t="n">
        <v>0</v>
      </c>
      <c r="L3552" t="n">
        <v>0</v>
      </c>
      <c r="M3552" t="n">
        <v>0</v>
      </c>
      <c r="N3552" t="n">
        <v>0</v>
      </c>
      <c r="O3552" t="n">
        <v>0</v>
      </c>
      <c r="P3552" t="n">
        <v>0</v>
      </c>
      <c r="Q3552" t="n">
        <v>0</v>
      </c>
      <c r="R3552" s="2" t="inlineStr"/>
    </row>
    <row r="3553" ht="15" customHeight="1">
      <c r="A3553" t="inlineStr">
        <is>
          <t>A 44914-2023</t>
        </is>
      </c>
      <c r="B3553" s="1" t="n">
        <v>45190</v>
      </c>
      <c r="C3553" s="1" t="n">
        <v>45757</v>
      </c>
      <c r="D3553" t="inlineStr">
        <is>
          <t>VÄSTMANLANDS LÄN</t>
        </is>
      </c>
      <c r="E3553" t="inlineStr">
        <is>
          <t>SKINNSKATTEBERG</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44903-2023</t>
        </is>
      </c>
      <c r="B3554" s="1" t="n">
        <v>45190</v>
      </c>
      <c r="C3554" s="1" t="n">
        <v>45757</v>
      </c>
      <c r="D3554" t="inlineStr">
        <is>
          <t>VÄSTMANLANDS LÄN</t>
        </is>
      </c>
      <c r="E3554" t="inlineStr">
        <is>
          <t>SKINNSKATTEBERG</t>
        </is>
      </c>
      <c r="F3554" t="inlineStr">
        <is>
          <t>Sveaskog</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45051-2023</t>
        </is>
      </c>
      <c r="B3555" s="1" t="n">
        <v>45191</v>
      </c>
      <c r="C3555" s="1" t="n">
        <v>45757</v>
      </c>
      <c r="D3555" t="inlineStr">
        <is>
          <t>VÄSTMANLANDS LÄN</t>
        </is>
      </c>
      <c r="E3555" t="inlineStr">
        <is>
          <t>NORBERG</t>
        </is>
      </c>
      <c r="F3555" t="inlineStr">
        <is>
          <t>Bergvik skog väst AB</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45065-2023</t>
        </is>
      </c>
      <c r="B3556" s="1" t="n">
        <v>45191</v>
      </c>
      <c r="C3556" s="1" t="n">
        <v>45757</v>
      </c>
      <c r="D3556" t="inlineStr">
        <is>
          <t>VÄSTMANLANDS LÄN</t>
        </is>
      </c>
      <c r="E3556" t="inlineStr">
        <is>
          <t>NORBERG</t>
        </is>
      </c>
      <c r="F3556" t="inlineStr">
        <is>
          <t>Bergvik skog väst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45240-2023</t>
        </is>
      </c>
      <c r="B3557" s="1" t="n">
        <v>45191</v>
      </c>
      <c r="C3557" s="1" t="n">
        <v>45757</v>
      </c>
      <c r="D3557" t="inlineStr">
        <is>
          <t>VÄSTMANLANDS LÄN</t>
        </is>
      </c>
      <c r="E3557" t="inlineStr">
        <is>
          <t>HALLSTAHAMMAR</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45308-2023</t>
        </is>
      </c>
      <c r="B3558" s="1" t="n">
        <v>45191</v>
      </c>
      <c r="C3558" s="1" t="n">
        <v>45757</v>
      </c>
      <c r="D3558" t="inlineStr">
        <is>
          <t>VÄSTMANLANDS LÄN</t>
        </is>
      </c>
      <c r="E3558" t="inlineStr">
        <is>
          <t>KÖPING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45066-2023</t>
        </is>
      </c>
      <c r="B3559" s="1" t="n">
        <v>45191</v>
      </c>
      <c r="C3559" s="1" t="n">
        <v>45757</v>
      </c>
      <c r="D3559" t="inlineStr">
        <is>
          <t>VÄSTMANLANDS LÄN</t>
        </is>
      </c>
      <c r="E3559" t="inlineStr">
        <is>
          <t>NORBERG</t>
        </is>
      </c>
      <c r="F3559" t="inlineStr">
        <is>
          <t>Bergvik skog väst AB</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45294-2023</t>
        </is>
      </c>
      <c r="B3560" s="1" t="n">
        <v>45191</v>
      </c>
      <c r="C3560" s="1" t="n">
        <v>45757</v>
      </c>
      <c r="D3560" t="inlineStr">
        <is>
          <t>VÄSTMANLANDS LÄN</t>
        </is>
      </c>
      <c r="E3560" t="inlineStr">
        <is>
          <t>VÄSTERÅS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46352-2023</t>
        </is>
      </c>
      <c r="B3561" s="1" t="n">
        <v>45192</v>
      </c>
      <c r="C3561" s="1" t="n">
        <v>45757</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46355-2023</t>
        </is>
      </c>
      <c r="B3562" s="1" t="n">
        <v>45192</v>
      </c>
      <c r="C3562" s="1" t="n">
        <v>45757</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46350-2023</t>
        </is>
      </c>
      <c r="B3563" s="1" t="n">
        <v>45192</v>
      </c>
      <c r="C3563" s="1" t="n">
        <v>45757</v>
      </c>
      <c r="D3563" t="inlineStr">
        <is>
          <t>VÄSTMANLANDS LÄN</t>
        </is>
      </c>
      <c r="E3563" t="inlineStr">
        <is>
          <t>SALA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45376-2023</t>
        </is>
      </c>
      <c r="B3564" s="1" t="n">
        <v>45193</v>
      </c>
      <c r="C3564" s="1" t="n">
        <v>45757</v>
      </c>
      <c r="D3564" t="inlineStr">
        <is>
          <t>VÄSTMANLANDS LÄN</t>
        </is>
      </c>
      <c r="E3564" t="inlineStr">
        <is>
          <t>SKINNSKATTEBERG</t>
        </is>
      </c>
      <c r="F3564" t="inlineStr">
        <is>
          <t>Sveaskog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45390-2023</t>
        </is>
      </c>
      <c r="B3565" s="1" t="n">
        <v>45194</v>
      </c>
      <c r="C3565" s="1" t="n">
        <v>45757</v>
      </c>
      <c r="D3565" t="inlineStr">
        <is>
          <t>VÄSTMANLANDS LÄN</t>
        </is>
      </c>
      <c r="E3565" t="inlineStr">
        <is>
          <t>FAGERSTA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45375-2023</t>
        </is>
      </c>
      <c r="B3566" s="1" t="n">
        <v>45193</v>
      </c>
      <c r="C3566" s="1" t="n">
        <v>45757</v>
      </c>
      <c r="D3566" t="inlineStr">
        <is>
          <t>VÄSTMANLANDS LÄN</t>
        </is>
      </c>
      <c r="E3566" t="inlineStr">
        <is>
          <t>SKINNSKATTEBERG</t>
        </is>
      </c>
      <c r="F3566" t="inlineStr">
        <is>
          <t>Sveaskog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45511-2023</t>
        </is>
      </c>
      <c r="B3567" s="1" t="n">
        <v>45194</v>
      </c>
      <c r="C3567" s="1" t="n">
        <v>45757</v>
      </c>
      <c r="D3567" t="inlineStr">
        <is>
          <t>VÄSTMANLANDS LÄN</t>
        </is>
      </c>
      <c r="E3567" t="inlineStr">
        <is>
          <t>SKINNSKATTEBERG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45492-2023</t>
        </is>
      </c>
      <c r="B3568" s="1" t="n">
        <v>45194</v>
      </c>
      <c r="C3568" s="1" t="n">
        <v>45757</v>
      </c>
      <c r="D3568" t="inlineStr">
        <is>
          <t>VÄSTMANLANDS LÄN</t>
        </is>
      </c>
      <c r="E3568" t="inlineStr">
        <is>
          <t>ARBOGA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45531-2023</t>
        </is>
      </c>
      <c r="B3569" s="1" t="n">
        <v>45194</v>
      </c>
      <c r="C3569" s="1" t="n">
        <v>45757</v>
      </c>
      <c r="D3569" t="inlineStr">
        <is>
          <t>VÄSTMANLANDS LÄN</t>
        </is>
      </c>
      <c r="E3569" t="inlineStr">
        <is>
          <t>SALA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45602-2023</t>
        </is>
      </c>
      <c r="B3570" s="1" t="n">
        <v>45194</v>
      </c>
      <c r="C3570" s="1" t="n">
        <v>45757</v>
      </c>
      <c r="D3570" t="inlineStr">
        <is>
          <t>VÄSTMANLANDS LÄN</t>
        </is>
      </c>
      <c r="E3570" t="inlineStr">
        <is>
          <t>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46599-2023</t>
        </is>
      </c>
      <c r="B3571" s="1" t="n">
        <v>45194</v>
      </c>
      <c r="C3571" s="1" t="n">
        <v>45757</v>
      </c>
      <c r="D3571" t="inlineStr">
        <is>
          <t>VÄSTMANLANDS LÄN</t>
        </is>
      </c>
      <c r="E3571" t="inlineStr">
        <is>
          <t>KÖPING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45790-2023</t>
        </is>
      </c>
      <c r="B3572" s="1" t="n">
        <v>45195</v>
      </c>
      <c r="C3572" s="1" t="n">
        <v>45757</v>
      </c>
      <c r="D3572" t="inlineStr">
        <is>
          <t>VÄSTMANLANDS LÄN</t>
        </is>
      </c>
      <c r="E3572" t="inlineStr">
        <is>
          <t>SALA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45901-2023</t>
        </is>
      </c>
      <c r="B3573" s="1" t="n">
        <v>45195</v>
      </c>
      <c r="C3573" s="1" t="n">
        <v>45757</v>
      </c>
      <c r="D3573" t="inlineStr">
        <is>
          <t>VÄSTMANLANDS LÄN</t>
        </is>
      </c>
      <c r="E3573" t="inlineStr">
        <is>
          <t>KÖPING</t>
        </is>
      </c>
      <c r="F3573" t="inlineStr">
        <is>
          <t>Sveaskog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45905-2023</t>
        </is>
      </c>
      <c r="B3574" s="1" t="n">
        <v>45195</v>
      </c>
      <c r="C3574" s="1" t="n">
        <v>45757</v>
      </c>
      <c r="D3574" t="inlineStr">
        <is>
          <t>VÄSTMANLANDS LÄN</t>
        </is>
      </c>
      <c r="E3574" t="inlineStr">
        <is>
          <t>KÖPING</t>
        </is>
      </c>
      <c r="F3574" t="inlineStr">
        <is>
          <t>Sveaskog</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45902-2023</t>
        </is>
      </c>
      <c r="B3575" s="1" t="n">
        <v>45195</v>
      </c>
      <c r="C3575" s="1" t="n">
        <v>45757</v>
      </c>
      <c r="D3575" t="inlineStr">
        <is>
          <t>VÄSTMANLANDS LÄN</t>
        </is>
      </c>
      <c r="E3575" t="inlineStr">
        <is>
          <t>KÖPING</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45867-2023</t>
        </is>
      </c>
      <c r="B3576" s="1" t="n">
        <v>45195</v>
      </c>
      <c r="C3576" s="1" t="n">
        <v>45757</v>
      </c>
      <c r="D3576" t="inlineStr">
        <is>
          <t>VÄSTMANLANDS LÄN</t>
        </is>
      </c>
      <c r="E3576" t="inlineStr">
        <is>
          <t>SKINNSKATTEBERG</t>
        </is>
      </c>
      <c r="F3576" t="inlineStr">
        <is>
          <t>Sveaskog</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46041-2023</t>
        </is>
      </c>
      <c r="B3577" s="1" t="n">
        <v>45196</v>
      </c>
      <c r="C3577" s="1" t="n">
        <v>45757</v>
      </c>
      <c r="D3577" t="inlineStr">
        <is>
          <t>VÄSTMANLANDS LÄN</t>
        </is>
      </c>
      <c r="E3577" t="inlineStr">
        <is>
          <t>NORBERG</t>
        </is>
      </c>
      <c r="F3577" t="inlineStr">
        <is>
          <t>Bergvik skog väst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46036-2023</t>
        </is>
      </c>
      <c r="B3578" s="1" t="n">
        <v>45196</v>
      </c>
      <c r="C3578" s="1" t="n">
        <v>45757</v>
      </c>
      <c r="D3578" t="inlineStr">
        <is>
          <t>VÄSTMANLANDS LÄN</t>
        </is>
      </c>
      <c r="E3578" t="inlineStr">
        <is>
          <t>NORBERG</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46045-2023</t>
        </is>
      </c>
      <c r="B3579" s="1" t="n">
        <v>45196</v>
      </c>
      <c r="C3579" s="1" t="n">
        <v>45757</v>
      </c>
      <c r="D3579" t="inlineStr">
        <is>
          <t>VÄSTMANLANDS LÄN</t>
        </is>
      </c>
      <c r="E3579" t="inlineStr">
        <is>
          <t>NORBERG</t>
        </is>
      </c>
      <c r="F3579" t="inlineStr">
        <is>
          <t>Bergvik skog väst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46189-2023</t>
        </is>
      </c>
      <c r="B3580" s="1" t="n">
        <v>45196</v>
      </c>
      <c r="C3580" s="1" t="n">
        <v>45757</v>
      </c>
      <c r="D3580" t="inlineStr">
        <is>
          <t>VÄSTMANLANDS LÄN</t>
        </is>
      </c>
      <c r="E3580" t="inlineStr">
        <is>
          <t>VÄSTERÅS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46226-2023</t>
        </is>
      </c>
      <c r="B3581" s="1" t="n">
        <v>45196</v>
      </c>
      <c r="C3581" s="1" t="n">
        <v>45757</v>
      </c>
      <c r="D3581" t="inlineStr">
        <is>
          <t>VÄSTMANLANDS LÄN</t>
        </is>
      </c>
      <c r="E3581" t="inlineStr">
        <is>
          <t>SALA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46664-2023</t>
        </is>
      </c>
      <c r="B3582" s="1" t="n">
        <v>45198</v>
      </c>
      <c r="C3582" s="1" t="n">
        <v>45757</v>
      </c>
      <c r="D3582" t="inlineStr">
        <is>
          <t>VÄSTMANLANDS LÄN</t>
        </is>
      </c>
      <c r="E3582" t="inlineStr">
        <is>
          <t>NORBERG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46674-2023</t>
        </is>
      </c>
      <c r="B3583" s="1" t="n">
        <v>45198</v>
      </c>
      <c r="C3583" s="1" t="n">
        <v>45757</v>
      </c>
      <c r="D3583" t="inlineStr">
        <is>
          <t>VÄSTMANLANDS LÄN</t>
        </is>
      </c>
      <c r="E3583" t="inlineStr">
        <is>
          <t>ARBOGA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46760-2023</t>
        </is>
      </c>
      <c r="B3584" s="1" t="n">
        <v>45198</v>
      </c>
      <c r="C3584" s="1" t="n">
        <v>45757</v>
      </c>
      <c r="D3584" t="inlineStr">
        <is>
          <t>VÄSTMANLANDS LÄN</t>
        </is>
      </c>
      <c r="E3584" t="inlineStr">
        <is>
          <t>SKINNSKATTEBERG</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47693-2023</t>
        </is>
      </c>
      <c r="B3585" s="1" t="n">
        <v>45198</v>
      </c>
      <c r="C3585" s="1" t="n">
        <v>45757</v>
      </c>
      <c r="D3585" t="inlineStr">
        <is>
          <t>VÄSTMANLANDS LÄN</t>
        </is>
      </c>
      <c r="E3585" t="inlineStr">
        <is>
          <t>SKINNSKATTEBERG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47689-2023</t>
        </is>
      </c>
      <c r="B3586" s="1" t="n">
        <v>45198</v>
      </c>
      <c r="C3586" s="1" t="n">
        <v>45757</v>
      </c>
      <c r="D3586" t="inlineStr">
        <is>
          <t>VÄSTMANLANDS LÄN</t>
        </is>
      </c>
      <c r="E3586" t="inlineStr">
        <is>
          <t>SKINNSKATTEBERG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47681-2023</t>
        </is>
      </c>
      <c r="B3587" s="1" t="n">
        <v>45198</v>
      </c>
      <c r="C3587" s="1" t="n">
        <v>45757</v>
      </c>
      <c r="D3587" t="inlineStr">
        <is>
          <t>VÄSTMANLANDS LÄN</t>
        </is>
      </c>
      <c r="E3587" t="inlineStr">
        <is>
          <t>SKINNSKATTEBERG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46864-2023</t>
        </is>
      </c>
      <c r="B3588" s="1" t="n">
        <v>45200</v>
      </c>
      <c r="C3588" s="1" t="n">
        <v>45757</v>
      </c>
      <c r="D3588" t="inlineStr">
        <is>
          <t>VÄSTMANLANDS LÄN</t>
        </is>
      </c>
      <c r="E3588" t="inlineStr">
        <is>
          <t>NORBERG</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46865-2023</t>
        </is>
      </c>
      <c r="B3589" s="1" t="n">
        <v>45200</v>
      </c>
      <c r="C3589" s="1" t="n">
        <v>45757</v>
      </c>
      <c r="D3589" t="inlineStr">
        <is>
          <t>VÄSTMANLANDS LÄN</t>
        </is>
      </c>
      <c r="E3589" t="inlineStr">
        <is>
          <t>NORBERG</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47282-2023</t>
        </is>
      </c>
      <c r="B3590" s="1" t="n">
        <v>45202</v>
      </c>
      <c r="C3590" s="1" t="n">
        <v>45757</v>
      </c>
      <c r="D3590" t="inlineStr">
        <is>
          <t>VÄSTMANLANDS LÄN</t>
        </is>
      </c>
      <c r="E3590" t="inlineStr">
        <is>
          <t>KÖPING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47501-2023</t>
        </is>
      </c>
      <c r="B3591" s="1" t="n">
        <v>45202</v>
      </c>
      <c r="C3591" s="1" t="n">
        <v>45757</v>
      </c>
      <c r="D3591" t="inlineStr">
        <is>
          <t>VÄSTMANLANDS LÄN</t>
        </is>
      </c>
      <c r="E3591" t="inlineStr">
        <is>
          <t>SALA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48906-2023</t>
        </is>
      </c>
      <c r="B3592" s="1" t="n">
        <v>45203</v>
      </c>
      <c r="C3592" s="1" t="n">
        <v>45757</v>
      </c>
      <c r="D3592" t="inlineStr">
        <is>
          <t>VÄSTMANLANDS LÄN</t>
        </is>
      </c>
      <c r="E3592" t="inlineStr">
        <is>
          <t>SURAHAMMAR</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c r="U3592">
        <f>HYPERLINK("https://klasma.github.io/Logging_1907/knärot/A 48906-2023 karta knärot.png", "A 48906-2023")</f>
        <v/>
      </c>
      <c r="V3592">
        <f>HYPERLINK("https://klasma.github.io/Logging_1907/klagomål/A 48906-2023 FSC-klagomål.docx", "A 48906-2023")</f>
        <v/>
      </c>
      <c r="W3592">
        <f>HYPERLINK("https://klasma.github.io/Logging_1907/klagomålsmail/A 48906-2023 FSC-klagomål mail.docx", "A 48906-2023")</f>
        <v/>
      </c>
      <c r="X3592">
        <f>HYPERLINK("https://klasma.github.io/Logging_1907/tillsyn/A 48906-2023 tillsynsbegäran.docx", "A 48906-2023")</f>
        <v/>
      </c>
      <c r="Y3592">
        <f>HYPERLINK("https://klasma.github.io/Logging_1907/tillsynsmail/A 48906-2023 tillsynsbegäran mail.docx", "A 48906-2023")</f>
        <v/>
      </c>
    </row>
    <row r="3593" ht="15" customHeight="1">
      <c r="A3593" t="inlineStr">
        <is>
          <t>A 48037-2023</t>
        </is>
      </c>
      <c r="B3593" s="1" t="n">
        <v>45204</v>
      </c>
      <c r="C3593" s="1" t="n">
        <v>45757</v>
      </c>
      <c r="D3593" t="inlineStr">
        <is>
          <t>VÄSTMANLANDS LÄN</t>
        </is>
      </c>
      <c r="E3593" t="inlineStr">
        <is>
          <t>SKINNSKATTEBERG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48205-2023</t>
        </is>
      </c>
      <c r="B3594" s="1" t="n">
        <v>45205</v>
      </c>
      <c r="C3594" s="1" t="n">
        <v>45757</v>
      </c>
      <c r="D3594" t="inlineStr">
        <is>
          <t>VÄSTMANLANDS LÄN</t>
        </is>
      </c>
      <c r="E3594" t="inlineStr">
        <is>
          <t>SURAHAMMAR</t>
        </is>
      </c>
      <c r="F3594" t="inlineStr">
        <is>
          <t>Allmännings- och besparingsskogar</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48245-2023</t>
        </is>
      </c>
      <c r="B3595" s="1" t="n">
        <v>45205</v>
      </c>
      <c r="C3595" s="1" t="n">
        <v>45757</v>
      </c>
      <c r="D3595" t="inlineStr">
        <is>
          <t>VÄSTMANLANDS LÄN</t>
        </is>
      </c>
      <c r="E3595" t="inlineStr">
        <is>
          <t>HALLSTAHAMMAR</t>
        </is>
      </c>
      <c r="F3595" t="inlineStr">
        <is>
          <t>Allmännings- och besparingsskogar</t>
        </is>
      </c>
      <c r="G3595" t="n">
        <v>15.7</v>
      </c>
      <c r="H3595" t="n">
        <v>0</v>
      </c>
      <c r="I3595" t="n">
        <v>0</v>
      </c>
      <c r="J3595" t="n">
        <v>0</v>
      </c>
      <c r="K3595" t="n">
        <v>0</v>
      </c>
      <c r="L3595" t="n">
        <v>0</v>
      </c>
      <c r="M3595" t="n">
        <v>0</v>
      </c>
      <c r="N3595" t="n">
        <v>0</v>
      </c>
      <c r="O3595" t="n">
        <v>0</v>
      </c>
      <c r="P3595" t="n">
        <v>0</v>
      </c>
      <c r="Q3595" t="n">
        <v>0</v>
      </c>
      <c r="R3595" s="2" t="inlineStr"/>
    </row>
    <row r="3596" ht="15" customHeight="1">
      <c r="A3596" t="inlineStr">
        <is>
          <t>A 48367-2023</t>
        </is>
      </c>
      <c r="B3596" s="1" t="n">
        <v>45205</v>
      </c>
      <c r="C3596" s="1" t="n">
        <v>45757</v>
      </c>
      <c r="D3596" t="inlineStr">
        <is>
          <t>VÄSTMANLANDS LÄN</t>
        </is>
      </c>
      <c r="E3596" t="inlineStr">
        <is>
          <t>VÄSTERÅS</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48399-2023</t>
        </is>
      </c>
      <c r="B3597" s="1" t="n">
        <v>45205</v>
      </c>
      <c r="C3597" s="1" t="n">
        <v>45757</v>
      </c>
      <c r="D3597" t="inlineStr">
        <is>
          <t>VÄSTMANLANDS LÄN</t>
        </is>
      </c>
      <c r="E3597" t="inlineStr">
        <is>
          <t>NORBERG</t>
        </is>
      </c>
      <c r="F3597" t="inlineStr">
        <is>
          <t>Sveaskog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48398-2023</t>
        </is>
      </c>
      <c r="B3598" s="1" t="n">
        <v>45205</v>
      </c>
      <c r="C3598" s="1" t="n">
        <v>45757</v>
      </c>
      <c r="D3598" t="inlineStr">
        <is>
          <t>VÄSTMANLANDS LÄN</t>
        </is>
      </c>
      <c r="E3598" t="inlineStr">
        <is>
          <t>NORBERG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48177-2023</t>
        </is>
      </c>
      <c r="B3599" s="1" t="n">
        <v>45205</v>
      </c>
      <c r="C3599" s="1" t="n">
        <v>45757</v>
      </c>
      <c r="D3599" t="inlineStr">
        <is>
          <t>VÄSTMANLANDS LÄN</t>
        </is>
      </c>
      <c r="E3599" t="inlineStr">
        <is>
          <t>NORBERG</t>
        </is>
      </c>
      <c r="F3599" t="inlineStr">
        <is>
          <t>Övriga Aktiebolag</t>
        </is>
      </c>
      <c r="G3599" t="n">
        <v>18.4</v>
      </c>
      <c r="H3599" t="n">
        <v>0</v>
      </c>
      <c r="I3599" t="n">
        <v>0</v>
      </c>
      <c r="J3599" t="n">
        <v>0</v>
      </c>
      <c r="K3599" t="n">
        <v>0</v>
      </c>
      <c r="L3599" t="n">
        <v>0</v>
      </c>
      <c r="M3599" t="n">
        <v>0</v>
      </c>
      <c r="N3599" t="n">
        <v>0</v>
      </c>
      <c r="O3599" t="n">
        <v>0</v>
      </c>
      <c r="P3599" t="n">
        <v>0</v>
      </c>
      <c r="Q3599" t="n">
        <v>0</v>
      </c>
      <c r="R3599" s="2" t="inlineStr"/>
    </row>
    <row r="3600" ht="15" customHeight="1">
      <c r="A3600" t="inlineStr">
        <is>
          <t>A 48325-2023</t>
        </is>
      </c>
      <c r="B3600" s="1" t="n">
        <v>45205</v>
      </c>
      <c r="C3600" s="1" t="n">
        <v>45757</v>
      </c>
      <c r="D3600" t="inlineStr">
        <is>
          <t>VÄSTMANLANDS LÄN</t>
        </is>
      </c>
      <c r="E3600" t="inlineStr">
        <is>
          <t>VÄSTERÅS</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48396-2023</t>
        </is>
      </c>
      <c r="B3601" s="1" t="n">
        <v>45205</v>
      </c>
      <c r="C3601" s="1" t="n">
        <v>45757</v>
      </c>
      <c r="D3601" t="inlineStr">
        <is>
          <t>VÄSTMANLANDS LÄN</t>
        </is>
      </c>
      <c r="E3601" t="inlineStr">
        <is>
          <t>NORBERG</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48737-2023</t>
        </is>
      </c>
      <c r="B3602" s="1" t="n">
        <v>45208</v>
      </c>
      <c r="C3602" s="1" t="n">
        <v>45757</v>
      </c>
      <c r="D3602" t="inlineStr">
        <is>
          <t>VÄSTMANLANDS LÄN</t>
        </is>
      </c>
      <c r="E3602" t="inlineStr">
        <is>
          <t>FAGERSTA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48807-2023</t>
        </is>
      </c>
      <c r="B3603" s="1" t="n">
        <v>45209</v>
      </c>
      <c r="C3603" s="1" t="n">
        <v>45757</v>
      </c>
      <c r="D3603" t="inlineStr">
        <is>
          <t>VÄSTMANLANDS LÄN</t>
        </is>
      </c>
      <c r="E3603" t="inlineStr">
        <is>
          <t>KÖPING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48809-2023</t>
        </is>
      </c>
      <c r="B3604" s="1" t="n">
        <v>45209</v>
      </c>
      <c r="C3604" s="1" t="n">
        <v>45757</v>
      </c>
      <c r="D3604" t="inlineStr">
        <is>
          <t>VÄSTMANLANDS LÄN</t>
        </is>
      </c>
      <c r="E3604" t="inlineStr">
        <is>
          <t>KÖPING</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48810-2023</t>
        </is>
      </c>
      <c r="B3605" s="1" t="n">
        <v>45209</v>
      </c>
      <c r="C3605" s="1" t="n">
        <v>45757</v>
      </c>
      <c r="D3605" t="inlineStr">
        <is>
          <t>VÄSTMANLANDS LÄN</t>
        </is>
      </c>
      <c r="E3605" t="inlineStr">
        <is>
          <t>KÖPING</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49005-2023</t>
        </is>
      </c>
      <c r="B3606" s="1" t="n">
        <v>45209</v>
      </c>
      <c r="C3606" s="1" t="n">
        <v>45757</v>
      </c>
      <c r="D3606" t="inlineStr">
        <is>
          <t>VÄSTMANLANDS LÄN</t>
        </is>
      </c>
      <c r="E3606" t="inlineStr">
        <is>
          <t>ARBOGA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49110-2023</t>
        </is>
      </c>
      <c r="B3607" s="1" t="n">
        <v>45210</v>
      </c>
      <c r="C3607" s="1" t="n">
        <v>45757</v>
      </c>
      <c r="D3607" t="inlineStr">
        <is>
          <t>VÄSTMANLANDS LÄN</t>
        </is>
      </c>
      <c r="E3607" t="inlineStr">
        <is>
          <t>NORBERG</t>
        </is>
      </c>
      <c r="F3607" t="inlineStr">
        <is>
          <t>Bergvik skog väst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49101-2023</t>
        </is>
      </c>
      <c r="B3608" s="1" t="n">
        <v>45210</v>
      </c>
      <c r="C3608" s="1" t="n">
        <v>45757</v>
      </c>
      <c r="D3608" t="inlineStr">
        <is>
          <t>VÄSTMANLANDS LÄN</t>
        </is>
      </c>
      <c r="E3608" t="inlineStr">
        <is>
          <t>NORBERG</t>
        </is>
      </c>
      <c r="F3608" t="inlineStr">
        <is>
          <t>Övriga Aktiebolag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50876-2023</t>
        </is>
      </c>
      <c r="B3609" s="1" t="n">
        <v>45211</v>
      </c>
      <c r="C3609" s="1" t="n">
        <v>45757</v>
      </c>
      <c r="D3609" t="inlineStr">
        <is>
          <t>VÄSTMANLANDS LÄN</t>
        </is>
      </c>
      <c r="E3609" t="inlineStr">
        <is>
          <t>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49822-2023</t>
        </is>
      </c>
      <c r="B3610" s="1" t="n">
        <v>45212</v>
      </c>
      <c r="C3610" s="1" t="n">
        <v>45757</v>
      </c>
      <c r="D3610" t="inlineStr">
        <is>
          <t>VÄSTMANLANDS LÄN</t>
        </is>
      </c>
      <c r="E3610" t="inlineStr">
        <is>
          <t>KÖPING</t>
        </is>
      </c>
      <c r="F3610" t="inlineStr">
        <is>
          <t>Sveaskog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49826-2023</t>
        </is>
      </c>
      <c r="B3611" s="1" t="n">
        <v>45212</v>
      </c>
      <c r="C3611" s="1" t="n">
        <v>45757</v>
      </c>
      <c r="D3611" t="inlineStr">
        <is>
          <t>VÄSTMANLANDS LÄN</t>
        </is>
      </c>
      <c r="E3611" t="inlineStr">
        <is>
          <t>KÖPING</t>
        </is>
      </c>
      <c r="F3611" t="inlineStr">
        <is>
          <t>Sveaskog</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49828-2023</t>
        </is>
      </c>
      <c r="B3612" s="1" t="n">
        <v>45212</v>
      </c>
      <c r="C3612" s="1" t="n">
        <v>45757</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49827-2023</t>
        </is>
      </c>
      <c r="B3613" s="1" t="n">
        <v>45212</v>
      </c>
      <c r="C3613" s="1" t="n">
        <v>45757</v>
      </c>
      <c r="D3613" t="inlineStr">
        <is>
          <t>VÄSTMANLANDS LÄN</t>
        </is>
      </c>
      <c r="E3613" t="inlineStr">
        <is>
          <t>KÖPING</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49933-2023</t>
        </is>
      </c>
      <c r="B3614" s="1" t="n">
        <v>45215</v>
      </c>
      <c r="C3614" s="1" t="n">
        <v>45757</v>
      </c>
      <c r="D3614" t="inlineStr">
        <is>
          <t>VÄSTMANLANDS LÄN</t>
        </is>
      </c>
      <c r="E3614" t="inlineStr">
        <is>
          <t>NORBERG</t>
        </is>
      </c>
      <c r="F3614" t="inlineStr">
        <is>
          <t>Bergvik skog väst AB</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50198-2023</t>
        </is>
      </c>
      <c r="B3615" s="1" t="n">
        <v>45215</v>
      </c>
      <c r="C3615" s="1" t="n">
        <v>45757</v>
      </c>
      <c r="D3615" t="inlineStr">
        <is>
          <t>VÄSTMANLANDS LÄN</t>
        </is>
      </c>
      <c r="E3615" t="inlineStr">
        <is>
          <t>NORBERG</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50422-2023</t>
        </is>
      </c>
      <c r="B3616" s="1" t="n">
        <v>45216</v>
      </c>
      <c r="C3616" s="1" t="n">
        <v>45757</v>
      </c>
      <c r="D3616" t="inlineStr">
        <is>
          <t>VÄSTMANLANDS LÄN</t>
        </is>
      </c>
      <c r="E3616" t="inlineStr">
        <is>
          <t>SKINNSKATTEBERG</t>
        </is>
      </c>
      <c r="F3616" t="inlineStr">
        <is>
          <t>Sveaskog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50241-2023</t>
        </is>
      </c>
      <c r="B3617" s="1" t="n">
        <v>45216</v>
      </c>
      <c r="C3617" s="1" t="n">
        <v>45757</v>
      </c>
      <c r="D3617" t="inlineStr">
        <is>
          <t>VÄSTMANLANDS LÄN</t>
        </is>
      </c>
      <c r="E3617" t="inlineStr">
        <is>
          <t>SALA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50457-2023</t>
        </is>
      </c>
      <c r="B3618" s="1" t="n">
        <v>45216</v>
      </c>
      <c r="C3618" s="1" t="n">
        <v>45757</v>
      </c>
      <c r="D3618" t="inlineStr">
        <is>
          <t>VÄSTMANLANDS LÄN</t>
        </is>
      </c>
      <c r="E3618" t="inlineStr">
        <is>
          <t>ARBOGA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50409-2023</t>
        </is>
      </c>
      <c r="B3619" s="1" t="n">
        <v>45216</v>
      </c>
      <c r="C3619" s="1" t="n">
        <v>45757</v>
      </c>
      <c r="D3619" t="inlineStr">
        <is>
          <t>VÄSTMANLANDS LÄN</t>
        </is>
      </c>
      <c r="E3619" t="inlineStr">
        <is>
          <t>SKINNSKATTEBERG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50415-2023</t>
        </is>
      </c>
      <c r="B3620" s="1" t="n">
        <v>45216</v>
      </c>
      <c r="C3620" s="1" t="n">
        <v>45757</v>
      </c>
      <c r="D3620" t="inlineStr">
        <is>
          <t>VÄSTMANLANDS LÄN</t>
        </is>
      </c>
      <c r="E3620" t="inlineStr">
        <is>
          <t>SKINNSKATTEBERG</t>
        </is>
      </c>
      <c r="F3620" t="inlineStr">
        <is>
          <t>Sveaskog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50407-2023</t>
        </is>
      </c>
      <c r="B3621" s="1" t="n">
        <v>45216</v>
      </c>
      <c r="C3621" s="1" t="n">
        <v>45757</v>
      </c>
      <c r="D3621" t="inlineStr">
        <is>
          <t>VÄSTMANLANDS LÄN</t>
        </is>
      </c>
      <c r="E3621" t="inlineStr">
        <is>
          <t>SKINNSKATTEBERG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50452-2023</t>
        </is>
      </c>
      <c r="B3622" s="1" t="n">
        <v>45216</v>
      </c>
      <c r="C3622" s="1" t="n">
        <v>45757</v>
      </c>
      <c r="D3622" t="inlineStr">
        <is>
          <t>VÄSTMANLANDS LÄN</t>
        </is>
      </c>
      <c r="E3622" t="inlineStr">
        <is>
          <t>NORBERG</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50416-2023</t>
        </is>
      </c>
      <c r="B3623" s="1" t="n">
        <v>45216</v>
      </c>
      <c r="C3623" s="1" t="n">
        <v>45757</v>
      </c>
      <c r="D3623" t="inlineStr">
        <is>
          <t>VÄSTMANLANDS LÄN</t>
        </is>
      </c>
      <c r="E3623" t="inlineStr">
        <is>
          <t>SKINNSKATTEBERG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50408-2023</t>
        </is>
      </c>
      <c r="B3624" s="1" t="n">
        <v>45216</v>
      </c>
      <c r="C3624" s="1" t="n">
        <v>45757</v>
      </c>
      <c r="D3624" t="inlineStr">
        <is>
          <t>VÄSTMANLANDS LÄN</t>
        </is>
      </c>
      <c r="E3624" t="inlineStr">
        <is>
          <t>SKINNSKATTEBERG</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50793-2023</t>
        </is>
      </c>
      <c r="B3625" s="1" t="n">
        <v>45217</v>
      </c>
      <c r="C3625" s="1" t="n">
        <v>45757</v>
      </c>
      <c r="D3625" t="inlineStr">
        <is>
          <t>VÄSTMANLANDS LÄN</t>
        </is>
      </c>
      <c r="E3625" t="inlineStr">
        <is>
          <t>VÄSTERÅS</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50641-2023</t>
        </is>
      </c>
      <c r="B3626" s="1" t="n">
        <v>45217</v>
      </c>
      <c r="C3626" s="1" t="n">
        <v>45757</v>
      </c>
      <c r="D3626" t="inlineStr">
        <is>
          <t>VÄSTMANLANDS LÄN</t>
        </is>
      </c>
      <c r="E3626" t="inlineStr">
        <is>
          <t>SKINNSKATTEBERG</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50948-2023</t>
        </is>
      </c>
      <c r="B3627" s="1" t="n">
        <v>45218</v>
      </c>
      <c r="C3627" s="1" t="n">
        <v>45757</v>
      </c>
      <c r="D3627" t="inlineStr">
        <is>
          <t>VÄSTMANLANDS LÄN</t>
        </is>
      </c>
      <c r="E3627" t="inlineStr">
        <is>
          <t>VÄSTERÅS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51176-2023</t>
        </is>
      </c>
      <c r="B3628" s="1" t="n">
        <v>45219</v>
      </c>
      <c r="C3628" s="1" t="n">
        <v>45757</v>
      </c>
      <c r="D3628" t="inlineStr">
        <is>
          <t>VÄSTMANLANDS LÄN</t>
        </is>
      </c>
      <c r="E3628" t="inlineStr">
        <is>
          <t>KÖPING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51219-2023</t>
        </is>
      </c>
      <c r="B3629" s="1" t="n">
        <v>45219</v>
      </c>
      <c r="C3629" s="1" t="n">
        <v>45757</v>
      </c>
      <c r="D3629" t="inlineStr">
        <is>
          <t>VÄSTMANLANDS LÄN</t>
        </is>
      </c>
      <c r="E3629" t="inlineStr">
        <is>
          <t>VÄSTERÅS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51223-2023</t>
        </is>
      </c>
      <c r="B3630" s="1" t="n">
        <v>45219</v>
      </c>
      <c r="C3630" s="1" t="n">
        <v>45757</v>
      </c>
      <c r="D3630" t="inlineStr">
        <is>
          <t>VÄSTMANLANDS LÄN</t>
        </is>
      </c>
      <c r="E3630" t="inlineStr">
        <is>
          <t>VÄSTERÅS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51360-2023</t>
        </is>
      </c>
      <c r="B3631" s="1" t="n">
        <v>45219</v>
      </c>
      <c r="C3631" s="1" t="n">
        <v>45757</v>
      </c>
      <c r="D3631" t="inlineStr">
        <is>
          <t>VÄSTMANLANDS LÄN</t>
        </is>
      </c>
      <c r="E3631" t="inlineStr">
        <is>
          <t>KÖPING</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51363-2023</t>
        </is>
      </c>
      <c r="B3632" s="1" t="n">
        <v>45219</v>
      </c>
      <c r="C3632" s="1" t="n">
        <v>45757</v>
      </c>
      <c r="D3632" t="inlineStr">
        <is>
          <t>VÄSTMANLANDS LÄN</t>
        </is>
      </c>
      <c r="E3632" t="inlineStr">
        <is>
          <t>KÖPING</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51142-2023</t>
        </is>
      </c>
      <c r="B3633" s="1" t="n">
        <v>45219</v>
      </c>
      <c r="C3633" s="1" t="n">
        <v>45757</v>
      </c>
      <c r="D3633" t="inlineStr">
        <is>
          <t>VÄSTMANLANDS LÄN</t>
        </is>
      </c>
      <c r="E3633" t="inlineStr">
        <is>
          <t>VÄSTERÅS</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51407-2023</t>
        </is>
      </c>
      <c r="B3634" s="1" t="n">
        <v>45219</v>
      </c>
      <c r="C3634" s="1" t="n">
        <v>45757</v>
      </c>
      <c r="D3634" t="inlineStr">
        <is>
          <t>VÄSTMANLANDS LÄN</t>
        </is>
      </c>
      <c r="E3634" t="inlineStr">
        <is>
          <t>KÖPING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51409-2023</t>
        </is>
      </c>
      <c r="B3635" s="1" t="n">
        <v>45219</v>
      </c>
      <c r="C3635" s="1" t="n">
        <v>45757</v>
      </c>
      <c r="D3635" t="inlineStr">
        <is>
          <t>VÄSTMANLANDS LÄN</t>
        </is>
      </c>
      <c r="E3635" t="inlineStr">
        <is>
          <t>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51147-2023</t>
        </is>
      </c>
      <c r="B3636" s="1" t="n">
        <v>45219</v>
      </c>
      <c r="C3636" s="1" t="n">
        <v>45757</v>
      </c>
      <c r="D3636" t="inlineStr">
        <is>
          <t>VÄSTMANLANDS LÄN</t>
        </is>
      </c>
      <c r="E3636" t="inlineStr">
        <is>
          <t>VÄSTERÅS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51362-2023</t>
        </is>
      </c>
      <c r="B3637" s="1" t="n">
        <v>45219</v>
      </c>
      <c r="C3637" s="1" t="n">
        <v>45757</v>
      </c>
      <c r="D3637" t="inlineStr">
        <is>
          <t>VÄSTMANLANDS LÄN</t>
        </is>
      </c>
      <c r="E3637" t="inlineStr">
        <is>
          <t>KÖPING</t>
        </is>
      </c>
      <c r="F3637" t="inlineStr">
        <is>
          <t>Sveaskog</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51412-2023</t>
        </is>
      </c>
      <c r="B3638" s="1" t="n">
        <v>45219</v>
      </c>
      <c r="C3638" s="1" t="n">
        <v>45757</v>
      </c>
      <c r="D3638" t="inlineStr">
        <is>
          <t>VÄSTMANLANDS LÄN</t>
        </is>
      </c>
      <c r="E3638" t="inlineStr">
        <is>
          <t>KÖPING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51388-2023</t>
        </is>
      </c>
      <c r="B3639" s="1" t="n">
        <v>45219</v>
      </c>
      <c r="C3639" s="1" t="n">
        <v>45757</v>
      </c>
      <c r="D3639" t="inlineStr">
        <is>
          <t>VÄSTMANLANDS LÄN</t>
        </is>
      </c>
      <c r="E3639" t="inlineStr">
        <is>
          <t>KÖPING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51365-2023</t>
        </is>
      </c>
      <c r="B3640" s="1" t="n">
        <v>45219</v>
      </c>
      <c r="C3640" s="1" t="n">
        <v>45757</v>
      </c>
      <c r="D3640" t="inlineStr">
        <is>
          <t>VÄSTMANLANDS LÄN</t>
        </is>
      </c>
      <c r="E3640" t="inlineStr">
        <is>
          <t>KÖPING</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51132-2023</t>
        </is>
      </c>
      <c r="B3641" s="1" t="n">
        <v>45219</v>
      </c>
      <c r="C3641" s="1" t="n">
        <v>45757</v>
      </c>
      <c r="D3641" t="inlineStr">
        <is>
          <t>VÄSTMANLANDS LÄN</t>
        </is>
      </c>
      <c r="E3641" t="inlineStr">
        <is>
          <t>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51203-2023</t>
        </is>
      </c>
      <c r="B3642" s="1" t="n">
        <v>45219</v>
      </c>
      <c r="C3642" s="1" t="n">
        <v>45757</v>
      </c>
      <c r="D3642" t="inlineStr">
        <is>
          <t>VÄSTMANLANDS LÄN</t>
        </is>
      </c>
      <c r="E3642" t="inlineStr">
        <is>
          <t>SALA</t>
        </is>
      </c>
      <c r="F3642" t="inlineStr">
        <is>
          <t>Kommuner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51119-2023</t>
        </is>
      </c>
      <c r="B3643" s="1" t="n">
        <v>45219</v>
      </c>
      <c r="C3643" s="1" t="n">
        <v>45757</v>
      </c>
      <c r="D3643" t="inlineStr">
        <is>
          <t>VÄSTMANLANDS LÄN</t>
        </is>
      </c>
      <c r="E3643" t="inlineStr">
        <is>
          <t>KÖPING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51123-2023</t>
        </is>
      </c>
      <c r="B3644" s="1" t="n">
        <v>45219</v>
      </c>
      <c r="C3644" s="1" t="n">
        <v>45757</v>
      </c>
      <c r="D3644" t="inlineStr">
        <is>
          <t>VÄSTMANLANDS LÄN</t>
        </is>
      </c>
      <c r="E3644" t="inlineStr">
        <is>
          <t>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51230-2023</t>
        </is>
      </c>
      <c r="B3645" s="1" t="n">
        <v>45219</v>
      </c>
      <c r="C3645" s="1" t="n">
        <v>45757</v>
      </c>
      <c r="D3645" t="inlineStr">
        <is>
          <t>VÄSTMANLANDS LÄN</t>
        </is>
      </c>
      <c r="E3645" t="inlineStr">
        <is>
          <t>VÄSTERÅS</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51562-2023</t>
        </is>
      </c>
      <c r="B3646" s="1" t="n">
        <v>45222</v>
      </c>
      <c r="C3646" s="1" t="n">
        <v>45757</v>
      </c>
      <c r="D3646" t="inlineStr">
        <is>
          <t>VÄSTMANLANDS LÄN</t>
        </is>
      </c>
      <c r="E3646" t="inlineStr">
        <is>
          <t>VÄSTERÅS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51579-2023</t>
        </is>
      </c>
      <c r="B3647" s="1" t="n">
        <v>45222</v>
      </c>
      <c r="C3647" s="1" t="n">
        <v>45757</v>
      </c>
      <c r="D3647" t="inlineStr">
        <is>
          <t>VÄSTMANLANDS LÄN</t>
        </is>
      </c>
      <c r="E3647" t="inlineStr">
        <is>
          <t>FAGERSTA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51680-2023</t>
        </is>
      </c>
      <c r="B3648" s="1" t="n">
        <v>45222</v>
      </c>
      <c r="C3648" s="1" t="n">
        <v>45757</v>
      </c>
      <c r="D3648" t="inlineStr">
        <is>
          <t>VÄSTMANLANDS LÄN</t>
        </is>
      </c>
      <c r="E3648" t="inlineStr">
        <is>
          <t>SKINNSKATTEBERG</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51572-2023</t>
        </is>
      </c>
      <c r="B3649" s="1" t="n">
        <v>45222</v>
      </c>
      <c r="C3649" s="1" t="n">
        <v>45757</v>
      </c>
      <c r="D3649" t="inlineStr">
        <is>
          <t>VÄSTMANLANDS LÄN</t>
        </is>
      </c>
      <c r="E3649" t="inlineStr">
        <is>
          <t>VÄSTERÅS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51586-2023</t>
        </is>
      </c>
      <c r="B3650" s="1" t="n">
        <v>45222</v>
      </c>
      <c r="C3650" s="1" t="n">
        <v>45757</v>
      </c>
      <c r="D3650" t="inlineStr">
        <is>
          <t>VÄSTMANLANDS LÄN</t>
        </is>
      </c>
      <c r="E3650" t="inlineStr">
        <is>
          <t>FAGERSTA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51875-2023</t>
        </is>
      </c>
      <c r="B3651" s="1" t="n">
        <v>45223</v>
      </c>
      <c r="C3651" s="1" t="n">
        <v>45757</v>
      </c>
      <c r="D3651" t="inlineStr">
        <is>
          <t>VÄSTMANLANDS LÄN</t>
        </is>
      </c>
      <c r="E3651" t="inlineStr">
        <is>
          <t>VÄSTERÅS</t>
        </is>
      </c>
      <c r="F3651" t="inlineStr">
        <is>
          <t>Kommuner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51933-2023</t>
        </is>
      </c>
      <c r="B3652" s="1" t="n">
        <v>45223</v>
      </c>
      <c r="C3652" s="1" t="n">
        <v>45757</v>
      </c>
      <c r="D3652" t="inlineStr">
        <is>
          <t>VÄSTMANLANDS LÄN</t>
        </is>
      </c>
      <c r="E3652" t="inlineStr">
        <is>
          <t>VÄSTERÅS</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51951-2023</t>
        </is>
      </c>
      <c r="B3653" s="1" t="n">
        <v>45223</v>
      </c>
      <c r="C3653" s="1" t="n">
        <v>45757</v>
      </c>
      <c r="D3653" t="inlineStr">
        <is>
          <t>VÄSTMANLANDS LÄN</t>
        </is>
      </c>
      <c r="E3653" t="inlineStr">
        <is>
          <t>VÄSTERÅS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51848-2023</t>
        </is>
      </c>
      <c r="B3654" s="1" t="n">
        <v>45223</v>
      </c>
      <c r="C3654" s="1" t="n">
        <v>45757</v>
      </c>
      <c r="D3654" t="inlineStr">
        <is>
          <t>VÄSTMANLANDS LÄN</t>
        </is>
      </c>
      <c r="E3654" t="inlineStr">
        <is>
          <t>SALA</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51954-2023</t>
        </is>
      </c>
      <c r="B3655" s="1" t="n">
        <v>45223</v>
      </c>
      <c r="C3655" s="1" t="n">
        <v>45757</v>
      </c>
      <c r="D3655" t="inlineStr">
        <is>
          <t>VÄSTMANLANDS LÄN</t>
        </is>
      </c>
      <c r="E3655" t="inlineStr">
        <is>
          <t>VÄSTERÅS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52475-2023</t>
        </is>
      </c>
      <c r="B3656" s="1" t="n">
        <v>45225</v>
      </c>
      <c r="C3656" s="1" t="n">
        <v>45757</v>
      </c>
      <c r="D3656" t="inlineStr">
        <is>
          <t>VÄSTMANLANDS LÄN</t>
        </is>
      </c>
      <c r="E3656" t="inlineStr">
        <is>
          <t>KÖPING</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52654-2023</t>
        </is>
      </c>
      <c r="B3657" s="1" t="n">
        <v>45225</v>
      </c>
      <c r="C3657" s="1" t="n">
        <v>45757</v>
      </c>
      <c r="D3657" t="inlineStr">
        <is>
          <t>VÄSTMANLANDS LÄN</t>
        </is>
      </c>
      <c r="E3657" t="inlineStr">
        <is>
          <t>SALA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53030-2023</t>
        </is>
      </c>
      <c r="B3658" s="1" t="n">
        <v>45226</v>
      </c>
      <c r="C3658" s="1" t="n">
        <v>45757</v>
      </c>
      <c r="D3658" t="inlineStr">
        <is>
          <t>VÄSTMANLANDS LÄN</t>
        </is>
      </c>
      <c r="E3658" t="inlineStr">
        <is>
          <t>NORBERG</t>
        </is>
      </c>
      <c r="F3658" t="inlineStr">
        <is>
          <t>Sveaskog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52795-2023</t>
        </is>
      </c>
      <c r="B3659" s="1" t="n">
        <v>45226</v>
      </c>
      <c r="C3659" s="1" t="n">
        <v>45757</v>
      </c>
      <c r="D3659" t="inlineStr">
        <is>
          <t>VÄSTMANLANDS LÄN</t>
        </is>
      </c>
      <c r="E3659" t="inlineStr">
        <is>
          <t>KUNGSÖR</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53061-2023</t>
        </is>
      </c>
      <c r="B3660" s="1" t="n">
        <v>45227</v>
      </c>
      <c r="C3660" s="1" t="n">
        <v>45757</v>
      </c>
      <c r="D3660" t="inlineStr">
        <is>
          <t>VÄSTMANLANDS LÄN</t>
        </is>
      </c>
      <c r="E3660" t="inlineStr">
        <is>
          <t>KÖPING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53267-2023</t>
        </is>
      </c>
      <c r="B3661" s="1" t="n">
        <v>45229</v>
      </c>
      <c r="C3661" s="1" t="n">
        <v>45757</v>
      </c>
      <c r="D3661" t="inlineStr">
        <is>
          <t>VÄSTMANLANDS LÄN</t>
        </is>
      </c>
      <c r="E3661" t="inlineStr">
        <is>
          <t>VÄSTERÅS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54910-2023</t>
        </is>
      </c>
      <c r="B3662" s="1" t="n">
        <v>45229</v>
      </c>
      <c r="C3662" s="1" t="n">
        <v>45757</v>
      </c>
      <c r="D3662" t="inlineStr">
        <is>
          <t>VÄSTMANLANDS LÄN</t>
        </is>
      </c>
      <c r="E3662" t="inlineStr">
        <is>
          <t>SALA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55024-2023</t>
        </is>
      </c>
      <c r="B3663" s="1" t="n">
        <v>45229</v>
      </c>
      <c r="C3663" s="1" t="n">
        <v>45757</v>
      </c>
      <c r="D3663" t="inlineStr">
        <is>
          <t>VÄSTMANLANDS LÄN</t>
        </is>
      </c>
      <c r="E3663" t="inlineStr">
        <is>
          <t>SALA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55032-2023</t>
        </is>
      </c>
      <c r="B3664" s="1" t="n">
        <v>45229</v>
      </c>
      <c r="C3664" s="1" t="n">
        <v>45757</v>
      </c>
      <c r="D3664" t="inlineStr">
        <is>
          <t>VÄSTMANLANDS LÄN</t>
        </is>
      </c>
      <c r="E3664" t="inlineStr">
        <is>
          <t>SALA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55035-2023</t>
        </is>
      </c>
      <c r="B3665" s="1" t="n">
        <v>45229</v>
      </c>
      <c r="C3665" s="1" t="n">
        <v>45757</v>
      </c>
      <c r="D3665" t="inlineStr">
        <is>
          <t>VÄSTMANLANDS LÄN</t>
        </is>
      </c>
      <c r="E3665" t="inlineStr">
        <is>
          <t>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55040-2023</t>
        </is>
      </c>
      <c r="B3666" s="1" t="n">
        <v>45229</v>
      </c>
      <c r="C3666" s="1" t="n">
        <v>45757</v>
      </c>
      <c r="D3666" t="inlineStr">
        <is>
          <t>VÄSTMANLANDS LÄN</t>
        </is>
      </c>
      <c r="E3666" t="inlineStr">
        <is>
          <t>SALA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53653-2023</t>
        </is>
      </c>
      <c r="B3667" s="1" t="n">
        <v>45230</v>
      </c>
      <c r="C3667" s="1" t="n">
        <v>45757</v>
      </c>
      <c r="D3667" t="inlineStr">
        <is>
          <t>VÄSTMANLANDS LÄN</t>
        </is>
      </c>
      <c r="E3667" t="inlineStr">
        <is>
          <t>ARBOGA</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53629-2023</t>
        </is>
      </c>
      <c r="B3668" s="1" t="n">
        <v>45230</v>
      </c>
      <c r="C3668" s="1" t="n">
        <v>45757</v>
      </c>
      <c r="D3668" t="inlineStr">
        <is>
          <t>VÄSTMANLANDS LÄN</t>
        </is>
      </c>
      <c r="E3668" t="inlineStr">
        <is>
          <t>ARBOGA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55149-2023</t>
        </is>
      </c>
      <c r="B3669" s="1" t="n">
        <v>45230</v>
      </c>
      <c r="C3669" s="1" t="n">
        <v>45757</v>
      </c>
      <c r="D3669" t="inlineStr">
        <is>
          <t>VÄSTMANLANDS LÄN</t>
        </is>
      </c>
      <c r="E3669" t="inlineStr">
        <is>
          <t>ARBOGA</t>
        </is>
      </c>
      <c r="G3669" t="n">
        <v>11.3</v>
      </c>
      <c r="H3669" t="n">
        <v>0</v>
      </c>
      <c r="I3669" t="n">
        <v>0</v>
      </c>
      <c r="J3669" t="n">
        <v>0</v>
      </c>
      <c r="K3669" t="n">
        <v>0</v>
      </c>
      <c r="L3669" t="n">
        <v>0</v>
      </c>
      <c r="M3669" t="n">
        <v>0</v>
      </c>
      <c r="N3669" t="n">
        <v>0</v>
      </c>
      <c r="O3669" t="n">
        <v>0</v>
      </c>
      <c r="P3669" t="n">
        <v>0</v>
      </c>
      <c r="Q3669" t="n">
        <v>0</v>
      </c>
      <c r="R3669" s="2" t="inlineStr"/>
    </row>
    <row r="3670" ht="15" customHeight="1">
      <c r="A3670" t="inlineStr">
        <is>
          <t>A 53877-2023</t>
        </is>
      </c>
      <c r="B3670" s="1" t="n">
        <v>45231</v>
      </c>
      <c r="C3670" s="1" t="n">
        <v>45757</v>
      </c>
      <c r="D3670" t="inlineStr">
        <is>
          <t>VÄSTMANLANDS LÄN</t>
        </is>
      </c>
      <c r="E3670" t="inlineStr">
        <is>
          <t>SALA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53929-2023</t>
        </is>
      </c>
      <c r="B3671" s="1" t="n">
        <v>45231</v>
      </c>
      <c r="C3671" s="1" t="n">
        <v>45757</v>
      </c>
      <c r="D3671" t="inlineStr">
        <is>
          <t>VÄSTMANLANDS LÄN</t>
        </is>
      </c>
      <c r="E3671" t="inlineStr">
        <is>
          <t>ARBOGA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53951-2023</t>
        </is>
      </c>
      <c r="B3672" s="1" t="n">
        <v>45231</v>
      </c>
      <c r="C3672" s="1" t="n">
        <v>45757</v>
      </c>
      <c r="D3672" t="inlineStr">
        <is>
          <t>VÄSTMANLANDS LÄN</t>
        </is>
      </c>
      <c r="E3672" t="inlineStr">
        <is>
          <t>SALA</t>
        </is>
      </c>
      <c r="F3672" t="inlineStr">
        <is>
          <t>Kommuner</t>
        </is>
      </c>
      <c r="G3672" t="n">
        <v>8.4</v>
      </c>
      <c r="H3672" t="n">
        <v>0</v>
      </c>
      <c r="I3672" t="n">
        <v>0</v>
      </c>
      <c r="J3672" t="n">
        <v>0</v>
      </c>
      <c r="K3672" t="n">
        <v>0</v>
      </c>
      <c r="L3672" t="n">
        <v>0</v>
      </c>
      <c r="M3672" t="n">
        <v>0</v>
      </c>
      <c r="N3672" t="n">
        <v>0</v>
      </c>
      <c r="O3672" t="n">
        <v>0</v>
      </c>
      <c r="P3672" t="n">
        <v>0</v>
      </c>
      <c r="Q3672" t="n">
        <v>0</v>
      </c>
      <c r="R3672" s="2" t="inlineStr"/>
      <c r="U3672">
        <f>HYPERLINK("https://klasma.github.io/Logging_1981/knärot/A 53951-2023 karta knärot.png", "A 53951-2023")</f>
        <v/>
      </c>
      <c r="V3672">
        <f>HYPERLINK("https://klasma.github.io/Logging_1981/klagomål/A 53951-2023 FSC-klagomål.docx", "A 53951-2023")</f>
        <v/>
      </c>
      <c r="W3672">
        <f>HYPERLINK("https://klasma.github.io/Logging_1981/klagomålsmail/A 53951-2023 FSC-klagomål mail.docx", "A 53951-2023")</f>
        <v/>
      </c>
      <c r="X3672">
        <f>HYPERLINK("https://klasma.github.io/Logging_1981/tillsyn/A 53951-2023 tillsynsbegäran.docx", "A 53951-2023")</f>
        <v/>
      </c>
      <c r="Y3672">
        <f>HYPERLINK("https://klasma.github.io/Logging_1981/tillsynsmail/A 53951-2023 tillsynsbegäran mail.docx", "A 53951-2023")</f>
        <v/>
      </c>
    </row>
    <row r="3673" ht="15" customHeight="1">
      <c r="A3673" t="inlineStr">
        <is>
          <t>A 54125-2023</t>
        </is>
      </c>
      <c r="B3673" s="1" t="n">
        <v>45232</v>
      </c>
      <c r="C3673" s="1" t="n">
        <v>45757</v>
      </c>
      <c r="D3673" t="inlineStr">
        <is>
          <t>VÄSTMANLANDS LÄN</t>
        </is>
      </c>
      <c r="E3673" t="inlineStr">
        <is>
          <t>SALA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54094-2023</t>
        </is>
      </c>
      <c r="B3674" s="1" t="n">
        <v>45232</v>
      </c>
      <c r="C3674" s="1" t="n">
        <v>45757</v>
      </c>
      <c r="D3674" t="inlineStr">
        <is>
          <t>VÄSTMANLANDS LÄN</t>
        </is>
      </c>
      <c r="E3674" t="inlineStr">
        <is>
          <t>ARBOGA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54114-2023</t>
        </is>
      </c>
      <c r="B3675" s="1" t="n">
        <v>45232</v>
      </c>
      <c r="C3675" s="1" t="n">
        <v>45757</v>
      </c>
      <c r="D3675" t="inlineStr">
        <is>
          <t>VÄSTMANLANDS LÄN</t>
        </is>
      </c>
      <c r="E3675" t="inlineStr">
        <is>
          <t>SALA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54118-2023</t>
        </is>
      </c>
      <c r="B3676" s="1" t="n">
        <v>45232</v>
      </c>
      <c r="C3676" s="1" t="n">
        <v>45757</v>
      </c>
      <c r="D3676" t="inlineStr">
        <is>
          <t>VÄSTMANLANDS LÄN</t>
        </is>
      </c>
      <c r="E3676" t="inlineStr">
        <is>
          <t>SALA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54296-2023</t>
        </is>
      </c>
      <c r="B3677" s="1" t="n">
        <v>45232</v>
      </c>
      <c r="C3677" s="1" t="n">
        <v>45757</v>
      </c>
      <c r="D3677" t="inlineStr">
        <is>
          <t>VÄSTMANLANDS LÄN</t>
        </is>
      </c>
      <c r="E3677" t="inlineStr">
        <is>
          <t>SKINNSKATTEBERG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55556-2023</t>
        </is>
      </c>
      <c r="B3678" s="1" t="n">
        <v>45232</v>
      </c>
      <c r="C3678" s="1" t="n">
        <v>45757</v>
      </c>
      <c r="D3678" t="inlineStr">
        <is>
          <t>VÄSTMANLANDS LÄN</t>
        </is>
      </c>
      <c r="E3678" t="inlineStr">
        <is>
          <t>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54306-2023</t>
        </is>
      </c>
      <c r="B3679" s="1" t="n">
        <v>45232</v>
      </c>
      <c r="C3679" s="1" t="n">
        <v>45757</v>
      </c>
      <c r="D3679" t="inlineStr">
        <is>
          <t>VÄSTMANLANDS LÄN</t>
        </is>
      </c>
      <c r="E3679" t="inlineStr">
        <is>
          <t>NORBERG</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55676-2023</t>
        </is>
      </c>
      <c r="B3680" s="1" t="n">
        <v>45232</v>
      </c>
      <c r="C3680" s="1" t="n">
        <v>45757</v>
      </c>
      <c r="D3680" t="inlineStr">
        <is>
          <t>VÄSTMANLANDS LÄN</t>
        </is>
      </c>
      <c r="E3680" t="inlineStr">
        <is>
          <t>VÄSTERÅS</t>
        </is>
      </c>
      <c r="F3680" t="inlineStr">
        <is>
          <t>Övriga Aktiebolag</t>
        </is>
      </c>
      <c r="G3680" t="n">
        <v>37.9</v>
      </c>
      <c r="H3680" t="n">
        <v>0</v>
      </c>
      <c r="I3680" t="n">
        <v>0</v>
      </c>
      <c r="J3680" t="n">
        <v>0</v>
      </c>
      <c r="K3680" t="n">
        <v>0</v>
      </c>
      <c r="L3680" t="n">
        <v>0</v>
      </c>
      <c r="M3680" t="n">
        <v>0</v>
      </c>
      <c r="N3680" t="n">
        <v>0</v>
      </c>
      <c r="O3680" t="n">
        <v>0</v>
      </c>
      <c r="P3680" t="n">
        <v>0</v>
      </c>
      <c r="Q3680" t="n">
        <v>0</v>
      </c>
      <c r="R3680" s="2" t="inlineStr"/>
    </row>
    <row r="3681" ht="15" customHeight="1">
      <c r="A3681" t="inlineStr">
        <is>
          <t>A 55836-2023</t>
        </is>
      </c>
      <c r="B3681" s="1" t="n">
        <v>45233</v>
      </c>
      <c r="C3681" s="1" t="n">
        <v>45757</v>
      </c>
      <c r="D3681" t="inlineStr">
        <is>
          <t>VÄSTMANLANDS LÄN</t>
        </is>
      </c>
      <c r="E3681" t="inlineStr">
        <is>
          <t>VÄSTERÅS</t>
        </is>
      </c>
      <c r="F3681" t="inlineStr">
        <is>
          <t>Övriga Aktiebolag</t>
        </is>
      </c>
      <c r="G3681" t="n">
        <v>10.5</v>
      </c>
      <c r="H3681" t="n">
        <v>0</v>
      </c>
      <c r="I3681" t="n">
        <v>0</v>
      </c>
      <c r="J3681" t="n">
        <v>0</v>
      </c>
      <c r="K3681" t="n">
        <v>0</v>
      </c>
      <c r="L3681" t="n">
        <v>0</v>
      </c>
      <c r="M3681" t="n">
        <v>0</v>
      </c>
      <c r="N3681" t="n">
        <v>0</v>
      </c>
      <c r="O3681" t="n">
        <v>0</v>
      </c>
      <c r="P3681" t="n">
        <v>0</v>
      </c>
      <c r="Q3681" t="n">
        <v>0</v>
      </c>
      <c r="R3681" s="2" t="inlineStr"/>
    </row>
    <row r="3682" ht="15" customHeight="1">
      <c r="A3682" t="inlineStr">
        <is>
          <t>A 56057-2023</t>
        </is>
      </c>
      <c r="B3682" s="1" t="n">
        <v>45233</v>
      </c>
      <c r="C3682" s="1" t="n">
        <v>45757</v>
      </c>
      <c r="D3682" t="inlineStr">
        <is>
          <t>VÄSTMANLANDS LÄN</t>
        </is>
      </c>
      <c r="E3682" t="inlineStr">
        <is>
          <t>SALA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54573-2023</t>
        </is>
      </c>
      <c r="B3683" s="1" t="n">
        <v>45233</v>
      </c>
      <c r="C3683" s="1" t="n">
        <v>45757</v>
      </c>
      <c r="D3683" t="inlineStr">
        <is>
          <t>VÄSTMANLANDS LÄN</t>
        </is>
      </c>
      <c r="E3683" t="inlineStr">
        <is>
          <t>NORBERG</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56064-2023</t>
        </is>
      </c>
      <c r="B3684" s="1" t="n">
        <v>45233</v>
      </c>
      <c r="C3684" s="1" t="n">
        <v>45757</v>
      </c>
      <c r="D3684" t="inlineStr">
        <is>
          <t>VÄSTMANLANDS LÄN</t>
        </is>
      </c>
      <c r="E3684" t="inlineStr">
        <is>
          <t>SALA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55892-2023</t>
        </is>
      </c>
      <c r="B3685" s="1" t="n">
        <v>45233</v>
      </c>
      <c r="C3685" s="1" t="n">
        <v>45757</v>
      </c>
      <c r="D3685" t="inlineStr">
        <is>
          <t>VÄSTMANLANDS LÄN</t>
        </is>
      </c>
      <c r="E3685" t="inlineStr">
        <is>
          <t>VÄSTERÅS</t>
        </is>
      </c>
      <c r="F3685" t="inlineStr">
        <is>
          <t>Övriga Aktiebolag</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54657-2023</t>
        </is>
      </c>
      <c r="B3686" s="1" t="n">
        <v>45235</v>
      </c>
      <c r="C3686" s="1" t="n">
        <v>45757</v>
      </c>
      <c r="D3686" t="inlineStr">
        <is>
          <t>VÄSTMANLANDS LÄN</t>
        </is>
      </c>
      <c r="E3686" t="inlineStr">
        <is>
          <t>KÖPING</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56081-2023</t>
        </is>
      </c>
      <c r="B3687" s="1" t="n">
        <v>45235</v>
      </c>
      <c r="C3687" s="1" t="n">
        <v>45757</v>
      </c>
      <c r="D3687" t="inlineStr">
        <is>
          <t>VÄSTMANLANDS LÄN</t>
        </is>
      </c>
      <c r="E3687" t="inlineStr">
        <is>
          <t>VÄSTERÅS</t>
        </is>
      </c>
      <c r="F3687" t="inlineStr">
        <is>
          <t>Övriga Aktiebolag</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56076-2023</t>
        </is>
      </c>
      <c r="B3688" s="1" t="n">
        <v>45235</v>
      </c>
      <c r="C3688" s="1" t="n">
        <v>45757</v>
      </c>
      <c r="D3688" t="inlineStr">
        <is>
          <t>VÄSTMANLANDS LÄN</t>
        </is>
      </c>
      <c r="E3688" t="inlineStr">
        <is>
          <t>VÄSTERÅS</t>
        </is>
      </c>
      <c r="F3688" t="inlineStr">
        <is>
          <t>Övriga Aktiebolag</t>
        </is>
      </c>
      <c r="G3688" t="n">
        <v>37.8</v>
      </c>
      <c r="H3688" t="n">
        <v>0</v>
      </c>
      <c r="I3688" t="n">
        <v>0</v>
      </c>
      <c r="J3688" t="n">
        <v>0</v>
      </c>
      <c r="K3688" t="n">
        <v>0</v>
      </c>
      <c r="L3688" t="n">
        <v>0</v>
      </c>
      <c r="M3688" t="n">
        <v>0</v>
      </c>
      <c r="N3688" t="n">
        <v>0</v>
      </c>
      <c r="O3688" t="n">
        <v>0</v>
      </c>
      <c r="P3688" t="n">
        <v>0</v>
      </c>
      <c r="Q3688" t="n">
        <v>0</v>
      </c>
      <c r="R3688" s="2" t="inlineStr"/>
    </row>
    <row r="3689" ht="15" customHeight="1">
      <c r="A3689" t="inlineStr">
        <is>
          <t>A 54804-2023</t>
        </is>
      </c>
      <c r="B3689" s="1" t="n">
        <v>45236</v>
      </c>
      <c r="C3689" s="1" t="n">
        <v>45757</v>
      </c>
      <c r="D3689" t="inlineStr">
        <is>
          <t>VÄSTMANLANDS LÄN</t>
        </is>
      </c>
      <c r="E3689" t="inlineStr">
        <is>
          <t>FAGERSTA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56378-2023</t>
        </is>
      </c>
      <c r="B3690" s="1" t="n">
        <v>45236</v>
      </c>
      <c r="C3690" s="1" t="n">
        <v>45757</v>
      </c>
      <c r="D3690" t="inlineStr">
        <is>
          <t>VÄSTMANLANDS LÄN</t>
        </is>
      </c>
      <c r="E3690" t="inlineStr">
        <is>
          <t>SURAHAMMAR</t>
        </is>
      </c>
      <c r="F3690" t="inlineStr">
        <is>
          <t>Bergvik skog väst AB</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55188-2023</t>
        </is>
      </c>
      <c r="B3691" s="1" t="n">
        <v>45237</v>
      </c>
      <c r="C3691" s="1" t="n">
        <v>45757</v>
      </c>
      <c r="D3691" t="inlineStr">
        <is>
          <t>VÄSTMANLANDS LÄN</t>
        </is>
      </c>
      <c r="E3691" t="inlineStr">
        <is>
          <t>VÄSTERÅS</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55181-2023</t>
        </is>
      </c>
      <c r="B3692" s="1" t="n">
        <v>45237</v>
      </c>
      <c r="C3692" s="1" t="n">
        <v>45757</v>
      </c>
      <c r="D3692" t="inlineStr">
        <is>
          <t>VÄSTMANLANDS LÄN</t>
        </is>
      </c>
      <c r="E3692" t="inlineStr">
        <is>
          <t>SKINNSKATTEBERG</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55186-2023</t>
        </is>
      </c>
      <c r="B3693" s="1" t="n">
        <v>45237</v>
      </c>
      <c r="C3693" s="1" t="n">
        <v>45757</v>
      </c>
      <c r="D3693" t="inlineStr">
        <is>
          <t>VÄSTMANLANDS LÄN</t>
        </is>
      </c>
      <c r="E3693" t="inlineStr">
        <is>
          <t>VÄSTERÅS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55229-2023</t>
        </is>
      </c>
      <c r="B3694" s="1" t="n">
        <v>45237</v>
      </c>
      <c r="C3694" s="1" t="n">
        <v>45757</v>
      </c>
      <c r="D3694" t="inlineStr">
        <is>
          <t>VÄSTMANLANDS LÄN</t>
        </is>
      </c>
      <c r="E3694" t="inlineStr">
        <is>
          <t>SKINNSKATTEBERG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55210-2023</t>
        </is>
      </c>
      <c r="B3695" s="1" t="n">
        <v>45237</v>
      </c>
      <c r="C3695" s="1" t="n">
        <v>45757</v>
      </c>
      <c r="D3695" t="inlineStr">
        <is>
          <t>VÄSTMANLANDS LÄN</t>
        </is>
      </c>
      <c r="E3695" t="inlineStr">
        <is>
          <t>SKINNSKATTEBERG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55504-2023</t>
        </is>
      </c>
      <c r="B3696" s="1" t="n">
        <v>45238</v>
      </c>
      <c r="C3696" s="1" t="n">
        <v>45757</v>
      </c>
      <c r="D3696" t="inlineStr">
        <is>
          <t>VÄSTMANLANDS LÄN</t>
        </is>
      </c>
      <c r="E3696" t="inlineStr">
        <is>
          <t>SALA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55569-2023</t>
        </is>
      </c>
      <c r="B3697" s="1" t="n">
        <v>45238</v>
      </c>
      <c r="C3697" s="1" t="n">
        <v>45757</v>
      </c>
      <c r="D3697" t="inlineStr">
        <is>
          <t>VÄSTMANLANDS LÄN</t>
        </is>
      </c>
      <c r="E3697" t="inlineStr">
        <is>
          <t>VÄSTERÅS</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55614-2023</t>
        </is>
      </c>
      <c r="B3698" s="1" t="n">
        <v>45238</v>
      </c>
      <c r="C3698" s="1" t="n">
        <v>45757</v>
      </c>
      <c r="D3698" t="inlineStr">
        <is>
          <t>VÄSTMANLANDS LÄN</t>
        </is>
      </c>
      <c r="E3698" t="inlineStr">
        <is>
          <t>ARBOGA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55474-2023</t>
        </is>
      </c>
      <c r="B3699" s="1" t="n">
        <v>45238</v>
      </c>
      <c r="C3699" s="1" t="n">
        <v>45757</v>
      </c>
      <c r="D3699" t="inlineStr">
        <is>
          <t>VÄSTMANLANDS LÄN</t>
        </is>
      </c>
      <c r="E3699" t="inlineStr">
        <is>
          <t>SALA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55677-2023</t>
        </is>
      </c>
      <c r="B3700" s="1" t="n">
        <v>45239</v>
      </c>
      <c r="C3700" s="1" t="n">
        <v>45757</v>
      </c>
      <c r="D3700" t="inlineStr">
        <is>
          <t>VÄSTMANLANDS LÄN</t>
        </is>
      </c>
      <c r="E3700" t="inlineStr">
        <is>
          <t>ARBOGA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55863-2023</t>
        </is>
      </c>
      <c r="B3701" s="1" t="n">
        <v>45239</v>
      </c>
      <c r="C3701" s="1" t="n">
        <v>45757</v>
      </c>
      <c r="D3701" t="inlineStr">
        <is>
          <t>VÄSTMANLANDS LÄN</t>
        </is>
      </c>
      <c r="E3701" t="inlineStr">
        <is>
          <t>VÄSTERÅS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55857-2023</t>
        </is>
      </c>
      <c r="B3702" s="1" t="n">
        <v>45239</v>
      </c>
      <c r="C3702" s="1" t="n">
        <v>45757</v>
      </c>
      <c r="D3702" t="inlineStr">
        <is>
          <t>VÄSTMANLANDS LÄN</t>
        </is>
      </c>
      <c r="E3702" t="inlineStr">
        <is>
          <t>VÄSTERÅS</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56183-2023</t>
        </is>
      </c>
      <c r="B3703" s="1" t="n">
        <v>45240</v>
      </c>
      <c r="C3703" s="1" t="n">
        <v>45757</v>
      </c>
      <c r="D3703" t="inlineStr">
        <is>
          <t>VÄSTMANLANDS LÄN</t>
        </is>
      </c>
      <c r="E3703" t="inlineStr">
        <is>
          <t>SURAHAMMAR</t>
        </is>
      </c>
      <c r="F3703" t="inlineStr">
        <is>
          <t>Allmännings- och besparingsskogar</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56345-2023</t>
        </is>
      </c>
      <c r="B3704" s="1" t="n">
        <v>45243</v>
      </c>
      <c r="C3704" s="1" t="n">
        <v>45757</v>
      </c>
      <c r="D3704" t="inlineStr">
        <is>
          <t>VÄSTMANLANDS LÄN</t>
        </is>
      </c>
      <c r="E3704" t="inlineStr">
        <is>
          <t>ARBOGA</t>
        </is>
      </c>
      <c r="F3704" t="inlineStr">
        <is>
          <t>Kommuner</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56357-2023</t>
        </is>
      </c>
      <c r="B3705" s="1" t="n">
        <v>45243</v>
      </c>
      <c r="C3705" s="1" t="n">
        <v>45757</v>
      </c>
      <c r="D3705" t="inlineStr">
        <is>
          <t>VÄSTMANLANDS LÄN</t>
        </is>
      </c>
      <c r="E3705" t="inlineStr">
        <is>
          <t>SKINNSKATTEBERG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56921-2023</t>
        </is>
      </c>
      <c r="B3706" s="1" t="n">
        <v>45244</v>
      </c>
      <c r="C3706" s="1" t="n">
        <v>45757</v>
      </c>
      <c r="D3706" t="inlineStr">
        <is>
          <t>VÄSTMANLANDS LÄN</t>
        </is>
      </c>
      <c r="E3706" t="inlineStr">
        <is>
          <t>SKINNSKATTEBERG</t>
        </is>
      </c>
      <c r="F3706" t="inlineStr">
        <is>
          <t>Kyrkan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56956-2023</t>
        </is>
      </c>
      <c r="B3707" s="1" t="n">
        <v>45244</v>
      </c>
      <c r="C3707" s="1" t="n">
        <v>45757</v>
      </c>
      <c r="D3707" t="inlineStr">
        <is>
          <t>VÄSTMANLANDS LÄN</t>
        </is>
      </c>
      <c r="E3707" t="inlineStr">
        <is>
          <t>SALA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56949-2023</t>
        </is>
      </c>
      <c r="B3708" s="1" t="n">
        <v>45244</v>
      </c>
      <c r="C3708" s="1" t="n">
        <v>45757</v>
      </c>
      <c r="D3708" t="inlineStr">
        <is>
          <t>VÄSTMANLANDS LÄN</t>
        </is>
      </c>
      <c r="E3708" t="inlineStr">
        <is>
          <t>SALA</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56964-2023</t>
        </is>
      </c>
      <c r="B3709" s="1" t="n">
        <v>45244</v>
      </c>
      <c r="C3709" s="1" t="n">
        <v>45757</v>
      </c>
      <c r="D3709" t="inlineStr">
        <is>
          <t>VÄSTMANLANDS LÄN</t>
        </is>
      </c>
      <c r="E3709" t="inlineStr">
        <is>
          <t>SALA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56990-2023</t>
        </is>
      </c>
      <c r="B3710" s="1" t="n">
        <v>45244</v>
      </c>
      <c r="C3710" s="1" t="n">
        <v>45757</v>
      </c>
      <c r="D3710" t="inlineStr">
        <is>
          <t>VÄSTMANLANDS LÄN</t>
        </is>
      </c>
      <c r="E3710" t="inlineStr">
        <is>
          <t>SKINNSKATTEBERG</t>
        </is>
      </c>
      <c r="F3710" t="inlineStr">
        <is>
          <t>Sveaskog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56992-2023</t>
        </is>
      </c>
      <c r="B3711" s="1" t="n">
        <v>45244</v>
      </c>
      <c r="C3711" s="1" t="n">
        <v>45757</v>
      </c>
      <c r="D3711" t="inlineStr">
        <is>
          <t>VÄSTMANLANDS LÄN</t>
        </is>
      </c>
      <c r="E3711" t="inlineStr">
        <is>
          <t>SKINNSKATTEBERG</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57343-2023</t>
        </is>
      </c>
      <c r="B3712" s="1" t="n">
        <v>45245</v>
      </c>
      <c r="C3712" s="1" t="n">
        <v>45757</v>
      </c>
      <c r="D3712" t="inlineStr">
        <is>
          <t>VÄSTMANLANDS LÄN</t>
        </is>
      </c>
      <c r="E3712" t="inlineStr">
        <is>
          <t>SKINNSKATTEBERG</t>
        </is>
      </c>
      <c r="F3712" t="inlineStr">
        <is>
          <t>Sveaskog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57372-2023</t>
        </is>
      </c>
      <c r="B3713" s="1" t="n">
        <v>45245</v>
      </c>
      <c r="C3713" s="1" t="n">
        <v>45757</v>
      </c>
      <c r="D3713" t="inlineStr">
        <is>
          <t>VÄSTMANLANDS LÄN</t>
        </is>
      </c>
      <c r="E3713" t="inlineStr">
        <is>
          <t>KÖPING</t>
        </is>
      </c>
      <c r="F3713" t="inlineStr">
        <is>
          <t>Sveaskog</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57747-2023</t>
        </is>
      </c>
      <c r="B3714" s="1" t="n">
        <v>45246</v>
      </c>
      <c r="C3714" s="1" t="n">
        <v>45757</v>
      </c>
      <c r="D3714" t="inlineStr">
        <is>
          <t>VÄSTMANLANDS LÄN</t>
        </is>
      </c>
      <c r="E3714" t="inlineStr">
        <is>
          <t>SKINNSKATTEBERG</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57855-2023</t>
        </is>
      </c>
      <c r="B3715" s="1" t="n">
        <v>45247</v>
      </c>
      <c r="C3715" s="1" t="n">
        <v>45757</v>
      </c>
      <c r="D3715" t="inlineStr">
        <is>
          <t>VÄSTMANLANDS LÄN</t>
        </is>
      </c>
      <c r="E3715" t="inlineStr">
        <is>
          <t>FAGERSTA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57983-2023</t>
        </is>
      </c>
      <c r="B3716" s="1" t="n">
        <v>45247</v>
      </c>
      <c r="C3716" s="1" t="n">
        <v>45757</v>
      </c>
      <c r="D3716" t="inlineStr">
        <is>
          <t>VÄSTMANLANDS LÄN</t>
        </is>
      </c>
      <c r="E3716" t="inlineStr">
        <is>
          <t>SKINNSKATTEBERG</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57981-2023</t>
        </is>
      </c>
      <c r="B3717" s="1" t="n">
        <v>45247</v>
      </c>
      <c r="C3717" s="1" t="n">
        <v>45757</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57986-2023</t>
        </is>
      </c>
      <c r="B3718" s="1" t="n">
        <v>45247</v>
      </c>
      <c r="C3718" s="1" t="n">
        <v>45757</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57984-2023</t>
        </is>
      </c>
      <c r="B3719" s="1" t="n">
        <v>45247</v>
      </c>
      <c r="C3719" s="1" t="n">
        <v>45757</v>
      </c>
      <c r="D3719" t="inlineStr">
        <is>
          <t>VÄSTMANLANDS LÄN</t>
        </is>
      </c>
      <c r="E3719" t="inlineStr">
        <is>
          <t>SKINNSKATTEBERG</t>
        </is>
      </c>
      <c r="F3719" t="inlineStr">
        <is>
          <t>Sveaskog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58028-2023</t>
        </is>
      </c>
      <c r="B3720" s="1" t="n">
        <v>45247</v>
      </c>
      <c r="C3720" s="1" t="n">
        <v>45757</v>
      </c>
      <c r="D3720" t="inlineStr">
        <is>
          <t>VÄSTMANLANDS LÄN</t>
        </is>
      </c>
      <c r="E3720" t="inlineStr">
        <is>
          <t>SALA</t>
        </is>
      </c>
      <c r="G3720" t="n">
        <v>19.6</v>
      </c>
      <c r="H3720" t="n">
        <v>0</v>
      </c>
      <c r="I3720" t="n">
        <v>0</v>
      </c>
      <c r="J3720" t="n">
        <v>0</v>
      </c>
      <c r="K3720" t="n">
        <v>0</v>
      </c>
      <c r="L3720" t="n">
        <v>0</v>
      </c>
      <c r="M3720" t="n">
        <v>0</v>
      </c>
      <c r="N3720" t="n">
        <v>0</v>
      </c>
      <c r="O3720" t="n">
        <v>0</v>
      </c>
      <c r="P3720" t="n">
        <v>0</v>
      </c>
      <c r="Q3720" t="n">
        <v>0</v>
      </c>
      <c r="R3720" s="2" t="inlineStr"/>
    </row>
    <row r="3721" ht="15" customHeight="1">
      <c r="A3721" t="inlineStr">
        <is>
          <t>A 58113-2023</t>
        </is>
      </c>
      <c r="B3721" s="1" t="n">
        <v>45249</v>
      </c>
      <c r="C3721" s="1" t="n">
        <v>45757</v>
      </c>
      <c r="D3721" t="inlineStr">
        <is>
          <t>VÄSTMANLANDS LÄN</t>
        </is>
      </c>
      <c r="E3721" t="inlineStr">
        <is>
          <t>SALA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58233-2023</t>
        </is>
      </c>
      <c r="B3722" s="1" t="n">
        <v>45250</v>
      </c>
      <c r="C3722" s="1" t="n">
        <v>45757</v>
      </c>
      <c r="D3722" t="inlineStr">
        <is>
          <t>VÄSTMANLANDS LÄN</t>
        </is>
      </c>
      <c r="E3722" t="inlineStr">
        <is>
          <t>NORBERG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58238-2023</t>
        </is>
      </c>
      <c r="B3723" s="1" t="n">
        <v>45250</v>
      </c>
      <c r="C3723" s="1" t="n">
        <v>45757</v>
      </c>
      <c r="D3723" t="inlineStr">
        <is>
          <t>VÄSTMANLANDS LÄN</t>
        </is>
      </c>
      <c r="E3723" t="inlineStr">
        <is>
          <t>NORBERG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58317-2023</t>
        </is>
      </c>
      <c r="B3724" s="1" t="n">
        <v>45250</v>
      </c>
      <c r="C3724" s="1" t="n">
        <v>45757</v>
      </c>
      <c r="D3724" t="inlineStr">
        <is>
          <t>VÄSTMANLANDS LÄN</t>
        </is>
      </c>
      <c r="E3724" t="inlineStr">
        <is>
          <t>SKINNSKATTEBERG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58246-2023</t>
        </is>
      </c>
      <c r="B3725" s="1" t="n">
        <v>45250</v>
      </c>
      <c r="C3725" s="1" t="n">
        <v>45757</v>
      </c>
      <c r="D3725" t="inlineStr">
        <is>
          <t>VÄSTMANLANDS LÄN</t>
        </is>
      </c>
      <c r="E3725" t="inlineStr">
        <is>
          <t>SKINNSKATTEBERG</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58338-2023</t>
        </is>
      </c>
      <c r="B3726" s="1" t="n">
        <v>45250</v>
      </c>
      <c r="C3726" s="1" t="n">
        <v>45757</v>
      </c>
      <c r="D3726" t="inlineStr">
        <is>
          <t>VÄSTMANLANDS LÄN</t>
        </is>
      </c>
      <c r="E3726" t="inlineStr">
        <is>
          <t>SURAHAMMAR</t>
        </is>
      </c>
      <c r="F3726" t="inlineStr">
        <is>
          <t>Allmännings- och besparingsskogar</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58271-2023</t>
        </is>
      </c>
      <c r="B3727" s="1" t="n">
        <v>45250</v>
      </c>
      <c r="C3727" s="1" t="n">
        <v>45757</v>
      </c>
      <c r="D3727" t="inlineStr">
        <is>
          <t>VÄSTMANLANDS LÄN</t>
        </is>
      </c>
      <c r="E3727" t="inlineStr">
        <is>
          <t>SALA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58356-2023</t>
        </is>
      </c>
      <c r="B3728" s="1" t="n">
        <v>45250</v>
      </c>
      <c r="C3728" s="1" t="n">
        <v>45757</v>
      </c>
      <c r="D3728" t="inlineStr">
        <is>
          <t>VÄSTMANLANDS LÄN</t>
        </is>
      </c>
      <c r="E3728" t="inlineStr">
        <is>
          <t>SURAHAMMAR</t>
        </is>
      </c>
      <c r="F3728" t="inlineStr">
        <is>
          <t>Allmännings- och besparingsskogar</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58577-2023</t>
        </is>
      </c>
      <c r="B3729" s="1" t="n">
        <v>45251</v>
      </c>
      <c r="C3729" s="1" t="n">
        <v>45757</v>
      </c>
      <c r="D3729" t="inlineStr">
        <is>
          <t>VÄSTMANLANDS LÄN</t>
        </is>
      </c>
      <c r="E3729" t="inlineStr">
        <is>
          <t>VÄSTERÅS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58728-2023</t>
        </is>
      </c>
      <c r="B3730" s="1" t="n">
        <v>45251</v>
      </c>
      <c r="C3730" s="1" t="n">
        <v>45757</v>
      </c>
      <c r="D3730" t="inlineStr">
        <is>
          <t>VÄSTMANLANDS LÄN</t>
        </is>
      </c>
      <c r="E3730" t="inlineStr">
        <is>
          <t>KÖPING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58970-2023</t>
        </is>
      </c>
      <c r="B3731" s="1" t="n">
        <v>45252</v>
      </c>
      <c r="C3731" s="1" t="n">
        <v>45757</v>
      </c>
      <c r="D3731" t="inlineStr">
        <is>
          <t>VÄSTMANLANDS LÄN</t>
        </is>
      </c>
      <c r="E3731" t="inlineStr">
        <is>
          <t>SKINNSKATTEBERG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58975-2023</t>
        </is>
      </c>
      <c r="B3732" s="1" t="n">
        <v>45252</v>
      </c>
      <c r="C3732" s="1" t="n">
        <v>45757</v>
      </c>
      <c r="D3732" t="inlineStr">
        <is>
          <t>VÄSTMANLANDS LÄN</t>
        </is>
      </c>
      <c r="E3732" t="inlineStr">
        <is>
          <t>SKINNSKATTEBERG</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58979-2023</t>
        </is>
      </c>
      <c r="B3733" s="1" t="n">
        <v>45252</v>
      </c>
      <c r="C3733" s="1" t="n">
        <v>45757</v>
      </c>
      <c r="D3733" t="inlineStr">
        <is>
          <t>VÄSTMANLANDS LÄN</t>
        </is>
      </c>
      <c r="E3733" t="inlineStr">
        <is>
          <t>SKINNSKATTEBERG</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58920-2023</t>
        </is>
      </c>
      <c r="B3734" s="1" t="n">
        <v>45252</v>
      </c>
      <c r="C3734" s="1" t="n">
        <v>45757</v>
      </c>
      <c r="D3734" t="inlineStr">
        <is>
          <t>VÄSTMANLANDS LÄN</t>
        </is>
      </c>
      <c r="E3734" t="inlineStr">
        <is>
          <t>SALA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58973-2023</t>
        </is>
      </c>
      <c r="B3735" s="1" t="n">
        <v>45252</v>
      </c>
      <c r="C3735" s="1" t="n">
        <v>45757</v>
      </c>
      <c r="D3735" t="inlineStr">
        <is>
          <t>VÄSTMANLANDS LÄN</t>
        </is>
      </c>
      <c r="E3735" t="inlineStr">
        <is>
          <t>SKINNSKATTEBERG</t>
        </is>
      </c>
      <c r="F3735" t="inlineStr">
        <is>
          <t>Sveaskog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58978-2023</t>
        </is>
      </c>
      <c r="B3736" s="1" t="n">
        <v>45252</v>
      </c>
      <c r="C3736" s="1" t="n">
        <v>45757</v>
      </c>
      <c r="D3736" t="inlineStr">
        <is>
          <t>VÄSTMANLANDS LÄN</t>
        </is>
      </c>
      <c r="E3736" t="inlineStr">
        <is>
          <t>SKINNSKATTEBERG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58987-2023</t>
        </is>
      </c>
      <c r="B3737" s="1" t="n">
        <v>45252</v>
      </c>
      <c r="C3737" s="1" t="n">
        <v>45757</v>
      </c>
      <c r="D3737" t="inlineStr">
        <is>
          <t>VÄSTMANLANDS LÄN</t>
        </is>
      </c>
      <c r="E3737" t="inlineStr">
        <is>
          <t>SKINNSKATTEBERG</t>
        </is>
      </c>
      <c r="F3737" t="inlineStr">
        <is>
          <t>Sveaskog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58823-2023</t>
        </is>
      </c>
      <c r="B3738" s="1" t="n">
        <v>45252</v>
      </c>
      <c r="C3738" s="1" t="n">
        <v>45757</v>
      </c>
      <c r="D3738" t="inlineStr">
        <is>
          <t>VÄSTMANLANDS LÄN</t>
        </is>
      </c>
      <c r="E3738" t="inlineStr">
        <is>
          <t>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59337-2023</t>
        </is>
      </c>
      <c r="B3739" s="1" t="n">
        <v>45252</v>
      </c>
      <c r="C3739" s="1" t="n">
        <v>45757</v>
      </c>
      <c r="D3739" t="inlineStr">
        <is>
          <t>VÄSTMANLANDS LÄN</t>
        </is>
      </c>
      <c r="E3739" t="inlineStr">
        <is>
          <t>SKINNSKATTEBERG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59270-2023</t>
        </is>
      </c>
      <c r="B3740" s="1" t="n">
        <v>45253</v>
      </c>
      <c r="C3740" s="1" t="n">
        <v>45757</v>
      </c>
      <c r="D3740" t="inlineStr">
        <is>
          <t>VÄSTMANLANDS LÄN</t>
        </is>
      </c>
      <c r="E3740" t="inlineStr">
        <is>
          <t>ARBOGA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59297-2023</t>
        </is>
      </c>
      <c r="B3741" s="1" t="n">
        <v>45253</v>
      </c>
      <c r="C3741" s="1" t="n">
        <v>45757</v>
      </c>
      <c r="D3741" t="inlineStr">
        <is>
          <t>VÄSTMANLANDS LÄN</t>
        </is>
      </c>
      <c r="E3741" t="inlineStr">
        <is>
          <t>SALA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59317-2023</t>
        </is>
      </c>
      <c r="B3742" s="1" t="n">
        <v>45253</v>
      </c>
      <c r="C3742" s="1" t="n">
        <v>45757</v>
      </c>
      <c r="D3742" t="inlineStr">
        <is>
          <t>VÄSTMANLANDS LÄN</t>
        </is>
      </c>
      <c r="E3742" t="inlineStr">
        <is>
          <t>SURAHAMMAR</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59765-2023</t>
        </is>
      </c>
      <c r="B3743" s="1" t="n">
        <v>45257</v>
      </c>
      <c r="C3743" s="1" t="n">
        <v>45757</v>
      </c>
      <c r="D3743" t="inlineStr">
        <is>
          <t>VÄSTMANLANDS LÄN</t>
        </is>
      </c>
      <c r="E3743" t="inlineStr">
        <is>
          <t>VÄSTERÅS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59805-2023</t>
        </is>
      </c>
      <c r="B3744" s="1" t="n">
        <v>45257</v>
      </c>
      <c r="C3744" s="1" t="n">
        <v>45757</v>
      </c>
      <c r="D3744" t="inlineStr">
        <is>
          <t>VÄSTMANLANDS LÄN</t>
        </is>
      </c>
      <c r="E3744" t="inlineStr">
        <is>
          <t>FAGERSTA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59713-2023</t>
        </is>
      </c>
      <c r="B3745" s="1" t="n">
        <v>45257</v>
      </c>
      <c r="C3745" s="1" t="n">
        <v>45757</v>
      </c>
      <c r="D3745" t="inlineStr">
        <is>
          <t>VÄSTMANLANDS LÄN</t>
        </is>
      </c>
      <c r="E3745" t="inlineStr">
        <is>
          <t>SALA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59717-2023</t>
        </is>
      </c>
      <c r="B3746" s="1" t="n">
        <v>45257</v>
      </c>
      <c r="C3746" s="1" t="n">
        <v>45757</v>
      </c>
      <c r="D3746" t="inlineStr">
        <is>
          <t>VÄSTMANLANDS LÄN</t>
        </is>
      </c>
      <c r="E3746" t="inlineStr">
        <is>
          <t>SKINNSKATTEBERG</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59785-2023</t>
        </is>
      </c>
      <c r="B3747" s="1" t="n">
        <v>45257</v>
      </c>
      <c r="C3747" s="1" t="n">
        <v>45757</v>
      </c>
      <c r="D3747" t="inlineStr">
        <is>
          <t>VÄSTMANLANDS LÄN</t>
        </is>
      </c>
      <c r="E3747" t="inlineStr">
        <is>
          <t>SALA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60367-2023</t>
        </is>
      </c>
      <c r="B3748" s="1" t="n">
        <v>45257</v>
      </c>
      <c r="C3748" s="1" t="n">
        <v>45757</v>
      </c>
      <c r="D3748" t="inlineStr">
        <is>
          <t>VÄSTMANLANDS LÄN</t>
        </is>
      </c>
      <c r="E3748" t="inlineStr">
        <is>
          <t>KÖPING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60206-2023</t>
        </is>
      </c>
      <c r="B3749" s="1" t="n">
        <v>45258</v>
      </c>
      <c r="C3749" s="1" t="n">
        <v>45757</v>
      </c>
      <c r="D3749" t="inlineStr">
        <is>
          <t>VÄSTMANLANDS LÄN</t>
        </is>
      </c>
      <c r="E3749" t="inlineStr">
        <is>
          <t>KÖPING</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60249-2023</t>
        </is>
      </c>
      <c r="B3750" s="1" t="n">
        <v>45258</v>
      </c>
      <c r="C3750" s="1" t="n">
        <v>45757</v>
      </c>
      <c r="D3750" t="inlineStr">
        <is>
          <t>VÄSTMANLANDS LÄN</t>
        </is>
      </c>
      <c r="E3750" t="inlineStr">
        <is>
          <t>SALA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60731-2023</t>
        </is>
      </c>
      <c r="B3751" s="1" t="n">
        <v>45260</v>
      </c>
      <c r="C3751" s="1" t="n">
        <v>45757</v>
      </c>
      <c r="D3751" t="inlineStr">
        <is>
          <t>VÄSTMANLANDS LÄN</t>
        </is>
      </c>
      <c r="E3751" t="inlineStr">
        <is>
          <t>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60730-2023</t>
        </is>
      </c>
      <c r="B3752" s="1" t="n">
        <v>45260</v>
      </c>
      <c r="C3752" s="1" t="n">
        <v>45757</v>
      </c>
      <c r="D3752" t="inlineStr">
        <is>
          <t>VÄSTMANLANDS LÄN</t>
        </is>
      </c>
      <c r="E3752" t="inlineStr">
        <is>
          <t>SALA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60925-2023</t>
        </is>
      </c>
      <c r="B3753" s="1" t="n">
        <v>45261</v>
      </c>
      <c r="C3753" s="1" t="n">
        <v>45757</v>
      </c>
      <c r="D3753" t="inlineStr">
        <is>
          <t>VÄSTMANLANDS LÄN</t>
        </is>
      </c>
      <c r="E3753" t="inlineStr">
        <is>
          <t>VÄSTERÅS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60991-2023</t>
        </is>
      </c>
      <c r="B3754" s="1" t="n">
        <v>45261</v>
      </c>
      <c r="C3754" s="1" t="n">
        <v>45757</v>
      </c>
      <c r="D3754" t="inlineStr">
        <is>
          <t>VÄSTMANLANDS LÄN</t>
        </is>
      </c>
      <c r="E3754" t="inlineStr">
        <is>
          <t>KÖPING</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61047-2023</t>
        </is>
      </c>
      <c r="B3755" s="1" t="n">
        <v>45261</v>
      </c>
      <c r="C3755" s="1" t="n">
        <v>45757</v>
      </c>
      <c r="D3755" t="inlineStr">
        <is>
          <t>VÄSTMANLANDS LÄN</t>
        </is>
      </c>
      <c r="E3755" t="inlineStr">
        <is>
          <t>KÖPING</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61547-2023</t>
        </is>
      </c>
      <c r="B3756" s="1" t="n">
        <v>45261</v>
      </c>
      <c r="C3756" s="1" t="n">
        <v>45757</v>
      </c>
      <c r="D3756" t="inlineStr">
        <is>
          <t>VÄSTMANLANDS LÄN</t>
        </is>
      </c>
      <c r="E3756" t="inlineStr">
        <is>
          <t>VÄSTERÅS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61339-2023</t>
        </is>
      </c>
      <c r="B3757" s="1" t="n">
        <v>45264</v>
      </c>
      <c r="C3757" s="1" t="n">
        <v>45757</v>
      </c>
      <c r="D3757" t="inlineStr">
        <is>
          <t>VÄSTMANLANDS LÄN</t>
        </is>
      </c>
      <c r="E3757" t="inlineStr">
        <is>
          <t>KÖPING</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61358-2023</t>
        </is>
      </c>
      <c r="B3758" s="1" t="n">
        <v>45264</v>
      </c>
      <c r="C3758" s="1" t="n">
        <v>45757</v>
      </c>
      <c r="D3758" t="inlineStr">
        <is>
          <t>VÄSTMANLANDS LÄN</t>
        </is>
      </c>
      <c r="E3758" t="inlineStr">
        <is>
          <t>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61322-2023</t>
        </is>
      </c>
      <c r="B3759" s="1" t="n">
        <v>45264</v>
      </c>
      <c r="C3759" s="1" t="n">
        <v>45757</v>
      </c>
      <c r="D3759" t="inlineStr">
        <is>
          <t>VÄSTMANLANDS LÄN</t>
        </is>
      </c>
      <c r="E3759" t="inlineStr">
        <is>
          <t>KÖPING</t>
        </is>
      </c>
      <c r="G3759" t="n">
        <v>17.5</v>
      </c>
      <c r="H3759" t="n">
        <v>0</v>
      </c>
      <c r="I3759" t="n">
        <v>0</v>
      </c>
      <c r="J3759" t="n">
        <v>0</v>
      </c>
      <c r="K3759" t="n">
        <v>0</v>
      </c>
      <c r="L3759" t="n">
        <v>0</v>
      </c>
      <c r="M3759" t="n">
        <v>0</v>
      </c>
      <c r="N3759" t="n">
        <v>0</v>
      </c>
      <c r="O3759" t="n">
        <v>0</v>
      </c>
      <c r="P3759" t="n">
        <v>0</v>
      </c>
      <c r="Q3759" t="n">
        <v>0</v>
      </c>
      <c r="R3759" s="2" t="inlineStr"/>
    </row>
    <row r="3760" ht="15" customHeight="1">
      <c r="A3760" t="inlineStr">
        <is>
          <t>A 61353-2023</t>
        </is>
      </c>
      <c r="B3760" s="1" t="n">
        <v>45264</v>
      </c>
      <c r="C3760" s="1" t="n">
        <v>45757</v>
      </c>
      <c r="D3760" t="inlineStr">
        <is>
          <t>VÄSTMANLANDS LÄN</t>
        </is>
      </c>
      <c r="E3760" t="inlineStr">
        <is>
          <t>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61375-2023</t>
        </is>
      </c>
      <c r="B3761" s="1" t="n">
        <v>45264</v>
      </c>
      <c r="C3761" s="1" t="n">
        <v>45757</v>
      </c>
      <c r="D3761" t="inlineStr">
        <is>
          <t>VÄSTMANLANDS LÄN</t>
        </is>
      </c>
      <c r="E3761" t="inlineStr">
        <is>
          <t>ARBOGA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61300-2023</t>
        </is>
      </c>
      <c r="B3762" s="1" t="n">
        <v>45264</v>
      </c>
      <c r="C3762" s="1" t="n">
        <v>45757</v>
      </c>
      <c r="D3762" t="inlineStr">
        <is>
          <t>VÄSTMANLANDS LÄN</t>
        </is>
      </c>
      <c r="E3762" t="inlineStr">
        <is>
          <t>ARBOGA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61328-2023</t>
        </is>
      </c>
      <c r="B3763" s="1" t="n">
        <v>45264</v>
      </c>
      <c r="C3763" s="1" t="n">
        <v>45757</v>
      </c>
      <c r="D3763" t="inlineStr">
        <is>
          <t>VÄSTMANLANDS LÄN</t>
        </is>
      </c>
      <c r="E3763" t="inlineStr">
        <is>
          <t>ARBOGA</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61388-2023</t>
        </is>
      </c>
      <c r="B3764" s="1" t="n">
        <v>45264</v>
      </c>
      <c r="C3764" s="1" t="n">
        <v>45757</v>
      </c>
      <c r="D3764" t="inlineStr">
        <is>
          <t>VÄSTMANLANDS LÄN</t>
        </is>
      </c>
      <c r="E3764" t="inlineStr">
        <is>
          <t>ARBOGA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61394-2023</t>
        </is>
      </c>
      <c r="B3765" s="1" t="n">
        <v>45264</v>
      </c>
      <c r="C3765" s="1" t="n">
        <v>45757</v>
      </c>
      <c r="D3765" t="inlineStr">
        <is>
          <t>VÄSTMANLANDS LÄN</t>
        </is>
      </c>
      <c r="E3765" t="inlineStr">
        <is>
          <t>ARBOGA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61258-2023</t>
        </is>
      </c>
      <c r="B3766" s="1" t="n">
        <v>45264</v>
      </c>
      <c r="C3766" s="1" t="n">
        <v>45757</v>
      </c>
      <c r="D3766" t="inlineStr">
        <is>
          <t>VÄSTMANLANDS LÄN</t>
        </is>
      </c>
      <c r="E3766" t="inlineStr">
        <is>
          <t>VÄSTERÅS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61320-2023</t>
        </is>
      </c>
      <c r="B3767" s="1" t="n">
        <v>45264</v>
      </c>
      <c r="C3767" s="1" t="n">
        <v>45757</v>
      </c>
      <c r="D3767" t="inlineStr">
        <is>
          <t>VÄSTMANLANDS LÄN</t>
        </is>
      </c>
      <c r="E3767" t="inlineStr">
        <is>
          <t>ARBOGA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61424-2023</t>
        </is>
      </c>
      <c r="B3768" s="1" t="n">
        <v>45264</v>
      </c>
      <c r="C3768" s="1" t="n">
        <v>45757</v>
      </c>
      <c r="D3768" t="inlineStr">
        <is>
          <t>VÄSTMANLANDS LÄN</t>
        </is>
      </c>
      <c r="E3768" t="inlineStr">
        <is>
          <t>SKINNSKATTEBERG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61525-2023</t>
        </is>
      </c>
      <c r="B3769" s="1" t="n">
        <v>45265</v>
      </c>
      <c r="C3769" s="1" t="n">
        <v>45757</v>
      </c>
      <c r="D3769" t="inlineStr">
        <is>
          <t>VÄSTMANLANDS LÄN</t>
        </is>
      </c>
      <c r="E3769" t="inlineStr">
        <is>
          <t>SALA</t>
        </is>
      </c>
      <c r="G3769" t="n">
        <v>1.6</v>
      </c>
      <c r="H3769" t="n">
        <v>0</v>
      </c>
      <c r="I3769" t="n">
        <v>0</v>
      </c>
      <c r="J3769" t="n">
        <v>0</v>
      </c>
      <c r="K3769" t="n">
        <v>0</v>
      </c>
      <c r="L3769" t="n">
        <v>0</v>
      </c>
      <c r="M3769" t="n">
        <v>0</v>
      </c>
      <c r="N3769" t="n">
        <v>0</v>
      </c>
      <c r="O3769" t="n">
        <v>0</v>
      </c>
      <c r="P3769" t="n">
        <v>0</v>
      </c>
      <c r="Q3769" t="n">
        <v>0</v>
      </c>
      <c r="R3769" s="2" t="inlineStr"/>
      <c r="U3769">
        <f>HYPERLINK("https://klasma.github.io/Logging_1981/knärot/A 61525-2023 karta knärot.png", "A 61525-2023")</f>
        <v/>
      </c>
      <c r="V3769">
        <f>HYPERLINK("https://klasma.github.io/Logging_1981/klagomål/A 61525-2023 FSC-klagomål.docx", "A 61525-2023")</f>
        <v/>
      </c>
      <c r="W3769">
        <f>HYPERLINK("https://klasma.github.io/Logging_1981/klagomålsmail/A 61525-2023 FSC-klagomål mail.docx", "A 61525-2023")</f>
        <v/>
      </c>
      <c r="X3769">
        <f>HYPERLINK("https://klasma.github.io/Logging_1981/tillsyn/A 61525-2023 tillsynsbegäran.docx", "A 61525-2023")</f>
        <v/>
      </c>
      <c r="Y3769">
        <f>HYPERLINK("https://klasma.github.io/Logging_1981/tillsynsmail/A 61525-2023 tillsynsbegäran mail.docx", "A 61525-2023")</f>
        <v/>
      </c>
    </row>
    <row r="3770" ht="15" customHeight="1">
      <c r="A3770" t="inlineStr">
        <is>
          <t>A 62318-2023</t>
        </is>
      </c>
      <c r="B3770" s="1" t="n">
        <v>45266</v>
      </c>
      <c r="C3770" s="1" t="n">
        <v>45757</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62477-2023</t>
        </is>
      </c>
      <c r="B3771" s="1" t="n">
        <v>45268</v>
      </c>
      <c r="C3771" s="1" t="n">
        <v>45757</v>
      </c>
      <c r="D3771" t="inlineStr">
        <is>
          <t>VÄSTMANLANDS LÄN</t>
        </is>
      </c>
      <c r="E3771" t="inlineStr">
        <is>
          <t>NORBERG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62487-2023</t>
        </is>
      </c>
      <c r="B3772" s="1" t="n">
        <v>45268</v>
      </c>
      <c r="C3772" s="1" t="n">
        <v>45757</v>
      </c>
      <c r="D3772" t="inlineStr">
        <is>
          <t>VÄSTMANLANDS LÄN</t>
        </is>
      </c>
      <c r="E3772" t="inlineStr">
        <is>
          <t>SKINNSKATTEBERG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62449-2023</t>
        </is>
      </c>
      <c r="B3773" s="1" t="n">
        <v>45268</v>
      </c>
      <c r="C3773" s="1" t="n">
        <v>45757</v>
      </c>
      <c r="D3773" t="inlineStr">
        <is>
          <t>VÄSTMANLANDS LÄN</t>
        </is>
      </c>
      <c r="E3773" t="inlineStr">
        <is>
          <t>SALA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62831-2023</t>
        </is>
      </c>
      <c r="B3774" s="1" t="n">
        <v>45270</v>
      </c>
      <c r="C3774" s="1" t="n">
        <v>45757</v>
      </c>
      <c r="D3774" t="inlineStr">
        <is>
          <t>VÄSTMANLANDS LÄN</t>
        </is>
      </c>
      <c r="E3774" t="inlineStr">
        <is>
          <t>HALLSTAHAMMAR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62842-2023</t>
        </is>
      </c>
      <c r="B3775" s="1" t="n">
        <v>45270</v>
      </c>
      <c r="C3775" s="1" t="n">
        <v>45757</v>
      </c>
      <c r="D3775" t="inlineStr">
        <is>
          <t>VÄSTMANLANDS LÄN</t>
        </is>
      </c>
      <c r="E3775" t="inlineStr">
        <is>
          <t>HALLSTAHAMMAR</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62630-2023</t>
        </is>
      </c>
      <c r="B3776" s="1" t="n">
        <v>45271</v>
      </c>
      <c r="C3776" s="1" t="n">
        <v>45757</v>
      </c>
      <c r="D3776" t="inlineStr">
        <is>
          <t>VÄSTMANLANDS LÄN</t>
        </is>
      </c>
      <c r="E3776" t="inlineStr">
        <is>
          <t>SALA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62871-2023</t>
        </is>
      </c>
      <c r="B3777" s="1" t="n">
        <v>45272</v>
      </c>
      <c r="C3777" s="1" t="n">
        <v>45757</v>
      </c>
      <c r="D3777" t="inlineStr">
        <is>
          <t>VÄSTMANLANDS LÄN</t>
        </is>
      </c>
      <c r="E3777" t="inlineStr">
        <is>
          <t>VÄSTERÅS</t>
        </is>
      </c>
      <c r="F3777" t="inlineStr">
        <is>
          <t>Allmännings- och besparingsskogar</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63109-2023</t>
        </is>
      </c>
      <c r="B3778" s="1" t="n">
        <v>45273</v>
      </c>
      <c r="C3778" s="1" t="n">
        <v>45757</v>
      </c>
      <c r="D3778" t="inlineStr">
        <is>
          <t>VÄSTMANLANDS LÄN</t>
        </is>
      </c>
      <c r="E3778" t="inlineStr">
        <is>
          <t>VÄSTERÅS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63234-2023</t>
        </is>
      </c>
      <c r="B3779" s="1" t="n">
        <v>45273</v>
      </c>
      <c r="C3779" s="1" t="n">
        <v>45757</v>
      </c>
      <c r="D3779" t="inlineStr">
        <is>
          <t>VÄSTMANLANDS LÄN</t>
        </is>
      </c>
      <c r="E3779" t="inlineStr">
        <is>
          <t>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63229-2023</t>
        </is>
      </c>
      <c r="B3780" s="1" t="n">
        <v>45273</v>
      </c>
      <c r="C3780" s="1" t="n">
        <v>45757</v>
      </c>
      <c r="D3780" t="inlineStr">
        <is>
          <t>VÄSTMANLANDS LÄN</t>
        </is>
      </c>
      <c r="E3780" t="inlineStr">
        <is>
          <t>KÖPING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63274-2023</t>
        </is>
      </c>
      <c r="B3781" s="1" t="n">
        <v>45273</v>
      </c>
      <c r="C3781" s="1" t="n">
        <v>45757</v>
      </c>
      <c r="D3781" t="inlineStr">
        <is>
          <t>VÄSTMANLANDS LÄN</t>
        </is>
      </c>
      <c r="E3781" t="inlineStr">
        <is>
          <t>SALA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63236-2023</t>
        </is>
      </c>
      <c r="B3782" s="1" t="n">
        <v>45273</v>
      </c>
      <c r="C3782" s="1" t="n">
        <v>45757</v>
      </c>
      <c r="D3782" t="inlineStr">
        <is>
          <t>VÄSTMANLANDS LÄN</t>
        </is>
      </c>
      <c r="E3782" t="inlineStr">
        <is>
          <t>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63241-2023</t>
        </is>
      </c>
      <c r="B3783" s="1" t="n">
        <v>45273</v>
      </c>
      <c r="C3783" s="1" t="n">
        <v>45757</v>
      </c>
      <c r="D3783" t="inlineStr">
        <is>
          <t>VÄSTMANLANDS LÄN</t>
        </is>
      </c>
      <c r="E3783" t="inlineStr">
        <is>
          <t>KÖPING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63477-2023</t>
        </is>
      </c>
      <c r="B3784" s="1" t="n">
        <v>45274</v>
      </c>
      <c r="C3784" s="1" t="n">
        <v>45757</v>
      </c>
      <c r="D3784" t="inlineStr">
        <is>
          <t>VÄSTMANLANDS LÄN</t>
        </is>
      </c>
      <c r="E3784" t="inlineStr">
        <is>
          <t>VÄSTERÅS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63481-2023</t>
        </is>
      </c>
      <c r="B3785" s="1" t="n">
        <v>45274</v>
      </c>
      <c r="C3785" s="1" t="n">
        <v>45757</v>
      </c>
      <c r="D3785" t="inlineStr">
        <is>
          <t>VÄSTMANLANDS LÄN</t>
        </is>
      </c>
      <c r="E3785" t="inlineStr">
        <is>
          <t>VÄSTERÅS</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63483-2023</t>
        </is>
      </c>
      <c r="B3786" s="1" t="n">
        <v>45274</v>
      </c>
      <c r="C3786" s="1" t="n">
        <v>45757</v>
      </c>
      <c r="D3786" t="inlineStr">
        <is>
          <t>VÄSTMANLANDS LÄN</t>
        </is>
      </c>
      <c r="E3786" t="inlineStr">
        <is>
          <t>VÄSTERÅS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63466-2023</t>
        </is>
      </c>
      <c r="B3787" s="1" t="n">
        <v>45274</v>
      </c>
      <c r="C3787" s="1" t="n">
        <v>45757</v>
      </c>
      <c r="D3787" t="inlineStr">
        <is>
          <t>VÄSTMANLANDS LÄN</t>
        </is>
      </c>
      <c r="E3787" t="inlineStr">
        <is>
          <t>SALA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63473-2023</t>
        </is>
      </c>
      <c r="B3788" s="1" t="n">
        <v>45274</v>
      </c>
      <c r="C3788" s="1" t="n">
        <v>45757</v>
      </c>
      <c r="D3788" t="inlineStr">
        <is>
          <t>VÄSTMANLANDS LÄN</t>
        </is>
      </c>
      <c r="E3788" t="inlineStr">
        <is>
          <t>VÄSTERÅS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63495-2023</t>
        </is>
      </c>
      <c r="B3789" s="1" t="n">
        <v>45274</v>
      </c>
      <c r="C3789" s="1" t="n">
        <v>45757</v>
      </c>
      <c r="D3789" t="inlineStr">
        <is>
          <t>VÄSTMANLANDS LÄN</t>
        </is>
      </c>
      <c r="E3789" t="inlineStr">
        <is>
          <t>NORBERG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63480-2023</t>
        </is>
      </c>
      <c r="B3790" s="1" t="n">
        <v>45274</v>
      </c>
      <c r="C3790" s="1" t="n">
        <v>45757</v>
      </c>
      <c r="D3790" t="inlineStr">
        <is>
          <t>VÄSTMANLANDS LÄN</t>
        </is>
      </c>
      <c r="E3790" t="inlineStr">
        <is>
          <t>FAGERSTA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63505-2023</t>
        </is>
      </c>
      <c r="B3791" s="1" t="n">
        <v>45274</v>
      </c>
      <c r="C3791" s="1" t="n">
        <v>45757</v>
      </c>
      <c r="D3791" t="inlineStr">
        <is>
          <t>VÄSTMANLANDS LÄN</t>
        </is>
      </c>
      <c r="E3791" t="inlineStr">
        <is>
          <t>NORBERG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63564-2023</t>
        </is>
      </c>
      <c r="B3792" s="1" t="n">
        <v>45275</v>
      </c>
      <c r="C3792" s="1" t="n">
        <v>45757</v>
      </c>
      <c r="D3792" t="inlineStr">
        <is>
          <t>VÄSTMANLANDS LÄN</t>
        </is>
      </c>
      <c r="E3792" t="inlineStr">
        <is>
          <t>SALA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63905-2023</t>
        </is>
      </c>
      <c r="B3793" s="1" t="n">
        <v>45278</v>
      </c>
      <c r="C3793" s="1" t="n">
        <v>45757</v>
      </c>
      <c r="D3793" t="inlineStr">
        <is>
          <t>VÄSTMANLANDS LÄN</t>
        </is>
      </c>
      <c r="E3793" t="inlineStr">
        <is>
          <t>SALA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63933-2023</t>
        </is>
      </c>
      <c r="B3794" s="1" t="n">
        <v>45278</v>
      </c>
      <c r="C3794" s="1" t="n">
        <v>45757</v>
      </c>
      <c r="D3794" t="inlineStr">
        <is>
          <t>VÄSTMANLANDS LÄN</t>
        </is>
      </c>
      <c r="E3794" t="inlineStr">
        <is>
          <t>SALA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64001-2023</t>
        </is>
      </c>
      <c r="B3795" s="1" t="n">
        <v>45278</v>
      </c>
      <c r="C3795" s="1" t="n">
        <v>45757</v>
      </c>
      <c r="D3795" t="inlineStr">
        <is>
          <t>VÄSTMANLANDS LÄN</t>
        </is>
      </c>
      <c r="E3795" t="inlineStr">
        <is>
          <t>SKINNSKATTEBERG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63999-2023</t>
        </is>
      </c>
      <c r="B3796" s="1" t="n">
        <v>45278</v>
      </c>
      <c r="C3796" s="1" t="n">
        <v>45757</v>
      </c>
      <c r="D3796" t="inlineStr">
        <is>
          <t>VÄSTMANLANDS LÄN</t>
        </is>
      </c>
      <c r="E3796" t="inlineStr">
        <is>
          <t>SKINNSKATTEBERG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64044-2023</t>
        </is>
      </c>
      <c r="B3797" s="1" t="n">
        <v>45278</v>
      </c>
      <c r="C3797" s="1" t="n">
        <v>45757</v>
      </c>
      <c r="D3797" t="inlineStr">
        <is>
          <t>VÄSTMANLANDS LÄN</t>
        </is>
      </c>
      <c r="E3797" t="inlineStr">
        <is>
          <t>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64109-2023</t>
        </is>
      </c>
      <c r="B3798" s="1" t="n">
        <v>45279</v>
      </c>
      <c r="C3798" s="1" t="n">
        <v>45757</v>
      </c>
      <c r="D3798" t="inlineStr">
        <is>
          <t>VÄSTMANLANDS LÄN</t>
        </is>
      </c>
      <c r="E3798" t="inlineStr">
        <is>
          <t>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64123-2023</t>
        </is>
      </c>
      <c r="B3799" s="1" t="n">
        <v>45279</v>
      </c>
      <c r="C3799" s="1" t="n">
        <v>45757</v>
      </c>
      <c r="D3799" t="inlineStr">
        <is>
          <t>VÄSTMANLANDS LÄN</t>
        </is>
      </c>
      <c r="E3799" t="inlineStr">
        <is>
          <t>SALA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64202-2023</t>
        </is>
      </c>
      <c r="B3800" s="1" t="n">
        <v>45279</v>
      </c>
      <c r="C3800" s="1" t="n">
        <v>45757</v>
      </c>
      <c r="D3800" t="inlineStr">
        <is>
          <t>VÄSTMANLANDS LÄN</t>
        </is>
      </c>
      <c r="E3800" t="inlineStr">
        <is>
          <t>VÄSTERÅS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64201-2023</t>
        </is>
      </c>
      <c r="B3801" s="1" t="n">
        <v>45279</v>
      </c>
      <c r="C3801" s="1" t="n">
        <v>45757</v>
      </c>
      <c r="D3801" t="inlineStr">
        <is>
          <t>VÄSTMANLANDS LÄN</t>
        </is>
      </c>
      <c r="E3801" t="inlineStr">
        <is>
          <t>VÄSTERÅS</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64209-2023</t>
        </is>
      </c>
      <c r="B3802" s="1" t="n">
        <v>45279</v>
      </c>
      <c r="C3802" s="1" t="n">
        <v>45757</v>
      </c>
      <c r="D3802" t="inlineStr">
        <is>
          <t>VÄSTMANLANDS LÄN</t>
        </is>
      </c>
      <c r="E3802" t="inlineStr">
        <is>
          <t>KÖPING</t>
        </is>
      </c>
      <c r="G3802" t="n">
        <v>10.2</v>
      </c>
      <c r="H3802" t="n">
        <v>0</v>
      </c>
      <c r="I3802" t="n">
        <v>0</v>
      </c>
      <c r="J3802" t="n">
        <v>0</v>
      </c>
      <c r="K3802" t="n">
        <v>0</v>
      </c>
      <c r="L3802" t="n">
        <v>0</v>
      </c>
      <c r="M3802" t="n">
        <v>0</v>
      </c>
      <c r="N3802" t="n">
        <v>0</v>
      </c>
      <c r="O3802" t="n">
        <v>0</v>
      </c>
      <c r="P3802" t="n">
        <v>0</v>
      </c>
      <c r="Q3802" t="n">
        <v>0</v>
      </c>
      <c r="R3802" s="2" t="inlineStr"/>
    </row>
    <row r="3803" ht="15" customHeight="1">
      <c r="A3803" t="inlineStr">
        <is>
          <t>A 64176-2023</t>
        </is>
      </c>
      <c r="B3803" s="1" t="n">
        <v>45279</v>
      </c>
      <c r="C3803" s="1" t="n">
        <v>45757</v>
      </c>
      <c r="D3803" t="inlineStr">
        <is>
          <t>VÄSTMANLANDS LÄN</t>
        </is>
      </c>
      <c r="E3803" t="inlineStr">
        <is>
          <t>SKINNSKATTEBERG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64208-2023</t>
        </is>
      </c>
      <c r="B3804" s="1" t="n">
        <v>45279</v>
      </c>
      <c r="C3804" s="1" t="n">
        <v>45757</v>
      </c>
      <c r="D3804" t="inlineStr">
        <is>
          <t>VÄSTMANLANDS LÄN</t>
        </is>
      </c>
      <c r="E3804" t="inlineStr">
        <is>
          <t>VÄSTERÅS</t>
        </is>
      </c>
      <c r="G3804" t="n">
        <v>13.9</v>
      </c>
      <c r="H3804" t="n">
        <v>0</v>
      </c>
      <c r="I3804" t="n">
        <v>0</v>
      </c>
      <c r="J3804" t="n">
        <v>0</v>
      </c>
      <c r="K3804" t="n">
        <v>0</v>
      </c>
      <c r="L3804" t="n">
        <v>0</v>
      </c>
      <c r="M3804" t="n">
        <v>0</v>
      </c>
      <c r="N3804" t="n">
        <v>0</v>
      </c>
      <c r="O3804" t="n">
        <v>0</v>
      </c>
      <c r="P3804" t="n">
        <v>0</v>
      </c>
      <c r="Q3804" t="n">
        <v>0</v>
      </c>
      <c r="R3804" s="2" t="inlineStr"/>
    </row>
    <row r="3805" ht="15" customHeight="1">
      <c r="A3805" t="inlineStr">
        <is>
          <t>A 64207-2023</t>
        </is>
      </c>
      <c r="B3805" s="1" t="n">
        <v>45279</v>
      </c>
      <c r="C3805" s="1" t="n">
        <v>45757</v>
      </c>
      <c r="D3805" t="inlineStr">
        <is>
          <t>VÄSTMANLANDS LÄN</t>
        </is>
      </c>
      <c r="E3805" t="inlineStr">
        <is>
          <t>VÄSTERÅS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64300-2023</t>
        </is>
      </c>
      <c r="B3806" s="1" t="n">
        <v>45280</v>
      </c>
      <c r="C3806" s="1" t="n">
        <v>45757</v>
      </c>
      <c r="D3806" t="inlineStr">
        <is>
          <t>VÄSTMANLANDS LÄN</t>
        </is>
      </c>
      <c r="E3806" t="inlineStr">
        <is>
          <t>ARBOGA</t>
        </is>
      </c>
      <c r="F3806" t="inlineStr">
        <is>
          <t>Kyrkan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64343-2023</t>
        </is>
      </c>
      <c r="B3807" s="1" t="n">
        <v>45280</v>
      </c>
      <c r="C3807" s="1" t="n">
        <v>45757</v>
      </c>
      <c r="D3807" t="inlineStr">
        <is>
          <t>VÄSTMANLANDS LÄN</t>
        </is>
      </c>
      <c r="E3807" t="inlineStr">
        <is>
          <t>SURAHAMMAR</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64448-2023</t>
        </is>
      </c>
      <c r="B3808" s="1" t="n">
        <v>45280</v>
      </c>
      <c r="C3808" s="1" t="n">
        <v>45757</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64714-2023</t>
        </is>
      </c>
      <c r="B3809" s="1" t="n">
        <v>45281</v>
      </c>
      <c r="C3809" s="1" t="n">
        <v>45757</v>
      </c>
      <c r="D3809" t="inlineStr">
        <is>
          <t>VÄSTMANLANDS LÄN</t>
        </is>
      </c>
      <c r="E3809" t="inlineStr">
        <is>
          <t>VÄSTERÅS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64693-2023</t>
        </is>
      </c>
      <c r="B3810" s="1" t="n">
        <v>45281</v>
      </c>
      <c r="C3810" s="1" t="n">
        <v>45757</v>
      </c>
      <c r="D3810" t="inlineStr">
        <is>
          <t>VÄSTMANLANDS LÄN</t>
        </is>
      </c>
      <c r="E3810" t="inlineStr">
        <is>
          <t>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64729-2023</t>
        </is>
      </c>
      <c r="B3811" s="1" t="n">
        <v>45281</v>
      </c>
      <c r="C3811" s="1" t="n">
        <v>45757</v>
      </c>
      <c r="D3811" t="inlineStr">
        <is>
          <t>VÄSTMANLANDS LÄN</t>
        </is>
      </c>
      <c r="E3811" t="inlineStr">
        <is>
          <t>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64724-2023</t>
        </is>
      </c>
      <c r="B3812" s="1" t="n">
        <v>45281</v>
      </c>
      <c r="C3812" s="1" t="n">
        <v>45757</v>
      </c>
      <c r="D3812" t="inlineStr">
        <is>
          <t>VÄSTMANLANDS LÄN</t>
        </is>
      </c>
      <c r="E3812" t="inlineStr">
        <is>
          <t>SALA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64692-2023</t>
        </is>
      </c>
      <c r="B3813" s="1" t="n">
        <v>45281</v>
      </c>
      <c r="C3813" s="1" t="n">
        <v>45757</v>
      </c>
      <c r="D3813" t="inlineStr">
        <is>
          <t>VÄSTMANLANDS LÄN</t>
        </is>
      </c>
      <c r="E3813" t="inlineStr">
        <is>
          <t>SALA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64687-2023</t>
        </is>
      </c>
      <c r="B3814" s="1" t="n">
        <v>45281</v>
      </c>
      <c r="C3814" s="1" t="n">
        <v>45757</v>
      </c>
      <c r="D3814" t="inlineStr">
        <is>
          <t>VÄSTMANLANDS LÄN</t>
        </is>
      </c>
      <c r="E3814" t="inlineStr">
        <is>
          <t>SALA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64695-2023</t>
        </is>
      </c>
      <c r="B3815" s="1" t="n">
        <v>45281</v>
      </c>
      <c r="C3815" s="1" t="n">
        <v>45757</v>
      </c>
      <c r="D3815" t="inlineStr">
        <is>
          <t>VÄSTMANLANDS LÄN</t>
        </is>
      </c>
      <c r="E3815" t="inlineStr">
        <is>
          <t>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64711-2023</t>
        </is>
      </c>
      <c r="B3816" s="1" t="n">
        <v>45281</v>
      </c>
      <c r="C3816" s="1" t="n">
        <v>45757</v>
      </c>
      <c r="D3816" t="inlineStr">
        <is>
          <t>VÄSTMANLANDS LÄN</t>
        </is>
      </c>
      <c r="E3816" t="inlineStr">
        <is>
          <t>VÄSTERÅS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64787-2023</t>
        </is>
      </c>
      <c r="B3817" s="1" t="n">
        <v>45282</v>
      </c>
      <c r="C3817" s="1" t="n">
        <v>45757</v>
      </c>
      <c r="D3817" t="inlineStr">
        <is>
          <t>VÄSTMANLANDS LÄN</t>
        </is>
      </c>
      <c r="E3817" t="inlineStr">
        <is>
          <t>VÄSTERÅS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64793-2023</t>
        </is>
      </c>
      <c r="B3818" s="1" t="n">
        <v>45282</v>
      </c>
      <c r="C3818" s="1" t="n">
        <v>45757</v>
      </c>
      <c r="D3818" t="inlineStr">
        <is>
          <t>VÄSTMANLANDS LÄN</t>
        </is>
      </c>
      <c r="E3818" t="inlineStr">
        <is>
          <t>VÄSTERÅS</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64925-2023</t>
        </is>
      </c>
      <c r="B3819" s="1" t="n">
        <v>45282</v>
      </c>
      <c r="C3819" s="1" t="n">
        <v>45757</v>
      </c>
      <c r="D3819" t="inlineStr">
        <is>
          <t>VÄSTMANLANDS LÄN</t>
        </is>
      </c>
      <c r="E3819" t="inlineStr">
        <is>
          <t>SALA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65255-2023</t>
        </is>
      </c>
      <c r="B3820" s="1" t="n">
        <v>45290</v>
      </c>
      <c r="C3820" s="1" t="n">
        <v>45757</v>
      </c>
      <c r="D3820" t="inlineStr">
        <is>
          <t>VÄSTMANLANDS LÄN</t>
        </is>
      </c>
      <c r="E3820" t="inlineStr">
        <is>
          <t>ARBOGA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7-2024</t>
        </is>
      </c>
      <c r="B3821" s="1" t="n">
        <v>45293</v>
      </c>
      <c r="C3821" s="1" t="n">
        <v>45757</v>
      </c>
      <c r="D3821" t="inlineStr">
        <is>
          <t>VÄSTMANLANDS LÄN</t>
        </is>
      </c>
      <c r="E3821" t="inlineStr">
        <is>
          <t>ARBOGA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30-2024</t>
        </is>
      </c>
      <c r="B3822" s="1" t="n">
        <v>45293</v>
      </c>
      <c r="C3822" s="1" t="n">
        <v>45757</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96-2024</t>
        </is>
      </c>
      <c r="B3823" s="1" t="n">
        <v>45293</v>
      </c>
      <c r="C3823" s="1" t="n">
        <v>45757</v>
      </c>
      <c r="D3823" t="inlineStr">
        <is>
          <t>VÄSTMANLANDS LÄN</t>
        </is>
      </c>
      <c r="E3823" t="inlineStr">
        <is>
          <t>SALA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110-2024</t>
        </is>
      </c>
      <c r="B3824" s="1" t="n">
        <v>45294</v>
      </c>
      <c r="C3824" s="1" t="n">
        <v>45757</v>
      </c>
      <c r="D3824" t="inlineStr">
        <is>
          <t>VÄSTMANLANDS LÄN</t>
        </is>
      </c>
      <c r="E3824" t="inlineStr">
        <is>
          <t>SALA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401-2024</t>
        </is>
      </c>
      <c r="B3825" s="1" t="n">
        <v>45296</v>
      </c>
      <c r="C3825" s="1" t="n">
        <v>45757</v>
      </c>
      <c r="D3825" t="inlineStr">
        <is>
          <t>VÄSTMANLANDS LÄN</t>
        </is>
      </c>
      <c r="E3825" t="inlineStr">
        <is>
          <t>VÄSTERÅS</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456-2024</t>
        </is>
      </c>
      <c r="B3826" s="1" t="n">
        <v>45296</v>
      </c>
      <c r="C3826" s="1" t="n">
        <v>45757</v>
      </c>
      <c r="D3826" t="inlineStr">
        <is>
          <t>VÄSTMANLANDS LÄN</t>
        </is>
      </c>
      <c r="E3826" t="inlineStr">
        <is>
          <t>SALA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493-2024</t>
        </is>
      </c>
      <c r="B3827" s="1" t="n">
        <v>45299</v>
      </c>
      <c r="C3827" s="1" t="n">
        <v>45757</v>
      </c>
      <c r="D3827" t="inlineStr">
        <is>
          <t>VÄSTMANLANDS LÄN</t>
        </is>
      </c>
      <c r="E3827" t="inlineStr">
        <is>
          <t>VÄSTERÅS</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1118-2024</t>
        </is>
      </c>
      <c r="B3828" s="1" t="n">
        <v>45302</v>
      </c>
      <c r="C3828" s="1" t="n">
        <v>45757</v>
      </c>
      <c r="D3828" t="inlineStr">
        <is>
          <t>VÄSTMANLANDS LÄN</t>
        </is>
      </c>
      <c r="E3828" t="inlineStr">
        <is>
          <t>SALA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1316-2024</t>
        </is>
      </c>
      <c r="B3829" s="1" t="n">
        <v>45303</v>
      </c>
      <c r="C3829" s="1" t="n">
        <v>45757</v>
      </c>
      <c r="D3829" t="inlineStr">
        <is>
          <t>VÄSTMANLANDS LÄN</t>
        </is>
      </c>
      <c r="E3829" t="inlineStr">
        <is>
          <t>SURAHAMMAR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1393-2024</t>
        </is>
      </c>
      <c r="B3830" s="1" t="n">
        <v>45303</v>
      </c>
      <c r="C3830" s="1" t="n">
        <v>45757</v>
      </c>
      <c r="D3830" t="inlineStr">
        <is>
          <t>VÄSTMANLANDS LÄN</t>
        </is>
      </c>
      <c r="E3830" t="inlineStr">
        <is>
          <t>KÖPING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1433-2024</t>
        </is>
      </c>
      <c r="B3831" s="1" t="n">
        <v>45303</v>
      </c>
      <c r="C3831" s="1" t="n">
        <v>45757</v>
      </c>
      <c r="D3831" t="inlineStr">
        <is>
          <t>VÄSTMANLANDS LÄN</t>
        </is>
      </c>
      <c r="E3831" t="inlineStr">
        <is>
          <t>VÄSTERÅS</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1435-2024</t>
        </is>
      </c>
      <c r="B3832" s="1" t="n">
        <v>45303</v>
      </c>
      <c r="C3832" s="1" t="n">
        <v>45757</v>
      </c>
      <c r="D3832" t="inlineStr">
        <is>
          <t>VÄSTMANLANDS LÄN</t>
        </is>
      </c>
      <c r="E3832" t="inlineStr">
        <is>
          <t>VÄSTERÅS</t>
        </is>
      </c>
      <c r="G3832" t="n">
        <v>14.5</v>
      </c>
      <c r="H3832" t="n">
        <v>0</v>
      </c>
      <c r="I3832" t="n">
        <v>0</v>
      </c>
      <c r="J3832" t="n">
        <v>0</v>
      </c>
      <c r="K3832" t="n">
        <v>0</v>
      </c>
      <c r="L3832" t="n">
        <v>0</v>
      </c>
      <c r="M3832" t="n">
        <v>0</v>
      </c>
      <c r="N3832" t="n">
        <v>0</v>
      </c>
      <c r="O3832" t="n">
        <v>0</v>
      </c>
      <c r="P3832" t="n">
        <v>0</v>
      </c>
      <c r="Q3832" t="n">
        <v>0</v>
      </c>
      <c r="R3832" s="2" t="inlineStr"/>
    </row>
    <row r="3833" ht="15" customHeight="1">
      <c r="A3833" t="inlineStr">
        <is>
          <t>A 1360-2024</t>
        </is>
      </c>
      <c r="B3833" s="1" t="n">
        <v>45303</v>
      </c>
      <c r="C3833" s="1" t="n">
        <v>45757</v>
      </c>
      <c r="D3833" t="inlineStr">
        <is>
          <t>VÄSTMANLANDS LÄN</t>
        </is>
      </c>
      <c r="E3833" t="inlineStr">
        <is>
          <t>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1555-2024</t>
        </is>
      </c>
      <c r="B3834" s="1" t="n">
        <v>45306</v>
      </c>
      <c r="C3834" s="1" t="n">
        <v>45757</v>
      </c>
      <c r="D3834" t="inlineStr">
        <is>
          <t>VÄSTMANLANDS LÄN</t>
        </is>
      </c>
      <c r="E3834" t="inlineStr">
        <is>
          <t>SALA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1552-2024</t>
        </is>
      </c>
      <c r="B3835" s="1" t="n">
        <v>45306</v>
      </c>
      <c r="C3835" s="1" t="n">
        <v>45757</v>
      </c>
      <c r="D3835" t="inlineStr">
        <is>
          <t>VÄSTMANLANDS LÄN</t>
        </is>
      </c>
      <c r="E3835" t="inlineStr">
        <is>
          <t>SALA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1611-2024</t>
        </is>
      </c>
      <c r="B3836" s="1" t="n">
        <v>45306</v>
      </c>
      <c r="C3836" s="1" t="n">
        <v>45757</v>
      </c>
      <c r="D3836" t="inlineStr">
        <is>
          <t>VÄSTMANLANDS LÄN</t>
        </is>
      </c>
      <c r="E3836" t="inlineStr">
        <is>
          <t>SKINNSKATTEBERG</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1619-2024</t>
        </is>
      </c>
      <c r="B3837" s="1" t="n">
        <v>45306</v>
      </c>
      <c r="C3837" s="1" t="n">
        <v>45757</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1620-2024</t>
        </is>
      </c>
      <c r="B3838" s="1" t="n">
        <v>45306</v>
      </c>
      <c r="C3838" s="1" t="n">
        <v>45757</v>
      </c>
      <c r="D3838" t="inlineStr">
        <is>
          <t>VÄSTMANLANDS LÄN</t>
        </is>
      </c>
      <c r="E3838" t="inlineStr">
        <is>
          <t>SKINNSKATTEBERG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1899-2024</t>
        </is>
      </c>
      <c r="B3839" s="1" t="n">
        <v>45308</v>
      </c>
      <c r="C3839" s="1" t="n">
        <v>45757</v>
      </c>
      <c r="D3839" t="inlineStr">
        <is>
          <t>VÄSTMANLANDS LÄN</t>
        </is>
      </c>
      <c r="E3839" t="inlineStr">
        <is>
          <t>VÄSTERÅS</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2342-2024</t>
        </is>
      </c>
      <c r="B3840" s="1" t="n">
        <v>45310</v>
      </c>
      <c r="C3840" s="1" t="n">
        <v>45757</v>
      </c>
      <c r="D3840" t="inlineStr">
        <is>
          <t>VÄSTMANLANDS LÄN</t>
        </is>
      </c>
      <c r="E3840" t="inlineStr">
        <is>
          <t>VÄSTERÅS</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2392-2024</t>
        </is>
      </c>
      <c r="B3841" s="1" t="n">
        <v>45310</v>
      </c>
      <c r="C3841" s="1" t="n">
        <v>45757</v>
      </c>
      <c r="D3841" t="inlineStr">
        <is>
          <t>VÄSTMANLANDS LÄN</t>
        </is>
      </c>
      <c r="E3841" t="inlineStr">
        <is>
          <t>SALA</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2387-2024</t>
        </is>
      </c>
      <c r="B3842" s="1" t="n">
        <v>45310</v>
      </c>
      <c r="C3842" s="1" t="n">
        <v>45757</v>
      </c>
      <c r="D3842" t="inlineStr">
        <is>
          <t>VÄSTMANLANDS LÄN</t>
        </is>
      </c>
      <c r="E3842" t="inlineStr">
        <is>
          <t>KÖPING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2391-2024</t>
        </is>
      </c>
      <c r="B3843" s="1" t="n">
        <v>45310</v>
      </c>
      <c r="C3843" s="1" t="n">
        <v>45757</v>
      </c>
      <c r="D3843" t="inlineStr">
        <is>
          <t>VÄSTMANLANDS LÄN</t>
        </is>
      </c>
      <c r="E3843" t="inlineStr">
        <is>
          <t>KÖPING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2680-2024</t>
        </is>
      </c>
      <c r="B3844" s="1" t="n">
        <v>45310</v>
      </c>
      <c r="C3844" s="1" t="n">
        <v>45757</v>
      </c>
      <c r="D3844" t="inlineStr">
        <is>
          <t>VÄSTMANLANDS LÄN</t>
        </is>
      </c>
      <c r="E3844" t="inlineStr">
        <is>
          <t>SURAHAMMAR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2660-2024</t>
        </is>
      </c>
      <c r="B3845" s="1" t="n">
        <v>45310</v>
      </c>
      <c r="C3845" s="1" t="n">
        <v>45757</v>
      </c>
      <c r="D3845" t="inlineStr">
        <is>
          <t>VÄSTMANLANDS LÄN</t>
        </is>
      </c>
      <c r="E3845" t="inlineStr">
        <is>
          <t>SURAHAMMAR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2584-2024</t>
        </is>
      </c>
      <c r="B3846" s="1" t="n">
        <v>45313</v>
      </c>
      <c r="C3846" s="1" t="n">
        <v>45757</v>
      </c>
      <c r="D3846" t="inlineStr">
        <is>
          <t>VÄSTMANLANDS LÄN</t>
        </is>
      </c>
      <c r="E3846" t="inlineStr">
        <is>
          <t>KÖPING</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2478-2024</t>
        </is>
      </c>
      <c r="B3847" s="1" t="n">
        <v>45313</v>
      </c>
      <c r="C3847" s="1" t="n">
        <v>45757</v>
      </c>
      <c r="D3847" t="inlineStr">
        <is>
          <t>VÄSTMANLANDS LÄN</t>
        </is>
      </c>
      <c r="E3847" t="inlineStr">
        <is>
          <t>SALA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2599-2024</t>
        </is>
      </c>
      <c r="B3848" s="1" t="n">
        <v>45313</v>
      </c>
      <c r="C3848" s="1" t="n">
        <v>45757</v>
      </c>
      <c r="D3848" t="inlineStr">
        <is>
          <t>VÄSTMANLANDS LÄN</t>
        </is>
      </c>
      <c r="E3848" t="inlineStr">
        <is>
          <t>SALA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2766-2024</t>
        </is>
      </c>
      <c r="B3849" s="1" t="n">
        <v>45314</v>
      </c>
      <c r="C3849" s="1" t="n">
        <v>45757</v>
      </c>
      <c r="D3849" t="inlineStr">
        <is>
          <t>VÄSTMANLANDS LÄN</t>
        </is>
      </c>
      <c r="E3849" t="inlineStr">
        <is>
          <t>SALA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2763-2024</t>
        </is>
      </c>
      <c r="B3850" s="1" t="n">
        <v>45314</v>
      </c>
      <c r="C3850" s="1" t="n">
        <v>45757</v>
      </c>
      <c r="D3850" t="inlineStr">
        <is>
          <t>VÄSTMANLANDS LÄN</t>
        </is>
      </c>
      <c r="E3850" t="inlineStr">
        <is>
          <t>ARBOGA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2925-2024</t>
        </is>
      </c>
      <c r="B3851" s="1" t="n">
        <v>45315</v>
      </c>
      <c r="C3851" s="1" t="n">
        <v>45757</v>
      </c>
      <c r="D3851" t="inlineStr">
        <is>
          <t>VÄSTMANLANDS LÄN</t>
        </is>
      </c>
      <c r="E3851" t="inlineStr">
        <is>
          <t>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2866-2024</t>
        </is>
      </c>
      <c r="B3852" s="1" t="n">
        <v>45315</v>
      </c>
      <c r="C3852" s="1" t="n">
        <v>45757</v>
      </c>
      <c r="D3852" t="inlineStr">
        <is>
          <t>VÄSTMANLANDS LÄN</t>
        </is>
      </c>
      <c r="E3852" t="inlineStr">
        <is>
          <t>SURAHAMMAR</t>
        </is>
      </c>
      <c r="F3852" t="inlineStr">
        <is>
          <t>Bergvik skog väst AB</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2928-2024</t>
        </is>
      </c>
      <c r="B3853" s="1" t="n">
        <v>45315</v>
      </c>
      <c r="C3853" s="1" t="n">
        <v>45757</v>
      </c>
      <c r="D3853" t="inlineStr">
        <is>
          <t>VÄSTMANLANDS LÄN</t>
        </is>
      </c>
      <c r="E3853" t="inlineStr">
        <is>
          <t>SALA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2918-2024</t>
        </is>
      </c>
      <c r="B3854" s="1" t="n">
        <v>45315</v>
      </c>
      <c r="C3854" s="1" t="n">
        <v>45757</v>
      </c>
      <c r="D3854" t="inlineStr">
        <is>
          <t>VÄSTMANLANDS LÄN</t>
        </is>
      </c>
      <c r="E3854" t="inlineStr">
        <is>
          <t>KÖPING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2927-2024</t>
        </is>
      </c>
      <c r="B3855" s="1" t="n">
        <v>45315</v>
      </c>
      <c r="C3855" s="1" t="n">
        <v>45757</v>
      </c>
      <c r="D3855" t="inlineStr">
        <is>
          <t>VÄSTMANLANDS LÄN</t>
        </is>
      </c>
      <c r="E3855" t="inlineStr">
        <is>
          <t>SALA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2867-2024</t>
        </is>
      </c>
      <c r="B3856" s="1" t="n">
        <v>45315</v>
      </c>
      <c r="C3856" s="1" t="n">
        <v>45757</v>
      </c>
      <c r="D3856" t="inlineStr">
        <is>
          <t>VÄSTMANLANDS LÄN</t>
        </is>
      </c>
      <c r="E3856" t="inlineStr">
        <is>
          <t>SURAHAMMAR</t>
        </is>
      </c>
      <c r="F3856" t="inlineStr">
        <is>
          <t>Bergvik skog väst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3131-2024</t>
        </is>
      </c>
      <c r="B3857" s="1" t="n">
        <v>45316</v>
      </c>
      <c r="C3857" s="1" t="n">
        <v>45757</v>
      </c>
      <c r="D3857" t="inlineStr">
        <is>
          <t>VÄSTMANLANDS LÄN</t>
        </is>
      </c>
      <c r="E3857" t="inlineStr">
        <is>
          <t>NORBERG</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3061-2024</t>
        </is>
      </c>
      <c r="B3858" s="1" t="n">
        <v>45316</v>
      </c>
      <c r="C3858" s="1" t="n">
        <v>45757</v>
      </c>
      <c r="D3858" t="inlineStr">
        <is>
          <t>VÄSTMANLANDS LÄN</t>
        </is>
      </c>
      <c r="E3858" t="inlineStr">
        <is>
          <t>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3181-2024</t>
        </is>
      </c>
      <c r="B3859" s="1" t="n">
        <v>45316</v>
      </c>
      <c r="C3859" s="1" t="n">
        <v>45757</v>
      </c>
      <c r="D3859" t="inlineStr">
        <is>
          <t>VÄSTMANLANDS LÄN</t>
        </is>
      </c>
      <c r="E3859" t="inlineStr">
        <is>
          <t>VÄSTERÅS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3332-2024</t>
        </is>
      </c>
      <c r="B3860" s="1" t="n">
        <v>45317</v>
      </c>
      <c r="C3860" s="1" t="n">
        <v>45757</v>
      </c>
      <c r="D3860" t="inlineStr">
        <is>
          <t>VÄSTMANLANDS LÄN</t>
        </is>
      </c>
      <c r="E3860" t="inlineStr">
        <is>
          <t>SALA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3577-2024</t>
        </is>
      </c>
      <c r="B3861" s="1" t="n">
        <v>45320</v>
      </c>
      <c r="C3861" s="1" t="n">
        <v>45757</v>
      </c>
      <c r="D3861" t="inlineStr">
        <is>
          <t>VÄSTMANLANDS LÄN</t>
        </is>
      </c>
      <c r="E3861" t="inlineStr">
        <is>
          <t>SALA</t>
        </is>
      </c>
      <c r="F3861" t="inlineStr">
        <is>
          <t>Kommuner</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3527-2024</t>
        </is>
      </c>
      <c r="B3862" s="1" t="n">
        <v>45320</v>
      </c>
      <c r="C3862" s="1" t="n">
        <v>45757</v>
      </c>
      <c r="D3862" t="inlineStr">
        <is>
          <t>VÄSTMANLANDS LÄN</t>
        </is>
      </c>
      <c r="E3862" t="inlineStr">
        <is>
          <t>SALA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3551-2024</t>
        </is>
      </c>
      <c r="B3863" s="1" t="n">
        <v>45320</v>
      </c>
      <c r="C3863" s="1" t="n">
        <v>45757</v>
      </c>
      <c r="D3863" t="inlineStr">
        <is>
          <t>VÄSTMANLANDS LÄN</t>
        </is>
      </c>
      <c r="E3863" t="inlineStr">
        <is>
          <t>SALA</t>
        </is>
      </c>
      <c r="F3863" t="inlineStr">
        <is>
          <t>Kommuner</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3587-2024</t>
        </is>
      </c>
      <c r="B3864" s="1" t="n">
        <v>45320</v>
      </c>
      <c r="C3864" s="1" t="n">
        <v>45757</v>
      </c>
      <c r="D3864" t="inlineStr">
        <is>
          <t>VÄSTMANLANDS LÄN</t>
        </is>
      </c>
      <c r="E3864" t="inlineStr">
        <is>
          <t>NORBERG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3525-2024</t>
        </is>
      </c>
      <c r="B3865" s="1" t="n">
        <v>45320</v>
      </c>
      <c r="C3865" s="1" t="n">
        <v>45757</v>
      </c>
      <c r="D3865" t="inlineStr">
        <is>
          <t>VÄSTMANLANDS LÄN</t>
        </is>
      </c>
      <c r="E3865" t="inlineStr">
        <is>
          <t>SALA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3570-2024</t>
        </is>
      </c>
      <c r="B3866" s="1" t="n">
        <v>45320</v>
      </c>
      <c r="C3866" s="1" t="n">
        <v>45757</v>
      </c>
      <c r="D3866" t="inlineStr">
        <is>
          <t>VÄSTMANLANDS LÄN</t>
        </is>
      </c>
      <c r="E3866" t="inlineStr">
        <is>
          <t>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3560-2024</t>
        </is>
      </c>
      <c r="B3867" s="1" t="n">
        <v>45320</v>
      </c>
      <c r="C3867" s="1" t="n">
        <v>45757</v>
      </c>
      <c r="D3867" t="inlineStr">
        <is>
          <t>VÄSTMANLANDS LÄN</t>
        </is>
      </c>
      <c r="E3867" t="inlineStr">
        <is>
          <t>SALA</t>
        </is>
      </c>
      <c r="F3867" t="inlineStr">
        <is>
          <t>Kommuner</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3755-2024</t>
        </is>
      </c>
      <c r="B3868" s="1" t="n">
        <v>45321</v>
      </c>
      <c r="C3868" s="1" t="n">
        <v>45757</v>
      </c>
      <c r="D3868" t="inlineStr">
        <is>
          <t>VÄSTMANLANDS LÄN</t>
        </is>
      </c>
      <c r="E3868" t="inlineStr">
        <is>
          <t>SKINNSKATTEBERG</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3882-2024</t>
        </is>
      </c>
      <c r="B3869" s="1" t="n">
        <v>45322</v>
      </c>
      <c r="C3869" s="1" t="n">
        <v>45757</v>
      </c>
      <c r="D3869" t="inlineStr">
        <is>
          <t>VÄSTMANLANDS LÄN</t>
        </is>
      </c>
      <c r="E3869" t="inlineStr">
        <is>
          <t>VÄSTERÅS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3887-2024</t>
        </is>
      </c>
      <c r="B3870" s="1" t="n">
        <v>45322</v>
      </c>
      <c r="C3870" s="1" t="n">
        <v>45757</v>
      </c>
      <c r="D3870" t="inlineStr">
        <is>
          <t>VÄSTMANLANDS LÄN</t>
        </is>
      </c>
      <c r="E3870" t="inlineStr">
        <is>
          <t>VÄSTERÅS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3933-2024</t>
        </is>
      </c>
      <c r="B3871" s="1" t="n">
        <v>45322</v>
      </c>
      <c r="C3871" s="1" t="n">
        <v>45757</v>
      </c>
      <c r="D3871" t="inlineStr">
        <is>
          <t>VÄSTMANLANDS LÄN</t>
        </is>
      </c>
      <c r="E3871" t="inlineStr">
        <is>
          <t>KÖPING</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3945-2024</t>
        </is>
      </c>
      <c r="B3872" s="1" t="n">
        <v>45322</v>
      </c>
      <c r="C3872" s="1" t="n">
        <v>45757</v>
      </c>
      <c r="D3872" t="inlineStr">
        <is>
          <t>VÄSTMANLANDS LÄN</t>
        </is>
      </c>
      <c r="E3872" t="inlineStr">
        <is>
          <t>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4000-2024</t>
        </is>
      </c>
      <c r="B3873" s="1" t="n">
        <v>45322</v>
      </c>
      <c r="C3873" s="1" t="n">
        <v>45757</v>
      </c>
      <c r="D3873" t="inlineStr">
        <is>
          <t>VÄSTMANLANDS LÄN</t>
        </is>
      </c>
      <c r="E3873" t="inlineStr">
        <is>
          <t>SKINNSKATTEBERG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4372-2024</t>
        </is>
      </c>
      <c r="B3874" s="1" t="n">
        <v>45326</v>
      </c>
      <c r="C3874" s="1" t="n">
        <v>45757</v>
      </c>
      <c r="D3874" t="inlineStr">
        <is>
          <t>VÄSTMANLANDS LÄN</t>
        </is>
      </c>
      <c r="E3874" t="inlineStr">
        <is>
          <t>VÄSTERÅS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4417-2024</t>
        </is>
      </c>
      <c r="B3875" s="1" t="n">
        <v>45327</v>
      </c>
      <c r="C3875" s="1" t="n">
        <v>45757</v>
      </c>
      <c r="D3875" t="inlineStr">
        <is>
          <t>VÄSTMANLANDS LÄN</t>
        </is>
      </c>
      <c r="E3875" t="inlineStr">
        <is>
          <t>SALA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4599-2024</t>
        </is>
      </c>
      <c r="B3876" s="1" t="n">
        <v>45328</v>
      </c>
      <c r="C3876" s="1" t="n">
        <v>45757</v>
      </c>
      <c r="D3876" t="inlineStr">
        <is>
          <t>VÄSTMANLANDS LÄN</t>
        </is>
      </c>
      <c r="E3876" t="inlineStr">
        <is>
          <t>NORBERG</t>
        </is>
      </c>
      <c r="F3876" t="inlineStr">
        <is>
          <t>Övriga Aktiebolag</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4711-2024</t>
        </is>
      </c>
      <c r="B3877" s="1" t="n">
        <v>45328</v>
      </c>
      <c r="C3877" s="1" t="n">
        <v>45757</v>
      </c>
      <c r="D3877" t="inlineStr">
        <is>
          <t>VÄSTMANLANDS LÄN</t>
        </is>
      </c>
      <c r="E3877" t="inlineStr">
        <is>
          <t>KÖPING</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4713-2024</t>
        </is>
      </c>
      <c r="B3878" s="1" t="n">
        <v>45328</v>
      </c>
      <c r="C3878" s="1" t="n">
        <v>45757</v>
      </c>
      <c r="D3878" t="inlineStr">
        <is>
          <t>VÄSTMANLANDS LÄN</t>
        </is>
      </c>
      <c r="E3878" t="inlineStr">
        <is>
          <t>KÖPING</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4614-2024</t>
        </is>
      </c>
      <c r="B3879" s="1" t="n">
        <v>45328</v>
      </c>
      <c r="C3879" s="1" t="n">
        <v>45757</v>
      </c>
      <c r="D3879" t="inlineStr">
        <is>
          <t>VÄSTMANLANDS LÄN</t>
        </is>
      </c>
      <c r="E3879" t="inlineStr">
        <is>
          <t>KÖPING</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4759-2024</t>
        </is>
      </c>
      <c r="B3880" s="1" t="n">
        <v>45328</v>
      </c>
      <c r="C3880" s="1" t="n">
        <v>45757</v>
      </c>
      <c r="D3880" t="inlineStr">
        <is>
          <t>VÄSTMANLANDS LÄN</t>
        </is>
      </c>
      <c r="E3880" t="inlineStr">
        <is>
          <t>SURAHAMMAR</t>
        </is>
      </c>
      <c r="F3880" t="inlineStr">
        <is>
          <t>Bergvik skog väst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4924-2024</t>
        </is>
      </c>
      <c r="B3881" s="1" t="n">
        <v>45329</v>
      </c>
      <c r="C3881" s="1" t="n">
        <v>45757</v>
      </c>
      <c r="D3881" t="inlineStr">
        <is>
          <t>VÄSTMANLANDS LÄN</t>
        </is>
      </c>
      <c r="E3881" t="inlineStr">
        <is>
          <t>VÄSTERÅS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4897-2024</t>
        </is>
      </c>
      <c r="B3882" s="1" t="n">
        <v>45329</v>
      </c>
      <c r="C3882" s="1" t="n">
        <v>45757</v>
      </c>
      <c r="D3882" t="inlineStr">
        <is>
          <t>VÄSTMANLANDS LÄN</t>
        </is>
      </c>
      <c r="E3882" t="inlineStr">
        <is>
          <t>SALA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4981-2024</t>
        </is>
      </c>
      <c r="B3883" s="1" t="n">
        <v>45329</v>
      </c>
      <c r="C3883" s="1" t="n">
        <v>45757</v>
      </c>
      <c r="D3883" t="inlineStr">
        <is>
          <t>VÄSTMANLANDS LÄN</t>
        </is>
      </c>
      <c r="E3883" t="inlineStr">
        <is>
          <t>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5001-2024</t>
        </is>
      </c>
      <c r="B3884" s="1" t="n">
        <v>45329</v>
      </c>
      <c r="C3884" s="1" t="n">
        <v>45757</v>
      </c>
      <c r="D3884" t="inlineStr">
        <is>
          <t>VÄSTMANLANDS LÄN</t>
        </is>
      </c>
      <c r="E3884" t="inlineStr">
        <is>
          <t>SKINNSKATTEBERG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5168-2024</t>
        </is>
      </c>
      <c r="B3885" s="1" t="n">
        <v>45330</v>
      </c>
      <c r="C3885" s="1" t="n">
        <v>45757</v>
      </c>
      <c r="D3885" t="inlineStr">
        <is>
          <t>VÄSTMANLANDS LÄN</t>
        </is>
      </c>
      <c r="E3885" t="inlineStr">
        <is>
          <t>SURAHAMMAR</t>
        </is>
      </c>
      <c r="F3885" t="inlineStr">
        <is>
          <t>Övriga Aktiebolag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5154-2024</t>
        </is>
      </c>
      <c r="B3886" s="1" t="n">
        <v>45330</v>
      </c>
      <c r="C3886" s="1" t="n">
        <v>45757</v>
      </c>
      <c r="D3886" t="inlineStr">
        <is>
          <t>VÄSTMANLANDS LÄN</t>
        </is>
      </c>
      <c r="E3886" t="inlineStr">
        <is>
          <t>SKINNSKATTEBERG</t>
        </is>
      </c>
      <c r="G3886" t="n">
        <v>12.4</v>
      </c>
      <c r="H3886" t="n">
        <v>0</v>
      </c>
      <c r="I3886" t="n">
        <v>0</v>
      </c>
      <c r="J3886" t="n">
        <v>0</v>
      </c>
      <c r="K3886" t="n">
        <v>0</v>
      </c>
      <c r="L3886" t="n">
        <v>0</v>
      </c>
      <c r="M3886" t="n">
        <v>0</v>
      </c>
      <c r="N3886" t="n">
        <v>0</v>
      </c>
      <c r="O3886" t="n">
        <v>0</v>
      </c>
      <c r="P3886" t="n">
        <v>0</v>
      </c>
      <c r="Q3886" t="n">
        <v>0</v>
      </c>
      <c r="R3886" s="2" t="inlineStr"/>
    </row>
    <row r="3887" ht="15" customHeight="1">
      <c r="A3887" t="inlineStr">
        <is>
          <t>A 5301-2024</t>
        </is>
      </c>
      <c r="B3887" s="1" t="n">
        <v>45331</v>
      </c>
      <c r="C3887" s="1" t="n">
        <v>45757</v>
      </c>
      <c r="D3887" t="inlineStr">
        <is>
          <t>VÄSTMANLANDS LÄN</t>
        </is>
      </c>
      <c r="E3887" t="inlineStr">
        <is>
          <t>VÄSTERÅS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5478-2024</t>
        </is>
      </c>
      <c r="B3888" s="1" t="n">
        <v>45333</v>
      </c>
      <c r="C3888" s="1" t="n">
        <v>45757</v>
      </c>
      <c r="D3888" t="inlineStr">
        <is>
          <t>VÄSTMANLANDS LÄN</t>
        </is>
      </c>
      <c r="E3888" t="inlineStr">
        <is>
          <t>SALA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5477-2024</t>
        </is>
      </c>
      <c r="B3889" s="1" t="n">
        <v>45333</v>
      </c>
      <c r="C3889" s="1" t="n">
        <v>45757</v>
      </c>
      <c r="D3889" t="inlineStr">
        <is>
          <t>VÄSTMANLANDS LÄN</t>
        </is>
      </c>
      <c r="E3889" t="inlineStr">
        <is>
          <t>SALA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5546-2024</t>
        </is>
      </c>
      <c r="B3890" s="1" t="n">
        <v>45334</v>
      </c>
      <c r="C3890" s="1" t="n">
        <v>45757</v>
      </c>
      <c r="D3890" t="inlineStr">
        <is>
          <t>VÄSTMANLANDS LÄN</t>
        </is>
      </c>
      <c r="E3890" t="inlineStr">
        <is>
          <t>VÄSTERÅS</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5548-2024</t>
        </is>
      </c>
      <c r="B3891" s="1" t="n">
        <v>45334</v>
      </c>
      <c r="C3891" s="1" t="n">
        <v>45757</v>
      </c>
      <c r="D3891" t="inlineStr">
        <is>
          <t>VÄSTMANLANDS LÄN</t>
        </is>
      </c>
      <c r="E3891" t="inlineStr">
        <is>
          <t>VÄSTERÅS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5696-2024</t>
        </is>
      </c>
      <c r="B3892" s="1" t="n">
        <v>45334</v>
      </c>
      <c r="C3892" s="1" t="n">
        <v>45757</v>
      </c>
      <c r="D3892" t="inlineStr">
        <is>
          <t>VÄSTMANLANDS LÄN</t>
        </is>
      </c>
      <c r="E3892" t="inlineStr">
        <is>
          <t>VÄSTERÅS</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5705-2024</t>
        </is>
      </c>
      <c r="B3893" s="1" t="n">
        <v>45334</v>
      </c>
      <c r="C3893" s="1" t="n">
        <v>45757</v>
      </c>
      <c r="D3893" t="inlineStr">
        <is>
          <t>VÄSTMANLANDS LÄN</t>
        </is>
      </c>
      <c r="E3893" t="inlineStr">
        <is>
          <t>SALA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5952-2024</t>
        </is>
      </c>
      <c r="B3894" s="1" t="n">
        <v>45335</v>
      </c>
      <c r="C3894" s="1" t="n">
        <v>45757</v>
      </c>
      <c r="D3894" t="inlineStr">
        <is>
          <t>VÄSTMANLANDS LÄN</t>
        </is>
      </c>
      <c r="E3894" t="inlineStr">
        <is>
          <t>KUNGSÖR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5977-2024</t>
        </is>
      </c>
      <c r="B3895" s="1" t="n">
        <v>45336</v>
      </c>
      <c r="C3895" s="1" t="n">
        <v>45757</v>
      </c>
      <c r="D3895" t="inlineStr">
        <is>
          <t>VÄSTMANLANDS LÄN</t>
        </is>
      </c>
      <c r="E3895" t="inlineStr">
        <is>
          <t>SALA</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6030-2024</t>
        </is>
      </c>
      <c r="B3896" s="1" t="n">
        <v>45336</v>
      </c>
      <c r="C3896" s="1" t="n">
        <v>45757</v>
      </c>
      <c r="D3896" t="inlineStr">
        <is>
          <t>VÄSTMANLANDS LÄN</t>
        </is>
      </c>
      <c r="E3896" t="inlineStr">
        <is>
          <t>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5984-2024</t>
        </is>
      </c>
      <c r="B3897" s="1" t="n">
        <v>45336</v>
      </c>
      <c r="C3897" s="1" t="n">
        <v>45757</v>
      </c>
      <c r="D3897" t="inlineStr">
        <is>
          <t>VÄSTMANLANDS LÄN</t>
        </is>
      </c>
      <c r="E3897" t="inlineStr">
        <is>
          <t>SALA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6134-2024</t>
        </is>
      </c>
      <c r="B3898" s="1" t="n">
        <v>45337</v>
      </c>
      <c r="C3898" s="1" t="n">
        <v>45757</v>
      </c>
      <c r="D3898" t="inlineStr">
        <is>
          <t>VÄSTMANLANDS LÄN</t>
        </is>
      </c>
      <c r="E3898" t="inlineStr">
        <is>
          <t>SALA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6400-2024</t>
        </is>
      </c>
      <c r="B3899" s="1" t="n">
        <v>45338</v>
      </c>
      <c r="C3899" s="1" t="n">
        <v>45757</v>
      </c>
      <c r="D3899" t="inlineStr">
        <is>
          <t>VÄSTMANLANDS LÄN</t>
        </is>
      </c>
      <c r="E3899" t="inlineStr">
        <is>
          <t>VÄSTERÅS</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6572-2024</t>
        </is>
      </c>
      <c r="B3900" s="1" t="n">
        <v>45338</v>
      </c>
      <c r="C3900" s="1" t="n">
        <v>45757</v>
      </c>
      <c r="D3900" t="inlineStr">
        <is>
          <t>VÄSTMANLANDS LÄN</t>
        </is>
      </c>
      <c r="E3900" t="inlineStr">
        <is>
          <t>SALA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6538-2024</t>
        </is>
      </c>
      <c r="B3901" s="1" t="n">
        <v>45338</v>
      </c>
      <c r="C3901" s="1" t="n">
        <v>45757</v>
      </c>
      <c r="D3901" t="inlineStr">
        <is>
          <t>VÄSTMANLANDS LÄN</t>
        </is>
      </c>
      <c r="E3901" t="inlineStr">
        <is>
          <t>SALA</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6601-2024</t>
        </is>
      </c>
      <c r="B3902" s="1" t="n">
        <v>45338</v>
      </c>
      <c r="C3902" s="1" t="n">
        <v>45757</v>
      </c>
      <c r="D3902" t="inlineStr">
        <is>
          <t>VÄSTMANLANDS LÄN</t>
        </is>
      </c>
      <c r="E3902" t="inlineStr">
        <is>
          <t>SALA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6585-2024</t>
        </is>
      </c>
      <c r="B3903" s="1" t="n">
        <v>45338</v>
      </c>
      <c r="C3903" s="1" t="n">
        <v>45757</v>
      </c>
      <c r="D3903" t="inlineStr">
        <is>
          <t>VÄSTMANLANDS LÄN</t>
        </is>
      </c>
      <c r="E3903" t="inlineStr">
        <is>
          <t>SALA</t>
        </is>
      </c>
      <c r="G3903" t="n">
        <v>9.699999999999999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6541-2024</t>
        </is>
      </c>
      <c r="B3904" s="1" t="n">
        <v>45338</v>
      </c>
      <c r="C3904" s="1" t="n">
        <v>45757</v>
      </c>
      <c r="D3904" t="inlineStr">
        <is>
          <t>VÄSTMANLANDS LÄN</t>
        </is>
      </c>
      <c r="E3904" t="inlineStr">
        <is>
          <t>SALA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6666-2024</t>
        </is>
      </c>
      <c r="B3905" s="1" t="n">
        <v>45341</v>
      </c>
      <c r="C3905" s="1" t="n">
        <v>45757</v>
      </c>
      <c r="D3905" t="inlineStr">
        <is>
          <t>VÄSTMANLANDS LÄN</t>
        </is>
      </c>
      <c r="E3905" t="inlineStr">
        <is>
          <t>ARBOGA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6664-2024</t>
        </is>
      </c>
      <c r="B3906" s="1" t="n">
        <v>45341</v>
      </c>
      <c r="C3906" s="1" t="n">
        <v>45757</v>
      </c>
      <c r="D3906" t="inlineStr">
        <is>
          <t>VÄSTMANLANDS LÄN</t>
        </is>
      </c>
      <c r="E3906" t="inlineStr">
        <is>
          <t>ARBOGA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6657-2024</t>
        </is>
      </c>
      <c r="B3907" s="1" t="n">
        <v>45341</v>
      </c>
      <c r="C3907" s="1" t="n">
        <v>45757</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7787-2024</t>
        </is>
      </c>
      <c r="B3908" s="1" t="n">
        <v>45348</v>
      </c>
      <c r="C3908" s="1" t="n">
        <v>45757</v>
      </c>
      <c r="D3908" t="inlineStr">
        <is>
          <t>VÄSTMANLANDS LÄN</t>
        </is>
      </c>
      <c r="E3908" t="inlineStr">
        <is>
          <t>SURAHAMMAR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7765-2024</t>
        </is>
      </c>
      <c r="B3909" s="1" t="n">
        <v>45349</v>
      </c>
      <c r="C3909" s="1" t="n">
        <v>45757</v>
      </c>
      <c r="D3909" t="inlineStr">
        <is>
          <t>VÄSTMANLANDS LÄN</t>
        </is>
      </c>
      <c r="E3909" t="inlineStr">
        <is>
          <t>VÄSTERÅS</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7782-2024</t>
        </is>
      </c>
      <c r="B3910" s="1" t="n">
        <v>45349</v>
      </c>
      <c r="C3910" s="1" t="n">
        <v>45757</v>
      </c>
      <c r="D3910" t="inlineStr">
        <is>
          <t>VÄSTMANLANDS LÄN</t>
        </is>
      </c>
      <c r="E3910" t="inlineStr">
        <is>
          <t>SURAHAMMAR</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7769-2024</t>
        </is>
      </c>
      <c r="B3911" s="1" t="n">
        <v>45349</v>
      </c>
      <c r="C3911" s="1" t="n">
        <v>45757</v>
      </c>
      <c r="D3911" t="inlineStr">
        <is>
          <t>VÄSTMANLANDS LÄN</t>
        </is>
      </c>
      <c r="E3911" t="inlineStr">
        <is>
          <t>VÄSTERÅS</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7953-2024</t>
        </is>
      </c>
      <c r="B3912" s="1" t="n">
        <v>45350</v>
      </c>
      <c r="C3912" s="1" t="n">
        <v>45757</v>
      </c>
      <c r="D3912" t="inlineStr">
        <is>
          <t>VÄSTMANLANDS LÄN</t>
        </is>
      </c>
      <c r="E3912" t="inlineStr">
        <is>
          <t>SALA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8066-2024</t>
        </is>
      </c>
      <c r="B3913" s="1" t="n">
        <v>45351</v>
      </c>
      <c r="C3913" s="1" t="n">
        <v>45757</v>
      </c>
      <c r="D3913" t="inlineStr">
        <is>
          <t>VÄSTMANLANDS LÄN</t>
        </is>
      </c>
      <c r="E3913" t="inlineStr">
        <is>
          <t>SURAHAMMAR</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8521-2024</t>
        </is>
      </c>
      <c r="B3914" s="1" t="n">
        <v>45355</v>
      </c>
      <c r="C3914" s="1" t="n">
        <v>45757</v>
      </c>
      <c r="D3914" t="inlineStr">
        <is>
          <t>VÄSTMANLANDS LÄN</t>
        </is>
      </c>
      <c r="E3914" t="inlineStr">
        <is>
          <t>HALLSTAHAMMAR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8580-2024</t>
        </is>
      </c>
      <c r="B3915" s="1" t="n">
        <v>45355</v>
      </c>
      <c r="C3915" s="1" t="n">
        <v>45757</v>
      </c>
      <c r="D3915" t="inlineStr">
        <is>
          <t>VÄSTMANLANDS LÄN</t>
        </is>
      </c>
      <c r="E3915" t="inlineStr">
        <is>
          <t>ARBOGA</t>
        </is>
      </c>
      <c r="F3915" t="inlineStr">
        <is>
          <t>Allmännings- och besparingsskogar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8591-2024</t>
        </is>
      </c>
      <c r="B3916" s="1" t="n">
        <v>45355</v>
      </c>
      <c r="C3916" s="1" t="n">
        <v>45757</v>
      </c>
      <c r="D3916" t="inlineStr">
        <is>
          <t>VÄSTMANLANDS LÄN</t>
        </is>
      </c>
      <c r="E3916" t="inlineStr">
        <is>
          <t>SALA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8775-2024</t>
        </is>
      </c>
      <c r="B3917" s="1" t="n">
        <v>45356</v>
      </c>
      <c r="C3917" s="1" t="n">
        <v>45757</v>
      </c>
      <c r="D3917" t="inlineStr">
        <is>
          <t>VÄSTMANLANDS LÄN</t>
        </is>
      </c>
      <c r="E3917" t="inlineStr">
        <is>
          <t>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8793-2024</t>
        </is>
      </c>
      <c r="B3918" s="1" t="n">
        <v>45356</v>
      </c>
      <c r="C3918" s="1" t="n">
        <v>45757</v>
      </c>
      <c r="D3918" t="inlineStr">
        <is>
          <t>VÄSTMANLANDS LÄN</t>
        </is>
      </c>
      <c r="E3918" t="inlineStr">
        <is>
          <t>SALA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8683-2024</t>
        </is>
      </c>
      <c r="B3919" s="1" t="n">
        <v>45356</v>
      </c>
      <c r="C3919" s="1" t="n">
        <v>45757</v>
      </c>
      <c r="D3919" t="inlineStr">
        <is>
          <t>VÄSTMANLANDS LÄN</t>
        </is>
      </c>
      <c r="E3919" t="inlineStr">
        <is>
          <t>KÖPING</t>
        </is>
      </c>
      <c r="F3919" t="inlineStr">
        <is>
          <t>Kommuner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8703-2024</t>
        </is>
      </c>
      <c r="B3920" s="1" t="n">
        <v>45356</v>
      </c>
      <c r="C3920" s="1" t="n">
        <v>45757</v>
      </c>
      <c r="D3920" t="inlineStr">
        <is>
          <t>VÄSTMANLANDS LÄN</t>
        </is>
      </c>
      <c r="E3920" t="inlineStr">
        <is>
          <t>KÖPING</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8778-2024</t>
        </is>
      </c>
      <c r="B3921" s="1" t="n">
        <v>45356</v>
      </c>
      <c r="C3921" s="1" t="n">
        <v>45757</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9205-2024</t>
        </is>
      </c>
      <c r="B3922" s="1" t="n">
        <v>45358</v>
      </c>
      <c r="C3922" s="1" t="n">
        <v>45757</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9303-2024</t>
        </is>
      </c>
      <c r="B3923" s="1" t="n">
        <v>45358</v>
      </c>
      <c r="C3923" s="1" t="n">
        <v>45757</v>
      </c>
      <c r="D3923" t="inlineStr">
        <is>
          <t>VÄSTMANLANDS LÄN</t>
        </is>
      </c>
      <c r="E3923" t="inlineStr">
        <is>
          <t>KÖPING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9302-2024</t>
        </is>
      </c>
      <c r="B3924" s="1" t="n">
        <v>45358</v>
      </c>
      <c r="C3924" s="1" t="n">
        <v>45757</v>
      </c>
      <c r="D3924" t="inlineStr">
        <is>
          <t>VÄSTMANLANDS LÄN</t>
        </is>
      </c>
      <c r="E3924" t="inlineStr">
        <is>
          <t>KÖPING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9204-2024</t>
        </is>
      </c>
      <c r="B3925" s="1" t="n">
        <v>45358</v>
      </c>
      <c r="C3925" s="1" t="n">
        <v>45757</v>
      </c>
      <c r="D3925" t="inlineStr">
        <is>
          <t>VÄSTMANLANDS LÄN</t>
        </is>
      </c>
      <c r="E3925" t="inlineStr">
        <is>
          <t>SALA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9247-2024</t>
        </is>
      </c>
      <c r="B3926" s="1" t="n">
        <v>45358</v>
      </c>
      <c r="C3926" s="1" t="n">
        <v>45757</v>
      </c>
      <c r="D3926" t="inlineStr">
        <is>
          <t>VÄSTMANLANDS LÄN</t>
        </is>
      </c>
      <c r="E3926" t="inlineStr">
        <is>
          <t>ARBOGA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9485-2024</t>
        </is>
      </c>
      <c r="B3927" s="1" t="n">
        <v>45359</v>
      </c>
      <c r="C3927" s="1" t="n">
        <v>45757</v>
      </c>
      <c r="D3927" t="inlineStr">
        <is>
          <t>VÄSTMANLANDS LÄN</t>
        </is>
      </c>
      <c r="E3927" t="inlineStr">
        <is>
          <t>SKINNSKATTEBERG</t>
        </is>
      </c>
      <c r="F3927" t="inlineStr">
        <is>
          <t>Sveaskog</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9489-2024</t>
        </is>
      </c>
      <c r="B3928" s="1" t="n">
        <v>45359</v>
      </c>
      <c r="C3928" s="1" t="n">
        <v>45757</v>
      </c>
      <c r="D3928" t="inlineStr">
        <is>
          <t>VÄSTMANLANDS LÄN</t>
        </is>
      </c>
      <c r="E3928" t="inlineStr">
        <is>
          <t>SKINNSKATTEBERG</t>
        </is>
      </c>
      <c r="F3928" t="inlineStr">
        <is>
          <t>Sveaskog</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9487-2024</t>
        </is>
      </c>
      <c r="B3929" s="1" t="n">
        <v>45359</v>
      </c>
      <c r="C3929" s="1" t="n">
        <v>45757</v>
      </c>
      <c r="D3929" t="inlineStr">
        <is>
          <t>VÄSTMANLANDS LÄN</t>
        </is>
      </c>
      <c r="E3929" t="inlineStr">
        <is>
          <t>SKINNSKATTEBERG</t>
        </is>
      </c>
      <c r="F3929" t="inlineStr">
        <is>
          <t>Sveaskog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9491-2024</t>
        </is>
      </c>
      <c r="B3930" s="1" t="n">
        <v>45359</v>
      </c>
      <c r="C3930" s="1" t="n">
        <v>45757</v>
      </c>
      <c r="D3930" t="inlineStr">
        <is>
          <t>VÄSTMANLANDS LÄN</t>
        </is>
      </c>
      <c r="E3930" t="inlineStr">
        <is>
          <t>SKINNSKATTEBERG</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9509-2024</t>
        </is>
      </c>
      <c r="B3931" s="1" t="n">
        <v>45359</v>
      </c>
      <c r="C3931" s="1" t="n">
        <v>45757</v>
      </c>
      <c r="D3931" t="inlineStr">
        <is>
          <t>VÄSTMANLANDS LÄN</t>
        </is>
      </c>
      <c r="E3931" t="inlineStr">
        <is>
          <t>KÖPING</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9517-2024</t>
        </is>
      </c>
      <c r="B3932" s="1" t="n">
        <v>45359</v>
      </c>
      <c r="C3932" s="1" t="n">
        <v>45757</v>
      </c>
      <c r="D3932" t="inlineStr">
        <is>
          <t>VÄSTMANLANDS LÄN</t>
        </is>
      </c>
      <c r="E3932" t="inlineStr">
        <is>
          <t>KÖPING</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9474-2024</t>
        </is>
      </c>
      <c r="B3933" s="1" t="n">
        <v>45359</v>
      </c>
      <c r="C3933" s="1" t="n">
        <v>45757</v>
      </c>
      <c r="D3933" t="inlineStr">
        <is>
          <t>VÄSTMANLANDS LÄN</t>
        </is>
      </c>
      <c r="E3933" t="inlineStr">
        <is>
          <t>SALA</t>
        </is>
      </c>
      <c r="F3933" t="inlineStr">
        <is>
          <t>Kommuner</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9486-2024</t>
        </is>
      </c>
      <c r="B3934" s="1" t="n">
        <v>45359</v>
      </c>
      <c r="C3934" s="1" t="n">
        <v>45757</v>
      </c>
      <c r="D3934" t="inlineStr">
        <is>
          <t>VÄSTMANLANDS LÄN</t>
        </is>
      </c>
      <c r="E3934" t="inlineStr">
        <is>
          <t>SKINNSKATTEBERG</t>
        </is>
      </c>
      <c r="F3934" t="inlineStr">
        <is>
          <t>Sveaskog</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9490-2024</t>
        </is>
      </c>
      <c r="B3935" s="1" t="n">
        <v>45359</v>
      </c>
      <c r="C3935" s="1" t="n">
        <v>45757</v>
      </c>
      <c r="D3935" t="inlineStr">
        <is>
          <t>VÄSTMANLANDS LÄN</t>
        </is>
      </c>
      <c r="E3935" t="inlineStr">
        <is>
          <t>SKINNSKATTEBERG</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9515-2024</t>
        </is>
      </c>
      <c r="B3936" s="1" t="n">
        <v>45359</v>
      </c>
      <c r="C3936" s="1" t="n">
        <v>45757</v>
      </c>
      <c r="D3936" t="inlineStr">
        <is>
          <t>VÄSTMANLANDS LÄN</t>
        </is>
      </c>
      <c r="E3936" t="inlineStr">
        <is>
          <t>KÖPING</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9741-2024</t>
        </is>
      </c>
      <c r="B3937" s="1" t="n">
        <v>45362</v>
      </c>
      <c r="C3937" s="1" t="n">
        <v>45757</v>
      </c>
      <c r="D3937" t="inlineStr">
        <is>
          <t>VÄSTMANLANDS LÄN</t>
        </is>
      </c>
      <c r="E3937" t="inlineStr">
        <is>
          <t>SURAHAMMAR</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9843-2024</t>
        </is>
      </c>
      <c r="B3938" s="1" t="n">
        <v>45363</v>
      </c>
      <c r="C3938" s="1" t="n">
        <v>45757</v>
      </c>
      <c r="D3938" t="inlineStr">
        <is>
          <t>VÄSTMANLANDS LÄN</t>
        </is>
      </c>
      <c r="E3938" t="inlineStr">
        <is>
          <t>NORBERG</t>
        </is>
      </c>
      <c r="G3938" t="n">
        <v>8.199999999999999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9853-2024</t>
        </is>
      </c>
      <c r="B3939" s="1" t="n">
        <v>45363</v>
      </c>
      <c r="C3939" s="1" t="n">
        <v>45757</v>
      </c>
      <c r="D3939" t="inlineStr">
        <is>
          <t>VÄSTMANLANDS LÄN</t>
        </is>
      </c>
      <c r="E3939" t="inlineStr">
        <is>
          <t>SALA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9874-2024</t>
        </is>
      </c>
      <c r="B3940" s="1" t="n">
        <v>45363</v>
      </c>
      <c r="C3940" s="1" t="n">
        <v>45757</v>
      </c>
      <c r="D3940" t="inlineStr">
        <is>
          <t>VÄSTMANLANDS LÄN</t>
        </is>
      </c>
      <c r="E3940" t="inlineStr">
        <is>
          <t>SALA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9907-2024</t>
        </is>
      </c>
      <c r="B3941" s="1" t="n">
        <v>45363</v>
      </c>
      <c r="C3941" s="1" t="n">
        <v>45757</v>
      </c>
      <c r="D3941" t="inlineStr">
        <is>
          <t>VÄSTMANLANDS LÄN</t>
        </is>
      </c>
      <c r="E3941" t="inlineStr">
        <is>
          <t>NORBERG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10098-2024</t>
        </is>
      </c>
      <c r="B3942" s="1" t="n">
        <v>45364</v>
      </c>
      <c r="C3942" s="1" t="n">
        <v>45757</v>
      </c>
      <c r="D3942" t="inlineStr">
        <is>
          <t>VÄSTMANLANDS LÄN</t>
        </is>
      </c>
      <c r="E3942" t="inlineStr">
        <is>
          <t>KUNGSÖR</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10128-2024</t>
        </is>
      </c>
      <c r="B3943" s="1" t="n">
        <v>45364</v>
      </c>
      <c r="C3943" s="1" t="n">
        <v>45757</v>
      </c>
      <c r="D3943" t="inlineStr">
        <is>
          <t>VÄSTMANLANDS LÄN</t>
        </is>
      </c>
      <c r="E3943" t="inlineStr">
        <is>
          <t>KUNGSÖR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10112-2024</t>
        </is>
      </c>
      <c r="B3944" s="1" t="n">
        <v>45364</v>
      </c>
      <c r="C3944" s="1" t="n">
        <v>45757</v>
      </c>
      <c r="D3944" t="inlineStr">
        <is>
          <t>VÄSTMANLANDS LÄN</t>
        </is>
      </c>
      <c r="E3944" t="inlineStr">
        <is>
          <t>KUNGSÖR</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10120-2024</t>
        </is>
      </c>
      <c r="B3945" s="1" t="n">
        <v>45364</v>
      </c>
      <c r="C3945" s="1" t="n">
        <v>45757</v>
      </c>
      <c r="D3945" t="inlineStr">
        <is>
          <t>VÄSTMANLANDS LÄN</t>
        </is>
      </c>
      <c r="E3945" t="inlineStr">
        <is>
          <t>KUNGSÖR</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10255-2024</t>
        </is>
      </c>
      <c r="B3946" s="1" t="n">
        <v>45365</v>
      </c>
      <c r="C3946" s="1" t="n">
        <v>45757</v>
      </c>
      <c r="D3946" t="inlineStr">
        <is>
          <t>VÄSTMANLANDS LÄN</t>
        </is>
      </c>
      <c r="E3946" t="inlineStr">
        <is>
          <t>SALA</t>
        </is>
      </c>
      <c r="F3946" t="inlineStr">
        <is>
          <t>Kommuner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10263-2024</t>
        </is>
      </c>
      <c r="B3947" s="1" t="n">
        <v>45365</v>
      </c>
      <c r="C3947" s="1" t="n">
        <v>45757</v>
      </c>
      <c r="D3947" t="inlineStr">
        <is>
          <t>VÄSTMANLANDS LÄN</t>
        </is>
      </c>
      <c r="E3947" t="inlineStr">
        <is>
          <t>HALLSTAHAMMAR</t>
        </is>
      </c>
      <c r="F3947" t="inlineStr">
        <is>
          <t>Kyrkan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10332-2024</t>
        </is>
      </c>
      <c r="B3948" s="1" t="n">
        <v>45365</v>
      </c>
      <c r="C3948" s="1" t="n">
        <v>45757</v>
      </c>
      <c r="D3948" t="inlineStr">
        <is>
          <t>VÄSTMANLANDS LÄN</t>
        </is>
      </c>
      <c r="E3948" t="inlineStr">
        <is>
          <t>ARBOGA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10505-2024</t>
        </is>
      </c>
      <c r="B3949" s="1" t="n">
        <v>45366</v>
      </c>
      <c r="C3949" s="1" t="n">
        <v>45757</v>
      </c>
      <c r="D3949" t="inlineStr">
        <is>
          <t>VÄSTMANLANDS LÄN</t>
        </is>
      </c>
      <c r="E3949" t="inlineStr">
        <is>
          <t>KÖPING</t>
        </is>
      </c>
      <c r="F3949" t="inlineStr">
        <is>
          <t>Sveaskog</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10530-2024</t>
        </is>
      </c>
      <c r="B3950" s="1" t="n">
        <v>45366</v>
      </c>
      <c r="C3950" s="1" t="n">
        <v>45757</v>
      </c>
      <c r="D3950" t="inlineStr">
        <is>
          <t>VÄSTMANLANDS LÄN</t>
        </is>
      </c>
      <c r="E3950" t="inlineStr">
        <is>
          <t>SKINNSKATTEBERG</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10546-2024</t>
        </is>
      </c>
      <c r="B3951" s="1" t="n">
        <v>45366</v>
      </c>
      <c r="C3951" s="1" t="n">
        <v>45757</v>
      </c>
      <c r="D3951" t="inlineStr">
        <is>
          <t>VÄSTMANLANDS LÄN</t>
        </is>
      </c>
      <c r="E3951" t="inlineStr">
        <is>
          <t>VÄSTERÅS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10536-2024</t>
        </is>
      </c>
      <c r="B3952" s="1" t="n">
        <v>45366</v>
      </c>
      <c r="C3952" s="1" t="n">
        <v>45757</v>
      </c>
      <c r="D3952" t="inlineStr">
        <is>
          <t>VÄSTMANLANDS LÄN</t>
        </is>
      </c>
      <c r="E3952" t="inlineStr">
        <is>
          <t>SKINNSKATTEBERG</t>
        </is>
      </c>
      <c r="F3952" t="inlineStr">
        <is>
          <t>Sveaskog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10582-2024</t>
        </is>
      </c>
      <c r="B3953" s="1" t="n">
        <v>45366</v>
      </c>
      <c r="C3953" s="1" t="n">
        <v>45757</v>
      </c>
      <c r="D3953" t="inlineStr">
        <is>
          <t>VÄSTMANLANDS LÄN</t>
        </is>
      </c>
      <c r="E3953" t="inlineStr">
        <is>
          <t>KÖPING</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10519-2024</t>
        </is>
      </c>
      <c r="B3954" s="1" t="n">
        <v>45366</v>
      </c>
      <c r="C3954" s="1" t="n">
        <v>45757</v>
      </c>
      <c r="D3954" t="inlineStr">
        <is>
          <t>VÄSTMANLANDS LÄN</t>
        </is>
      </c>
      <c r="E3954" t="inlineStr">
        <is>
          <t>SKINNSKATTEBERG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10527-2024</t>
        </is>
      </c>
      <c r="B3955" s="1" t="n">
        <v>45366</v>
      </c>
      <c r="C3955" s="1" t="n">
        <v>45757</v>
      </c>
      <c r="D3955" t="inlineStr">
        <is>
          <t>VÄSTMANLANDS LÄN</t>
        </is>
      </c>
      <c r="E3955" t="inlineStr">
        <is>
          <t>SKINNSKATTEBERG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10535-2024</t>
        </is>
      </c>
      <c r="B3956" s="1" t="n">
        <v>45366</v>
      </c>
      <c r="C3956" s="1" t="n">
        <v>45757</v>
      </c>
      <c r="D3956" t="inlineStr">
        <is>
          <t>VÄSTMANLANDS LÄN</t>
        </is>
      </c>
      <c r="E3956" t="inlineStr">
        <is>
          <t>SKINNSKATTEBERG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10555-2024</t>
        </is>
      </c>
      <c r="B3957" s="1" t="n">
        <v>45366</v>
      </c>
      <c r="C3957" s="1" t="n">
        <v>45757</v>
      </c>
      <c r="D3957" t="inlineStr">
        <is>
          <t>VÄSTMANLANDS LÄN</t>
        </is>
      </c>
      <c r="E3957" t="inlineStr">
        <is>
          <t>SKINNSKATTEBERG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10559-2024</t>
        </is>
      </c>
      <c r="B3958" s="1" t="n">
        <v>45366</v>
      </c>
      <c r="C3958" s="1" t="n">
        <v>45757</v>
      </c>
      <c r="D3958" t="inlineStr">
        <is>
          <t>VÄSTMANLANDS LÄN</t>
        </is>
      </c>
      <c r="E3958" t="inlineStr">
        <is>
          <t>SALA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10678-2024</t>
        </is>
      </c>
      <c r="B3959" s="1" t="n">
        <v>45368</v>
      </c>
      <c r="C3959" s="1" t="n">
        <v>45757</v>
      </c>
      <c r="D3959" t="inlineStr">
        <is>
          <t>VÄSTMANLANDS LÄN</t>
        </is>
      </c>
      <c r="E3959" t="inlineStr">
        <is>
          <t>ARBOGA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10679-2024</t>
        </is>
      </c>
      <c r="B3960" s="1" t="n">
        <v>45368</v>
      </c>
      <c r="C3960" s="1" t="n">
        <v>45757</v>
      </c>
      <c r="D3960" t="inlineStr">
        <is>
          <t>VÄSTMANLANDS LÄN</t>
        </is>
      </c>
      <c r="E3960" t="inlineStr">
        <is>
          <t>ARBOGA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10751-2024</t>
        </is>
      </c>
      <c r="B3961" s="1" t="n">
        <v>45369</v>
      </c>
      <c r="C3961" s="1" t="n">
        <v>45757</v>
      </c>
      <c r="D3961" t="inlineStr">
        <is>
          <t>VÄSTMANLANDS LÄN</t>
        </is>
      </c>
      <c r="E3961" t="inlineStr">
        <is>
          <t>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10817-2024</t>
        </is>
      </c>
      <c r="B3962" s="1" t="n">
        <v>45369</v>
      </c>
      <c r="C3962" s="1" t="n">
        <v>45757</v>
      </c>
      <c r="D3962" t="inlineStr">
        <is>
          <t>VÄSTMANLANDS LÄN</t>
        </is>
      </c>
      <c r="E3962" t="inlineStr">
        <is>
          <t>VÄSTERÅS</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10754-2024</t>
        </is>
      </c>
      <c r="B3963" s="1" t="n">
        <v>45369</v>
      </c>
      <c r="C3963" s="1" t="n">
        <v>45757</v>
      </c>
      <c r="D3963" t="inlineStr">
        <is>
          <t>VÄSTMANLANDS LÄN</t>
        </is>
      </c>
      <c r="E3963" t="inlineStr">
        <is>
          <t>SALA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10905-2024</t>
        </is>
      </c>
      <c r="B3964" s="1" t="n">
        <v>45370</v>
      </c>
      <c r="C3964" s="1" t="n">
        <v>45757</v>
      </c>
      <c r="D3964" t="inlineStr">
        <is>
          <t>VÄSTMANLANDS LÄN</t>
        </is>
      </c>
      <c r="E3964" t="inlineStr">
        <is>
          <t>VÄSTERÅS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10909-2024</t>
        </is>
      </c>
      <c r="B3965" s="1" t="n">
        <v>45370</v>
      </c>
      <c r="C3965" s="1" t="n">
        <v>45757</v>
      </c>
      <c r="D3965" t="inlineStr">
        <is>
          <t>VÄSTMANLANDS LÄN</t>
        </is>
      </c>
      <c r="E3965" t="inlineStr">
        <is>
          <t>SALA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10946-2024</t>
        </is>
      </c>
      <c r="B3966" s="1" t="n">
        <v>45370</v>
      </c>
      <c r="C3966" s="1" t="n">
        <v>45757</v>
      </c>
      <c r="D3966" t="inlineStr">
        <is>
          <t>VÄSTMANLANDS LÄN</t>
        </is>
      </c>
      <c r="E3966" t="inlineStr">
        <is>
          <t>NORBERG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10979-2024</t>
        </is>
      </c>
      <c r="B3967" s="1" t="n">
        <v>45370</v>
      </c>
      <c r="C3967" s="1" t="n">
        <v>45757</v>
      </c>
      <c r="D3967" t="inlineStr">
        <is>
          <t>VÄSTMANLANDS LÄN</t>
        </is>
      </c>
      <c r="E3967" t="inlineStr">
        <is>
          <t>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10912-2024</t>
        </is>
      </c>
      <c r="B3968" s="1" t="n">
        <v>45370</v>
      </c>
      <c r="C3968" s="1" t="n">
        <v>45757</v>
      </c>
      <c r="D3968" t="inlineStr">
        <is>
          <t>VÄSTMANLANDS LÄN</t>
        </is>
      </c>
      <c r="E3968" t="inlineStr">
        <is>
          <t>VÄSTERÅS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10916-2024</t>
        </is>
      </c>
      <c r="B3969" s="1" t="n">
        <v>45370</v>
      </c>
      <c r="C3969" s="1" t="n">
        <v>45757</v>
      </c>
      <c r="D3969" t="inlineStr">
        <is>
          <t>VÄSTMANLANDS LÄN</t>
        </is>
      </c>
      <c r="E3969" t="inlineStr">
        <is>
          <t>KUNGSÖR</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10948-2024</t>
        </is>
      </c>
      <c r="B3970" s="1" t="n">
        <v>45370</v>
      </c>
      <c r="C3970" s="1" t="n">
        <v>45757</v>
      </c>
      <c r="D3970" t="inlineStr">
        <is>
          <t>VÄSTMANLANDS LÄN</t>
        </is>
      </c>
      <c r="E3970" t="inlineStr">
        <is>
          <t>KÖPING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11216-2024</t>
        </is>
      </c>
      <c r="B3971" s="1" t="n">
        <v>45371</v>
      </c>
      <c r="C3971" s="1" t="n">
        <v>45757</v>
      </c>
      <c r="D3971" t="inlineStr">
        <is>
          <t>VÄSTMANLANDS LÄN</t>
        </is>
      </c>
      <c r="E3971" t="inlineStr">
        <is>
          <t>ARBOGA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11244-2024</t>
        </is>
      </c>
      <c r="B3972" s="1" t="n">
        <v>45371</v>
      </c>
      <c r="C3972" s="1" t="n">
        <v>45757</v>
      </c>
      <c r="D3972" t="inlineStr">
        <is>
          <t>VÄSTMANLANDS LÄN</t>
        </is>
      </c>
      <c r="E3972" t="inlineStr">
        <is>
          <t>SALA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11381-2024</t>
        </is>
      </c>
      <c r="B3973" s="1" t="n">
        <v>45372</v>
      </c>
      <c r="C3973" s="1" t="n">
        <v>45757</v>
      </c>
      <c r="D3973" t="inlineStr">
        <is>
          <t>VÄSTMANLANDS LÄN</t>
        </is>
      </c>
      <c r="E3973" t="inlineStr">
        <is>
          <t>SALA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11389-2024</t>
        </is>
      </c>
      <c r="B3974" s="1" t="n">
        <v>45372</v>
      </c>
      <c r="C3974" s="1" t="n">
        <v>45757</v>
      </c>
      <c r="D3974" t="inlineStr">
        <is>
          <t>VÄSTMANLANDS LÄN</t>
        </is>
      </c>
      <c r="E3974" t="inlineStr">
        <is>
          <t>SALA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11374-2024</t>
        </is>
      </c>
      <c r="B3975" s="1" t="n">
        <v>45372</v>
      </c>
      <c r="C3975" s="1" t="n">
        <v>45757</v>
      </c>
      <c r="D3975" t="inlineStr">
        <is>
          <t>VÄSTMANLANDS LÄN</t>
        </is>
      </c>
      <c r="E3975" t="inlineStr">
        <is>
          <t>VÄSTERÅS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11378-2024</t>
        </is>
      </c>
      <c r="B3976" s="1" t="n">
        <v>45372</v>
      </c>
      <c r="C3976" s="1" t="n">
        <v>45757</v>
      </c>
      <c r="D3976" t="inlineStr">
        <is>
          <t>VÄSTMANLANDS LÄN</t>
        </is>
      </c>
      <c r="E3976" t="inlineStr">
        <is>
          <t>SALA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11492-2024</t>
        </is>
      </c>
      <c r="B3977" s="1" t="n">
        <v>45372</v>
      </c>
      <c r="C3977" s="1" t="n">
        <v>45757</v>
      </c>
      <c r="D3977" t="inlineStr">
        <is>
          <t>VÄSTMANLANDS LÄN</t>
        </is>
      </c>
      <c r="E3977" t="inlineStr">
        <is>
          <t>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11675-2024</t>
        </is>
      </c>
      <c r="B3978" s="1" t="n">
        <v>45373</v>
      </c>
      <c r="C3978" s="1" t="n">
        <v>45757</v>
      </c>
      <c r="D3978" t="inlineStr">
        <is>
          <t>VÄSTMANLANDS LÄN</t>
        </is>
      </c>
      <c r="E3978" t="inlineStr">
        <is>
          <t>KÖPING</t>
        </is>
      </c>
      <c r="F3978" t="inlineStr">
        <is>
          <t>Sveaskog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11800-2024</t>
        </is>
      </c>
      <c r="B3979" s="1" t="n">
        <v>45375</v>
      </c>
      <c r="C3979" s="1" t="n">
        <v>45757</v>
      </c>
      <c r="D3979" t="inlineStr">
        <is>
          <t>VÄSTMANLANDS LÄN</t>
        </is>
      </c>
      <c r="E3979" t="inlineStr">
        <is>
          <t>SKINNSKATTEBERG</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11823-2024</t>
        </is>
      </c>
      <c r="B3980" s="1" t="n">
        <v>45376</v>
      </c>
      <c r="C3980" s="1" t="n">
        <v>45757</v>
      </c>
      <c r="D3980" t="inlineStr">
        <is>
          <t>VÄSTMANLANDS LÄN</t>
        </is>
      </c>
      <c r="E3980" t="inlineStr">
        <is>
          <t>SKINNSKATTEBERG</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11826-2024</t>
        </is>
      </c>
      <c r="B3981" s="1" t="n">
        <v>45376</v>
      </c>
      <c r="C3981" s="1" t="n">
        <v>45757</v>
      </c>
      <c r="D3981" t="inlineStr">
        <is>
          <t>VÄSTMANLANDS LÄN</t>
        </is>
      </c>
      <c r="E3981" t="inlineStr">
        <is>
          <t>SKINNSKATTEBERG</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11834-2024</t>
        </is>
      </c>
      <c r="B3982" s="1" t="n">
        <v>45376</v>
      </c>
      <c r="C3982" s="1" t="n">
        <v>45757</v>
      </c>
      <c r="D3982" t="inlineStr">
        <is>
          <t>VÄSTMANLANDS LÄN</t>
        </is>
      </c>
      <c r="E3982" t="inlineStr">
        <is>
          <t>NORBERG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11822-2024</t>
        </is>
      </c>
      <c r="B3983" s="1" t="n">
        <v>45376</v>
      </c>
      <c r="C3983" s="1" t="n">
        <v>45757</v>
      </c>
      <c r="D3983" t="inlineStr">
        <is>
          <t>VÄSTMANLANDS LÄN</t>
        </is>
      </c>
      <c r="E3983" t="inlineStr">
        <is>
          <t>SKINNSKATTEBERG</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11827-2024</t>
        </is>
      </c>
      <c r="B3984" s="1" t="n">
        <v>45376</v>
      </c>
      <c r="C3984" s="1" t="n">
        <v>45757</v>
      </c>
      <c r="D3984" t="inlineStr">
        <is>
          <t>VÄSTMANLANDS LÄN</t>
        </is>
      </c>
      <c r="E3984" t="inlineStr">
        <is>
          <t>SKINNSKATTEBERG</t>
        </is>
      </c>
      <c r="F3984" t="inlineStr">
        <is>
          <t>Sveaskog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11847-2024</t>
        </is>
      </c>
      <c r="B3985" s="1" t="n">
        <v>45376</v>
      </c>
      <c r="C3985" s="1" t="n">
        <v>45757</v>
      </c>
      <c r="D3985" t="inlineStr">
        <is>
          <t>VÄSTMANLANDS LÄN</t>
        </is>
      </c>
      <c r="E3985" t="inlineStr">
        <is>
          <t>SALA</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12115-2024</t>
        </is>
      </c>
      <c r="B3986" s="1" t="n">
        <v>45376</v>
      </c>
      <c r="C3986" s="1" t="n">
        <v>45757</v>
      </c>
      <c r="D3986" t="inlineStr">
        <is>
          <t>VÄSTMANLANDS LÄN</t>
        </is>
      </c>
      <c r="E3986" t="inlineStr">
        <is>
          <t>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12158-2024</t>
        </is>
      </c>
      <c r="B3987" s="1" t="n">
        <v>45377</v>
      </c>
      <c r="C3987" s="1" t="n">
        <v>45757</v>
      </c>
      <c r="D3987" t="inlineStr">
        <is>
          <t>VÄSTMANLANDS LÄN</t>
        </is>
      </c>
      <c r="E3987" t="inlineStr">
        <is>
          <t>SKINNSKATTEBERG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12094-2024</t>
        </is>
      </c>
      <c r="B3988" s="1" t="n">
        <v>45377</v>
      </c>
      <c r="C3988" s="1" t="n">
        <v>45757</v>
      </c>
      <c r="D3988" t="inlineStr">
        <is>
          <t>VÄSTMANLANDS LÄN</t>
        </is>
      </c>
      <c r="E3988" t="inlineStr">
        <is>
          <t>SKINNSKATTEBERG</t>
        </is>
      </c>
      <c r="F3988" t="inlineStr">
        <is>
          <t>Sveaskog</t>
        </is>
      </c>
      <c r="G3988" t="n">
        <v>13.4</v>
      </c>
      <c r="H3988" t="n">
        <v>0</v>
      </c>
      <c r="I3988" t="n">
        <v>0</v>
      </c>
      <c r="J3988" t="n">
        <v>0</v>
      </c>
      <c r="K3988" t="n">
        <v>0</v>
      </c>
      <c r="L3988" t="n">
        <v>0</v>
      </c>
      <c r="M3988" t="n">
        <v>0</v>
      </c>
      <c r="N3988" t="n">
        <v>0</v>
      </c>
      <c r="O3988" t="n">
        <v>0</v>
      </c>
      <c r="P3988" t="n">
        <v>0</v>
      </c>
      <c r="Q3988" t="n">
        <v>0</v>
      </c>
      <c r="R3988" s="2" t="inlineStr"/>
    </row>
    <row r="3989" ht="15" customHeight="1">
      <c r="A3989" t="inlineStr">
        <is>
          <t>A 12057-2024</t>
        </is>
      </c>
      <c r="B3989" s="1" t="n">
        <v>45377</v>
      </c>
      <c r="C3989" s="1" t="n">
        <v>45757</v>
      </c>
      <c r="D3989" t="inlineStr">
        <is>
          <t>VÄSTMANLANDS LÄN</t>
        </is>
      </c>
      <c r="E3989" t="inlineStr">
        <is>
          <t>KÖPING</t>
        </is>
      </c>
      <c r="F3989" t="inlineStr">
        <is>
          <t>Sveaskog</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12095-2024</t>
        </is>
      </c>
      <c r="B3990" s="1" t="n">
        <v>45377</v>
      </c>
      <c r="C3990" s="1" t="n">
        <v>45757</v>
      </c>
      <c r="D3990" t="inlineStr">
        <is>
          <t>VÄSTMANLANDS LÄN</t>
        </is>
      </c>
      <c r="E3990" t="inlineStr">
        <is>
          <t>SKINNSKATTEBERG</t>
        </is>
      </c>
      <c r="F3990" t="inlineStr">
        <is>
          <t>Sveaskog</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12055-2024</t>
        </is>
      </c>
      <c r="B3991" s="1" t="n">
        <v>45377</v>
      </c>
      <c r="C3991" s="1" t="n">
        <v>45757</v>
      </c>
      <c r="D3991" t="inlineStr">
        <is>
          <t>VÄSTMANLANDS LÄN</t>
        </is>
      </c>
      <c r="E3991" t="inlineStr">
        <is>
          <t>KÖPING</t>
        </is>
      </c>
      <c r="F3991" t="inlineStr">
        <is>
          <t>Sveaskog</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12096-2024</t>
        </is>
      </c>
      <c r="B3992" s="1" t="n">
        <v>45377</v>
      </c>
      <c r="C3992" s="1" t="n">
        <v>45757</v>
      </c>
      <c r="D3992" t="inlineStr">
        <is>
          <t>VÄSTMANLANDS LÄN</t>
        </is>
      </c>
      <c r="E3992" t="inlineStr">
        <is>
          <t>SKINNSKATTEBERG</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12236-2024</t>
        </is>
      </c>
      <c r="B3993" s="1" t="n">
        <v>45378</v>
      </c>
      <c r="C3993" s="1" t="n">
        <v>45757</v>
      </c>
      <c r="D3993" t="inlineStr">
        <is>
          <t>VÄSTMANLANDS LÄN</t>
        </is>
      </c>
      <c r="E3993" t="inlineStr">
        <is>
          <t>SALA</t>
        </is>
      </c>
      <c r="F3993" t="inlineStr">
        <is>
          <t>Kommuner</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12289-2024</t>
        </is>
      </c>
      <c r="B3994" s="1" t="n">
        <v>45378</v>
      </c>
      <c r="C3994" s="1" t="n">
        <v>45757</v>
      </c>
      <c r="D3994" t="inlineStr">
        <is>
          <t>VÄSTMANLANDS LÄN</t>
        </is>
      </c>
      <c r="E3994" t="inlineStr">
        <is>
          <t>VÄSTERÅS</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12302-2024</t>
        </is>
      </c>
      <c r="B3995" s="1" t="n">
        <v>45378</v>
      </c>
      <c r="C3995" s="1" t="n">
        <v>45757</v>
      </c>
      <c r="D3995" t="inlineStr">
        <is>
          <t>VÄSTMANLANDS LÄN</t>
        </is>
      </c>
      <c r="E3995" t="inlineStr">
        <is>
          <t>KÖPING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12244-2024</t>
        </is>
      </c>
      <c r="B3996" s="1" t="n">
        <v>45378</v>
      </c>
      <c r="C3996" s="1" t="n">
        <v>45757</v>
      </c>
      <c r="D3996" t="inlineStr">
        <is>
          <t>VÄSTMANLANDS LÄN</t>
        </is>
      </c>
      <c r="E3996" t="inlineStr">
        <is>
          <t>SALA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12237-2024</t>
        </is>
      </c>
      <c r="B3997" s="1" t="n">
        <v>45378</v>
      </c>
      <c r="C3997" s="1" t="n">
        <v>45757</v>
      </c>
      <c r="D3997" t="inlineStr">
        <is>
          <t>VÄSTMANLANDS LÄN</t>
        </is>
      </c>
      <c r="E3997" t="inlineStr">
        <is>
          <t>SALA</t>
        </is>
      </c>
      <c r="F3997" t="inlineStr">
        <is>
          <t>Kommuner</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12242-2024</t>
        </is>
      </c>
      <c r="B3998" s="1" t="n">
        <v>45378</v>
      </c>
      <c r="C3998" s="1" t="n">
        <v>45757</v>
      </c>
      <c r="D3998" t="inlineStr">
        <is>
          <t>VÄSTMANLANDS LÄN</t>
        </is>
      </c>
      <c r="E3998" t="inlineStr">
        <is>
          <t>SALA</t>
        </is>
      </c>
      <c r="F3998" t="inlineStr">
        <is>
          <t>Kommuner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12463-2024</t>
        </is>
      </c>
      <c r="B3999" s="1" t="n">
        <v>45378</v>
      </c>
      <c r="C3999" s="1" t="n">
        <v>45757</v>
      </c>
      <c r="D3999" t="inlineStr">
        <is>
          <t>VÄSTMANLANDS LÄN</t>
        </is>
      </c>
      <c r="E3999" t="inlineStr">
        <is>
          <t>SALA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12405-2024</t>
        </is>
      </c>
      <c r="B4000" s="1" t="n">
        <v>45379</v>
      </c>
      <c r="C4000" s="1" t="n">
        <v>45757</v>
      </c>
      <c r="D4000" t="inlineStr">
        <is>
          <t>VÄSTMANLANDS LÄN</t>
        </is>
      </c>
      <c r="E4000" t="inlineStr">
        <is>
          <t>ARBOGA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12485-2024</t>
        </is>
      </c>
      <c r="B4001" s="1" t="n">
        <v>45379</v>
      </c>
      <c r="C4001" s="1" t="n">
        <v>45757</v>
      </c>
      <c r="D4001" t="inlineStr">
        <is>
          <t>VÄSTMANLANDS LÄN</t>
        </is>
      </c>
      <c r="E4001" t="inlineStr">
        <is>
          <t>SALA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12406-2024</t>
        </is>
      </c>
      <c r="B4002" s="1" t="n">
        <v>45379</v>
      </c>
      <c r="C4002" s="1" t="n">
        <v>45757</v>
      </c>
      <c r="D4002" t="inlineStr">
        <is>
          <t>VÄSTMANLANDS LÄN</t>
        </is>
      </c>
      <c r="E4002" t="inlineStr">
        <is>
          <t>ARBOGA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12398-2024</t>
        </is>
      </c>
      <c r="B4003" s="1" t="n">
        <v>45379</v>
      </c>
      <c r="C4003" s="1" t="n">
        <v>45757</v>
      </c>
      <c r="D4003" t="inlineStr">
        <is>
          <t>VÄSTMANLANDS LÄN</t>
        </is>
      </c>
      <c r="E4003" t="inlineStr">
        <is>
          <t>ARBOGA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12678-2024</t>
        </is>
      </c>
      <c r="B4004" s="1" t="n">
        <v>45384</v>
      </c>
      <c r="C4004" s="1" t="n">
        <v>45757</v>
      </c>
      <c r="D4004" t="inlineStr">
        <is>
          <t>VÄSTMANLANDS LÄN</t>
        </is>
      </c>
      <c r="E4004" t="inlineStr">
        <is>
          <t>ARBOGA</t>
        </is>
      </c>
      <c r="F4004" t="inlineStr">
        <is>
          <t>Allmännings- och besparingsskogar</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12779-2024</t>
        </is>
      </c>
      <c r="B4005" s="1" t="n">
        <v>45384</v>
      </c>
      <c r="C4005" s="1" t="n">
        <v>45757</v>
      </c>
      <c r="D4005" t="inlineStr">
        <is>
          <t>VÄSTMANLANDS LÄN</t>
        </is>
      </c>
      <c r="E4005" t="inlineStr">
        <is>
          <t>HALLSTAHAMMAR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12773-2024</t>
        </is>
      </c>
      <c r="B4006" s="1" t="n">
        <v>45384</v>
      </c>
      <c r="C4006" s="1" t="n">
        <v>45757</v>
      </c>
      <c r="D4006" t="inlineStr">
        <is>
          <t>VÄSTMANLANDS LÄN</t>
        </is>
      </c>
      <c r="E4006" t="inlineStr">
        <is>
          <t>HALLSTAHAMMAR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12703-2024</t>
        </is>
      </c>
      <c r="B4007" s="1" t="n">
        <v>45384</v>
      </c>
      <c r="C4007" s="1" t="n">
        <v>45757</v>
      </c>
      <c r="D4007" t="inlineStr">
        <is>
          <t>VÄSTMANLANDS LÄN</t>
        </is>
      </c>
      <c r="E4007" t="inlineStr">
        <is>
          <t>KÖPING</t>
        </is>
      </c>
      <c r="F4007" t="inlineStr">
        <is>
          <t>Allmännings- och besparingsskogar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12770-2024</t>
        </is>
      </c>
      <c r="B4008" s="1" t="n">
        <v>45384</v>
      </c>
      <c r="C4008" s="1" t="n">
        <v>45757</v>
      </c>
      <c r="D4008" t="inlineStr">
        <is>
          <t>VÄSTMANLANDS LÄN</t>
        </is>
      </c>
      <c r="E4008" t="inlineStr">
        <is>
          <t>HALLSTAHAMMAR</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12667-2024</t>
        </is>
      </c>
      <c r="B4009" s="1" t="n">
        <v>45384</v>
      </c>
      <c r="C4009" s="1" t="n">
        <v>45757</v>
      </c>
      <c r="D4009" t="inlineStr">
        <is>
          <t>VÄSTMANLANDS LÄN</t>
        </is>
      </c>
      <c r="E4009" t="inlineStr">
        <is>
          <t>ARBOGA</t>
        </is>
      </c>
      <c r="F4009" t="inlineStr">
        <is>
          <t>Allmännings- och besparingsskogar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12697-2024</t>
        </is>
      </c>
      <c r="B4010" s="1" t="n">
        <v>45384</v>
      </c>
      <c r="C4010" s="1" t="n">
        <v>45757</v>
      </c>
      <c r="D4010" t="inlineStr">
        <is>
          <t>VÄSTMANLANDS LÄN</t>
        </is>
      </c>
      <c r="E4010" t="inlineStr">
        <is>
          <t>ARBOGA</t>
        </is>
      </c>
      <c r="F4010" t="inlineStr">
        <is>
          <t>Allmännings- och besparingsskogar</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12735-2024</t>
        </is>
      </c>
      <c r="B4011" s="1" t="n">
        <v>45384</v>
      </c>
      <c r="C4011" s="1" t="n">
        <v>45757</v>
      </c>
      <c r="D4011" t="inlineStr">
        <is>
          <t>VÄSTMANLANDS LÄN</t>
        </is>
      </c>
      <c r="E4011" t="inlineStr">
        <is>
          <t>KÖPING</t>
        </is>
      </c>
      <c r="F4011" t="inlineStr">
        <is>
          <t>Allmännings- och besparingsskogar</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12888-2024</t>
        </is>
      </c>
      <c r="B4012" s="1" t="n">
        <v>45385</v>
      </c>
      <c r="C4012" s="1" t="n">
        <v>45757</v>
      </c>
      <c r="D4012" t="inlineStr">
        <is>
          <t>VÄSTMANLANDS LÄN</t>
        </is>
      </c>
      <c r="E4012" t="inlineStr">
        <is>
          <t>SKINNSKATTEBERG</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13121-2024</t>
        </is>
      </c>
      <c r="B4013" s="1" t="n">
        <v>45385</v>
      </c>
      <c r="C4013" s="1" t="n">
        <v>45757</v>
      </c>
      <c r="D4013" t="inlineStr">
        <is>
          <t>VÄSTMANLANDS LÄN</t>
        </is>
      </c>
      <c r="E4013" t="inlineStr">
        <is>
          <t>ARBOGA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13106-2024</t>
        </is>
      </c>
      <c r="B4014" s="1" t="n">
        <v>45385</v>
      </c>
      <c r="C4014" s="1" t="n">
        <v>45757</v>
      </c>
      <c r="D4014" t="inlineStr">
        <is>
          <t>VÄSTMANLANDS LÄN</t>
        </is>
      </c>
      <c r="E4014" t="inlineStr">
        <is>
          <t>SALA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13110-2024</t>
        </is>
      </c>
      <c r="B4015" s="1" t="n">
        <v>45385</v>
      </c>
      <c r="C4015" s="1" t="n">
        <v>45757</v>
      </c>
      <c r="D4015" t="inlineStr">
        <is>
          <t>VÄSTMANLANDS LÄN</t>
        </is>
      </c>
      <c r="E4015" t="inlineStr">
        <is>
          <t>SALA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13295-2024</t>
        </is>
      </c>
      <c r="B4016" s="1" t="n">
        <v>45386</v>
      </c>
      <c r="C4016" s="1" t="n">
        <v>45757</v>
      </c>
      <c r="D4016" t="inlineStr">
        <is>
          <t>VÄSTMANLANDS LÄN</t>
        </is>
      </c>
      <c r="E4016" t="inlineStr">
        <is>
          <t>SKINNSKATTEBERG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13160-2024</t>
        </is>
      </c>
      <c r="B4017" s="1" t="n">
        <v>45386</v>
      </c>
      <c r="C4017" s="1" t="n">
        <v>45757</v>
      </c>
      <c r="D4017" t="inlineStr">
        <is>
          <t>VÄSTMANLANDS LÄN</t>
        </is>
      </c>
      <c r="E4017" t="inlineStr">
        <is>
          <t>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13388-2024</t>
        </is>
      </c>
      <c r="B4018" s="1" t="n">
        <v>45387</v>
      </c>
      <c r="C4018" s="1" t="n">
        <v>45757</v>
      </c>
      <c r="D4018" t="inlineStr">
        <is>
          <t>VÄSTMANLANDS LÄN</t>
        </is>
      </c>
      <c r="E4018" t="inlineStr">
        <is>
          <t>SKINNSKATTEBERG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13387-2024</t>
        </is>
      </c>
      <c r="B4019" s="1" t="n">
        <v>45387</v>
      </c>
      <c r="C4019" s="1" t="n">
        <v>45757</v>
      </c>
      <c r="D4019" t="inlineStr">
        <is>
          <t>VÄSTMANLANDS LÄN</t>
        </is>
      </c>
      <c r="E4019" t="inlineStr">
        <is>
          <t>SKINNSKATTEBERG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13383-2024</t>
        </is>
      </c>
      <c r="B4020" s="1" t="n">
        <v>45387</v>
      </c>
      <c r="C4020" s="1" t="n">
        <v>45757</v>
      </c>
      <c r="D4020" t="inlineStr">
        <is>
          <t>VÄSTMANLANDS LÄN</t>
        </is>
      </c>
      <c r="E4020" t="inlineStr">
        <is>
          <t>SKINNSKATTEBERG</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13409-2024</t>
        </is>
      </c>
      <c r="B4021" s="1" t="n">
        <v>45387</v>
      </c>
      <c r="C4021" s="1" t="n">
        <v>45757</v>
      </c>
      <c r="D4021" t="inlineStr">
        <is>
          <t>VÄSTMANLANDS LÄN</t>
        </is>
      </c>
      <c r="E4021" t="inlineStr">
        <is>
          <t>KÖPING</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13401-2024</t>
        </is>
      </c>
      <c r="B4022" s="1" t="n">
        <v>45387</v>
      </c>
      <c r="C4022" s="1" t="n">
        <v>45757</v>
      </c>
      <c r="D4022" t="inlineStr">
        <is>
          <t>VÄSTMANLANDS LÄN</t>
        </is>
      </c>
      <c r="E4022" t="inlineStr">
        <is>
          <t>KÖPING</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13385-2024</t>
        </is>
      </c>
      <c r="B4023" s="1" t="n">
        <v>45387</v>
      </c>
      <c r="C4023" s="1" t="n">
        <v>45757</v>
      </c>
      <c r="D4023" t="inlineStr">
        <is>
          <t>VÄSTMANLANDS LÄN</t>
        </is>
      </c>
      <c r="E4023" t="inlineStr">
        <is>
          <t>SKINNSKATTEBERG</t>
        </is>
      </c>
      <c r="F4023" t="inlineStr">
        <is>
          <t>Sveaskog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13654-2024</t>
        </is>
      </c>
      <c r="B4024" s="1" t="n">
        <v>45390</v>
      </c>
      <c r="C4024" s="1" t="n">
        <v>45757</v>
      </c>
      <c r="D4024" t="inlineStr">
        <is>
          <t>VÄSTMANLANDS LÄN</t>
        </is>
      </c>
      <c r="E4024" t="inlineStr">
        <is>
          <t>NORBERG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13715-2024</t>
        </is>
      </c>
      <c r="B4025" s="1" t="n">
        <v>45390</v>
      </c>
      <c r="C4025" s="1" t="n">
        <v>45757</v>
      </c>
      <c r="D4025" t="inlineStr">
        <is>
          <t>VÄSTMANLANDS LÄN</t>
        </is>
      </c>
      <c r="E4025" t="inlineStr">
        <is>
          <t>SKINNSKATTEBERG</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13721-2024</t>
        </is>
      </c>
      <c r="B4026" s="1" t="n">
        <v>45390</v>
      </c>
      <c r="C4026" s="1" t="n">
        <v>45757</v>
      </c>
      <c r="D4026" t="inlineStr">
        <is>
          <t>VÄSTMANLANDS LÄN</t>
        </is>
      </c>
      <c r="E4026" t="inlineStr">
        <is>
          <t>FAGERSTA</t>
        </is>
      </c>
      <c r="F4026" t="inlineStr">
        <is>
          <t>Kommuner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13656-2024</t>
        </is>
      </c>
      <c r="B4027" s="1" t="n">
        <v>45390</v>
      </c>
      <c r="C4027" s="1" t="n">
        <v>45757</v>
      </c>
      <c r="D4027" t="inlineStr">
        <is>
          <t>VÄSTMANLANDS LÄN</t>
        </is>
      </c>
      <c r="E4027" t="inlineStr">
        <is>
          <t>VÄSTERÅS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13713-2024</t>
        </is>
      </c>
      <c r="B4028" s="1" t="n">
        <v>45390</v>
      </c>
      <c r="C4028" s="1" t="n">
        <v>45757</v>
      </c>
      <c r="D4028" t="inlineStr">
        <is>
          <t>VÄSTMANLANDS LÄN</t>
        </is>
      </c>
      <c r="E4028" t="inlineStr">
        <is>
          <t>SKINNSKATTEBERG</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14051-2024</t>
        </is>
      </c>
      <c r="B4029" s="1" t="n">
        <v>45392</v>
      </c>
      <c r="C4029" s="1" t="n">
        <v>45757</v>
      </c>
      <c r="D4029" t="inlineStr">
        <is>
          <t>VÄSTMANLANDS LÄN</t>
        </is>
      </c>
      <c r="E4029" t="inlineStr">
        <is>
          <t>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14001-2024</t>
        </is>
      </c>
      <c r="B4030" s="1" t="n">
        <v>45392</v>
      </c>
      <c r="C4030" s="1" t="n">
        <v>45757</v>
      </c>
      <c r="D4030" t="inlineStr">
        <is>
          <t>VÄSTMANLANDS LÄN</t>
        </is>
      </c>
      <c r="E4030" t="inlineStr">
        <is>
          <t>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14062-2024</t>
        </is>
      </c>
      <c r="B4031" s="1" t="n">
        <v>45392</v>
      </c>
      <c r="C4031" s="1" t="n">
        <v>45757</v>
      </c>
      <c r="D4031" t="inlineStr">
        <is>
          <t>VÄSTMANLANDS LÄN</t>
        </is>
      </c>
      <c r="E4031" t="inlineStr">
        <is>
          <t>KÖPING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14115-2024</t>
        </is>
      </c>
      <c r="B4032" s="1" t="n">
        <v>45392</v>
      </c>
      <c r="C4032" s="1" t="n">
        <v>45757</v>
      </c>
      <c r="D4032" t="inlineStr">
        <is>
          <t>VÄSTMANLANDS LÄN</t>
        </is>
      </c>
      <c r="E4032" t="inlineStr">
        <is>
          <t>SALA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13996-2024</t>
        </is>
      </c>
      <c r="B4033" s="1" t="n">
        <v>45392</v>
      </c>
      <c r="C4033" s="1" t="n">
        <v>45757</v>
      </c>
      <c r="D4033" t="inlineStr">
        <is>
          <t>VÄSTMANLANDS LÄN</t>
        </is>
      </c>
      <c r="E4033" t="inlineStr">
        <is>
          <t>SKINNSKATTEBERG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14114-2024</t>
        </is>
      </c>
      <c r="B4034" s="1" t="n">
        <v>45392</v>
      </c>
      <c r="C4034" s="1" t="n">
        <v>45757</v>
      </c>
      <c r="D4034" t="inlineStr">
        <is>
          <t>VÄSTMANLANDS LÄN</t>
        </is>
      </c>
      <c r="E4034" t="inlineStr">
        <is>
          <t>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14002-2024</t>
        </is>
      </c>
      <c r="B4035" s="1" t="n">
        <v>45392</v>
      </c>
      <c r="C4035" s="1" t="n">
        <v>45757</v>
      </c>
      <c r="D4035" t="inlineStr">
        <is>
          <t>VÄSTMANLANDS LÄN</t>
        </is>
      </c>
      <c r="E4035" t="inlineStr">
        <is>
          <t>SKINNSKATTEBERG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14181-2024</t>
        </is>
      </c>
      <c r="B4036" s="1" t="n">
        <v>45393</v>
      </c>
      <c r="C4036" s="1" t="n">
        <v>45757</v>
      </c>
      <c r="D4036" t="inlineStr">
        <is>
          <t>VÄSTMANLANDS LÄN</t>
        </is>
      </c>
      <c r="E4036" t="inlineStr">
        <is>
          <t>SALA</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14189-2024</t>
        </is>
      </c>
      <c r="B4037" s="1" t="n">
        <v>45393</v>
      </c>
      <c r="C4037" s="1" t="n">
        <v>45757</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14335-2024</t>
        </is>
      </c>
      <c r="B4038" s="1" t="n">
        <v>45393</v>
      </c>
      <c r="C4038" s="1" t="n">
        <v>45757</v>
      </c>
      <c r="D4038" t="inlineStr">
        <is>
          <t>VÄSTMANLANDS LÄN</t>
        </is>
      </c>
      <c r="E4038" t="inlineStr">
        <is>
          <t>SKINNSKATTEBERG</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14406-2024</t>
        </is>
      </c>
      <c r="B4039" s="1" t="n">
        <v>45394</v>
      </c>
      <c r="C4039" s="1" t="n">
        <v>45757</v>
      </c>
      <c r="D4039" t="inlineStr">
        <is>
          <t>VÄSTMANLANDS LÄN</t>
        </is>
      </c>
      <c r="E4039" t="inlineStr">
        <is>
          <t>SKINNSKATTEBERG</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14624-2024</t>
        </is>
      </c>
      <c r="B4040" s="1" t="n">
        <v>45397</v>
      </c>
      <c r="C4040" s="1" t="n">
        <v>45757</v>
      </c>
      <c r="D4040" t="inlineStr">
        <is>
          <t>VÄSTMANLANDS LÄN</t>
        </is>
      </c>
      <c r="E4040" t="inlineStr">
        <is>
          <t>KÖPING</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14627-2024</t>
        </is>
      </c>
      <c r="B4041" s="1" t="n">
        <v>45397</v>
      </c>
      <c r="C4041" s="1" t="n">
        <v>45757</v>
      </c>
      <c r="D4041" t="inlineStr">
        <is>
          <t>VÄSTMANLANDS LÄN</t>
        </is>
      </c>
      <c r="E4041" t="inlineStr">
        <is>
          <t>SKINNSKATTEBERG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14779-2024</t>
        </is>
      </c>
      <c r="B4042" s="1" t="n">
        <v>45397</v>
      </c>
      <c r="C4042" s="1" t="n">
        <v>45757</v>
      </c>
      <c r="D4042" t="inlineStr">
        <is>
          <t>VÄSTMANLANDS LÄN</t>
        </is>
      </c>
      <c r="E4042" t="inlineStr">
        <is>
          <t>KUNGSÖR</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14799-2024</t>
        </is>
      </c>
      <c r="B4043" s="1" t="n">
        <v>45397</v>
      </c>
      <c r="C4043" s="1" t="n">
        <v>45757</v>
      </c>
      <c r="D4043" t="inlineStr">
        <is>
          <t>VÄSTMANLANDS LÄN</t>
        </is>
      </c>
      <c r="E4043" t="inlineStr">
        <is>
          <t>VÄSTERÅS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14626-2024</t>
        </is>
      </c>
      <c r="B4044" s="1" t="n">
        <v>45397</v>
      </c>
      <c r="C4044" s="1" t="n">
        <v>45757</v>
      </c>
      <c r="D4044" t="inlineStr">
        <is>
          <t>VÄSTMANLANDS LÄN</t>
        </is>
      </c>
      <c r="E4044" t="inlineStr">
        <is>
          <t>SKINNSKATTEBERG</t>
        </is>
      </c>
      <c r="F4044" t="inlineStr">
        <is>
          <t>Sveaskog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14770-2024</t>
        </is>
      </c>
      <c r="B4045" s="1" t="n">
        <v>45397</v>
      </c>
      <c r="C4045" s="1" t="n">
        <v>45757</v>
      </c>
      <c r="D4045" t="inlineStr">
        <is>
          <t>VÄSTMANLANDS LÄN</t>
        </is>
      </c>
      <c r="E4045" t="inlineStr">
        <is>
          <t>ARBOGA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14784-2024</t>
        </is>
      </c>
      <c r="B4046" s="1" t="n">
        <v>45397</v>
      </c>
      <c r="C4046" s="1" t="n">
        <v>45757</v>
      </c>
      <c r="D4046" t="inlineStr">
        <is>
          <t>VÄSTMANLANDS LÄN</t>
        </is>
      </c>
      <c r="E4046" t="inlineStr">
        <is>
          <t>KUNGSÖR</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14800-2024</t>
        </is>
      </c>
      <c r="B4047" s="1" t="n">
        <v>45397</v>
      </c>
      <c r="C4047" s="1" t="n">
        <v>45757</v>
      </c>
      <c r="D4047" t="inlineStr">
        <is>
          <t>VÄSTMANLANDS LÄN</t>
        </is>
      </c>
      <c r="E4047" t="inlineStr">
        <is>
          <t>VÄSTERÅS</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14625-2024</t>
        </is>
      </c>
      <c r="B4048" s="1" t="n">
        <v>45397</v>
      </c>
      <c r="C4048" s="1" t="n">
        <v>45757</v>
      </c>
      <c r="D4048" t="inlineStr">
        <is>
          <t>VÄSTMANLANDS LÄN</t>
        </is>
      </c>
      <c r="E4048" t="inlineStr">
        <is>
          <t>KÖPING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14836-2024</t>
        </is>
      </c>
      <c r="B4049" s="1" t="n">
        <v>45398</v>
      </c>
      <c r="C4049" s="1" t="n">
        <v>45757</v>
      </c>
      <c r="D4049" t="inlineStr">
        <is>
          <t>VÄSTMANLANDS LÄN</t>
        </is>
      </c>
      <c r="E4049" t="inlineStr">
        <is>
          <t>VÄSTERÅS</t>
        </is>
      </c>
      <c r="G4049" t="n">
        <v>20.5</v>
      </c>
      <c r="H4049" t="n">
        <v>0</v>
      </c>
      <c r="I4049" t="n">
        <v>0</v>
      </c>
      <c r="J4049" t="n">
        <v>0</v>
      </c>
      <c r="K4049" t="n">
        <v>0</v>
      </c>
      <c r="L4049" t="n">
        <v>0</v>
      </c>
      <c r="M4049" t="n">
        <v>0</v>
      </c>
      <c r="N4049" t="n">
        <v>0</v>
      </c>
      <c r="O4049" t="n">
        <v>0</v>
      </c>
      <c r="P4049" t="n">
        <v>0</v>
      </c>
      <c r="Q4049" t="n">
        <v>0</v>
      </c>
      <c r="R4049" s="2" t="inlineStr"/>
    </row>
    <row r="4050" ht="15" customHeight="1">
      <c r="A4050" t="inlineStr">
        <is>
          <t>A 14851-2024</t>
        </is>
      </c>
      <c r="B4050" s="1" t="n">
        <v>45398</v>
      </c>
      <c r="C4050" s="1" t="n">
        <v>45757</v>
      </c>
      <c r="D4050" t="inlineStr">
        <is>
          <t>VÄSTMANLANDS LÄN</t>
        </is>
      </c>
      <c r="E4050" t="inlineStr">
        <is>
          <t>VÄSTERÅS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15273-2024</t>
        </is>
      </c>
      <c r="B4051" s="1" t="n">
        <v>45400</v>
      </c>
      <c r="C4051" s="1" t="n">
        <v>45757</v>
      </c>
      <c r="D4051" t="inlineStr">
        <is>
          <t>VÄSTMANLANDS LÄN</t>
        </is>
      </c>
      <c r="E4051" t="inlineStr">
        <is>
          <t>VÄSTERÅS</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15298-2024</t>
        </is>
      </c>
      <c r="B4052" s="1" t="n">
        <v>45400</v>
      </c>
      <c r="C4052" s="1" t="n">
        <v>45757</v>
      </c>
      <c r="D4052" t="inlineStr">
        <is>
          <t>VÄSTMANLANDS LÄN</t>
        </is>
      </c>
      <c r="E4052" t="inlineStr">
        <is>
          <t>SKINNSKATTEBERG</t>
        </is>
      </c>
      <c r="F4052" t="inlineStr">
        <is>
          <t>Sveaskog</t>
        </is>
      </c>
      <c r="G4052" t="n">
        <v>12.4</v>
      </c>
      <c r="H4052" t="n">
        <v>0</v>
      </c>
      <c r="I4052" t="n">
        <v>0</v>
      </c>
      <c r="J4052" t="n">
        <v>0</v>
      </c>
      <c r="K4052" t="n">
        <v>0</v>
      </c>
      <c r="L4052" t="n">
        <v>0</v>
      </c>
      <c r="M4052" t="n">
        <v>0</v>
      </c>
      <c r="N4052" t="n">
        <v>0</v>
      </c>
      <c r="O4052" t="n">
        <v>0</v>
      </c>
      <c r="P4052" t="n">
        <v>0</v>
      </c>
      <c r="Q4052" t="n">
        <v>0</v>
      </c>
      <c r="R4052" s="2" t="inlineStr"/>
    </row>
    <row r="4053" ht="15" customHeight="1">
      <c r="A4053" t="inlineStr">
        <is>
          <t>A 15554-2024</t>
        </is>
      </c>
      <c r="B4053" s="1" t="n">
        <v>45401</v>
      </c>
      <c r="C4053" s="1" t="n">
        <v>45757</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15542-2024</t>
        </is>
      </c>
      <c r="B4054" s="1" t="n">
        <v>45401</v>
      </c>
      <c r="C4054" s="1" t="n">
        <v>45757</v>
      </c>
      <c r="D4054" t="inlineStr">
        <is>
          <t>VÄSTMANLANDS LÄN</t>
        </is>
      </c>
      <c r="E4054" t="inlineStr">
        <is>
          <t>SKINNSKATTEBERG</t>
        </is>
      </c>
      <c r="F4054" t="inlineStr">
        <is>
          <t>Sveaskog</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15551-2024</t>
        </is>
      </c>
      <c r="B4055" s="1" t="n">
        <v>45401</v>
      </c>
      <c r="C4055" s="1" t="n">
        <v>45757</v>
      </c>
      <c r="D4055" t="inlineStr">
        <is>
          <t>VÄSTMANLANDS LÄN</t>
        </is>
      </c>
      <c r="E4055" t="inlineStr">
        <is>
          <t>KÖPING</t>
        </is>
      </c>
      <c r="F4055" t="inlineStr">
        <is>
          <t>Sveaskog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15539-2024</t>
        </is>
      </c>
      <c r="B4056" s="1" t="n">
        <v>45401</v>
      </c>
      <c r="C4056" s="1" t="n">
        <v>45757</v>
      </c>
      <c r="D4056" t="inlineStr">
        <is>
          <t>VÄSTMANLANDS LÄN</t>
        </is>
      </c>
      <c r="E4056" t="inlineStr">
        <is>
          <t>SKINNSKATTEBERG</t>
        </is>
      </c>
      <c r="F4056" t="inlineStr">
        <is>
          <t>Sveaskog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15512-2024</t>
        </is>
      </c>
      <c r="B4057" s="1" t="n">
        <v>45401</v>
      </c>
      <c r="C4057" s="1" t="n">
        <v>45757</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15541-2024</t>
        </is>
      </c>
      <c r="B4058" s="1" t="n">
        <v>45401</v>
      </c>
      <c r="C4058" s="1" t="n">
        <v>45757</v>
      </c>
      <c r="D4058" t="inlineStr">
        <is>
          <t>VÄSTMANLANDS LÄN</t>
        </is>
      </c>
      <c r="E4058" t="inlineStr">
        <is>
          <t>SKINNSKATTEBERG</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15549-2024</t>
        </is>
      </c>
      <c r="B4059" s="1" t="n">
        <v>45401</v>
      </c>
      <c r="C4059" s="1" t="n">
        <v>45757</v>
      </c>
      <c r="D4059" t="inlineStr">
        <is>
          <t>VÄSTMANLANDS LÄN</t>
        </is>
      </c>
      <c r="E4059" t="inlineStr">
        <is>
          <t>KÖPING</t>
        </is>
      </c>
      <c r="F4059" t="inlineStr">
        <is>
          <t>Sveaskog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15561-2024</t>
        </is>
      </c>
      <c r="B4060" s="1" t="n">
        <v>45401</v>
      </c>
      <c r="C4060" s="1" t="n">
        <v>45757</v>
      </c>
      <c r="D4060" t="inlineStr">
        <is>
          <t>VÄSTMANLANDS LÄN</t>
        </is>
      </c>
      <c r="E4060" t="inlineStr">
        <is>
          <t>SKINNSKATTEBERG</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15540-2024</t>
        </is>
      </c>
      <c r="B4061" s="1" t="n">
        <v>45401</v>
      </c>
      <c r="C4061" s="1" t="n">
        <v>45757</v>
      </c>
      <c r="D4061" t="inlineStr">
        <is>
          <t>VÄSTMANLANDS LÄN</t>
        </is>
      </c>
      <c r="E4061" t="inlineStr">
        <is>
          <t>SKINNSKATTEBERG</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15732-2024</t>
        </is>
      </c>
      <c r="B4062" s="1" t="n">
        <v>45404</v>
      </c>
      <c r="C4062" s="1" t="n">
        <v>45757</v>
      </c>
      <c r="D4062" t="inlineStr">
        <is>
          <t>VÄSTMANLANDS LÄN</t>
        </is>
      </c>
      <c r="E4062" t="inlineStr">
        <is>
          <t>KÖPING</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15736-2024</t>
        </is>
      </c>
      <c r="B4063" s="1" t="n">
        <v>45404</v>
      </c>
      <c r="C4063" s="1" t="n">
        <v>45757</v>
      </c>
      <c r="D4063" t="inlineStr">
        <is>
          <t>VÄSTMANLANDS LÄN</t>
        </is>
      </c>
      <c r="E4063" t="inlineStr">
        <is>
          <t>KÖPING</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15737-2024</t>
        </is>
      </c>
      <c r="B4064" s="1" t="n">
        <v>45404</v>
      </c>
      <c r="C4064" s="1" t="n">
        <v>45757</v>
      </c>
      <c r="D4064" t="inlineStr">
        <is>
          <t>VÄSTMANLANDS LÄN</t>
        </is>
      </c>
      <c r="E4064" t="inlineStr">
        <is>
          <t>SKINNSKATTEBERG</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15735-2024</t>
        </is>
      </c>
      <c r="B4065" s="1" t="n">
        <v>45404</v>
      </c>
      <c r="C4065" s="1" t="n">
        <v>45757</v>
      </c>
      <c r="D4065" t="inlineStr">
        <is>
          <t>VÄSTMANLANDS LÄN</t>
        </is>
      </c>
      <c r="E4065" t="inlineStr">
        <is>
          <t>KÖPING</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15834-2024</t>
        </is>
      </c>
      <c r="B4066" s="1" t="n">
        <v>45404</v>
      </c>
      <c r="C4066" s="1" t="n">
        <v>45757</v>
      </c>
      <c r="D4066" t="inlineStr">
        <is>
          <t>VÄSTMANLANDS LÄN</t>
        </is>
      </c>
      <c r="E4066" t="inlineStr">
        <is>
          <t>NORBERG</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15972-2024</t>
        </is>
      </c>
      <c r="B4067" s="1" t="n">
        <v>45405</v>
      </c>
      <c r="C4067" s="1" t="n">
        <v>45757</v>
      </c>
      <c r="D4067" t="inlineStr">
        <is>
          <t>VÄSTMANLANDS LÄN</t>
        </is>
      </c>
      <c r="E4067" t="inlineStr">
        <is>
          <t>SALA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15968-2024</t>
        </is>
      </c>
      <c r="B4068" s="1" t="n">
        <v>45405</v>
      </c>
      <c r="C4068" s="1" t="n">
        <v>45757</v>
      </c>
      <c r="D4068" t="inlineStr">
        <is>
          <t>VÄSTMANLANDS LÄN</t>
        </is>
      </c>
      <c r="E4068" t="inlineStr">
        <is>
          <t>SALA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15965-2024</t>
        </is>
      </c>
      <c r="B4069" s="1" t="n">
        <v>45405</v>
      </c>
      <c r="C4069" s="1" t="n">
        <v>45757</v>
      </c>
      <c r="D4069" t="inlineStr">
        <is>
          <t>VÄSTMANLANDS LÄN</t>
        </is>
      </c>
      <c r="E4069" t="inlineStr">
        <is>
          <t>SALA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16048-2024</t>
        </is>
      </c>
      <c r="B4070" s="1" t="n">
        <v>45406</v>
      </c>
      <c r="C4070" s="1" t="n">
        <v>45757</v>
      </c>
      <c r="D4070" t="inlineStr">
        <is>
          <t>VÄSTMANLANDS LÄN</t>
        </is>
      </c>
      <c r="E4070" t="inlineStr">
        <is>
          <t>KÖPING</t>
        </is>
      </c>
      <c r="G4070" t="n">
        <v>15.2</v>
      </c>
      <c r="H4070" t="n">
        <v>0</v>
      </c>
      <c r="I4070" t="n">
        <v>0</v>
      </c>
      <c r="J4070" t="n">
        <v>0</v>
      </c>
      <c r="K4070" t="n">
        <v>0</v>
      </c>
      <c r="L4070" t="n">
        <v>0</v>
      </c>
      <c r="M4070" t="n">
        <v>0</v>
      </c>
      <c r="N4070" t="n">
        <v>0</v>
      </c>
      <c r="O4070" t="n">
        <v>0</v>
      </c>
      <c r="P4070" t="n">
        <v>0</v>
      </c>
      <c r="Q4070" t="n">
        <v>0</v>
      </c>
      <c r="R4070" s="2" t="inlineStr"/>
    </row>
    <row r="4071" ht="15" customHeight="1">
      <c r="A4071" t="inlineStr">
        <is>
          <t>A 16042-2024</t>
        </is>
      </c>
      <c r="B4071" s="1" t="n">
        <v>45405</v>
      </c>
      <c r="C4071" s="1" t="n">
        <v>45757</v>
      </c>
      <c r="D4071" t="inlineStr">
        <is>
          <t>VÄSTMANLANDS LÄN</t>
        </is>
      </c>
      <c r="E4071" t="inlineStr">
        <is>
          <t>NORBERG</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15974-2024</t>
        </is>
      </c>
      <c r="B4072" s="1" t="n">
        <v>45405</v>
      </c>
      <c r="C4072" s="1" t="n">
        <v>45757</v>
      </c>
      <c r="D4072" t="inlineStr">
        <is>
          <t>VÄSTMANLANDS LÄN</t>
        </is>
      </c>
      <c r="E4072" t="inlineStr">
        <is>
          <t>NORBERG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15890-2024</t>
        </is>
      </c>
      <c r="B4073" s="1" t="n">
        <v>45405</v>
      </c>
      <c r="C4073" s="1" t="n">
        <v>45757</v>
      </c>
      <c r="D4073" t="inlineStr">
        <is>
          <t>VÄSTMANLANDS LÄN</t>
        </is>
      </c>
      <c r="E4073" t="inlineStr">
        <is>
          <t>NORBERG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16088-2024</t>
        </is>
      </c>
      <c r="B4074" s="1" t="n">
        <v>45406</v>
      </c>
      <c r="C4074" s="1" t="n">
        <v>45757</v>
      </c>
      <c r="D4074" t="inlineStr">
        <is>
          <t>VÄSTMANLANDS LÄN</t>
        </is>
      </c>
      <c r="E4074" t="inlineStr">
        <is>
          <t>SKINNSKATTEBERG</t>
        </is>
      </c>
      <c r="F4074" t="inlineStr">
        <is>
          <t>Sveaskog</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16089-2024</t>
        </is>
      </c>
      <c r="B4075" s="1" t="n">
        <v>45406</v>
      </c>
      <c r="C4075" s="1" t="n">
        <v>45757</v>
      </c>
      <c r="D4075" t="inlineStr">
        <is>
          <t>VÄSTMANLANDS LÄN</t>
        </is>
      </c>
      <c r="E4075" t="inlineStr">
        <is>
          <t>SKINNSKATTEBERG</t>
        </is>
      </c>
      <c r="F4075" t="inlineStr">
        <is>
          <t>Sveaskog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16159-2024</t>
        </is>
      </c>
      <c r="B4076" s="1" t="n">
        <v>45406</v>
      </c>
      <c r="C4076" s="1" t="n">
        <v>45757</v>
      </c>
      <c r="D4076" t="inlineStr">
        <is>
          <t>VÄSTMANLANDS LÄN</t>
        </is>
      </c>
      <c r="E4076" t="inlineStr">
        <is>
          <t>SALA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16163-2024</t>
        </is>
      </c>
      <c r="B4077" s="1" t="n">
        <v>45406</v>
      </c>
      <c r="C4077" s="1" t="n">
        <v>45757</v>
      </c>
      <c r="D4077" t="inlineStr">
        <is>
          <t>VÄSTMANLANDS LÄN</t>
        </is>
      </c>
      <c r="E4077" t="inlineStr">
        <is>
          <t>SALA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16148-2024</t>
        </is>
      </c>
      <c r="B4078" s="1" t="n">
        <v>45406</v>
      </c>
      <c r="C4078" s="1" t="n">
        <v>45757</v>
      </c>
      <c r="D4078" t="inlineStr">
        <is>
          <t>VÄSTMANLANDS LÄN</t>
        </is>
      </c>
      <c r="E4078" t="inlineStr">
        <is>
          <t>SALA</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16160-2024</t>
        </is>
      </c>
      <c r="B4079" s="1" t="n">
        <v>45406</v>
      </c>
      <c r="C4079" s="1" t="n">
        <v>45757</v>
      </c>
      <c r="D4079" t="inlineStr">
        <is>
          <t>VÄSTMANLANDS LÄN</t>
        </is>
      </c>
      <c r="E4079" t="inlineStr">
        <is>
          <t>SALA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16358-2024</t>
        </is>
      </c>
      <c r="B4080" s="1" t="n">
        <v>45407</v>
      </c>
      <c r="C4080" s="1" t="n">
        <v>45757</v>
      </c>
      <c r="D4080" t="inlineStr">
        <is>
          <t>VÄSTMANLANDS LÄN</t>
        </is>
      </c>
      <c r="E4080" t="inlineStr">
        <is>
          <t>SKINNSKATTEBERG</t>
        </is>
      </c>
      <c r="F4080" t="inlineStr">
        <is>
          <t>Sveaskog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16389-2024</t>
        </is>
      </c>
      <c r="B4081" s="1" t="n">
        <v>45407</v>
      </c>
      <c r="C4081" s="1" t="n">
        <v>45757</v>
      </c>
      <c r="D4081" t="inlineStr">
        <is>
          <t>VÄSTMANLANDS LÄN</t>
        </is>
      </c>
      <c r="E4081" t="inlineStr">
        <is>
          <t>SKINNSKATTEBERG</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16393-2024</t>
        </is>
      </c>
      <c r="B4082" s="1" t="n">
        <v>45407</v>
      </c>
      <c r="C4082" s="1" t="n">
        <v>45757</v>
      </c>
      <c r="D4082" t="inlineStr">
        <is>
          <t>VÄSTMANLANDS LÄN</t>
        </is>
      </c>
      <c r="E4082" t="inlineStr">
        <is>
          <t>SKINNSKATTEBERG</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16397-2024</t>
        </is>
      </c>
      <c r="B4083" s="1" t="n">
        <v>45407</v>
      </c>
      <c r="C4083" s="1" t="n">
        <v>45757</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16394-2024</t>
        </is>
      </c>
      <c r="B4084" s="1" t="n">
        <v>45407</v>
      </c>
      <c r="C4084" s="1" t="n">
        <v>45757</v>
      </c>
      <c r="D4084" t="inlineStr">
        <is>
          <t>VÄSTMANLANDS LÄN</t>
        </is>
      </c>
      <c r="E4084" t="inlineStr">
        <is>
          <t>SKINNSKATTEBERG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16356-2024</t>
        </is>
      </c>
      <c r="B4085" s="1" t="n">
        <v>45407</v>
      </c>
      <c r="C4085" s="1" t="n">
        <v>45757</v>
      </c>
      <c r="D4085" t="inlineStr">
        <is>
          <t>VÄSTMANLANDS LÄN</t>
        </is>
      </c>
      <c r="E4085" t="inlineStr">
        <is>
          <t>SKINNSKATTEBERG</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16400-2024</t>
        </is>
      </c>
      <c r="B4086" s="1" t="n">
        <v>45407</v>
      </c>
      <c r="C4086" s="1" t="n">
        <v>45757</v>
      </c>
      <c r="D4086" t="inlineStr">
        <is>
          <t>VÄSTMANLANDS LÄN</t>
        </is>
      </c>
      <c r="E4086" t="inlineStr">
        <is>
          <t>SKINNSKATTEBERG</t>
        </is>
      </c>
      <c r="F4086" t="inlineStr">
        <is>
          <t>Sveaskog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16629-2024</t>
        </is>
      </c>
      <c r="B4087" s="1" t="n">
        <v>45408</v>
      </c>
      <c r="C4087" s="1" t="n">
        <v>45757</v>
      </c>
      <c r="D4087" t="inlineStr">
        <is>
          <t>VÄSTMANLANDS LÄN</t>
        </is>
      </c>
      <c r="E4087" t="inlineStr">
        <is>
          <t>NORBERG</t>
        </is>
      </c>
      <c r="F4087" t="inlineStr">
        <is>
          <t>Sveaskog</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16524-2024</t>
        </is>
      </c>
      <c r="B4088" s="1" t="n">
        <v>45408</v>
      </c>
      <c r="C4088" s="1" t="n">
        <v>45757</v>
      </c>
      <c r="D4088" t="inlineStr">
        <is>
          <t>VÄSTMANLANDS LÄN</t>
        </is>
      </c>
      <c r="E4088" t="inlineStr">
        <is>
          <t>SKINNSKATTEBERG</t>
        </is>
      </c>
      <c r="F4088" t="inlineStr">
        <is>
          <t>Sveaskog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16576-2024</t>
        </is>
      </c>
      <c r="B4089" s="1" t="n">
        <v>45408</v>
      </c>
      <c r="C4089" s="1" t="n">
        <v>45757</v>
      </c>
      <c r="D4089" t="inlineStr">
        <is>
          <t>VÄSTMANLANDS LÄN</t>
        </is>
      </c>
      <c r="E4089" t="inlineStr">
        <is>
          <t>ARBOGA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16503-2024</t>
        </is>
      </c>
      <c r="B4090" s="1" t="n">
        <v>45408</v>
      </c>
      <c r="C4090" s="1" t="n">
        <v>45757</v>
      </c>
      <c r="D4090" t="inlineStr">
        <is>
          <t>VÄSTMANLANDS LÄN</t>
        </is>
      </c>
      <c r="E4090" t="inlineStr">
        <is>
          <t>NORBERG</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16523-2024</t>
        </is>
      </c>
      <c r="B4091" s="1" t="n">
        <v>45408</v>
      </c>
      <c r="C4091" s="1" t="n">
        <v>45757</v>
      </c>
      <c r="D4091" t="inlineStr">
        <is>
          <t>VÄSTMANLANDS LÄN</t>
        </is>
      </c>
      <c r="E4091" t="inlineStr">
        <is>
          <t>SKINNSKATTEBERG</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16729-2024</t>
        </is>
      </c>
      <c r="B4092" s="1" t="n">
        <v>45410</v>
      </c>
      <c r="C4092" s="1" t="n">
        <v>45757</v>
      </c>
      <c r="D4092" t="inlineStr">
        <is>
          <t>VÄSTMANLANDS LÄN</t>
        </is>
      </c>
      <c r="E4092" t="inlineStr">
        <is>
          <t>SKINNSKATTEBERG</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16767-2024</t>
        </is>
      </c>
      <c r="B4093" s="1" t="n">
        <v>45411</v>
      </c>
      <c r="C4093" s="1" t="n">
        <v>45757</v>
      </c>
      <c r="D4093" t="inlineStr">
        <is>
          <t>VÄSTMANLANDS LÄN</t>
        </is>
      </c>
      <c r="E4093" t="inlineStr">
        <is>
          <t>SALA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16907-2024</t>
        </is>
      </c>
      <c r="B4094" s="1" t="n">
        <v>45411</v>
      </c>
      <c r="C4094" s="1" t="n">
        <v>45757</v>
      </c>
      <c r="D4094" t="inlineStr">
        <is>
          <t>VÄSTMANLANDS LÄN</t>
        </is>
      </c>
      <c r="E4094" t="inlineStr">
        <is>
          <t>KÖPING</t>
        </is>
      </c>
      <c r="F4094" t="inlineStr">
        <is>
          <t>Sveaskog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17029-2024</t>
        </is>
      </c>
      <c r="B4095" s="1" t="n">
        <v>45411</v>
      </c>
      <c r="C4095" s="1" t="n">
        <v>45757</v>
      </c>
      <c r="D4095" t="inlineStr">
        <is>
          <t>VÄSTMANLANDS LÄN</t>
        </is>
      </c>
      <c r="E4095" t="inlineStr">
        <is>
          <t>NORBERG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16905-2024</t>
        </is>
      </c>
      <c r="B4096" s="1" t="n">
        <v>45411</v>
      </c>
      <c r="C4096" s="1" t="n">
        <v>45757</v>
      </c>
      <c r="D4096" t="inlineStr">
        <is>
          <t>VÄSTMANLANDS LÄN</t>
        </is>
      </c>
      <c r="E4096" t="inlineStr">
        <is>
          <t>KÖPING</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16760-2024</t>
        </is>
      </c>
      <c r="B4097" s="1" t="n">
        <v>45411</v>
      </c>
      <c r="C4097" s="1" t="n">
        <v>45757</v>
      </c>
      <c r="D4097" t="inlineStr">
        <is>
          <t>VÄSTMANLANDS LÄN</t>
        </is>
      </c>
      <c r="E4097" t="inlineStr">
        <is>
          <t>SALA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16769-2024</t>
        </is>
      </c>
      <c r="B4098" s="1" t="n">
        <v>45411</v>
      </c>
      <c r="C4098" s="1" t="n">
        <v>45757</v>
      </c>
      <c r="D4098" t="inlineStr">
        <is>
          <t>VÄSTMANLANDS LÄN</t>
        </is>
      </c>
      <c r="E4098" t="inlineStr">
        <is>
          <t>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17252-2024</t>
        </is>
      </c>
      <c r="B4099" s="1" t="n">
        <v>45414</v>
      </c>
      <c r="C4099" s="1" t="n">
        <v>45757</v>
      </c>
      <c r="D4099" t="inlineStr">
        <is>
          <t>VÄSTMANLANDS LÄN</t>
        </is>
      </c>
      <c r="E4099" t="inlineStr">
        <is>
          <t>VÄSTERÅS</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17257-2024</t>
        </is>
      </c>
      <c r="B4100" s="1" t="n">
        <v>45414</v>
      </c>
      <c r="C4100" s="1" t="n">
        <v>45757</v>
      </c>
      <c r="D4100" t="inlineStr">
        <is>
          <t>VÄSTMANLANDS LÄN</t>
        </is>
      </c>
      <c r="E4100" t="inlineStr">
        <is>
          <t>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17334-2024</t>
        </is>
      </c>
      <c r="B4101" s="1" t="n">
        <v>45414</v>
      </c>
      <c r="C4101" s="1" t="n">
        <v>45757</v>
      </c>
      <c r="D4101" t="inlineStr">
        <is>
          <t>VÄSTMANLANDS LÄN</t>
        </is>
      </c>
      <c r="E4101" t="inlineStr">
        <is>
          <t>KÖPING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17258-2024</t>
        </is>
      </c>
      <c r="B4102" s="1" t="n">
        <v>45414</v>
      </c>
      <c r="C4102" s="1" t="n">
        <v>45757</v>
      </c>
      <c r="D4102" t="inlineStr">
        <is>
          <t>VÄSTMANLANDS LÄN</t>
        </is>
      </c>
      <c r="E4102" t="inlineStr">
        <is>
          <t>VÄSTERÅS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17374-2024</t>
        </is>
      </c>
      <c r="B4103" s="1" t="n">
        <v>45414</v>
      </c>
      <c r="C4103" s="1" t="n">
        <v>45757</v>
      </c>
      <c r="D4103" t="inlineStr">
        <is>
          <t>VÄSTMANLANDS LÄN</t>
        </is>
      </c>
      <c r="E4103" t="inlineStr">
        <is>
          <t>SKINNSKATTEBERG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17455-2024</t>
        </is>
      </c>
      <c r="B4104" s="1" t="n">
        <v>45415</v>
      </c>
      <c r="C4104" s="1" t="n">
        <v>45757</v>
      </c>
      <c r="D4104" t="inlineStr">
        <is>
          <t>VÄSTMANLANDS LÄN</t>
        </is>
      </c>
      <c r="E4104" t="inlineStr">
        <is>
          <t>SALA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17495-2024</t>
        </is>
      </c>
      <c r="B4105" s="1" t="n">
        <v>45415</v>
      </c>
      <c r="C4105" s="1" t="n">
        <v>45757</v>
      </c>
      <c r="D4105" t="inlineStr">
        <is>
          <t>VÄSTMANLANDS LÄN</t>
        </is>
      </c>
      <c r="E4105" t="inlineStr">
        <is>
          <t>SALA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17457-2024</t>
        </is>
      </c>
      <c r="B4106" s="1" t="n">
        <v>45415</v>
      </c>
      <c r="C4106" s="1" t="n">
        <v>45757</v>
      </c>
      <c r="D4106" t="inlineStr">
        <is>
          <t>VÄSTMANLANDS LÄN</t>
        </is>
      </c>
      <c r="E4106" t="inlineStr">
        <is>
          <t>SALA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17458-2024</t>
        </is>
      </c>
      <c r="B4107" s="1" t="n">
        <v>45415</v>
      </c>
      <c r="C4107" s="1" t="n">
        <v>45757</v>
      </c>
      <c r="D4107" t="inlineStr">
        <is>
          <t>VÄSTMANLANDS LÄN</t>
        </is>
      </c>
      <c r="E4107" t="inlineStr">
        <is>
          <t>SALA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17470-2024</t>
        </is>
      </c>
      <c r="B4108" s="1" t="n">
        <v>45415</v>
      </c>
      <c r="C4108" s="1" t="n">
        <v>45757</v>
      </c>
      <c r="D4108" t="inlineStr">
        <is>
          <t>VÄSTMANLANDS LÄN</t>
        </is>
      </c>
      <c r="E4108" t="inlineStr">
        <is>
          <t>SKINNSKATTEBERG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17452-2024</t>
        </is>
      </c>
      <c r="B4109" s="1" t="n">
        <v>45415</v>
      </c>
      <c r="C4109" s="1" t="n">
        <v>45757</v>
      </c>
      <c r="D4109" t="inlineStr">
        <is>
          <t>VÄSTMANLANDS LÄN</t>
        </is>
      </c>
      <c r="E4109" t="inlineStr">
        <is>
          <t>VÄSTERÅS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17496-2024</t>
        </is>
      </c>
      <c r="B4110" s="1" t="n">
        <v>45415</v>
      </c>
      <c r="C4110" s="1" t="n">
        <v>45757</v>
      </c>
      <c r="D4110" t="inlineStr">
        <is>
          <t>VÄSTMANLANDS LÄN</t>
        </is>
      </c>
      <c r="E4110" t="inlineStr">
        <is>
          <t>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17644-2024</t>
        </is>
      </c>
      <c r="B4111" s="1" t="n">
        <v>45418</v>
      </c>
      <c r="C4111" s="1" t="n">
        <v>45757</v>
      </c>
      <c r="D4111" t="inlineStr">
        <is>
          <t>VÄSTMANLANDS LÄN</t>
        </is>
      </c>
      <c r="E4111" t="inlineStr">
        <is>
          <t>KÖPING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17783-2024</t>
        </is>
      </c>
      <c r="B4112" s="1" t="n">
        <v>45418</v>
      </c>
      <c r="C4112" s="1" t="n">
        <v>45757</v>
      </c>
      <c r="D4112" t="inlineStr">
        <is>
          <t>VÄSTMANLANDS LÄN</t>
        </is>
      </c>
      <c r="E4112" t="inlineStr">
        <is>
          <t>SKINNSKATTEBERG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17816-2024</t>
        </is>
      </c>
      <c r="B4113" s="1" t="n">
        <v>45418</v>
      </c>
      <c r="C4113" s="1" t="n">
        <v>45757</v>
      </c>
      <c r="D4113" t="inlineStr">
        <is>
          <t>VÄSTMANLANDS LÄN</t>
        </is>
      </c>
      <c r="E4113" t="inlineStr">
        <is>
          <t>KÖPING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17719-2024</t>
        </is>
      </c>
      <c r="B4114" s="1" t="n">
        <v>45418</v>
      </c>
      <c r="C4114" s="1" t="n">
        <v>45757</v>
      </c>
      <c r="D4114" t="inlineStr">
        <is>
          <t>VÄSTMANLANDS LÄN</t>
        </is>
      </c>
      <c r="E4114" t="inlineStr">
        <is>
          <t>VÄSTERÅS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17918-2024</t>
        </is>
      </c>
      <c r="B4115" s="1" t="n">
        <v>45419</v>
      </c>
      <c r="C4115" s="1" t="n">
        <v>45757</v>
      </c>
      <c r="D4115" t="inlineStr">
        <is>
          <t>VÄSTMANLANDS LÄN</t>
        </is>
      </c>
      <c r="E4115" t="inlineStr">
        <is>
          <t>SALA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17983-2024</t>
        </is>
      </c>
      <c r="B4116" s="1" t="n">
        <v>45419</v>
      </c>
      <c r="C4116" s="1" t="n">
        <v>45757</v>
      </c>
      <c r="D4116" t="inlineStr">
        <is>
          <t>VÄSTMANLANDS LÄN</t>
        </is>
      </c>
      <c r="E4116" t="inlineStr">
        <is>
          <t>KÖPING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17958-2024</t>
        </is>
      </c>
      <c r="B4117" s="1" t="n">
        <v>45419</v>
      </c>
      <c r="C4117" s="1" t="n">
        <v>45757</v>
      </c>
      <c r="D4117" t="inlineStr">
        <is>
          <t>VÄSTMANLANDS LÄN</t>
        </is>
      </c>
      <c r="E4117" t="inlineStr">
        <is>
          <t>KÖPING</t>
        </is>
      </c>
      <c r="F4117" t="inlineStr">
        <is>
          <t>Sveaskog</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17966-2024</t>
        </is>
      </c>
      <c r="B4118" s="1" t="n">
        <v>45419</v>
      </c>
      <c r="C4118" s="1" t="n">
        <v>45757</v>
      </c>
      <c r="D4118" t="inlineStr">
        <is>
          <t>VÄSTMANLANDS LÄN</t>
        </is>
      </c>
      <c r="E4118" t="inlineStr">
        <is>
          <t>KÖPING</t>
        </is>
      </c>
      <c r="F4118" t="inlineStr">
        <is>
          <t>Sveaskog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17980-2024</t>
        </is>
      </c>
      <c r="B4119" s="1" t="n">
        <v>45419</v>
      </c>
      <c r="C4119" s="1" t="n">
        <v>45757</v>
      </c>
      <c r="D4119" t="inlineStr">
        <is>
          <t>VÄSTMANLANDS LÄN</t>
        </is>
      </c>
      <c r="E4119" t="inlineStr">
        <is>
          <t>KÖPING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17965-2024</t>
        </is>
      </c>
      <c r="B4120" s="1" t="n">
        <v>45419</v>
      </c>
      <c r="C4120" s="1" t="n">
        <v>45757</v>
      </c>
      <c r="D4120" t="inlineStr">
        <is>
          <t>VÄSTMANLANDS LÄN</t>
        </is>
      </c>
      <c r="E4120" t="inlineStr">
        <is>
          <t>KÖPING</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18142-2024</t>
        </is>
      </c>
      <c r="B4121" s="1" t="n">
        <v>45420</v>
      </c>
      <c r="C4121" s="1" t="n">
        <v>45757</v>
      </c>
      <c r="D4121" t="inlineStr">
        <is>
          <t>VÄSTMANLANDS LÄN</t>
        </is>
      </c>
      <c r="E4121" t="inlineStr">
        <is>
          <t>SKINNSKATTEBERG</t>
        </is>
      </c>
      <c r="F4121" t="inlineStr">
        <is>
          <t>Sveaskog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18190-2024</t>
        </is>
      </c>
      <c r="B4122" s="1" t="n">
        <v>45420</v>
      </c>
      <c r="C4122" s="1" t="n">
        <v>45757</v>
      </c>
      <c r="D4122" t="inlineStr">
        <is>
          <t>VÄSTMANLANDS LÄN</t>
        </is>
      </c>
      <c r="E4122" t="inlineStr">
        <is>
          <t>NORBERG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18124-2024</t>
        </is>
      </c>
      <c r="B4123" s="1" t="n">
        <v>45420</v>
      </c>
      <c r="C4123" s="1" t="n">
        <v>45757</v>
      </c>
      <c r="D4123" t="inlineStr">
        <is>
          <t>VÄSTMANLANDS LÄN</t>
        </is>
      </c>
      <c r="E4123" t="inlineStr">
        <is>
          <t>NORBERG</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18128-2024</t>
        </is>
      </c>
      <c r="B4124" s="1" t="n">
        <v>45420</v>
      </c>
      <c r="C4124" s="1" t="n">
        <v>45757</v>
      </c>
      <c r="D4124" t="inlineStr">
        <is>
          <t>VÄSTMANLANDS LÄN</t>
        </is>
      </c>
      <c r="E4124" t="inlineStr">
        <is>
          <t>NORBERG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18136-2024</t>
        </is>
      </c>
      <c r="B4125" s="1" t="n">
        <v>45420</v>
      </c>
      <c r="C4125" s="1" t="n">
        <v>45757</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18140-2024</t>
        </is>
      </c>
      <c r="B4126" s="1" t="n">
        <v>45420</v>
      </c>
      <c r="C4126" s="1" t="n">
        <v>45757</v>
      </c>
      <c r="D4126" t="inlineStr">
        <is>
          <t>VÄSTMANLANDS LÄN</t>
        </is>
      </c>
      <c r="E4126" t="inlineStr">
        <is>
          <t>SKINNSKATTEBERG</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18144-2024</t>
        </is>
      </c>
      <c r="B4127" s="1" t="n">
        <v>45420</v>
      </c>
      <c r="C4127" s="1" t="n">
        <v>45757</v>
      </c>
      <c r="D4127" t="inlineStr">
        <is>
          <t>VÄSTMANLANDS LÄN</t>
        </is>
      </c>
      <c r="E4127" t="inlineStr">
        <is>
          <t>SKINNSKATTEBERG</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18161-2024</t>
        </is>
      </c>
      <c r="B4128" s="1" t="n">
        <v>45420</v>
      </c>
      <c r="C4128" s="1" t="n">
        <v>45757</v>
      </c>
      <c r="D4128" t="inlineStr">
        <is>
          <t>VÄSTMANLANDS LÄN</t>
        </is>
      </c>
      <c r="E4128" t="inlineStr">
        <is>
          <t>SKINNSKATTEBERG</t>
        </is>
      </c>
      <c r="F4128" t="inlineStr">
        <is>
          <t>Sveaskog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18163-2024</t>
        </is>
      </c>
      <c r="B4129" s="1" t="n">
        <v>45420</v>
      </c>
      <c r="C4129" s="1" t="n">
        <v>45757</v>
      </c>
      <c r="D4129" t="inlineStr">
        <is>
          <t>VÄSTMANLANDS LÄN</t>
        </is>
      </c>
      <c r="E4129" t="inlineStr">
        <is>
          <t>SKINNSKATTEBERG</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18295-2024</t>
        </is>
      </c>
      <c r="B4130" s="1" t="n">
        <v>45421</v>
      </c>
      <c r="C4130" s="1" t="n">
        <v>45757</v>
      </c>
      <c r="D4130" t="inlineStr">
        <is>
          <t>VÄSTMANLANDS LÄN</t>
        </is>
      </c>
      <c r="E4130" t="inlineStr">
        <is>
          <t>NORBERG</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18461-2024</t>
        </is>
      </c>
      <c r="B4131" s="1" t="n">
        <v>45425</v>
      </c>
      <c r="C4131" s="1" t="n">
        <v>45757</v>
      </c>
      <c r="D4131" t="inlineStr">
        <is>
          <t>VÄSTMANLANDS LÄN</t>
        </is>
      </c>
      <c r="E4131" t="inlineStr">
        <is>
          <t>SALA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18494-2024</t>
        </is>
      </c>
      <c r="B4132" s="1" t="n">
        <v>45425</v>
      </c>
      <c r="C4132" s="1" t="n">
        <v>45757</v>
      </c>
      <c r="D4132" t="inlineStr">
        <is>
          <t>VÄSTMANLANDS LÄN</t>
        </is>
      </c>
      <c r="E4132" t="inlineStr">
        <is>
          <t>ARBOGA</t>
        </is>
      </c>
      <c r="F4132" t="inlineStr">
        <is>
          <t>Sveaskog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18517-2024</t>
        </is>
      </c>
      <c r="B4133" s="1" t="n">
        <v>45425</v>
      </c>
      <c r="C4133" s="1" t="n">
        <v>45757</v>
      </c>
      <c r="D4133" t="inlineStr">
        <is>
          <t>VÄSTMANLANDS LÄN</t>
        </is>
      </c>
      <c r="E4133" t="inlineStr">
        <is>
          <t>SKINNSKATTEBERG</t>
        </is>
      </c>
      <c r="F4133" t="inlineStr">
        <is>
          <t>Sveaskog</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18522-2024</t>
        </is>
      </c>
      <c r="B4134" s="1" t="n">
        <v>45425</v>
      </c>
      <c r="C4134" s="1" t="n">
        <v>45757</v>
      </c>
      <c r="D4134" t="inlineStr">
        <is>
          <t>VÄSTMANLANDS LÄN</t>
        </is>
      </c>
      <c r="E4134" t="inlineStr">
        <is>
          <t>SALA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18516-2024</t>
        </is>
      </c>
      <c r="B4135" s="1" t="n">
        <v>45425</v>
      </c>
      <c r="C4135" s="1" t="n">
        <v>45757</v>
      </c>
      <c r="D4135" t="inlineStr">
        <is>
          <t>VÄSTMANLANDS LÄN</t>
        </is>
      </c>
      <c r="E4135" t="inlineStr">
        <is>
          <t>SKINNSKATTEBERG</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18518-2024</t>
        </is>
      </c>
      <c r="B4136" s="1" t="n">
        <v>45425</v>
      </c>
      <c r="C4136" s="1" t="n">
        <v>45757</v>
      </c>
      <c r="D4136" t="inlineStr">
        <is>
          <t>VÄSTMANLANDS LÄN</t>
        </is>
      </c>
      <c r="E4136" t="inlineStr">
        <is>
          <t>SKINNSKATTEBERG</t>
        </is>
      </c>
      <c r="F4136" t="inlineStr">
        <is>
          <t>Sveaskog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18750-2024</t>
        </is>
      </c>
      <c r="B4137" s="1" t="n">
        <v>45426</v>
      </c>
      <c r="C4137" s="1" t="n">
        <v>45757</v>
      </c>
      <c r="D4137" t="inlineStr">
        <is>
          <t>VÄSTMANLANDS LÄN</t>
        </is>
      </c>
      <c r="E4137" t="inlineStr">
        <is>
          <t>SALA</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18762-2024</t>
        </is>
      </c>
      <c r="B4138" s="1" t="n">
        <v>45426</v>
      </c>
      <c r="C4138" s="1" t="n">
        <v>45757</v>
      </c>
      <c r="D4138" t="inlineStr">
        <is>
          <t>VÄSTMANLANDS LÄN</t>
        </is>
      </c>
      <c r="E4138" t="inlineStr">
        <is>
          <t>SALA</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19205-2024</t>
        </is>
      </c>
      <c r="B4139" s="1" t="n">
        <v>45428</v>
      </c>
      <c r="C4139" s="1" t="n">
        <v>45757</v>
      </c>
      <c r="D4139" t="inlineStr">
        <is>
          <t>VÄSTMANLANDS LÄN</t>
        </is>
      </c>
      <c r="E4139" t="inlineStr">
        <is>
          <t>SKINNSKATTEBERG</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19266-2024</t>
        </is>
      </c>
      <c r="B4140" s="1" t="n">
        <v>45428</v>
      </c>
      <c r="C4140" s="1" t="n">
        <v>45757</v>
      </c>
      <c r="D4140" t="inlineStr">
        <is>
          <t>VÄSTMANLANDS LÄN</t>
        </is>
      </c>
      <c r="E4140" t="inlineStr">
        <is>
          <t>KUNGSÖR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19224-2024</t>
        </is>
      </c>
      <c r="B4141" s="1" t="n">
        <v>45428</v>
      </c>
      <c r="C4141" s="1" t="n">
        <v>45757</v>
      </c>
      <c r="D4141" t="inlineStr">
        <is>
          <t>VÄSTMANLANDS LÄN</t>
        </is>
      </c>
      <c r="E4141" t="inlineStr">
        <is>
          <t>SALA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19202-2024</t>
        </is>
      </c>
      <c r="B4142" s="1" t="n">
        <v>45428</v>
      </c>
      <c r="C4142" s="1" t="n">
        <v>45757</v>
      </c>
      <c r="D4142" t="inlineStr">
        <is>
          <t>VÄSTMANLANDS LÄN</t>
        </is>
      </c>
      <c r="E4142" t="inlineStr">
        <is>
          <t>SKINNSKATTEBERG</t>
        </is>
      </c>
      <c r="F4142" t="inlineStr">
        <is>
          <t>Sveaskog</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19255-2024</t>
        </is>
      </c>
      <c r="B4143" s="1" t="n">
        <v>45428</v>
      </c>
      <c r="C4143" s="1" t="n">
        <v>45757</v>
      </c>
      <c r="D4143" t="inlineStr">
        <is>
          <t>VÄSTMANLANDS LÄN</t>
        </is>
      </c>
      <c r="E4143" t="inlineStr">
        <is>
          <t>VÄSTERÅS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19203-2024</t>
        </is>
      </c>
      <c r="B4144" s="1" t="n">
        <v>45428</v>
      </c>
      <c r="C4144" s="1" t="n">
        <v>45757</v>
      </c>
      <c r="D4144" t="inlineStr">
        <is>
          <t>VÄSTMANLANDS LÄN</t>
        </is>
      </c>
      <c r="E4144" t="inlineStr">
        <is>
          <t>SKINNSKATTEBERG</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19358-2024</t>
        </is>
      </c>
      <c r="B4145" s="1" t="n">
        <v>45429</v>
      </c>
      <c r="C4145" s="1" t="n">
        <v>45757</v>
      </c>
      <c r="D4145" t="inlineStr">
        <is>
          <t>VÄSTMANLANDS LÄN</t>
        </is>
      </c>
      <c r="E4145" t="inlineStr">
        <is>
          <t>KÖPING</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19398-2024</t>
        </is>
      </c>
      <c r="B4146" s="1" t="n">
        <v>45429</v>
      </c>
      <c r="C4146" s="1" t="n">
        <v>45757</v>
      </c>
      <c r="D4146" t="inlineStr">
        <is>
          <t>VÄSTMANLANDS LÄN</t>
        </is>
      </c>
      <c r="E4146" t="inlineStr">
        <is>
          <t>SKINNSKATTEBERG</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19386-2024</t>
        </is>
      </c>
      <c r="B4147" s="1" t="n">
        <v>45429</v>
      </c>
      <c r="C4147" s="1" t="n">
        <v>45757</v>
      </c>
      <c r="D4147" t="inlineStr">
        <is>
          <t>VÄSTMANLANDS LÄN</t>
        </is>
      </c>
      <c r="E4147" t="inlineStr">
        <is>
          <t>SKINNSKATTEBERG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19420-2024</t>
        </is>
      </c>
      <c r="B4148" s="1" t="n">
        <v>45429</v>
      </c>
      <c r="C4148" s="1" t="n">
        <v>45757</v>
      </c>
      <c r="D4148" t="inlineStr">
        <is>
          <t>VÄSTMANLANDS LÄN</t>
        </is>
      </c>
      <c r="E4148" t="inlineStr">
        <is>
          <t>KUNGSÖR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19428-2024</t>
        </is>
      </c>
      <c r="B4149" s="1" t="n">
        <v>45429</v>
      </c>
      <c r="C4149" s="1" t="n">
        <v>45757</v>
      </c>
      <c r="D4149" t="inlineStr">
        <is>
          <t>VÄSTMANLANDS LÄN</t>
        </is>
      </c>
      <c r="E4149" t="inlineStr">
        <is>
          <t>KUNGSÖR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19387-2024</t>
        </is>
      </c>
      <c r="B4150" s="1" t="n">
        <v>45429</v>
      </c>
      <c r="C4150" s="1" t="n">
        <v>45757</v>
      </c>
      <c r="D4150" t="inlineStr">
        <is>
          <t>VÄSTMANLANDS LÄN</t>
        </is>
      </c>
      <c r="E4150" t="inlineStr">
        <is>
          <t>ARBOGA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19434-2024</t>
        </is>
      </c>
      <c r="B4151" s="1" t="n">
        <v>45429</v>
      </c>
      <c r="C4151" s="1" t="n">
        <v>45757</v>
      </c>
      <c r="D4151" t="inlineStr">
        <is>
          <t>VÄSTMANLANDS LÄN</t>
        </is>
      </c>
      <c r="E4151" t="inlineStr">
        <is>
          <t>VÄSTERÅS</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19462-2024</t>
        </is>
      </c>
      <c r="B4152" s="1" t="n">
        <v>45429</v>
      </c>
      <c r="C4152" s="1" t="n">
        <v>45757</v>
      </c>
      <c r="D4152" t="inlineStr">
        <is>
          <t>VÄSTMANLANDS LÄN</t>
        </is>
      </c>
      <c r="E4152" t="inlineStr">
        <is>
          <t>NORBERG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19519-2024</t>
        </is>
      </c>
      <c r="B4153" s="1" t="n">
        <v>45429</v>
      </c>
      <c r="C4153" s="1" t="n">
        <v>45757</v>
      </c>
      <c r="D4153" t="inlineStr">
        <is>
          <t>VÄSTMANLANDS LÄN</t>
        </is>
      </c>
      <c r="E4153" t="inlineStr">
        <is>
          <t>SKINNSKATTEBERG</t>
        </is>
      </c>
      <c r="F4153" t="inlineStr">
        <is>
          <t>Sveaskog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19518-2024</t>
        </is>
      </c>
      <c r="B4154" s="1" t="n">
        <v>45429</v>
      </c>
      <c r="C4154" s="1" t="n">
        <v>45757</v>
      </c>
      <c r="D4154" t="inlineStr">
        <is>
          <t>VÄSTMANLANDS LÄN</t>
        </is>
      </c>
      <c r="E4154" t="inlineStr">
        <is>
          <t>SKINNSKATTEBERG</t>
        </is>
      </c>
      <c r="F4154" t="inlineStr">
        <is>
          <t>Sveaskog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19746-2024</t>
        </is>
      </c>
      <c r="B4155" s="1" t="n">
        <v>45432</v>
      </c>
      <c r="C4155" s="1" t="n">
        <v>45757</v>
      </c>
      <c r="D4155" t="inlineStr">
        <is>
          <t>VÄSTMANLANDS LÄN</t>
        </is>
      </c>
      <c r="E4155" t="inlineStr">
        <is>
          <t>KÖPING</t>
        </is>
      </c>
      <c r="F4155" t="inlineStr">
        <is>
          <t>Sveaskog</t>
        </is>
      </c>
      <c r="G4155" t="n">
        <v>18.4</v>
      </c>
      <c r="H4155" t="n">
        <v>0</v>
      </c>
      <c r="I4155" t="n">
        <v>0</v>
      </c>
      <c r="J4155" t="n">
        <v>0</v>
      </c>
      <c r="K4155" t="n">
        <v>0</v>
      </c>
      <c r="L4155" t="n">
        <v>0</v>
      </c>
      <c r="M4155" t="n">
        <v>0</v>
      </c>
      <c r="N4155" t="n">
        <v>0</v>
      </c>
      <c r="O4155" t="n">
        <v>0</v>
      </c>
      <c r="P4155" t="n">
        <v>0</v>
      </c>
      <c r="Q4155" t="n">
        <v>0</v>
      </c>
      <c r="R4155" s="2" t="inlineStr"/>
    </row>
    <row r="4156" ht="15" customHeight="1">
      <c r="A4156" t="inlineStr">
        <is>
          <t>A 19803-2024</t>
        </is>
      </c>
      <c r="B4156" s="1" t="n">
        <v>45432</v>
      </c>
      <c r="C4156" s="1" t="n">
        <v>45757</v>
      </c>
      <c r="D4156" t="inlineStr">
        <is>
          <t>VÄSTMANLANDS LÄN</t>
        </is>
      </c>
      <c r="E4156" t="inlineStr">
        <is>
          <t>SALA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19860-2024</t>
        </is>
      </c>
      <c r="B4157" s="1" t="n">
        <v>45433</v>
      </c>
      <c r="C4157" s="1" t="n">
        <v>45757</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19969-2024</t>
        </is>
      </c>
      <c r="B4158" s="1" t="n">
        <v>45433</v>
      </c>
      <c r="C4158" s="1" t="n">
        <v>45757</v>
      </c>
      <c r="D4158" t="inlineStr">
        <is>
          <t>VÄSTMANLANDS LÄN</t>
        </is>
      </c>
      <c r="E4158" t="inlineStr">
        <is>
          <t>SALA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20067-2024</t>
        </is>
      </c>
      <c r="B4159" s="1" t="n">
        <v>45434</v>
      </c>
      <c r="C4159" s="1" t="n">
        <v>45757</v>
      </c>
      <c r="D4159" t="inlineStr">
        <is>
          <t>VÄSTMANLANDS LÄN</t>
        </is>
      </c>
      <c r="E4159" t="inlineStr">
        <is>
          <t>ARBOGA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20242-2024</t>
        </is>
      </c>
      <c r="B4160" s="1" t="n">
        <v>45434</v>
      </c>
      <c r="C4160" s="1" t="n">
        <v>45757</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20213-2024</t>
        </is>
      </c>
      <c r="B4161" s="1" t="n">
        <v>45434</v>
      </c>
      <c r="C4161" s="1" t="n">
        <v>45757</v>
      </c>
      <c r="D4161" t="inlineStr">
        <is>
          <t>VÄSTMANLANDS LÄN</t>
        </is>
      </c>
      <c r="E4161" t="inlineStr">
        <is>
          <t>SKINNSKATTEBERG</t>
        </is>
      </c>
      <c r="F4161" t="inlineStr">
        <is>
          <t>Sveaskog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20245-2024</t>
        </is>
      </c>
      <c r="B4162" s="1" t="n">
        <v>45434</v>
      </c>
      <c r="C4162" s="1" t="n">
        <v>45757</v>
      </c>
      <c r="D4162" t="inlineStr">
        <is>
          <t>VÄSTMANLANDS LÄN</t>
        </is>
      </c>
      <c r="E4162" t="inlineStr">
        <is>
          <t>SKINNSKATTEBERG</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20243-2024</t>
        </is>
      </c>
      <c r="B4163" s="1" t="n">
        <v>45434</v>
      </c>
      <c r="C4163" s="1" t="n">
        <v>45757</v>
      </c>
      <c r="D4163" t="inlineStr">
        <is>
          <t>VÄSTMANLANDS LÄN</t>
        </is>
      </c>
      <c r="E4163" t="inlineStr">
        <is>
          <t>SKINNSKATTEBERG</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20247-2024</t>
        </is>
      </c>
      <c r="B4164" s="1" t="n">
        <v>45434</v>
      </c>
      <c r="C4164" s="1" t="n">
        <v>45757</v>
      </c>
      <c r="D4164" t="inlineStr">
        <is>
          <t>VÄSTMANLANDS LÄN</t>
        </is>
      </c>
      <c r="E4164" t="inlineStr">
        <is>
          <t>SKINNSKATTEBERG</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20212-2024</t>
        </is>
      </c>
      <c r="B4165" s="1" t="n">
        <v>45434</v>
      </c>
      <c r="C4165" s="1" t="n">
        <v>45757</v>
      </c>
      <c r="D4165" t="inlineStr">
        <is>
          <t>VÄSTMANLANDS LÄN</t>
        </is>
      </c>
      <c r="E4165" t="inlineStr">
        <is>
          <t>SKINNSKATTEBERG</t>
        </is>
      </c>
      <c r="F4165" t="inlineStr">
        <is>
          <t>Sveaskog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20244-2024</t>
        </is>
      </c>
      <c r="B4166" s="1" t="n">
        <v>45434</v>
      </c>
      <c r="C4166" s="1" t="n">
        <v>45757</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20248-2024</t>
        </is>
      </c>
      <c r="B4167" s="1" t="n">
        <v>45434</v>
      </c>
      <c r="C4167" s="1" t="n">
        <v>45757</v>
      </c>
      <c r="D4167" t="inlineStr">
        <is>
          <t>VÄSTMANLANDS LÄN</t>
        </is>
      </c>
      <c r="E4167" t="inlineStr">
        <is>
          <t>SKINNSKATTEBERG</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20430-2024</t>
        </is>
      </c>
      <c r="B4168" s="1" t="n">
        <v>45435</v>
      </c>
      <c r="C4168" s="1" t="n">
        <v>45757</v>
      </c>
      <c r="D4168" t="inlineStr">
        <is>
          <t>VÄSTMANLANDS LÄN</t>
        </is>
      </c>
      <c r="E4168" t="inlineStr">
        <is>
          <t>SKINNSKATTEBERG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20379-2024</t>
        </is>
      </c>
      <c r="B4169" s="1" t="n">
        <v>45435</v>
      </c>
      <c r="C4169" s="1" t="n">
        <v>45757</v>
      </c>
      <c r="D4169" t="inlineStr">
        <is>
          <t>VÄSTMANLANDS LÄN</t>
        </is>
      </c>
      <c r="E4169" t="inlineStr">
        <is>
          <t>SKINNSKATTEBERG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20330-2024</t>
        </is>
      </c>
      <c r="B4170" s="1" t="n">
        <v>45435</v>
      </c>
      <c r="C4170" s="1" t="n">
        <v>45757</v>
      </c>
      <c r="D4170" t="inlineStr">
        <is>
          <t>VÄSTMANLANDS LÄN</t>
        </is>
      </c>
      <c r="E4170" t="inlineStr">
        <is>
          <t>SKINNSKATTEBERG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20584-2024</t>
        </is>
      </c>
      <c r="B4171" s="1" t="n">
        <v>45436</v>
      </c>
      <c r="C4171" s="1" t="n">
        <v>45757</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20712-2024</t>
        </is>
      </c>
      <c r="B4172" s="1" t="n">
        <v>45436</v>
      </c>
      <c r="C4172" s="1" t="n">
        <v>45757</v>
      </c>
      <c r="D4172" t="inlineStr">
        <is>
          <t>VÄSTMANLANDS LÄN</t>
        </is>
      </c>
      <c r="E4172" t="inlineStr">
        <is>
          <t>KÖPING</t>
        </is>
      </c>
      <c r="F4172" t="inlineStr">
        <is>
          <t>Sveaskog</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20571-2024</t>
        </is>
      </c>
      <c r="B4173" s="1" t="n">
        <v>45436</v>
      </c>
      <c r="C4173" s="1" t="n">
        <v>45757</v>
      </c>
      <c r="D4173" t="inlineStr">
        <is>
          <t>VÄSTMANLANDS LÄN</t>
        </is>
      </c>
      <c r="E4173" t="inlineStr">
        <is>
          <t>KÖPING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20937-2024</t>
        </is>
      </c>
      <c r="B4174" s="1" t="n">
        <v>45439</v>
      </c>
      <c r="C4174" s="1" t="n">
        <v>45757</v>
      </c>
      <c r="D4174" t="inlineStr">
        <is>
          <t>VÄSTMANLANDS LÄN</t>
        </is>
      </c>
      <c r="E4174" t="inlineStr">
        <is>
          <t>SKINNSKATTEBERG</t>
        </is>
      </c>
      <c r="F4174" t="inlineStr">
        <is>
          <t>Sveaskog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20909-2024</t>
        </is>
      </c>
      <c r="B4175" s="1" t="n">
        <v>45439</v>
      </c>
      <c r="C4175" s="1" t="n">
        <v>45757</v>
      </c>
      <c r="D4175" t="inlineStr">
        <is>
          <t>VÄSTMANLANDS LÄN</t>
        </is>
      </c>
      <c r="E4175" t="inlineStr">
        <is>
          <t>FAGERSTA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21234-2024</t>
        </is>
      </c>
      <c r="B4176" s="1" t="n">
        <v>45440</v>
      </c>
      <c r="C4176" s="1" t="n">
        <v>45757</v>
      </c>
      <c r="D4176" t="inlineStr">
        <is>
          <t>VÄSTMANLANDS LÄN</t>
        </is>
      </c>
      <c r="E4176" t="inlineStr">
        <is>
          <t>SALA</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21232-2024</t>
        </is>
      </c>
      <c r="B4177" s="1" t="n">
        <v>45440</v>
      </c>
      <c r="C4177" s="1" t="n">
        <v>45757</v>
      </c>
      <c r="D4177" t="inlineStr">
        <is>
          <t>VÄSTMANLANDS LÄN</t>
        </is>
      </c>
      <c r="E4177" t="inlineStr">
        <is>
          <t>NORBERG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21225-2024</t>
        </is>
      </c>
      <c r="B4178" s="1" t="n">
        <v>45440</v>
      </c>
      <c r="C4178" s="1" t="n">
        <v>45757</v>
      </c>
      <c r="D4178" t="inlineStr">
        <is>
          <t>VÄSTMANLANDS LÄN</t>
        </is>
      </c>
      <c r="E4178" t="inlineStr">
        <is>
          <t>SALA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21107-2024</t>
        </is>
      </c>
      <c r="B4179" s="1" t="n">
        <v>45440</v>
      </c>
      <c r="C4179" s="1" t="n">
        <v>45757</v>
      </c>
      <c r="D4179" t="inlineStr">
        <is>
          <t>VÄSTMANLANDS LÄN</t>
        </is>
      </c>
      <c r="E4179" t="inlineStr">
        <is>
          <t>VÄSTERÅS</t>
        </is>
      </c>
      <c r="G4179" t="n">
        <v>14.7</v>
      </c>
      <c r="H4179" t="n">
        <v>0</v>
      </c>
      <c r="I4179" t="n">
        <v>0</v>
      </c>
      <c r="J4179" t="n">
        <v>0</v>
      </c>
      <c r="K4179" t="n">
        <v>0</v>
      </c>
      <c r="L4179" t="n">
        <v>0</v>
      </c>
      <c r="M4179" t="n">
        <v>0</v>
      </c>
      <c r="N4179" t="n">
        <v>0</v>
      </c>
      <c r="O4179" t="n">
        <v>0</v>
      </c>
      <c r="P4179" t="n">
        <v>0</v>
      </c>
      <c r="Q4179" t="n">
        <v>0</v>
      </c>
      <c r="R4179" s="2" t="inlineStr"/>
    </row>
    <row r="4180" ht="15" customHeight="1">
      <c r="A4180" t="inlineStr">
        <is>
          <t>A 21578-2024</t>
        </is>
      </c>
      <c r="B4180" s="1" t="n">
        <v>45441</v>
      </c>
      <c r="C4180" s="1" t="n">
        <v>45757</v>
      </c>
      <c r="D4180" t="inlineStr">
        <is>
          <t>VÄSTMANLANDS LÄN</t>
        </is>
      </c>
      <c r="E4180" t="inlineStr">
        <is>
          <t>SKINNSKATTEBERG</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21509-2024</t>
        </is>
      </c>
      <c r="B4181" s="1" t="n">
        <v>45441</v>
      </c>
      <c r="C4181" s="1" t="n">
        <v>45757</v>
      </c>
      <c r="D4181" t="inlineStr">
        <is>
          <t>VÄSTMANLANDS LÄN</t>
        </is>
      </c>
      <c r="E4181" t="inlineStr">
        <is>
          <t>SURAHAMMAR</t>
        </is>
      </c>
      <c r="F4181" t="inlineStr">
        <is>
          <t>Bergvik skog väst AB</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21679-2024</t>
        </is>
      </c>
      <c r="B4182" s="1" t="n">
        <v>45442</v>
      </c>
      <c r="C4182" s="1" t="n">
        <v>45757</v>
      </c>
      <c r="D4182" t="inlineStr">
        <is>
          <t>VÄSTMANLANDS LÄN</t>
        </is>
      </c>
      <c r="E4182" t="inlineStr">
        <is>
          <t>FAGERSTA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21661-2024</t>
        </is>
      </c>
      <c r="B4183" s="1" t="n">
        <v>45442</v>
      </c>
      <c r="C4183" s="1" t="n">
        <v>45757</v>
      </c>
      <c r="D4183" t="inlineStr">
        <is>
          <t>VÄSTMANLANDS LÄN</t>
        </is>
      </c>
      <c r="E4183" t="inlineStr">
        <is>
          <t>FAGERSTA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21665-2024</t>
        </is>
      </c>
      <c r="B4184" s="1" t="n">
        <v>45442</v>
      </c>
      <c r="C4184" s="1" t="n">
        <v>45757</v>
      </c>
      <c r="D4184" t="inlineStr">
        <is>
          <t>VÄSTMANLANDS LÄN</t>
        </is>
      </c>
      <c r="E4184" t="inlineStr">
        <is>
          <t>FAGERSTA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21826-2024</t>
        </is>
      </c>
      <c r="B4185" s="1" t="n">
        <v>45442</v>
      </c>
      <c r="C4185" s="1" t="n">
        <v>45757</v>
      </c>
      <c r="D4185" t="inlineStr">
        <is>
          <t>VÄSTMANLANDS LÄN</t>
        </is>
      </c>
      <c r="E4185" t="inlineStr">
        <is>
          <t>VÄSTERÅS</t>
        </is>
      </c>
      <c r="F4185" t="inlineStr">
        <is>
          <t>Kommuner</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21827-2024</t>
        </is>
      </c>
      <c r="B4186" s="1" t="n">
        <v>45442</v>
      </c>
      <c r="C4186" s="1" t="n">
        <v>45757</v>
      </c>
      <c r="D4186" t="inlineStr">
        <is>
          <t>VÄSTMANLANDS LÄN</t>
        </is>
      </c>
      <c r="E4186" t="inlineStr">
        <is>
          <t>VÄSTERÅS</t>
        </is>
      </c>
      <c r="F4186" t="inlineStr">
        <is>
          <t>Kommuner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21922-2024</t>
        </is>
      </c>
      <c r="B4187" s="1" t="n">
        <v>45443</v>
      </c>
      <c r="C4187" s="1" t="n">
        <v>45757</v>
      </c>
      <c r="D4187" t="inlineStr">
        <is>
          <t>VÄSTMANLANDS LÄN</t>
        </is>
      </c>
      <c r="E4187" t="inlineStr">
        <is>
          <t>VÄSTERÅS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21926-2024</t>
        </is>
      </c>
      <c r="B4188" s="1" t="n">
        <v>45443</v>
      </c>
      <c r="C4188" s="1" t="n">
        <v>45757</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21921-2024</t>
        </is>
      </c>
      <c r="B4189" s="1" t="n">
        <v>45443</v>
      </c>
      <c r="C4189" s="1" t="n">
        <v>45757</v>
      </c>
      <c r="D4189" t="inlineStr">
        <is>
          <t>VÄSTMANLANDS LÄN</t>
        </is>
      </c>
      <c r="E4189" t="inlineStr">
        <is>
          <t>VÄSTERÅS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21914-2024</t>
        </is>
      </c>
      <c r="B4190" s="1" t="n">
        <v>45443</v>
      </c>
      <c r="C4190" s="1" t="n">
        <v>45757</v>
      </c>
      <c r="D4190" t="inlineStr">
        <is>
          <t>VÄSTMANLANDS LÄN</t>
        </is>
      </c>
      <c r="E4190" t="inlineStr">
        <is>
          <t>VÄSTERÅS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22079-2024</t>
        </is>
      </c>
      <c r="B4191" s="1" t="n">
        <v>45443</v>
      </c>
      <c r="C4191" s="1" t="n">
        <v>45757</v>
      </c>
      <c r="D4191" t="inlineStr">
        <is>
          <t>VÄSTMANLANDS LÄN</t>
        </is>
      </c>
      <c r="E4191" t="inlineStr">
        <is>
          <t>SKINNSKATTEBERG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21887-2024</t>
        </is>
      </c>
      <c r="B4192" s="1" t="n">
        <v>45443</v>
      </c>
      <c r="C4192" s="1" t="n">
        <v>45757</v>
      </c>
      <c r="D4192" t="inlineStr">
        <is>
          <t>VÄSTMANLANDS LÄN</t>
        </is>
      </c>
      <c r="E4192" t="inlineStr">
        <is>
          <t>SKINNSKATTEBERG</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21968-2024</t>
        </is>
      </c>
      <c r="B4193" s="1" t="n">
        <v>45443</v>
      </c>
      <c r="C4193" s="1" t="n">
        <v>45757</v>
      </c>
      <c r="D4193" t="inlineStr">
        <is>
          <t>VÄSTMANLANDS LÄN</t>
        </is>
      </c>
      <c r="E4193" t="inlineStr">
        <is>
          <t>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22439-2024</t>
        </is>
      </c>
      <c r="B4194" s="1" t="n">
        <v>45446</v>
      </c>
      <c r="C4194" s="1" t="n">
        <v>45757</v>
      </c>
      <c r="D4194" t="inlineStr">
        <is>
          <t>VÄSTMANLANDS LÄN</t>
        </is>
      </c>
      <c r="E4194" t="inlineStr">
        <is>
          <t>ARBOGA</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22336-2024</t>
        </is>
      </c>
      <c r="B4195" s="1" t="n">
        <v>45446</v>
      </c>
      <c r="C4195" s="1" t="n">
        <v>45757</v>
      </c>
      <c r="D4195" t="inlineStr">
        <is>
          <t>VÄSTMANLANDS LÄN</t>
        </is>
      </c>
      <c r="E4195" t="inlineStr">
        <is>
          <t>FAGERSTA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22323-2024</t>
        </is>
      </c>
      <c r="B4196" s="1" t="n">
        <v>45446</v>
      </c>
      <c r="C4196" s="1" t="n">
        <v>45757</v>
      </c>
      <c r="D4196" t="inlineStr">
        <is>
          <t>VÄSTMANLANDS LÄN</t>
        </is>
      </c>
      <c r="E4196" t="inlineStr">
        <is>
          <t>FAGERSTA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22591-2024</t>
        </is>
      </c>
      <c r="B4197" s="1" t="n">
        <v>45447</v>
      </c>
      <c r="C4197" s="1" t="n">
        <v>45757</v>
      </c>
      <c r="D4197" t="inlineStr">
        <is>
          <t>VÄSTMANLANDS LÄN</t>
        </is>
      </c>
      <c r="E4197" t="inlineStr">
        <is>
          <t>SKINNSKATTEBERG</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22605-2024</t>
        </is>
      </c>
      <c r="B4198" s="1" t="n">
        <v>45447</v>
      </c>
      <c r="C4198" s="1" t="n">
        <v>45757</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22611-2024</t>
        </is>
      </c>
      <c r="B4199" s="1" t="n">
        <v>45447</v>
      </c>
      <c r="C4199" s="1" t="n">
        <v>45757</v>
      </c>
      <c r="D4199" t="inlineStr">
        <is>
          <t>VÄSTMANLANDS LÄN</t>
        </is>
      </c>
      <c r="E4199" t="inlineStr">
        <is>
          <t>SKINNSKATTEBERG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22607-2024</t>
        </is>
      </c>
      <c r="B4200" s="1" t="n">
        <v>45447</v>
      </c>
      <c r="C4200" s="1" t="n">
        <v>45757</v>
      </c>
      <c r="D4200" t="inlineStr">
        <is>
          <t>VÄSTMANLANDS LÄN</t>
        </is>
      </c>
      <c r="E4200" t="inlineStr">
        <is>
          <t>SKINNSKATTEBERG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22697-2024</t>
        </is>
      </c>
      <c r="B4201" s="1" t="n">
        <v>45448</v>
      </c>
      <c r="C4201" s="1" t="n">
        <v>45757</v>
      </c>
      <c r="D4201" t="inlineStr">
        <is>
          <t>VÄSTMANLANDS LÄN</t>
        </is>
      </c>
      <c r="E4201" t="inlineStr">
        <is>
          <t>ARBOGA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22881-2024</t>
        </is>
      </c>
      <c r="B4202" s="1" t="n">
        <v>45448</v>
      </c>
      <c r="C4202" s="1" t="n">
        <v>45757</v>
      </c>
      <c r="D4202" t="inlineStr">
        <is>
          <t>VÄSTMANLANDS LÄN</t>
        </is>
      </c>
      <c r="E4202" t="inlineStr">
        <is>
          <t>KÖPING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22700-2024</t>
        </is>
      </c>
      <c r="B4203" s="1" t="n">
        <v>45448</v>
      </c>
      <c r="C4203" s="1" t="n">
        <v>45757</v>
      </c>
      <c r="D4203" t="inlineStr">
        <is>
          <t>VÄSTMANLANDS LÄN</t>
        </is>
      </c>
      <c r="E4203" t="inlineStr">
        <is>
          <t>VÄSTERÅS</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22793-2024</t>
        </is>
      </c>
      <c r="B4204" s="1" t="n">
        <v>45448</v>
      </c>
      <c r="C4204" s="1" t="n">
        <v>45757</v>
      </c>
      <c r="D4204" t="inlineStr">
        <is>
          <t>VÄSTMANLANDS LÄN</t>
        </is>
      </c>
      <c r="E4204" t="inlineStr">
        <is>
          <t>KÖPING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23113-2024</t>
        </is>
      </c>
      <c r="B4205" s="1" t="n">
        <v>45450</v>
      </c>
      <c r="C4205" s="1" t="n">
        <v>45757</v>
      </c>
      <c r="D4205" t="inlineStr">
        <is>
          <t>VÄSTMANLANDS LÄN</t>
        </is>
      </c>
      <c r="E4205" t="inlineStr">
        <is>
          <t>SKINNSKATTEBERG</t>
        </is>
      </c>
      <c r="F4205" t="inlineStr">
        <is>
          <t>Sveaskog</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23317-2024</t>
        </is>
      </c>
      <c r="B4206" s="1" t="n">
        <v>45453</v>
      </c>
      <c r="C4206" s="1" t="n">
        <v>45757</v>
      </c>
      <c r="D4206" t="inlineStr">
        <is>
          <t>VÄSTMANLANDS LÄN</t>
        </is>
      </c>
      <c r="E4206" t="inlineStr">
        <is>
          <t>SALA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23406-2024</t>
        </is>
      </c>
      <c r="B4207" s="1" t="n">
        <v>45453</v>
      </c>
      <c r="C4207" s="1" t="n">
        <v>45757</v>
      </c>
      <c r="D4207" t="inlineStr">
        <is>
          <t>VÄSTMANLANDS LÄN</t>
        </is>
      </c>
      <c r="E4207" t="inlineStr">
        <is>
          <t>SALA</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23431-2024</t>
        </is>
      </c>
      <c r="B4208" s="1" t="n">
        <v>45453</v>
      </c>
      <c r="C4208" s="1" t="n">
        <v>45757</v>
      </c>
      <c r="D4208" t="inlineStr">
        <is>
          <t>VÄSTMANLANDS LÄN</t>
        </is>
      </c>
      <c r="E4208" t="inlineStr">
        <is>
          <t>SALA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23455-2024</t>
        </is>
      </c>
      <c r="B4209" s="1" t="n">
        <v>45453</v>
      </c>
      <c r="C4209" s="1" t="n">
        <v>45757</v>
      </c>
      <c r="D4209" t="inlineStr">
        <is>
          <t>VÄSTMANLANDS LÄN</t>
        </is>
      </c>
      <c r="E4209" t="inlineStr">
        <is>
          <t>VÄSTERÅS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23459-2024</t>
        </is>
      </c>
      <c r="B4210" s="1" t="n">
        <v>45453</v>
      </c>
      <c r="C4210" s="1" t="n">
        <v>45757</v>
      </c>
      <c r="D4210" t="inlineStr">
        <is>
          <t>VÄSTMANLANDS LÄN</t>
        </is>
      </c>
      <c r="E4210" t="inlineStr">
        <is>
          <t>VÄSTERÅS</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23483-2024</t>
        </is>
      </c>
      <c r="B4211" s="1" t="n">
        <v>45453</v>
      </c>
      <c r="C4211" s="1" t="n">
        <v>45757</v>
      </c>
      <c r="D4211" t="inlineStr">
        <is>
          <t>VÄSTMANLANDS LÄN</t>
        </is>
      </c>
      <c r="E4211" t="inlineStr">
        <is>
          <t>VÄSTERÅS</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23433-2024</t>
        </is>
      </c>
      <c r="B4212" s="1" t="n">
        <v>45453</v>
      </c>
      <c r="C4212" s="1" t="n">
        <v>45757</v>
      </c>
      <c r="D4212" t="inlineStr">
        <is>
          <t>VÄSTMANLANDS LÄN</t>
        </is>
      </c>
      <c r="E4212" t="inlineStr">
        <is>
          <t>SALA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23322-2024</t>
        </is>
      </c>
      <c r="B4213" s="1" t="n">
        <v>45453</v>
      </c>
      <c r="C4213" s="1" t="n">
        <v>45757</v>
      </c>
      <c r="D4213" t="inlineStr">
        <is>
          <t>VÄSTMANLANDS LÄN</t>
        </is>
      </c>
      <c r="E4213" t="inlineStr">
        <is>
          <t>SALA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23621-2024</t>
        </is>
      </c>
      <c r="B4214" s="1" t="n">
        <v>45454</v>
      </c>
      <c r="C4214" s="1" t="n">
        <v>45757</v>
      </c>
      <c r="D4214" t="inlineStr">
        <is>
          <t>VÄSTMANLANDS LÄN</t>
        </is>
      </c>
      <c r="E4214" t="inlineStr">
        <is>
          <t>SALA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23715-2024</t>
        </is>
      </c>
      <c r="B4215" s="1" t="n">
        <v>45454</v>
      </c>
      <c r="C4215" s="1" t="n">
        <v>45757</v>
      </c>
      <c r="D4215" t="inlineStr">
        <is>
          <t>VÄSTMANLANDS LÄN</t>
        </is>
      </c>
      <c r="E4215" t="inlineStr">
        <is>
          <t>SKINNSKATTEBERG</t>
        </is>
      </c>
      <c r="F4215" t="inlineStr">
        <is>
          <t>Sveaskog</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23702-2024</t>
        </is>
      </c>
      <c r="B4216" s="1" t="n">
        <v>45454</v>
      </c>
      <c r="C4216" s="1" t="n">
        <v>45757</v>
      </c>
      <c r="D4216" t="inlineStr">
        <is>
          <t>VÄSTMANLANDS LÄN</t>
        </is>
      </c>
      <c r="E4216" t="inlineStr">
        <is>
          <t>NORBERG</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23705-2024</t>
        </is>
      </c>
      <c r="B4217" s="1" t="n">
        <v>45454</v>
      </c>
      <c r="C4217" s="1" t="n">
        <v>45757</v>
      </c>
      <c r="D4217" t="inlineStr">
        <is>
          <t>VÄSTMANLANDS LÄN</t>
        </is>
      </c>
      <c r="E4217" t="inlineStr">
        <is>
          <t>NORBERG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23894-2024</t>
        </is>
      </c>
      <c r="B4218" s="1" t="n">
        <v>45455</v>
      </c>
      <c r="C4218" s="1" t="n">
        <v>45757</v>
      </c>
      <c r="D4218" t="inlineStr">
        <is>
          <t>VÄSTMANLANDS LÄN</t>
        </is>
      </c>
      <c r="E4218" t="inlineStr">
        <is>
          <t>SKINNSKATTEBERG</t>
        </is>
      </c>
      <c r="F4218" t="inlineStr">
        <is>
          <t>Sveaskog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23899-2024</t>
        </is>
      </c>
      <c r="B4219" s="1" t="n">
        <v>45455</v>
      </c>
      <c r="C4219" s="1" t="n">
        <v>45757</v>
      </c>
      <c r="D4219" t="inlineStr">
        <is>
          <t>VÄSTMANLANDS LÄN</t>
        </is>
      </c>
      <c r="E4219" t="inlineStr">
        <is>
          <t>NORBERG</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24039-2024</t>
        </is>
      </c>
      <c r="B4220" s="1" t="n">
        <v>45456</v>
      </c>
      <c r="C4220" s="1" t="n">
        <v>45757</v>
      </c>
      <c r="D4220" t="inlineStr">
        <is>
          <t>VÄSTMANLANDS LÄN</t>
        </is>
      </c>
      <c r="E4220" t="inlineStr">
        <is>
          <t>SALA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24114-2024</t>
        </is>
      </c>
      <c r="B4221" s="1" t="n">
        <v>45456</v>
      </c>
      <c r="C4221" s="1" t="n">
        <v>45757</v>
      </c>
      <c r="D4221" t="inlineStr">
        <is>
          <t>VÄSTMANLANDS LÄN</t>
        </is>
      </c>
      <c r="E4221" t="inlineStr">
        <is>
          <t>VÄSTERÅS</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24128-2024</t>
        </is>
      </c>
      <c r="B4222" s="1" t="n">
        <v>45456</v>
      </c>
      <c r="C4222" s="1" t="n">
        <v>45757</v>
      </c>
      <c r="D4222" t="inlineStr">
        <is>
          <t>VÄSTMANLANDS LÄN</t>
        </is>
      </c>
      <c r="E4222" t="inlineStr">
        <is>
          <t>KÖPING</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24121-2024</t>
        </is>
      </c>
      <c r="B4223" s="1" t="n">
        <v>45456</v>
      </c>
      <c r="C4223" s="1" t="n">
        <v>45757</v>
      </c>
      <c r="D4223" t="inlineStr">
        <is>
          <t>VÄSTMANLANDS LÄN</t>
        </is>
      </c>
      <c r="E4223" t="inlineStr">
        <is>
          <t>VÄSTERÅS</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24132-2024</t>
        </is>
      </c>
      <c r="B4224" s="1" t="n">
        <v>45456</v>
      </c>
      <c r="C4224" s="1" t="n">
        <v>45757</v>
      </c>
      <c r="D4224" t="inlineStr">
        <is>
          <t>VÄSTMANLANDS LÄN</t>
        </is>
      </c>
      <c r="E4224" t="inlineStr">
        <is>
          <t>KÖPING</t>
        </is>
      </c>
      <c r="F4224" t="inlineStr">
        <is>
          <t>Sveaskog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24037-2024</t>
        </is>
      </c>
      <c r="B4225" s="1" t="n">
        <v>45456</v>
      </c>
      <c r="C4225" s="1" t="n">
        <v>45757</v>
      </c>
      <c r="D4225" t="inlineStr">
        <is>
          <t>VÄSTMANLANDS LÄN</t>
        </is>
      </c>
      <c r="E4225" t="inlineStr">
        <is>
          <t>SALA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24130-2024</t>
        </is>
      </c>
      <c r="B4226" s="1" t="n">
        <v>45456</v>
      </c>
      <c r="C4226" s="1" t="n">
        <v>45757</v>
      </c>
      <c r="D4226" t="inlineStr">
        <is>
          <t>VÄSTMANLANDS LÄN</t>
        </is>
      </c>
      <c r="E4226" t="inlineStr">
        <is>
          <t>KÖPING</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24167-2024</t>
        </is>
      </c>
      <c r="B4227" s="1" t="n">
        <v>45456</v>
      </c>
      <c r="C4227" s="1" t="n">
        <v>45757</v>
      </c>
      <c r="D4227" t="inlineStr">
        <is>
          <t>VÄSTMANLANDS LÄN</t>
        </is>
      </c>
      <c r="E4227" t="inlineStr">
        <is>
          <t>SURAHAMMAR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24175-2024</t>
        </is>
      </c>
      <c r="B4228" s="1" t="n">
        <v>45456</v>
      </c>
      <c r="C4228" s="1" t="n">
        <v>45757</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24083-2024</t>
        </is>
      </c>
      <c r="B4229" s="1" t="n">
        <v>45456</v>
      </c>
      <c r="C4229" s="1" t="n">
        <v>45757</v>
      </c>
      <c r="D4229" t="inlineStr">
        <is>
          <t>VÄSTMANLANDS LÄN</t>
        </is>
      </c>
      <c r="E4229" t="inlineStr">
        <is>
          <t>ARBOGA</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24168-2024</t>
        </is>
      </c>
      <c r="B4230" s="1" t="n">
        <v>45456</v>
      </c>
      <c r="C4230" s="1" t="n">
        <v>45757</v>
      </c>
      <c r="D4230" t="inlineStr">
        <is>
          <t>VÄSTMANLANDS LÄN</t>
        </is>
      </c>
      <c r="E4230" t="inlineStr">
        <is>
          <t>SURAHAMMAR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24402-2024</t>
        </is>
      </c>
      <c r="B4231" s="1" t="n">
        <v>45457</v>
      </c>
      <c r="C4231" s="1" t="n">
        <v>45757</v>
      </c>
      <c r="D4231" t="inlineStr">
        <is>
          <t>VÄSTMANLANDS LÄN</t>
        </is>
      </c>
      <c r="E4231" t="inlineStr">
        <is>
          <t>VÄSTERÅS</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24337-2024</t>
        </is>
      </c>
      <c r="B4232" s="1" t="n">
        <v>45457</v>
      </c>
      <c r="C4232" s="1" t="n">
        <v>45757</v>
      </c>
      <c r="D4232" t="inlineStr">
        <is>
          <t>VÄSTMANLANDS LÄN</t>
        </is>
      </c>
      <c r="E4232" t="inlineStr">
        <is>
          <t>SALA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24369-2024</t>
        </is>
      </c>
      <c r="B4233" s="1" t="n">
        <v>45457</v>
      </c>
      <c r="C4233" s="1" t="n">
        <v>45757</v>
      </c>
      <c r="D4233" t="inlineStr">
        <is>
          <t>VÄSTMANLANDS LÄN</t>
        </is>
      </c>
      <c r="E4233" t="inlineStr">
        <is>
          <t>SKINNSKATTEBERG</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24385-2024</t>
        </is>
      </c>
      <c r="B4234" s="1" t="n">
        <v>45457</v>
      </c>
      <c r="C4234" s="1" t="n">
        <v>45757</v>
      </c>
      <c r="D4234" t="inlineStr">
        <is>
          <t>VÄSTMANLANDS LÄN</t>
        </is>
      </c>
      <c r="E4234" t="inlineStr">
        <is>
          <t>SKINNSKATTEBERG</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24360-2024</t>
        </is>
      </c>
      <c r="B4235" s="1" t="n">
        <v>45457</v>
      </c>
      <c r="C4235" s="1" t="n">
        <v>45757</v>
      </c>
      <c r="D4235" t="inlineStr">
        <is>
          <t>VÄSTMANLANDS LÄN</t>
        </is>
      </c>
      <c r="E4235" t="inlineStr">
        <is>
          <t>SKINNSKATTEBERG</t>
        </is>
      </c>
      <c r="F4235" t="inlineStr">
        <is>
          <t>Sveaskog</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24364-2024</t>
        </is>
      </c>
      <c r="B4236" s="1" t="n">
        <v>45457</v>
      </c>
      <c r="C4236" s="1" t="n">
        <v>45757</v>
      </c>
      <c r="D4236" t="inlineStr">
        <is>
          <t>VÄSTMANLANDS LÄN</t>
        </is>
      </c>
      <c r="E4236" t="inlineStr">
        <is>
          <t>SKINNSKATTEBERG</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24367-2024</t>
        </is>
      </c>
      <c r="B4237" s="1" t="n">
        <v>45457</v>
      </c>
      <c r="C4237" s="1" t="n">
        <v>45757</v>
      </c>
      <c r="D4237" t="inlineStr">
        <is>
          <t>VÄSTMANLANDS LÄN</t>
        </is>
      </c>
      <c r="E4237" t="inlineStr">
        <is>
          <t>SKINNSKATTEBERG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24371-2024</t>
        </is>
      </c>
      <c r="B4238" s="1" t="n">
        <v>45457</v>
      </c>
      <c r="C4238" s="1" t="n">
        <v>45757</v>
      </c>
      <c r="D4238" t="inlineStr">
        <is>
          <t>VÄSTMANLANDS LÄN</t>
        </is>
      </c>
      <c r="E4238" t="inlineStr">
        <is>
          <t>SKINNSKATTEBERG</t>
        </is>
      </c>
      <c r="F4238" t="inlineStr">
        <is>
          <t>Sveaskog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24375-2024</t>
        </is>
      </c>
      <c r="B4239" s="1" t="n">
        <v>45457</v>
      </c>
      <c r="C4239" s="1" t="n">
        <v>45757</v>
      </c>
      <c r="D4239" t="inlineStr">
        <is>
          <t>VÄSTMANLANDS LÄN</t>
        </is>
      </c>
      <c r="E4239" t="inlineStr">
        <is>
          <t>SALA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24379-2024</t>
        </is>
      </c>
      <c r="B4240" s="1" t="n">
        <v>45457</v>
      </c>
      <c r="C4240" s="1" t="n">
        <v>45757</v>
      </c>
      <c r="D4240" t="inlineStr">
        <is>
          <t>VÄSTMANLANDS LÄN</t>
        </is>
      </c>
      <c r="E4240" t="inlineStr">
        <is>
          <t>SKINNSKATTEBERG</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24774-2024</t>
        </is>
      </c>
      <c r="B4241" s="1" t="n">
        <v>45460</v>
      </c>
      <c r="C4241" s="1" t="n">
        <v>45757</v>
      </c>
      <c r="D4241" t="inlineStr">
        <is>
          <t>VÄSTMANLANDS LÄN</t>
        </is>
      </c>
      <c r="E4241" t="inlineStr">
        <is>
          <t>KUNGSÖR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24776-2024</t>
        </is>
      </c>
      <c r="B4242" s="1" t="n">
        <v>45460</v>
      </c>
      <c r="C4242" s="1" t="n">
        <v>45757</v>
      </c>
      <c r="D4242" t="inlineStr">
        <is>
          <t>VÄSTMANLANDS LÄN</t>
        </is>
      </c>
      <c r="E4242" t="inlineStr">
        <is>
          <t>VÄSTERÅS</t>
        </is>
      </c>
      <c r="F4242" t="inlineStr">
        <is>
          <t>Kommuner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24570-2024</t>
        </is>
      </c>
      <c r="B4243" s="1" t="n">
        <v>45460</v>
      </c>
      <c r="C4243" s="1" t="n">
        <v>45757</v>
      </c>
      <c r="D4243" t="inlineStr">
        <is>
          <t>VÄSTMANLANDS LÄN</t>
        </is>
      </c>
      <c r="E4243" t="inlineStr">
        <is>
          <t>SURAHAMMAR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24530-2024</t>
        </is>
      </c>
      <c r="B4244" s="1" t="n">
        <v>45460</v>
      </c>
      <c r="C4244" s="1" t="n">
        <v>45757</v>
      </c>
      <c r="D4244" t="inlineStr">
        <is>
          <t>VÄSTMANLANDS LÄN</t>
        </is>
      </c>
      <c r="E4244" t="inlineStr">
        <is>
          <t>SURAHAMMAR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24951-2024</t>
        </is>
      </c>
      <c r="B4245" s="1" t="n">
        <v>45461</v>
      </c>
      <c r="C4245" s="1" t="n">
        <v>45757</v>
      </c>
      <c r="D4245" t="inlineStr">
        <is>
          <t>VÄSTMANLANDS LÄN</t>
        </is>
      </c>
      <c r="E4245" t="inlineStr">
        <is>
          <t>VÄSTERÅS</t>
        </is>
      </c>
      <c r="F4245" t="inlineStr">
        <is>
          <t>Kommuner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24866-2024</t>
        </is>
      </c>
      <c r="B4246" s="1" t="n">
        <v>45461</v>
      </c>
      <c r="C4246" s="1" t="n">
        <v>45757</v>
      </c>
      <c r="D4246" t="inlineStr">
        <is>
          <t>VÄSTMANLANDS LÄN</t>
        </is>
      </c>
      <c r="E4246" t="inlineStr">
        <is>
          <t>SALA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24900-2024</t>
        </is>
      </c>
      <c r="B4247" s="1" t="n">
        <v>45461</v>
      </c>
      <c r="C4247" s="1" t="n">
        <v>45757</v>
      </c>
      <c r="D4247" t="inlineStr">
        <is>
          <t>VÄSTMANLANDS LÄN</t>
        </is>
      </c>
      <c r="E4247" t="inlineStr">
        <is>
          <t>SALA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24864-2024</t>
        </is>
      </c>
      <c r="B4248" s="1" t="n">
        <v>45461</v>
      </c>
      <c r="C4248" s="1" t="n">
        <v>45757</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25315-2024</t>
        </is>
      </c>
      <c r="B4249" s="1" t="n">
        <v>45462</v>
      </c>
      <c r="C4249" s="1" t="n">
        <v>45757</v>
      </c>
      <c r="D4249" t="inlineStr">
        <is>
          <t>VÄSTMANLANDS LÄN</t>
        </is>
      </c>
      <c r="E4249" t="inlineStr">
        <is>
          <t>KÖPING</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25222-2024</t>
        </is>
      </c>
      <c r="B4250" s="1" t="n">
        <v>45462</v>
      </c>
      <c r="C4250" s="1" t="n">
        <v>45757</v>
      </c>
      <c r="D4250" t="inlineStr">
        <is>
          <t>VÄSTMANLANDS LÄN</t>
        </is>
      </c>
      <c r="E4250" t="inlineStr">
        <is>
          <t>SKINNSKATTEBERG</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25284-2024</t>
        </is>
      </c>
      <c r="B4251" s="1" t="n">
        <v>45462</v>
      </c>
      <c r="C4251" s="1" t="n">
        <v>45757</v>
      </c>
      <c r="D4251" t="inlineStr">
        <is>
          <t>VÄSTMANLANDS LÄN</t>
        </is>
      </c>
      <c r="E4251" t="inlineStr">
        <is>
          <t>SKINNSKATTEBERG</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25663-2024</t>
        </is>
      </c>
      <c r="B4252" s="1" t="n">
        <v>45463</v>
      </c>
      <c r="C4252" s="1" t="n">
        <v>45757</v>
      </c>
      <c r="D4252" t="inlineStr">
        <is>
          <t>VÄSTMANLANDS LÄN</t>
        </is>
      </c>
      <c r="E4252" t="inlineStr">
        <is>
          <t>KÖPING</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25660-2024</t>
        </is>
      </c>
      <c r="B4253" s="1" t="n">
        <v>45463</v>
      </c>
      <c r="C4253" s="1" t="n">
        <v>45757</v>
      </c>
      <c r="D4253" t="inlineStr">
        <is>
          <t>VÄSTMANLANDS LÄN</t>
        </is>
      </c>
      <c r="E4253" t="inlineStr">
        <is>
          <t>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25586-2024</t>
        </is>
      </c>
      <c r="B4254" s="1" t="n">
        <v>45463</v>
      </c>
      <c r="C4254" s="1" t="n">
        <v>45757</v>
      </c>
      <c r="D4254" t="inlineStr">
        <is>
          <t>VÄSTMANLANDS LÄN</t>
        </is>
      </c>
      <c r="E4254" t="inlineStr">
        <is>
          <t>SKINNSKATTEBERG</t>
        </is>
      </c>
      <c r="F4254" t="inlineStr">
        <is>
          <t>Sveaskog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25662-2024</t>
        </is>
      </c>
      <c r="B4255" s="1" t="n">
        <v>45463</v>
      </c>
      <c r="C4255" s="1" t="n">
        <v>45757</v>
      </c>
      <c r="D4255" t="inlineStr">
        <is>
          <t>VÄSTMANLANDS LÄN</t>
        </is>
      </c>
      <c r="E4255" t="inlineStr">
        <is>
          <t>KÖPING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25589-2024</t>
        </is>
      </c>
      <c r="B4256" s="1" t="n">
        <v>45463</v>
      </c>
      <c r="C4256" s="1" t="n">
        <v>45757</v>
      </c>
      <c r="D4256" t="inlineStr">
        <is>
          <t>VÄSTMANLANDS LÄN</t>
        </is>
      </c>
      <c r="E4256" t="inlineStr">
        <is>
          <t>SKINNSKATTEBERG</t>
        </is>
      </c>
      <c r="F4256" t="inlineStr">
        <is>
          <t>Sveaskog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25677-2024</t>
        </is>
      </c>
      <c r="B4257" s="1" t="n">
        <v>45463</v>
      </c>
      <c r="C4257" s="1" t="n">
        <v>45757</v>
      </c>
      <c r="D4257" t="inlineStr">
        <is>
          <t>VÄSTMANLANDS LÄN</t>
        </is>
      </c>
      <c r="E4257" t="inlineStr">
        <is>
          <t>FAGERSTA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25661-2024</t>
        </is>
      </c>
      <c r="B4258" s="1" t="n">
        <v>45463</v>
      </c>
      <c r="C4258" s="1" t="n">
        <v>45757</v>
      </c>
      <c r="D4258" t="inlineStr">
        <is>
          <t>VÄSTMANLANDS LÄN</t>
        </is>
      </c>
      <c r="E4258" t="inlineStr">
        <is>
          <t>KÖPING</t>
        </is>
      </c>
      <c r="G4258" t="n">
        <v>13.3</v>
      </c>
      <c r="H4258" t="n">
        <v>0</v>
      </c>
      <c r="I4258" t="n">
        <v>0</v>
      </c>
      <c r="J4258" t="n">
        <v>0</v>
      </c>
      <c r="K4258" t="n">
        <v>0</v>
      </c>
      <c r="L4258" t="n">
        <v>0</v>
      </c>
      <c r="M4258" t="n">
        <v>0</v>
      </c>
      <c r="N4258" t="n">
        <v>0</v>
      </c>
      <c r="O4258" t="n">
        <v>0</v>
      </c>
      <c r="P4258" t="n">
        <v>0</v>
      </c>
      <c r="Q4258" t="n">
        <v>0</v>
      </c>
      <c r="R4258" s="2" t="inlineStr"/>
    </row>
    <row r="4259" ht="15" customHeight="1">
      <c r="A4259" t="inlineStr">
        <is>
          <t>A 25541-2024</t>
        </is>
      </c>
      <c r="B4259" s="1" t="n">
        <v>45463</v>
      </c>
      <c r="C4259" s="1" t="n">
        <v>45757</v>
      </c>
      <c r="D4259" t="inlineStr">
        <is>
          <t>VÄSTMANLANDS LÄN</t>
        </is>
      </c>
      <c r="E4259" t="inlineStr">
        <is>
          <t>SALA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25450-2024</t>
        </is>
      </c>
      <c r="B4260" s="1" t="n">
        <v>45463</v>
      </c>
      <c r="C4260" s="1" t="n">
        <v>45757</v>
      </c>
      <c r="D4260" t="inlineStr">
        <is>
          <t>VÄSTMANLANDS LÄN</t>
        </is>
      </c>
      <c r="E4260" t="inlineStr">
        <is>
          <t>SURAHAMMAR</t>
        </is>
      </c>
      <c r="F4260" t="inlineStr">
        <is>
          <t>Bergvik skog väst AB</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25417-2024</t>
        </is>
      </c>
      <c r="B4261" s="1" t="n">
        <v>45463</v>
      </c>
      <c r="C4261" s="1" t="n">
        <v>45757</v>
      </c>
      <c r="D4261" t="inlineStr">
        <is>
          <t>VÄSTMANLANDS LÄN</t>
        </is>
      </c>
      <c r="E4261" t="inlineStr">
        <is>
          <t>SURAHAMMAR</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25756-2024</t>
        </is>
      </c>
      <c r="B4262" s="1" t="n">
        <v>45465</v>
      </c>
      <c r="C4262" s="1" t="n">
        <v>45757</v>
      </c>
      <c r="D4262" t="inlineStr">
        <is>
          <t>VÄSTMANLANDS LÄN</t>
        </is>
      </c>
      <c r="E4262" t="inlineStr">
        <is>
          <t>FAGERSTA</t>
        </is>
      </c>
      <c r="G4262" t="n">
        <v>9.5</v>
      </c>
      <c r="H4262" t="n">
        <v>0</v>
      </c>
      <c r="I4262" t="n">
        <v>0</v>
      </c>
      <c r="J4262" t="n">
        <v>0</v>
      </c>
      <c r="K4262" t="n">
        <v>0</v>
      </c>
      <c r="L4262" t="n">
        <v>0</v>
      </c>
      <c r="M4262" t="n">
        <v>0</v>
      </c>
      <c r="N4262" t="n">
        <v>0</v>
      </c>
      <c r="O4262" t="n">
        <v>0</v>
      </c>
      <c r="P4262" t="n">
        <v>0</v>
      </c>
      <c r="Q4262" t="n">
        <v>0</v>
      </c>
      <c r="R4262" s="2" t="inlineStr"/>
    </row>
    <row r="4263" ht="15" customHeight="1">
      <c r="A4263" t="inlineStr">
        <is>
          <t>A 25850-2024</t>
        </is>
      </c>
      <c r="B4263" s="1" t="n">
        <v>45467</v>
      </c>
      <c r="C4263" s="1" t="n">
        <v>45757</v>
      </c>
      <c r="D4263" t="inlineStr">
        <is>
          <t>VÄSTMANLANDS LÄN</t>
        </is>
      </c>
      <c r="E4263" t="inlineStr">
        <is>
          <t>VÄSTERÅS</t>
        </is>
      </c>
      <c r="F4263" t="inlineStr">
        <is>
          <t>Kommuner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25860-2024</t>
        </is>
      </c>
      <c r="B4264" s="1" t="n">
        <v>45467</v>
      </c>
      <c r="C4264" s="1" t="n">
        <v>45757</v>
      </c>
      <c r="D4264" t="inlineStr">
        <is>
          <t>VÄSTMANLANDS LÄN</t>
        </is>
      </c>
      <c r="E4264" t="inlineStr">
        <is>
          <t>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25897-2024</t>
        </is>
      </c>
      <c r="B4265" s="1" t="n">
        <v>45467</v>
      </c>
      <c r="C4265" s="1" t="n">
        <v>45757</v>
      </c>
      <c r="D4265" t="inlineStr">
        <is>
          <t>VÄSTMANLANDS LÄN</t>
        </is>
      </c>
      <c r="E4265" t="inlineStr">
        <is>
          <t>SALA</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25891-2024</t>
        </is>
      </c>
      <c r="B4266" s="1" t="n">
        <v>45467</v>
      </c>
      <c r="C4266" s="1" t="n">
        <v>45757</v>
      </c>
      <c r="D4266" t="inlineStr">
        <is>
          <t>VÄSTMANLANDS LÄN</t>
        </is>
      </c>
      <c r="E4266" t="inlineStr">
        <is>
          <t>SALA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25868-2024</t>
        </is>
      </c>
      <c r="B4267" s="1" t="n">
        <v>45467</v>
      </c>
      <c r="C4267" s="1" t="n">
        <v>45757</v>
      </c>
      <c r="D4267" t="inlineStr">
        <is>
          <t>VÄSTMANLANDS LÄN</t>
        </is>
      </c>
      <c r="E4267" t="inlineStr">
        <is>
          <t>SALA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25994-2024</t>
        </is>
      </c>
      <c r="B4268" s="1" t="n">
        <v>45467</v>
      </c>
      <c r="C4268" s="1" t="n">
        <v>45757</v>
      </c>
      <c r="D4268" t="inlineStr">
        <is>
          <t>VÄSTMANLANDS LÄN</t>
        </is>
      </c>
      <c r="E4268" t="inlineStr">
        <is>
          <t>KÖPING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26292-2024</t>
        </is>
      </c>
      <c r="B4269" s="1" t="n">
        <v>45468</v>
      </c>
      <c r="C4269" s="1" t="n">
        <v>45757</v>
      </c>
      <c r="D4269" t="inlineStr">
        <is>
          <t>VÄSTMANLANDS LÄN</t>
        </is>
      </c>
      <c r="E4269" t="inlineStr">
        <is>
          <t>VÄSTERÅS</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26519-2024</t>
        </is>
      </c>
      <c r="B4270" s="1" t="n">
        <v>45469</v>
      </c>
      <c r="C4270" s="1" t="n">
        <v>45757</v>
      </c>
      <c r="D4270" t="inlineStr">
        <is>
          <t>VÄSTMANLANDS LÄN</t>
        </is>
      </c>
      <c r="E4270" t="inlineStr">
        <is>
          <t>NORBERG</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26557-2024</t>
        </is>
      </c>
      <c r="B4271" s="1" t="n">
        <v>45469</v>
      </c>
      <c r="C4271" s="1" t="n">
        <v>45757</v>
      </c>
      <c r="D4271" t="inlineStr">
        <is>
          <t>VÄSTMANLANDS LÄN</t>
        </is>
      </c>
      <c r="E4271" t="inlineStr">
        <is>
          <t>SKINNSKATTEBERG</t>
        </is>
      </c>
      <c r="F4271" t="inlineStr">
        <is>
          <t>Sveaskog</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26475-2024</t>
        </is>
      </c>
      <c r="B4272" s="1" t="n">
        <v>45469</v>
      </c>
      <c r="C4272" s="1" t="n">
        <v>45757</v>
      </c>
      <c r="D4272" t="inlineStr">
        <is>
          <t>VÄSTMANLANDS LÄN</t>
        </is>
      </c>
      <c r="E4272" t="inlineStr">
        <is>
          <t>VÄSTERÅS</t>
        </is>
      </c>
      <c r="F4272" t="inlineStr">
        <is>
          <t>Kommuner</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26878-2024</t>
        </is>
      </c>
      <c r="B4273" s="1" t="n">
        <v>45470</v>
      </c>
      <c r="C4273" s="1" t="n">
        <v>45757</v>
      </c>
      <c r="D4273" t="inlineStr">
        <is>
          <t>VÄSTMANLANDS LÄN</t>
        </is>
      </c>
      <c r="E4273" t="inlineStr">
        <is>
          <t>SURAHAMMAR</t>
        </is>
      </c>
      <c r="F4273" t="inlineStr">
        <is>
          <t>Sveaskog</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26854-2024</t>
        </is>
      </c>
      <c r="B4274" s="1" t="n">
        <v>45470</v>
      </c>
      <c r="C4274" s="1" t="n">
        <v>45757</v>
      </c>
      <c r="D4274" t="inlineStr">
        <is>
          <t>VÄSTMANLANDS LÄN</t>
        </is>
      </c>
      <c r="E4274" t="inlineStr">
        <is>
          <t>SALA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26794-2024</t>
        </is>
      </c>
      <c r="B4275" s="1" t="n">
        <v>45470</v>
      </c>
      <c r="C4275" s="1" t="n">
        <v>45757</v>
      </c>
      <c r="D4275" t="inlineStr">
        <is>
          <t>VÄSTMANLANDS LÄN</t>
        </is>
      </c>
      <c r="E4275" t="inlineStr">
        <is>
          <t>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26868-2024</t>
        </is>
      </c>
      <c r="B4276" s="1" t="n">
        <v>45470</v>
      </c>
      <c r="C4276" s="1" t="n">
        <v>45757</v>
      </c>
      <c r="D4276" t="inlineStr">
        <is>
          <t>VÄSTMANLANDS LÄN</t>
        </is>
      </c>
      <c r="E4276" t="inlineStr">
        <is>
          <t>KUNGSÖR</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26848-2024</t>
        </is>
      </c>
      <c r="B4277" s="1" t="n">
        <v>45470</v>
      </c>
      <c r="C4277" s="1" t="n">
        <v>45757</v>
      </c>
      <c r="D4277" t="inlineStr">
        <is>
          <t>VÄSTMANLANDS LÄN</t>
        </is>
      </c>
      <c r="E4277" t="inlineStr">
        <is>
          <t>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26844-2024</t>
        </is>
      </c>
      <c r="B4278" s="1" t="n">
        <v>45470</v>
      </c>
      <c r="C4278" s="1" t="n">
        <v>45757</v>
      </c>
      <c r="D4278" t="inlineStr">
        <is>
          <t>VÄSTMANLANDS LÄN</t>
        </is>
      </c>
      <c r="E4278" t="inlineStr">
        <is>
          <t>SALA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27097-2024</t>
        </is>
      </c>
      <c r="B4279" s="1" t="n">
        <v>45471</v>
      </c>
      <c r="C4279" s="1" t="n">
        <v>45757</v>
      </c>
      <c r="D4279" t="inlineStr">
        <is>
          <t>VÄSTMANLANDS LÄN</t>
        </is>
      </c>
      <c r="E4279" t="inlineStr">
        <is>
          <t>SALA</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27262-2024</t>
        </is>
      </c>
      <c r="B4280" s="1" t="n">
        <v>45471</v>
      </c>
      <c r="C4280" s="1" t="n">
        <v>45757</v>
      </c>
      <c r="D4280" t="inlineStr">
        <is>
          <t>VÄSTMANLANDS LÄN</t>
        </is>
      </c>
      <c r="E4280" t="inlineStr">
        <is>
          <t>SALA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27261-2024</t>
        </is>
      </c>
      <c r="B4281" s="1" t="n">
        <v>45471</v>
      </c>
      <c r="C4281" s="1" t="n">
        <v>45757</v>
      </c>
      <c r="D4281" t="inlineStr">
        <is>
          <t>VÄSTMANLANDS LÄN</t>
        </is>
      </c>
      <c r="E4281" t="inlineStr">
        <is>
          <t>SALA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27351-2024</t>
        </is>
      </c>
      <c r="B4282" s="1" t="n">
        <v>45473</v>
      </c>
      <c r="C4282" s="1" t="n">
        <v>45757</v>
      </c>
      <c r="D4282" t="inlineStr">
        <is>
          <t>VÄSTMANLANDS LÄN</t>
        </is>
      </c>
      <c r="E4282" t="inlineStr">
        <is>
          <t>ARBOGA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27564-2024</t>
        </is>
      </c>
      <c r="B4283" s="1" t="n">
        <v>45474</v>
      </c>
      <c r="C4283" s="1" t="n">
        <v>45757</v>
      </c>
      <c r="D4283" t="inlineStr">
        <is>
          <t>VÄSTMANLANDS LÄN</t>
        </is>
      </c>
      <c r="E4283" t="inlineStr">
        <is>
          <t>SKINNSKATTEBERG</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27580-2024</t>
        </is>
      </c>
      <c r="B4284" s="1" t="n">
        <v>45474</v>
      </c>
      <c r="C4284" s="1" t="n">
        <v>45757</v>
      </c>
      <c r="D4284" t="inlineStr">
        <is>
          <t>VÄSTMANLANDS LÄN</t>
        </is>
      </c>
      <c r="E4284" t="inlineStr">
        <is>
          <t>NORBERG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27565-2024</t>
        </is>
      </c>
      <c r="B4285" s="1" t="n">
        <v>45474</v>
      </c>
      <c r="C4285" s="1" t="n">
        <v>45757</v>
      </c>
      <c r="D4285" t="inlineStr">
        <is>
          <t>VÄSTMANLANDS LÄN</t>
        </is>
      </c>
      <c r="E4285" t="inlineStr">
        <is>
          <t>SKINNSKATTEBERG</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27589-2024</t>
        </is>
      </c>
      <c r="B4286" s="1" t="n">
        <v>45474</v>
      </c>
      <c r="C4286" s="1" t="n">
        <v>45757</v>
      </c>
      <c r="D4286" t="inlineStr">
        <is>
          <t>VÄSTMANLANDS LÄN</t>
        </is>
      </c>
      <c r="E4286" t="inlineStr">
        <is>
          <t>NORBERG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28058-2024</t>
        </is>
      </c>
      <c r="B4287" s="1" t="n">
        <v>45476</v>
      </c>
      <c r="C4287" s="1" t="n">
        <v>45757</v>
      </c>
      <c r="D4287" t="inlineStr">
        <is>
          <t>VÄSTMANLANDS LÄN</t>
        </is>
      </c>
      <c r="E4287" t="inlineStr">
        <is>
          <t>SKINNSKATTEBERG</t>
        </is>
      </c>
      <c r="F4287" t="inlineStr">
        <is>
          <t>Sveaskog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28082-2024</t>
        </is>
      </c>
      <c r="B4288" s="1" t="n">
        <v>45476</v>
      </c>
      <c r="C4288" s="1" t="n">
        <v>45757</v>
      </c>
      <c r="D4288" t="inlineStr">
        <is>
          <t>VÄSTMANLANDS LÄN</t>
        </is>
      </c>
      <c r="E4288" t="inlineStr">
        <is>
          <t>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28113-2024</t>
        </is>
      </c>
      <c r="B4289" s="1" t="n">
        <v>45476</v>
      </c>
      <c r="C4289" s="1" t="n">
        <v>45757</v>
      </c>
      <c r="D4289" t="inlineStr">
        <is>
          <t>VÄSTMANLANDS LÄN</t>
        </is>
      </c>
      <c r="E4289" t="inlineStr">
        <is>
          <t>FAGERSTA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28093-2024</t>
        </is>
      </c>
      <c r="B4290" s="1" t="n">
        <v>45476</v>
      </c>
      <c r="C4290" s="1" t="n">
        <v>45757</v>
      </c>
      <c r="D4290" t="inlineStr">
        <is>
          <t>VÄSTMANLANDS LÄN</t>
        </is>
      </c>
      <c r="E4290" t="inlineStr">
        <is>
          <t>SALA</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28060-2024</t>
        </is>
      </c>
      <c r="B4291" s="1" t="n">
        <v>45476</v>
      </c>
      <c r="C4291" s="1" t="n">
        <v>45757</v>
      </c>
      <c r="D4291" t="inlineStr">
        <is>
          <t>VÄSTMANLANDS LÄN</t>
        </is>
      </c>
      <c r="E4291" t="inlineStr">
        <is>
          <t>SKINNSKATTEBERG</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28056-2024</t>
        </is>
      </c>
      <c r="B4292" s="1" t="n">
        <v>45476</v>
      </c>
      <c r="C4292" s="1" t="n">
        <v>45757</v>
      </c>
      <c r="D4292" t="inlineStr">
        <is>
          <t>VÄSTMANLANDS LÄN</t>
        </is>
      </c>
      <c r="E4292" t="inlineStr">
        <is>
          <t>SKINNSKATTEBERG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28389-2024</t>
        </is>
      </c>
      <c r="B4293" s="1" t="n">
        <v>45477</v>
      </c>
      <c r="C4293" s="1" t="n">
        <v>45757</v>
      </c>
      <c r="D4293" t="inlineStr">
        <is>
          <t>VÄSTMANLANDS LÄN</t>
        </is>
      </c>
      <c r="E4293" t="inlineStr">
        <is>
          <t>KÖPING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28377-2024</t>
        </is>
      </c>
      <c r="B4294" s="1" t="n">
        <v>45477</v>
      </c>
      <c r="C4294" s="1" t="n">
        <v>45757</v>
      </c>
      <c r="D4294" t="inlineStr">
        <is>
          <t>VÄSTMANLANDS LÄN</t>
        </is>
      </c>
      <c r="E4294" t="inlineStr">
        <is>
          <t>KÖPING</t>
        </is>
      </c>
      <c r="F4294" t="inlineStr">
        <is>
          <t>Sveaskog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28383-2024</t>
        </is>
      </c>
      <c r="B4295" s="1" t="n">
        <v>45477</v>
      </c>
      <c r="C4295" s="1" t="n">
        <v>45757</v>
      </c>
      <c r="D4295" t="inlineStr">
        <is>
          <t>VÄSTMANLANDS LÄN</t>
        </is>
      </c>
      <c r="E4295" t="inlineStr">
        <is>
          <t>KÖPING</t>
        </is>
      </c>
      <c r="F4295" t="inlineStr">
        <is>
          <t>Sveaskog</t>
        </is>
      </c>
      <c r="G4295" t="n">
        <v>7.7</v>
      </c>
      <c r="H4295" t="n">
        <v>0</v>
      </c>
      <c r="I4295" t="n">
        <v>0</v>
      </c>
      <c r="J4295" t="n">
        <v>0</v>
      </c>
      <c r="K4295" t="n">
        <v>0</v>
      </c>
      <c r="L4295" t="n">
        <v>0</v>
      </c>
      <c r="M4295" t="n">
        <v>0</v>
      </c>
      <c r="N4295" t="n">
        <v>0</v>
      </c>
      <c r="O4295" t="n">
        <v>0</v>
      </c>
      <c r="P4295" t="n">
        <v>0</v>
      </c>
      <c r="Q4295" t="n">
        <v>0</v>
      </c>
      <c r="R4295" s="2" t="inlineStr"/>
    </row>
    <row r="4296" ht="15" customHeight="1">
      <c r="A4296" t="inlineStr">
        <is>
          <t>A 28379-2024</t>
        </is>
      </c>
      <c r="B4296" s="1" t="n">
        <v>45477</v>
      </c>
      <c r="C4296" s="1" t="n">
        <v>45757</v>
      </c>
      <c r="D4296" t="inlineStr">
        <is>
          <t>VÄSTMANLANDS LÄN</t>
        </is>
      </c>
      <c r="E4296" t="inlineStr">
        <is>
          <t>KÖPING</t>
        </is>
      </c>
      <c r="F4296" t="inlineStr">
        <is>
          <t>Sveaskog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28375-2024</t>
        </is>
      </c>
      <c r="B4297" s="1" t="n">
        <v>45477</v>
      </c>
      <c r="C4297" s="1" t="n">
        <v>45757</v>
      </c>
      <c r="D4297" t="inlineStr">
        <is>
          <t>VÄSTMANLANDS LÄN</t>
        </is>
      </c>
      <c r="E4297" t="inlineStr">
        <is>
          <t>KÖPING</t>
        </is>
      </c>
      <c r="F4297" t="inlineStr">
        <is>
          <t>Sveaskog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28439-2024</t>
        </is>
      </c>
      <c r="B4298" s="1" t="n">
        <v>45477</v>
      </c>
      <c r="C4298" s="1" t="n">
        <v>45757</v>
      </c>
      <c r="D4298" t="inlineStr">
        <is>
          <t>VÄSTMANLANDS LÄN</t>
        </is>
      </c>
      <c r="E4298" t="inlineStr">
        <is>
          <t>SALA</t>
        </is>
      </c>
      <c r="G4298" t="n">
        <v>9.5</v>
      </c>
      <c r="H4298" t="n">
        <v>0</v>
      </c>
      <c r="I4298" t="n">
        <v>0</v>
      </c>
      <c r="J4298" t="n">
        <v>0</v>
      </c>
      <c r="K4298" t="n">
        <v>0</v>
      </c>
      <c r="L4298" t="n">
        <v>0</v>
      </c>
      <c r="M4298" t="n">
        <v>0</v>
      </c>
      <c r="N4298" t="n">
        <v>0</v>
      </c>
      <c r="O4298" t="n">
        <v>0</v>
      </c>
      <c r="P4298" t="n">
        <v>0</v>
      </c>
      <c r="Q4298" t="n">
        <v>0</v>
      </c>
      <c r="R4298" s="2" t="inlineStr"/>
    </row>
    <row r="4299" ht="15" customHeight="1">
      <c r="A4299" t="inlineStr">
        <is>
          <t>A 28203-2024</t>
        </is>
      </c>
      <c r="B4299" s="1" t="n">
        <v>45477</v>
      </c>
      <c r="C4299" s="1" t="n">
        <v>45757</v>
      </c>
      <c r="D4299" t="inlineStr">
        <is>
          <t>VÄSTMANLANDS LÄN</t>
        </is>
      </c>
      <c r="E4299" t="inlineStr">
        <is>
          <t>FAGERSTA</t>
        </is>
      </c>
      <c r="F4299" t="inlineStr">
        <is>
          <t>Sveaskog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28201-2024</t>
        </is>
      </c>
      <c r="B4300" s="1" t="n">
        <v>45477</v>
      </c>
      <c r="C4300" s="1" t="n">
        <v>45757</v>
      </c>
      <c r="D4300" t="inlineStr">
        <is>
          <t>VÄSTMANLANDS LÄN</t>
        </is>
      </c>
      <c r="E4300" t="inlineStr">
        <is>
          <t>FAGERSTA</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28394-2024</t>
        </is>
      </c>
      <c r="B4301" s="1" t="n">
        <v>45477</v>
      </c>
      <c r="C4301" s="1" t="n">
        <v>45757</v>
      </c>
      <c r="D4301" t="inlineStr">
        <is>
          <t>VÄSTMANLANDS LÄN</t>
        </is>
      </c>
      <c r="E4301" t="inlineStr">
        <is>
          <t>KÖPING</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28386-2024</t>
        </is>
      </c>
      <c r="B4302" s="1" t="n">
        <v>45477</v>
      </c>
      <c r="C4302" s="1" t="n">
        <v>45757</v>
      </c>
      <c r="D4302" t="inlineStr">
        <is>
          <t>VÄSTMANLANDS LÄN</t>
        </is>
      </c>
      <c r="E4302" t="inlineStr">
        <is>
          <t>KÖPING</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28374-2024</t>
        </is>
      </c>
      <c r="B4303" s="1" t="n">
        <v>45477</v>
      </c>
      <c r="C4303" s="1" t="n">
        <v>45757</v>
      </c>
      <c r="D4303" t="inlineStr">
        <is>
          <t>VÄSTMANLANDS LÄN</t>
        </is>
      </c>
      <c r="E4303" t="inlineStr">
        <is>
          <t>KÖPING</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28278-2024</t>
        </is>
      </c>
      <c r="B4304" s="1" t="n">
        <v>45477</v>
      </c>
      <c r="C4304" s="1" t="n">
        <v>45757</v>
      </c>
      <c r="D4304" t="inlineStr">
        <is>
          <t>VÄSTMANLANDS LÄN</t>
        </is>
      </c>
      <c r="E4304" t="inlineStr">
        <is>
          <t>SKINNSKATTEBERG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28233-2024</t>
        </is>
      </c>
      <c r="B4305" s="1" t="n">
        <v>45477</v>
      </c>
      <c r="C4305" s="1" t="n">
        <v>45757</v>
      </c>
      <c r="D4305" t="inlineStr">
        <is>
          <t>VÄSTMANLANDS LÄN</t>
        </is>
      </c>
      <c r="E4305" t="inlineStr">
        <is>
          <t>SKINNSKATTEBERG</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28205-2024</t>
        </is>
      </c>
      <c r="B4306" s="1" t="n">
        <v>45477</v>
      </c>
      <c r="C4306" s="1" t="n">
        <v>45757</v>
      </c>
      <c r="D4306" t="inlineStr">
        <is>
          <t>VÄSTMANLANDS LÄN</t>
        </is>
      </c>
      <c r="E4306" t="inlineStr">
        <is>
          <t>FAGERSTA</t>
        </is>
      </c>
      <c r="F4306" t="inlineStr">
        <is>
          <t>Sveaskog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28188-2024</t>
        </is>
      </c>
      <c r="B4307" s="1" t="n">
        <v>45477</v>
      </c>
      <c r="C4307" s="1" t="n">
        <v>45757</v>
      </c>
      <c r="D4307" t="inlineStr">
        <is>
          <t>VÄSTMANLANDS LÄN</t>
        </is>
      </c>
      <c r="E4307" t="inlineStr">
        <is>
          <t>SKINNSKATTEBERG</t>
        </is>
      </c>
      <c r="F4307" t="inlineStr">
        <is>
          <t>Sveaskog</t>
        </is>
      </c>
      <c r="G4307" t="n">
        <v>8.4</v>
      </c>
      <c r="H4307" t="n">
        <v>0</v>
      </c>
      <c r="I4307" t="n">
        <v>0</v>
      </c>
      <c r="J4307" t="n">
        <v>0</v>
      </c>
      <c r="K4307" t="n">
        <v>0</v>
      </c>
      <c r="L4307" t="n">
        <v>0</v>
      </c>
      <c r="M4307" t="n">
        <v>0</v>
      </c>
      <c r="N4307" t="n">
        <v>0</v>
      </c>
      <c r="O4307" t="n">
        <v>0</v>
      </c>
      <c r="P4307" t="n">
        <v>0</v>
      </c>
      <c r="Q4307" t="n">
        <v>0</v>
      </c>
      <c r="R4307" s="2" t="inlineStr"/>
    </row>
    <row r="4308" ht="15" customHeight="1">
      <c r="A4308" t="inlineStr">
        <is>
          <t>A 28207-2024</t>
        </is>
      </c>
      <c r="B4308" s="1" t="n">
        <v>45477</v>
      </c>
      <c r="C4308" s="1" t="n">
        <v>45757</v>
      </c>
      <c r="D4308" t="inlineStr">
        <is>
          <t>VÄSTMANLANDS LÄN</t>
        </is>
      </c>
      <c r="E4308" t="inlineStr">
        <is>
          <t>FAGERSTA</t>
        </is>
      </c>
      <c r="F4308" t="inlineStr">
        <is>
          <t>Sveaskog</t>
        </is>
      </c>
      <c r="G4308" t="n">
        <v>11.4</v>
      </c>
      <c r="H4308" t="n">
        <v>0</v>
      </c>
      <c r="I4308" t="n">
        <v>0</v>
      </c>
      <c r="J4308" t="n">
        <v>0</v>
      </c>
      <c r="K4308" t="n">
        <v>0</v>
      </c>
      <c r="L4308" t="n">
        <v>0</v>
      </c>
      <c r="M4308" t="n">
        <v>0</v>
      </c>
      <c r="N4308" t="n">
        <v>0</v>
      </c>
      <c r="O4308" t="n">
        <v>0</v>
      </c>
      <c r="P4308" t="n">
        <v>0</v>
      </c>
      <c r="Q4308" t="n">
        <v>0</v>
      </c>
      <c r="R4308" s="2" t="inlineStr"/>
    </row>
    <row r="4309" ht="15" customHeight="1">
      <c r="A4309" t="inlineStr">
        <is>
          <t>A 28614-2024</t>
        </is>
      </c>
      <c r="B4309" s="1" t="n">
        <v>45478</v>
      </c>
      <c r="C4309" s="1" t="n">
        <v>45757</v>
      </c>
      <c r="D4309" t="inlineStr">
        <is>
          <t>VÄSTMANLANDS LÄN</t>
        </is>
      </c>
      <c r="E4309" t="inlineStr">
        <is>
          <t>SALA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28691-2024</t>
        </is>
      </c>
      <c r="B4310" s="1" t="n">
        <v>45478</v>
      </c>
      <c r="C4310" s="1" t="n">
        <v>45757</v>
      </c>
      <c r="D4310" t="inlineStr">
        <is>
          <t>VÄSTMANLANDS LÄN</t>
        </is>
      </c>
      <c r="E4310" t="inlineStr">
        <is>
          <t>KÖPING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28812-2024</t>
        </is>
      </c>
      <c r="B4311" s="1" t="n">
        <v>45478</v>
      </c>
      <c r="C4311" s="1" t="n">
        <v>45757</v>
      </c>
      <c r="D4311" t="inlineStr">
        <is>
          <t>VÄSTMANLANDS LÄN</t>
        </is>
      </c>
      <c r="E4311" t="inlineStr">
        <is>
          <t>SURAHAMMAR</t>
        </is>
      </c>
      <c r="F4311" t="inlineStr">
        <is>
          <t>Bergvik skog väst AB</t>
        </is>
      </c>
      <c r="G4311" t="n">
        <v>17.8</v>
      </c>
      <c r="H4311" t="n">
        <v>0</v>
      </c>
      <c r="I4311" t="n">
        <v>0</v>
      </c>
      <c r="J4311" t="n">
        <v>0</v>
      </c>
      <c r="K4311" t="n">
        <v>0</v>
      </c>
      <c r="L4311" t="n">
        <v>0</v>
      </c>
      <c r="M4311" t="n">
        <v>0</v>
      </c>
      <c r="N4311" t="n">
        <v>0</v>
      </c>
      <c r="O4311" t="n">
        <v>0</v>
      </c>
      <c r="P4311" t="n">
        <v>0</v>
      </c>
      <c r="Q4311" t="n">
        <v>0</v>
      </c>
      <c r="R4311" s="2" t="inlineStr"/>
    </row>
    <row r="4312" ht="15" customHeight="1">
      <c r="A4312" t="inlineStr">
        <is>
          <t>A 28661-2024</t>
        </is>
      </c>
      <c r="B4312" s="1" t="n">
        <v>45478</v>
      </c>
      <c r="C4312" s="1" t="n">
        <v>45757</v>
      </c>
      <c r="D4312" t="inlineStr">
        <is>
          <t>VÄSTMANLANDS LÄN</t>
        </is>
      </c>
      <c r="E4312" t="inlineStr">
        <is>
          <t>SALA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28941-2024</t>
        </is>
      </c>
      <c r="B4313" s="1" t="n">
        <v>45480</v>
      </c>
      <c r="C4313" s="1" t="n">
        <v>45757</v>
      </c>
      <c r="D4313" t="inlineStr">
        <is>
          <t>VÄSTMANLANDS LÄN</t>
        </is>
      </c>
      <c r="E4313" t="inlineStr">
        <is>
          <t>SKINNSKATTEBERG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28902-2024</t>
        </is>
      </c>
      <c r="B4314" s="1" t="n">
        <v>45480</v>
      </c>
      <c r="C4314" s="1" t="n">
        <v>45757</v>
      </c>
      <c r="D4314" t="inlineStr">
        <is>
          <t>VÄSTMANLANDS LÄN</t>
        </is>
      </c>
      <c r="E4314" t="inlineStr">
        <is>
          <t>KÖPING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28904-2024</t>
        </is>
      </c>
      <c r="B4315" s="1" t="n">
        <v>45480</v>
      </c>
      <c r="C4315" s="1" t="n">
        <v>45757</v>
      </c>
      <c r="D4315" t="inlineStr">
        <is>
          <t>VÄSTMANLANDS LÄN</t>
        </is>
      </c>
      <c r="E4315" t="inlineStr">
        <is>
          <t>KÖPING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28940-2024</t>
        </is>
      </c>
      <c r="B4316" s="1" t="n">
        <v>45480</v>
      </c>
      <c r="C4316" s="1" t="n">
        <v>45757</v>
      </c>
      <c r="D4316" t="inlineStr">
        <is>
          <t>VÄSTMANLANDS LÄN</t>
        </is>
      </c>
      <c r="E4316" t="inlineStr">
        <is>
          <t>SKINNSKATTEBERG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29019-2024</t>
        </is>
      </c>
      <c r="B4317" s="1" t="n">
        <v>45481</v>
      </c>
      <c r="C4317" s="1" t="n">
        <v>45757</v>
      </c>
      <c r="D4317" t="inlineStr">
        <is>
          <t>VÄSTMANLANDS LÄN</t>
        </is>
      </c>
      <c r="E4317" t="inlineStr">
        <is>
          <t>SALA</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28973-2024</t>
        </is>
      </c>
      <c r="B4318" s="1" t="n">
        <v>45481</v>
      </c>
      <c r="C4318" s="1" t="n">
        <v>45757</v>
      </c>
      <c r="D4318" t="inlineStr">
        <is>
          <t>VÄSTMANLANDS LÄN</t>
        </is>
      </c>
      <c r="E4318" t="inlineStr">
        <is>
          <t>KÖPING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28945-2024</t>
        </is>
      </c>
      <c r="B4319" s="1" t="n">
        <v>45481</v>
      </c>
      <c r="C4319" s="1" t="n">
        <v>45757</v>
      </c>
      <c r="D4319" t="inlineStr">
        <is>
          <t>VÄSTMANLANDS LÄN</t>
        </is>
      </c>
      <c r="E4319" t="inlineStr">
        <is>
          <t>KÖPING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29158-2024</t>
        </is>
      </c>
      <c r="B4320" s="1" t="n">
        <v>45482</v>
      </c>
      <c r="C4320" s="1" t="n">
        <v>45757</v>
      </c>
      <c r="D4320" t="inlineStr">
        <is>
          <t>VÄSTMANLANDS LÄN</t>
        </is>
      </c>
      <c r="E4320" t="inlineStr">
        <is>
          <t>SURAHAMMAR</t>
        </is>
      </c>
      <c r="F4320" t="inlineStr">
        <is>
          <t>Sveaskog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29136-2024</t>
        </is>
      </c>
      <c r="B4321" s="1" t="n">
        <v>45482</v>
      </c>
      <c r="C4321" s="1" t="n">
        <v>45757</v>
      </c>
      <c r="D4321" t="inlineStr">
        <is>
          <t>VÄSTMANLANDS LÄN</t>
        </is>
      </c>
      <c r="E4321" t="inlineStr">
        <is>
          <t>KÖPING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29206-2024</t>
        </is>
      </c>
      <c r="B4322" s="1" t="n">
        <v>45482</v>
      </c>
      <c r="C4322" s="1" t="n">
        <v>45757</v>
      </c>
      <c r="D4322" t="inlineStr">
        <is>
          <t>VÄSTMANLANDS LÄN</t>
        </is>
      </c>
      <c r="E4322" t="inlineStr">
        <is>
          <t>KÖPING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29568-2024</t>
        </is>
      </c>
      <c r="B4323" s="1" t="n">
        <v>45484</v>
      </c>
      <c r="C4323" s="1" t="n">
        <v>45757</v>
      </c>
      <c r="D4323" t="inlineStr">
        <is>
          <t>VÄSTMANLANDS LÄN</t>
        </is>
      </c>
      <c r="E4323" t="inlineStr">
        <is>
          <t>KUNGSÖR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29831-2024</t>
        </is>
      </c>
      <c r="B4324" s="1" t="n">
        <v>45485</v>
      </c>
      <c r="C4324" s="1" t="n">
        <v>45757</v>
      </c>
      <c r="D4324" t="inlineStr">
        <is>
          <t>VÄSTMANLANDS LÄN</t>
        </is>
      </c>
      <c r="E4324" t="inlineStr">
        <is>
          <t>SKINNSKATTEBERG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29830-2024</t>
        </is>
      </c>
      <c r="B4325" s="1" t="n">
        <v>45485</v>
      </c>
      <c r="C4325" s="1" t="n">
        <v>45757</v>
      </c>
      <c r="D4325" t="inlineStr">
        <is>
          <t>VÄSTMANLANDS LÄN</t>
        </is>
      </c>
      <c r="E4325" t="inlineStr">
        <is>
          <t>SKINNSKATTEBERG</t>
        </is>
      </c>
      <c r="F4325" t="inlineStr">
        <is>
          <t>Sveaskog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29708-2024</t>
        </is>
      </c>
      <c r="B4326" s="1" t="n">
        <v>45485</v>
      </c>
      <c r="C4326" s="1" t="n">
        <v>45757</v>
      </c>
      <c r="D4326" t="inlineStr">
        <is>
          <t>VÄSTMANLANDS LÄN</t>
        </is>
      </c>
      <c r="E4326" t="inlineStr">
        <is>
          <t>SKINNSKATTEBERG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29705-2024</t>
        </is>
      </c>
      <c r="B4327" s="1" t="n">
        <v>45485</v>
      </c>
      <c r="C4327" s="1" t="n">
        <v>45757</v>
      </c>
      <c r="D4327" t="inlineStr">
        <is>
          <t>VÄSTMANLANDS LÄN</t>
        </is>
      </c>
      <c r="E4327" t="inlineStr">
        <is>
          <t>SKINNSKATTEBERG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30028-2024</t>
        </is>
      </c>
      <c r="B4328" s="1" t="n">
        <v>45485</v>
      </c>
      <c r="C4328" s="1" t="n">
        <v>45757</v>
      </c>
      <c r="D4328" t="inlineStr">
        <is>
          <t>VÄSTMANLANDS LÄN</t>
        </is>
      </c>
      <c r="E4328" t="inlineStr">
        <is>
          <t>SALA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29829-2024</t>
        </is>
      </c>
      <c r="B4329" s="1" t="n">
        <v>45485</v>
      </c>
      <c r="C4329" s="1" t="n">
        <v>45757</v>
      </c>
      <c r="D4329" t="inlineStr">
        <is>
          <t>VÄSTMANLANDS LÄN</t>
        </is>
      </c>
      <c r="E4329" t="inlineStr">
        <is>
          <t>SKINNSKATTEBERG</t>
        </is>
      </c>
      <c r="F4329" t="inlineStr">
        <is>
          <t>Sveaskog</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29711-2024</t>
        </is>
      </c>
      <c r="B4330" s="1" t="n">
        <v>45485</v>
      </c>
      <c r="C4330" s="1" t="n">
        <v>45757</v>
      </c>
      <c r="D4330" t="inlineStr">
        <is>
          <t>VÄSTMANLANDS LÄN</t>
        </is>
      </c>
      <c r="E4330" t="inlineStr">
        <is>
          <t>SKINNSKATTEBERG</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29929-2024</t>
        </is>
      </c>
      <c r="B4331" s="1" t="n">
        <v>45488</v>
      </c>
      <c r="C4331" s="1" t="n">
        <v>45757</v>
      </c>
      <c r="D4331" t="inlineStr">
        <is>
          <t>VÄSTMANLANDS LÄN</t>
        </is>
      </c>
      <c r="E4331" t="inlineStr">
        <is>
          <t>SALA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29960-2024</t>
        </is>
      </c>
      <c r="B4332" s="1" t="n">
        <v>45488</v>
      </c>
      <c r="C4332" s="1" t="n">
        <v>45757</v>
      </c>
      <c r="D4332" t="inlineStr">
        <is>
          <t>VÄSTMANLANDS LÄN</t>
        </is>
      </c>
      <c r="E4332" t="inlineStr">
        <is>
          <t>KÖPING</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30356-2024</t>
        </is>
      </c>
      <c r="B4333" s="1" t="n">
        <v>45491</v>
      </c>
      <c r="C4333" s="1" t="n">
        <v>45757</v>
      </c>
      <c r="D4333" t="inlineStr">
        <is>
          <t>VÄSTMANLANDS LÄN</t>
        </is>
      </c>
      <c r="E4333" t="inlineStr">
        <is>
          <t>FAGERSTA</t>
        </is>
      </c>
      <c r="F4333" t="inlineStr">
        <is>
          <t>Bergvik skog väst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30357-2024</t>
        </is>
      </c>
      <c r="B4334" s="1" t="n">
        <v>45491</v>
      </c>
      <c r="C4334" s="1" t="n">
        <v>45757</v>
      </c>
      <c r="D4334" t="inlineStr">
        <is>
          <t>VÄSTMANLANDS LÄN</t>
        </is>
      </c>
      <c r="E4334" t="inlineStr">
        <is>
          <t>FAGERSTA</t>
        </is>
      </c>
      <c r="F4334" t="inlineStr">
        <is>
          <t>Övriga Aktiebolag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30358-2024</t>
        </is>
      </c>
      <c r="B4335" s="1" t="n">
        <v>45491</v>
      </c>
      <c r="C4335" s="1" t="n">
        <v>45757</v>
      </c>
      <c r="D4335" t="inlineStr">
        <is>
          <t>VÄSTMANLANDS LÄN</t>
        </is>
      </c>
      <c r="E4335" t="inlineStr">
        <is>
          <t>NORBERG</t>
        </is>
      </c>
      <c r="F4335" t="inlineStr">
        <is>
          <t>Övriga Aktiebolag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30506-2024</t>
        </is>
      </c>
      <c r="B4336" s="1" t="n">
        <v>45492</v>
      </c>
      <c r="C4336" s="1" t="n">
        <v>45757</v>
      </c>
      <c r="D4336" t="inlineStr">
        <is>
          <t>VÄSTMANLANDS LÄN</t>
        </is>
      </c>
      <c r="E4336" t="inlineStr">
        <is>
          <t>KÖPING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30533-2024</t>
        </is>
      </c>
      <c r="B4337" s="1" t="n">
        <v>45492</v>
      </c>
      <c r="C4337" s="1" t="n">
        <v>45757</v>
      </c>
      <c r="D4337" t="inlineStr">
        <is>
          <t>VÄSTMANLANDS LÄN</t>
        </is>
      </c>
      <c r="E4337" t="inlineStr">
        <is>
          <t>KÖPING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30531-2024</t>
        </is>
      </c>
      <c r="B4338" s="1" t="n">
        <v>45492</v>
      </c>
      <c r="C4338" s="1" t="n">
        <v>45757</v>
      </c>
      <c r="D4338" t="inlineStr">
        <is>
          <t>VÄSTMANLANDS LÄN</t>
        </is>
      </c>
      <c r="E4338" t="inlineStr">
        <is>
          <t>SKINNSKATTEBERG</t>
        </is>
      </c>
      <c r="F4338" t="inlineStr">
        <is>
          <t>Sveaskog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30532-2024</t>
        </is>
      </c>
      <c r="B4339" s="1" t="n">
        <v>45492</v>
      </c>
      <c r="C4339" s="1" t="n">
        <v>45757</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30613-2024</t>
        </is>
      </c>
      <c r="B4340" s="1" t="n">
        <v>45495</v>
      </c>
      <c r="C4340" s="1" t="n">
        <v>45757</v>
      </c>
      <c r="D4340" t="inlineStr">
        <is>
          <t>VÄSTMANLANDS LÄN</t>
        </is>
      </c>
      <c r="E4340" t="inlineStr">
        <is>
          <t>SALA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30653-2024</t>
        </is>
      </c>
      <c r="B4341" s="1" t="n">
        <v>45495</v>
      </c>
      <c r="C4341" s="1" t="n">
        <v>45757</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30648-2024</t>
        </is>
      </c>
      <c r="B4342" s="1" t="n">
        <v>45495</v>
      </c>
      <c r="C4342" s="1" t="n">
        <v>45757</v>
      </c>
      <c r="D4342" t="inlineStr">
        <is>
          <t>VÄSTMANLANDS LÄN</t>
        </is>
      </c>
      <c r="E4342" t="inlineStr">
        <is>
          <t>VÄSTERÅS</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30837-2024</t>
        </is>
      </c>
      <c r="B4343" s="1" t="n">
        <v>45497</v>
      </c>
      <c r="C4343" s="1" t="n">
        <v>45757</v>
      </c>
      <c r="D4343" t="inlineStr">
        <is>
          <t>VÄSTMANLANDS LÄN</t>
        </is>
      </c>
      <c r="E4343" t="inlineStr">
        <is>
          <t>SKINNSKATTEBERG</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30838-2024</t>
        </is>
      </c>
      <c r="B4344" s="1" t="n">
        <v>45497</v>
      </c>
      <c r="C4344" s="1" t="n">
        <v>45757</v>
      </c>
      <c r="D4344" t="inlineStr">
        <is>
          <t>VÄSTMANLANDS LÄN</t>
        </is>
      </c>
      <c r="E4344" t="inlineStr">
        <is>
          <t>SKINNSKATTEBERG</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30836-2024</t>
        </is>
      </c>
      <c r="B4345" s="1" t="n">
        <v>45497</v>
      </c>
      <c r="C4345" s="1" t="n">
        <v>45757</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30835-2024</t>
        </is>
      </c>
      <c r="B4346" s="1" t="n">
        <v>45497</v>
      </c>
      <c r="C4346" s="1" t="n">
        <v>45757</v>
      </c>
      <c r="D4346" t="inlineStr">
        <is>
          <t>VÄSTMANLANDS LÄN</t>
        </is>
      </c>
      <c r="E4346" t="inlineStr">
        <is>
          <t>SKINNSKATTEBERG</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30998-2024</t>
        </is>
      </c>
      <c r="B4347" s="1" t="n">
        <v>45499</v>
      </c>
      <c r="C4347" s="1" t="n">
        <v>45757</v>
      </c>
      <c r="D4347" t="inlineStr">
        <is>
          <t>VÄSTMANLANDS LÄN</t>
        </is>
      </c>
      <c r="E4347" t="inlineStr">
        <is>
          <t>SKINNSKATTEBERG</t>
        </is>
      </c>
      <c r="F4347" t="inlineStr">
        <is>
          <t>Sveaskog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30999-2024</t>
        </is>
      </c>
      <c r="B4348" s="1" t="n">
        <v>45499</v>
      </c>
      <c r="C4348" s="1" t="n">
        <v>45757</v>
      </c>
      <c r="D4348" t="inlineStr">
        <is>
          <t>VÄSTMANLANDS LÄN</t>
        </is>
      </c>
      <c r="E4348" t="inlineStr">
        <is>
          <t>SKINNSKATTEBERG</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31105-2024</t>
        </is>
      </c>
      <c r="B4349" s="1" t="n">
        <v>45502</v>
      </c>
      <c r="C4349" s="1" t="n">
        <v>45757</v>
      </c>
      <c r="D4349" t="inlineStr">
        <is>
          <t>VÄSTMANLANDS LÄN</t>
        </is>
      </c>
      <c r="E4349" t="inlineStr">
        <is>
          <t>SKINNSKATTEBERG</t>
        </is>
      </c>
      <c r="F4349" t="inlineStr">
        <is>
          <t>Sveaskog</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31069-2024</t>
        </is>
      </c>
      <c r="B4350" s="1" t="n">
        <v>45502</v>
      </c>
      <c r="C4350" s="1" t="n">
        <v>45757</v>
      </c>
      <c r="D4350" t="inlineStr">
        <is>
          <t>VÄSTMANLANDS LÄN</t>
        </is>
      </c>
      <c r="E4350" t="inlineStr">
        <is>
          <t>KÖPING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31192-2024</t>
        </is>
      </c>
      <c r="B4351" s="1" t="n">
        <v>45503</v>
      </c>
      <c r="C4351" s="1" t="n">
        <v>45757</v>
      </c>
      <c r="D4351" t="inlineStr">
        <is>
          <t>VÄSTMANLANDS LÄN</t>
        </is>
      </c>
      <c r="E4351" t="inlineStr">
        <is>
          <t>SURAHAMMAR</t>
        </is>
      </c>
      <c r="F4351" t="inlineStr">
        <is>
          <t>Allmännings- och besparingsskogar</t>
        </is>
      </c>
      <c r="G4351" t="n">
        <v>17.2</v>
      </c>
      <c r="H4351" t="n">
        <v>0</v>
      </c>
      <c r="I4351" t="n">
        <v>0</v>
      </c>
      <c r="J4351" t="n">
        <v>0</v>
      </c>
      <c r="K4351" t="n">
        <v>0</v>
      </c>
      <c r="L4351" t="n">
        <v>0</v>
      </c>
      <c r="M4351" t="n">
        <v>0</v>
      </c>
      <c r="N4351" t="n">
        <v>0</v>
      </c>
      <c r="O4351" t="n">
        <v>0</v>
      </c>
      <c r="P4351" t="n">
        <v>0</v>
      </c>
      <c r="Q4351" t="n">
        <v>0</v>
      </c>
      <c r="R4351" s="2" t="inlineStr"/>
    </row>
    <row r="4352" ht="15" customHeight="1">
      <c r="A4352" t="inlineStr">
        <is>
          <t>A 31163-2024</t>
        </is>
      </c>
      <c r="B4352" s="1" t="n">
        <v>45503</v>
      </c>
      <c r="C4352" s="1" t="n">
        <v>45757</v>
      </c>
      <c r="D4352" t="inlineStr">
        <is>
          <t>VÄSTMANLANDS LÄN</t>
        </is>
      </c>
      <c r="E4352" t="inlineStr">
        <is>
          <t>KÖPING</t>
        </is>
      </c>
      <c r="F4352" t="inlineStr">
        <is>
          <t>Allmännings- och besparingsskogar</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31231-2024</t>
        </is>
      </c>
      <c r="B4353" s="1" t="n">
        <v>45503</v>
      </c>
      <c r="C4353" s="1" t="n">
        <v>45757</v>
      </c>
      <c r="D4353" t="inlineStr">
        <is>
          <t>VÄSTMANLANDS LÄN</t>
        </is>
      </c>
      <c r="E4353" t="inlineStr">
        <is>
          <t>FAGERSTA</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31235-2024</t>
        </is>
      </c>
      <c r="B4354" s="1" t="n">
        <v>45503</v>
      </c>
      <c r="C4354" s="1" t="n">
        <v>45757</v>
      </c>
      <c r="D4354" t="inlineStr">
        <is>
          <t>VÄSTMANLANDS LÄN</t>
        </is>
      </c>
      <c r="E4354" t="inlineStr">
        <is>
          <t>SALA</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31274-2024</t>
        </is>
      </c>
      <c r="B4355" s="1" t="n">
        <v>45504</v>
      </c>
      <c r="C4355" s="1" t="n">
        <v>45757</v>
      </c>
      <c r="D4355" t="inlineStr">
        <is>
          <t>VÄSTMANLANDS LÄN</t>
        </is>
      </c>
      <c r="E4355" t="inlineStr">
        <is>
          <t>SKINNSKATTEBERG</t>
        </is>
      </c>
      <c r="F4355" t="inlineStr">
        <is>
          <t>Allmännings- och besparingsskogar</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31302-2024</t>
        </is>
      </c>
      <c r="B4356" s="1" t="n">
        <v>45504</v>
      </c>
      <c r="C4356" s="1" t="n">
        <v>45757</v>
      </c>
      <c r="D4356" t="inlineStr">
        <is>
          <t>VÄSTMANLANDS LÄN</t>
        </is>
      </c>
      <c r="E4356" t="inlineStr">
        <is>
          <t>SKINNSKATTEBERG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31321-2024</t>
        </is>
      </c>
      <c r="B4357" s="1" t="n">
        <v>45504</v>
      </c>
      <c r="C4357" s="1" t="n">
        <v>45757</v>
      </c>
      <c r="D4357" t="inlineStr">
        <is>
          <t>VÄSTMANLANDS LÄN</t>
        </is>
      </c>
      <c r="E4357" t="inlineStr">
        <is>
          <t>VÄSTERÅS</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31406-2024</t>
        </is>
      </c>
      <c r="B4358" s="1" t="n">
        <v>45505</v>
      </c>
      <c r="C4358" s="1" t="n">
        <v>45757</v>
      </c>
      <c r="D4358" t="inlineStr">
        <is>
          <t>VÄSTMANLANDS LÄN</t>
        </is>
      </c>
      <c r="E4358" t="inlineStr">
        <is>
          <t>ARBOGA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31407-2024</t>
        </is>
      </c>
      <c r="B4359" s="1" t="n">
        <v>45505</v>
      </c>
      <c r="C4359" s="1" t="n">
        <v>45757</v>
      </c>
      <c r="D4359" t="inlineStr">
        <is>
          <t>VÄSTMANLANDS LÄN</t>
        </is>
      </c>
      <c r="E4359" t="inlineStr">
        <is>
          <t>SKINNSKATTEBERG</t>
        </is>
      </c>
      <c r="F4359" t="inlineStr">
        <is>
          <t>Sveaskog</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31405-2024</t>
        </is>
      </c>
      <c r="B4360" s="1" t="n">
        <v>45505</v>
      </c>
      <c r="C4360" s="1" t="n">
        <v>45757</v>
      </c>
      <c r="D4360" t="inlineStr">
        <is>
          <t>VÄSTMANLANDS LÄN</t>
        </is>
      </c>
      <c r="E4360" t="inlineStr">
        <is>
          <t>SALA</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31599-2024</t>
        </is>
      </c>
      <c r="B4361" s="1" t="n">
        <v>45506</v>
      </c>
      <c r="C4361" s="1" t="n">
        <v>45757</v>
      </c>
      <c r="D4361" t="inlineStr">
        <is>
          <t>VÄSTMANLANDS LÄN</t>
        </is>
      </c>
      <c r="E4361" t="inlineStr">
        <is>
          <t>SALA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31608-2024</t>
        </is>
      </c>
      <c r="B4362" s="1" t="n">
        <v>45506</v>
      </c>
      <c r="C4362" s="1" t="n">
        <v>45757</v>
      </c>
      <c r="D4362" t="inlineStr">
        <is>
          <t>VÄSTMANLANDS LÄN</t>
        </is>
      </c>
      <c r="E4362" t="inlineStr">
        <is>
          <t>SALA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31623-2024</t>
        </is>
      </c>
      <c r="B4363" s="1" t="n">
        <v>45506</v>
      </c>
      <c r="C4363" s="1" t="n">
        <v>45757</v>
      </c>
      <c r="D4363" t="inlineStr">
        <is>
          <t>VÄSTMANLANDS LÄN</t>
        </is>
      </c>
      <c r="E4363" t="inlineStr">
        <is>
          <t>VÄSTERÅS</t>
        </is>
      </c>
      <c r="F4363" t="inlineStr">
        <is>
          <t>Kommuner</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31601-2024</t>
        </is>
      </c>
      <c r="B4364" s="1" t="n">
        <v>45506</v>
      </c>
      <c r="C4364" s="1" t="n">
        <v>45757</v>
      </c>
      <c r="D4364" t="inlineStr">
        <is>
          <t>VÄSTMANLANDS LÄN</t>
        </is>
      </c>
      <c r="E4364" t="inlineStr">
        <is>
          <t>SALA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31609-2024</t>
        </is>
      </c>
      <c r="B4365" s="1" t="n">
        <v>45506</v>
      </c>
      <c r="C4365" s="1" t="n">
        <v>45757</v>
      </c>
      <c r="D4365" t="inlineStr">
        <is>
          <t>VÄSTMANLANDS LÄN</t>
        </is>
      </c>
      <c r="E4365" t="inlineStr">
        <is>
          <t>SALA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31617-2024</t>
        </is>
      </c>
      <c r="B4366" s="1" t="n">
        <v>45506</v>
      </c>
      <c r="C4366" s="1" t="n">
        <v>45757</v>
      </c>
      <c r="D4366" t="inlineStr">
        <is>
          <t>VÄSTMANLANDS LÄN</t>
        </is>
      </c>
      <c r="E4366" t="inlineStr">
        <is>
          <t>SKINNSKATTEBERG</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31629-2024</t>
        </is>
      </c>
      <c r="B4367" s="1" t="n">
        <v>45506</v>
      </c>
      <c r="C4367" s="1" t="n">
        <v>45757</v>
      </c>
      <c r="D4367" t="inlineStr">
        <is>
          <t>VÄSTMANLANDS LÄN</t>
        </is>
      </c>
      <c r="E4367" t="inlineStr">
        <is>
          <t>SKINNSKATTEBERG</t>
        </is>
      </c>
      <c r="F4367" t="inlineStr">
        <is>
          <t>Sveaskog</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31597-2024</t>
        </is>
      </c>
      <c r="B4368" s="1" t="n">
        <v>45506</v>
      </c>
      <c r="C4368" s="1" t="n">
        <v>45757</v>
      </c>
      <c r="D4368" t="inlineStr">
        <is>
          <t>VÄSTMANLANDS LÄN</t>
        </is>
      </c>
      <c r="E4368" t="inlineStr">
        <is>
          <t>SALA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31655-2024</t>
        </is>
      </c>
      <c r="B4369" s="1" t="n">
        <v>45506</v>
      </c>
      <c r="C4369" s="1" t="n">
        <v>45757</v>
      </c>
      <c r="D4369" t="inlineStr">
        <is>
          <t>VÄSTMANLANDS LÄN</t>
        </is>
      </c>
      <c r="E4369" t="inlineStr">
        <is>
          <t>SALA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31618-2024</t>
        </is>
      </c>
      <c r="B4370" s="1" t="n">
        <v>45506</v>
      </c>
      <c r="C4370" s="1" t="n">
        <v>45757</v>
      </c>
      <c r="D4370" t="inlineStr">
        <is>
          <t>VÄSTMANLANDS LÄN</t>
        </is>
      </c>
      <c r="E4370" t="inlineStr">
        <is>
          <t>VÄSTERÅS</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31612-2024</t>
        </is>
      </c>
      <c r="B4371" s="1" t="n">
        <v>45506</v>
      </c>
      <c r="C4371" s="1" t="n">
        <v>45757</v>
      </c>
      <c r="D4371" t="inlineStr">
        <is>
          <t>VÄSTMANLANDS LÄN</t>
        </is>
      </c>
      <c r="E4371" t="inlineStr">
        <is>
          <t>SALA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32024-2024</t>
        </is>
      </c>
      <c r="B4372" s="1" t="n">
        <v>45510</v>
      </c>
      <c r="C4372" s="1" t="n">
        <v>45757</v>
      </c>
      <c r="D4372" t="inlineStr">
        <is>
          <t>VÄSTMANLANDS LÄN</t>
        </is>
      </c>
      <c r="E4372" t="inlineStr">
        <is>
          <t>SKINNSKATTEBERG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32041-2024</t>
        </is>
      </c>
      <c r="B4373" s="1" t="n">
        <v>45510</v>
      </c>
      <c r="C4373" s="1" t="n">
        <v>45757</v>
      </c>
      <c r="D4373" t="inlineStr">
        <is>
          <t>VÄSTMANLANDS LÄN</t>
        </is>
      </c>
      <c r="E4373" t="inlineStr">
        <is>
          <t>KÖPING</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32029-2024</t>
        </is>
      </c>
      <c r="B4374" s="1" t="n">
        <v>45510</v>
      </c>
      <c r="C4374" s="1" t="n">
        <v>45757</v>
      </c>
      <c r="D4374" t="inlineStr">
        <is>
          <t>VÄSTMANLANDS LÄN</t>
        </is>
      </c>
      <c r="E4374" t="inlineStr">
        <is>
          <t>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31941-2024</t>
        </is>
      </c>
      <c r="B4375" s="1" t="n">
        <v>45510</v>
      </c>
      <c r="C4375" s="1" t="n">
        <v>45757</v>
      </c>
      <c r="D4375" t="inlineStr">
        <is>
          <t>VÄSTMANLANDS LÄN</t>
        </is>
      </c>
      <c r="E4375" t="inlineStr">
        <is>
          <t>SALA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32153-2024</t>
        </is>
      </c>
      <c r="B4376" s="1" t="n">
        <v>45511</v>
      </c>
      <c r="C4376" s="1" t="n">
        <v>45757</v>
      </c>
      <c r="D4376" t="inlineStr">
        <is>
          <t>VÄSTMANLANDS LÄN</t>
        </is>
      </c>
      <c r="E4376" t="inlineStr">
        <is>
          <t>SKINNSKATTEBERG</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32316-2024</t>
        </is>
      </c>
      <c r="B4377" s="1" t="n">
        <v>45512</v>
      </c>
      <c r="C4377" s="1" t="n">
        <v>45757</v>
      </c>
      <c r="D4377" t="inlineStr">
        <is>
          <t>VÄSTMANLANDS LÄN</t>
        </is>
      </c>
      <c r="E4377" t="inlineStr">
        <is>
          <t>SKINNSKATTEBERG</t>
        </is>
      </c>
      <c r="F4377" t="inlineStr">
        <is>
          <t>Sveaskog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32285-2024</t>
        </is>
      </c>
      <c r="B4378" s="1" t="n">
        <v>45512</v>
      </c>
      <c r="C4378" s="1" t="n">
        <v>45757</v>
      </c>
      <c r="D4378" t="inlineStr">
        <is>
          <t>VÄSTMANLANDS LÄN</t>
        </is>
      </c>
      <c r="E4378" t="inlineStr">
        <is>
          <t>SKINNSKATTEBERG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32349-2024</t>
        </is>
      </c>
      <c r="B4379" s="1" t="n">
        <v>45512</v>
      </c>
      <c r="C4379" s="1" t="n">
        <v>45757</v>
      </c>
      <c r="D4379" t="inlineStr">
        <is>
          <t>VÄSTMANLANDS LÄN</t>
        </is>
      </c>
      <c r="E4379" t="inlineStr">
        <is>
          <t>SKINNSKATTEBERG</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32350-2024</t>
        </is>
      </c>
      <c r="B4380" s="1" t="n">
        <v>45512</v>
      </c>
      <c r="C4380" s="1" t="n">
        <v>45757</v>
      </c>
      <c r="D4380" t="inlineStr">
        <is>
          <t>VÄSTMANLANDS LÄN</t>
        </is>
      </c>
      <c r="E4380" t="inlineStr">
        <is>
          <t>SKINNSKATTEBERG</t>
        </is>
      </c>
      <c r="F4380" t="inlineStr">
        <is>
          <t>Sveaskog</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32354-2024</t>
        </is>
      </c>
      <c r="B4381" s="1" t="n">
        <v>45512</v>
      </c>
      <c r="C4381" s="1" t="n">
        <v>45757</v>
      </c>
      <c r="D4381" t="inlineStr">
        <is>
          <t>VÄSTMANLANDS LÄN</t>
        </is>
      </c>
      <c r="E4381" t="inlineStr">
        <is>
          <t>SKINNSKATTEBERG</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32352-2024</t>
        </is>
      </c>
      <c r="B4382" s="1" t="n">
        <v>45512</v>
      </c>
      <c r="C4382" s="1" t="n">
        <v>45757</v>
      </c>
      <c r="D4382" t="inlineStr">
        <is>
          <t>VÄSTMANLANDS LÄN</t>
        </is>
      </c>
      <c r="E4382" t="inlineStr">
        <is>
          <t>SKINNSKATTEBERG</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32372-2024</t>
        </is>
      </c>
      <c r="B4383" s="1" t="n">
        <v>45512</v>
      </c>
      <c r="C4383" s="1" t="n">
        <v>45757</v>
      </c>
      <c r="D4383" t="inlineStr">
        <is>
          <t>VÄSTMANLANDS LÄN</t>
        </is>
      </c>
      <c r="E4383" t="inlineStr">
        <is>
          <t>SALA</t>
        </is>
      </c>
      <c r="F4383" t="inlineStr">
        <is>
          <t>Sveaskog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32303-2024</t>
        </is>
      </c>
      <c r="B4384" s="1" t="n">
        <v>45512</v>
      </c>
      <c r="C4384" s="1" t="n">
        <v>45757</v>
      </c>
      <c r="D4384" t="inlineStr">
        <is>
          <t>VÄSTMANLANDS LÄN</t>
        </is>
      </c>
      <c r="E4384" t="inlineStr">
        <is>
          <t>SALA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32275-2024</t>
        </is>
      </c>
      <c r="B4385" s="1" t="n">
        <v>45512</v>
      </c>
      <c r="C4385" s="1" t="n">
        <v>45757</v>
      </c>
      <c r="D4385" t="inlineStr">
        <is>
          <t>VÄSTMANLANDS LÄN</t>
        </is>
      </c>
      <c r="E4385" t="inlineStr">
        <is>
          <t>ARBOGA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32484-2024</t>
        </is>
      </c>
      <c r="B4386" s="1" t="n">
        <v>45513</v>
      </c>
      <c r="C4386" s="1" t="n">
        <v>45757</v>
      </c>
      <c r="D4386" t="inlineStr">
        <is>
          <t>VÄSTMANLANDS LÄN</t>
        </is>
      </c>
      <c r="E4386" t="inlineStr">
        <is>
          <t>SALA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32866-2024</t>
        </is>
      </c>
      <c r="B4387" s="1" t="n">
        <v>45516</v>
      </c>
      <c r="C4387" s="1" t="n">
        <v>45757</v>
      </c>
      <c r="D4387" t="inlineStr">
        <is>
          <t>VÄSTMANLANDS LÄN</t>
        </is>
      </c>
      <c r="E4387" t="inlineStr">
        <is>
          <t>VÄSTERÅS</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32861-2024</t>
        </is>
      </c>
      <c r="B4388" s="1" t="n">
        <v>45516</v>
      </c>
      <c r="C4388" s="1" t="n">
        <v>45757</v>
      </c>
      <c r="D4388" t="inlineStr">
        <is>
          <t>VÄSTMANLANDS LÄN</t>
        </is>
      </c>
      <c r="E4388" t="inlineStr">
        <is>
          <t>VÄSTERÅS</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32857-2024</t>
        </is>
      </c>
      <c r="B4389" s="1" t="n">
        <v>45516</v>
      </c>
      <c r="C4389" s="1" t="n">
        <v>45757</v>
      </c>
      <c r="D4389" t="inlineStr">
        <is>
          <t>VÄSTMANLANDS LÄN</t>
        </is>
      </c>
      <c r="E4389" t="inlineStr">
        <is>
          <t>SKINNSKATTEBERG</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32868-2024</t>
        </is>
      </c>
      <c r="B4390" s="1" t="n">
        <v>45516</v>
      </c>
      <c r="C4390" s="1" t="n">
        <v>45757</v>
      </c>
      <c r="D4390" t="inlineStr">
        <is>
          <t>VÄSTMANLANDS LÄN</t>
        </is>
      </c>
      <c r="E4390" t="inlineStr">
        <is>
          <t>VÄSTERÅS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32864-2024</t>
        </is>
      </c>
      <c r="B4391" s="1" t="n">
        <v>45516</v>
      </c>
      <c r="C4391" s="1" t="n">
        <v>45757</v>
      </c>
      <c r="D4391" t="inlineStr">
        <is>
          <t>VÄSTMANLANDS LÄN</t>
        </is>
      </c>
      <c r="E4391" t="inlineStr">
        <is>
          <t>SKINNSKATTEBERG</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32860-2024</t>
        </is>
      </c>
      <c r="B4392" s="1" t="n">
        <v>45516</v>
      </c>
      <c r="C4392" s="1" t="n">
        <v>45757</v>
      </c>
      <c r="D4392" t="inlineStr">
        <is>
          <t>VÄSTMANLANDS LÄN</t>
        </is>
      </c>
      <c r="E4392" t="inlineStr">
        <is>
          <t>SKINNSKATTEBERG</t>
        </is>
      </c>
      <c r="F4392" t="inlineStr">
        <is>
          <t>Sveaskog</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32863-2024</t>
        </is>
      </c>
      <c r="B4393" s="1" t="n">
        <v>45516</v>
      </c>
      <c r="C4393" s="1" t="n">
        <v>45757</v>
      </c>
      <c r="D4393" t="inlineStr">
        <is>
          <t>VÄSTMANLANDS LÄN</t>
        </is>
      </c>
      <c r="E4393" t="inlineStr">
        <is>
          <t>SKINNSKATTEBERG</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32851-2024</t>
        </is>
      </c>
      <c r="B4394" s="1" t="n">
        <v>45516</v>
      </c>
      <c r="C4394" s="1" t="n">
        <v>45757</v>
      </c>
      <c r="D4394" t="inlineStr">
        <is>
          <t>VÄSTMANLANDS LÄN</t>
        </is>
      </c>
      <c r="E4394" t="inlineStr">
        <is>
          <t>VÄSTERÅS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32808-2024</t>
        </is>
      </c>
      <c r="B4395" s="1" t="n">
        <v>45516</v>
      </c>
      <c r="C4395" s="1" t="n">
        <v>45757</v>
      </c>
      <c r="D4395" t="inlineStr">
        <is>
          <t>VÄSTMANLANDS LÄN</t>
        </is>
      </c>
      <c r="E4395" t="inlineStr">
        <is>
          <t>SURAHAMMAR</t>
        </is>
      </c>
      <c r="F4395" t="inlineStr">
        <is>
          <t>Övriga Aktiebolag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33231-2024</t>
        </is>
      </c>
      <c r="B4396" s="1" t="n">
        <v>45518</v>
      </c>
      <c r="C4396" s="1" t="n">
        <v>45757</v>
      </c>
      <c r="D4396" t="inlineStr">
        <is>
          <t>VÄSTMANLANDS LÄN</t>
        </is>
      </c>
      <c r="E4396" t="inlineStr">
        <is>
          <t>SURAHAMMAR</t>
        </is>
      </c>
      <c r="F4396" t="inlineStr">
        <is>
          <t>Bergvik skog väst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33160-2024</t>
        </is>
      </c>
      <c r="B4397" s="1" t="n">
        <v>45518</v>
      </c>
      <c r="C4397" s="1" t="n">
        <v>45757</v>
      </c>
      <c r="D4397" t="inlineStr">
        <is>
          <t>VÄSTMANLANDS LÄN</t>
        </is>
      </c>
      <c r="E4397" t="inlineStr">
        <is>
          <t>SURAHAMMAR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33346-2024</t>
        </is>
      </c>
      <c r="B4398" s="1" t="n">
        <v>45519</v>
      </c>
      <c r="C4398" s="1" t="n">
        <v>45757</v>
      </c>
      <c r="D4398" t="inlineStr">
        <is>
          <t>VÄSTMANLANDS LÄN</t>
        </is>
      </c>
      <c r="E4398" t="inlineStr">
        <is>
          <t>VÄSTERÅS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33430-2024</t>
        </is>
      </c>
      <c r="B4399" s="1" t="n">
        <v>45519</v>
      </c>
      <c r="C4399" s="1" t="n">
        <v>45757</v>
      </c>
      <c r="D4399" t="inlineStr">
        <is>
          <t>VÄSTMANLANDS LÄN</t>
        </is>
      </c>
      <c r="E4399" t="inlineStr">
        <is>
          <t>SKINNSKATTEBERG</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33434-2024</t>
        </is>
      </c>
      <c r="B4400" s="1" t="n">
        <v>45519</v>
      </c>
      <c r="C4400" s="1" t="n">
        <v>45757</v>
      </c>
      <c r="D4400" t="inlineStr">
        <is>
          <t>VÄSTMANLANDS LÄN</t>
        </is>
      </c>
      <c r="E4400" t="inlineStr">
        <is>
          <t>SKINNSKATTEBERG</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33431-2024</t>
        </is>
      </c>
      <c r="B4401" s="1" t="n">
        <v>45519</v>
      </c>
      <c r="C4401" s="1" t="n">
        <v>45757</v>
      </c>
      <c r="D4401" t="inlineStr">
        <is>
          <t>VÄSTMANLANDS LÄN</t>
        </is>
      </c>
      <c r="E4401" t="inlineStr">
        <is>
          <t>SKINNSKATTEBERG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33435-2024</t>
        </is>
      </c>
      <c r="B4402" s="1" t="n">
        <v>45519</v>
      </c>
      <c r="C4402" s="1" t="n">
        <v>45757</v>
      </c>
      <c r="D4402" t="inlineStr">
        <is>
          <t>VÄSTMANLANDS LÄN</t>
        </is>
      </c>
      <c r="E4402" t="inlineStr">
        <is>
          <t>SKINNSKATTEBERG</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33432-2024</t>
        </is>
      </c>
      <c r="B4403" s="1" t="n">
        <v>45519</v>
      </c>
      <c r="C4403" s="1" t="n">
        <v>45757</v>
      </c>
      <c r="D4403" t="inlineStr">
        <is>
          <t>VÄSTMANLANDS LÄN</t>
        </is>
      </c>
      <c r="E4403" t="inlineStr">
        <is>
          <t>SKINNSKATTEBERG</t>
        </is>
      </c>
      <c r="F4403" t="inlineStr">
        <is>
          <t>Sveaskog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33436-2024</t>
        </is>
      </c>
      <c r="B4404" s="1" t="n">
        <v>45519</v>
      </c>
      <c r="C4404" s="1" t="n">
        <v>45757</v>
      </c>
      <c r="D4404" t="inlineStr">
        <is>
          <t>VÄSTMANLANDS LÄN</t>
        </is>
      </c>
      <c r="E4404" t="inlineStr">
        <is>
          <t>SKINNSKATTEBERG</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33571-2024</t>
        </is>
      </c>
      <c r="B4405" s="1" t="n">
        <v>45520</v>
      </c>
      <c r="C4405" s="1" t="n">
        <v>45757</v>
      </c>
      <c r="D4405" t="inlineStr">
        <is>
          <t>VÄSTMANLANDS LÄN</t>
        </is>
      </c>
      <c r="E4405" t="inlineStr">
        <is>
          <t>SKINNSKATTEBERG</t>
        </is>
      </c>
      <c r="F4405" t="inlineStr">
        <is>
          <t>Sveaskog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33789-2024</t>
        </is>
      </c>
      <c r="B4406" s="1" t="n">
        <v>45520</v>
      </c>
      <c r="C4406" s="1" t="n">
        <v>45757</v>
      </c>
      <c r="D4406" t="inlineStr">
        <is>
          <t>VÄSTMANLANDS LÄN</t>
        </is>
      </c>
      <c r="E4406" t="inlineStr">
        <is>
          <t>SKINNSKATTEBERG</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33794-2024</t>
        </is>
      </c>
      <c r="B4407" s="1" t="n">
        <v>45520</v>
      </c>
      <c r="C4407" s="1" t="n">
        <v>45757</v>
      </c>
      <c r="D4407" t="inlineStr">
        <is>
          <t>VÄSTMANLANDS LÄN</t>
        </is>
      </c>
      <c r="E4407" t="inlineStr">
        <is>
          <t>SKINNSKATTEBERG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33932-2024</t>
        </is>
      </c>
      <c r="B4408" s="1" t="n">
        <v>45523</v>
      </c>
      <c r="C4408" s="1" t="n">
        <v>45757</v>
      </c>
      <c r="D4408" t="inlineStr">
        <is>
          <t>VÄSTMANLANDS LÄN</t>
        </is>
      </c>
      <c r="E4408" t="inlineStr">
        <is>
          <t>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33986-2024</t>
        </is>
      </c>
      <c r="B4409" s="1" t="n">
        <v>45523</v>
      </c>
      <c r="C4409" s="1" t="n">
        <v>45757</v>
      </c>
      <c r="D4409" t="inlineStr">
        <is>
          <t>VÄSTMANLANDS LÄN</t>
        </is>
      </c>
      <c r="E4409" t="inlineStr">
        <is>
          <t>KÖPING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33989-2024</t>
        </is>
      </c>
      <c r="B4410" s="1" t="n">
        <v>45523</v>
      </c>
      <c r="C4410" s="1" t="n">
        <v>45757</v>
      </c>
      <c r="D4410" t="inlineStr">
        <is>
          <t>VÄSTMANLANDS LÄN</t>
        </is>
      </c>
      <c r="E4410" t="inlineStr">
        <is>
          <t>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34090-2024</t>
        </is>
      </c>
      <c r="B4411" s="1" t="n">
        <v>45523</v>
      </c>
      <c r="C4411" s="1" t="n">
        <v>45757</v>
      </c>
      <c r="D4411" t="inlineStr">
        <is>
          <t>VÄSTMANLANDS LÄN</t>
        </is>
      </c>
      <c r="E4411" t="inlineStr">
        <is>
          <t>KÖPING</t>
        </is>
      </c>
      <c r="F4411" t="inlineStr">
        <is>
          <t>Allmännings- och besparingsskogar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34160-2024</t>
        </is>
      </c>
      <c r="B4412" s="1" t="n">
        <v>45524</v>
      </c>
      <c r="C4412" s="1" t="n">
        <v>45757</v>
      </c>
      <c r="D4412" t="inlineStr">
        <is>
          <t>VÄSTMANLANDS LÄN</t>
        </is>
      </c>
      <c r="E4412" t="inlineStr">
        <is>
          <t>FAGERSTA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34328-2024</t>
        </is>
      </c>
      <c r="B4413" s="1" t="n">
        <v>45524</v>
      </c>
      <c r="C4413" s="1" t="n">
        <v>45757</v>
      </c>
      <c r="D4413" t="inlineStr">
        <is>
          <t>VÄSTMANLANDS LÄN</t>
        </is>
      </c>
      <c r="E4413" t="inlineStr">
        <is>
          <t>SKINNSKATTEBERG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34329-2024</t>
        </is>
      </c>
      <c r="B4414" s="1" t="n">
        <v>45524</v>
      </c>
      <c r="C4414" s="1" t="n">
        <v>45757</v>
      </c>
      <c r="D4414" t="inlineStr">
        <is>
          <t>VÄSTMANLANDS LÄN</t>
        </is>
      </c>
      <c r="E4414" t="inlineStr">
        <is>
          <t>SKINNSKATTEBERG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34330-2024</t>
        </is>
      </c>
      <c r="B4415" s="1" t="n">
        <v>45524</v>
      </c>
      <c r="C4415" s="1" t="n">
        <v>45757</v>
      </c>
      <c r="D4415" t="inlineStr">
        <is>
          <t>VÄSTMANLANDS LÄN</t>
        </is>
      </c>
      <c r="E4415" t="inlineStr">
        <is>
          <t>SKINNSKATTEBERG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34419-2024</t>
        </is>
      </c>
      <c r="B4416" s="1" t="n">
        <v>45525</v>
      </c>
      <c r="C4416" s="1" t="n">
        <v>45757</v>
      </c>
      <c r="D4416" t="inlineStr">
        <is>
          <t>VÄSTMANLANDS LÄN</t>
        </is>
      </c>
      <c r="E4416" t="inlineStr">
        <is>
          <t>SALA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34412-2024</t>
        </is>
      </c>
      <c r="B4417" s="1" t="n">
        <v>45525</v>
      </c>
      <c r="C4417" s="1" t="n">
        <v>45757</v>
      </c>
      <c r="D4417" t="inlineStr">
        <is>
          <t>VÄSTMANLANDS LÄN</t>
        </is>
      </c>
      <c r="E4417" t="inlineStr">
        <is>
          <t>SALA</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34416-2024</t>
        </is>
      </c>
      <c r="B4418" s="1" t="n">
        <v>45525</v>
      </c>
      <c r="C4418" s="1" t="n">
        <v>45757</v>
      </c>
      <c r="D4418" t="inlineStr">
        <is>
          <t>VÄSTMANLANDS LÄN</t>
        </is>
      </c>
      <c r="E4418" t="inlineStr">
        <is>
          <t>SALA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34436-2024</t>
        </is>
      </c>
      <c r="B4419" s="1" t="n">
        <v>45525</v>
      </c>
      <c r="C4419" s="1" t="n">
        <v>45757</v>
      </c>
      <c r="D4419" t="inlineStr">
        <is>
          <t>VÄSTMANLANDS LÄN</t>
        </is>
      </c>
      <c r="E4419" t="inlineStr">
        <is>
          <t>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35003-2024</t>
        </is>
      </c>
      <c r="B4420" s="1" t="n">
        <v>45527</v>
      </c>
      <c r="C4420" s="1" t="n">
        <v>45757</v>
      </c>
      <c r="D4420" t="inlineStr">
        <is>
          <t>VÄSTMANLANDS LÄN</t>
        </is>
      </c>
      <c r="E4420" t="inlineStr">
        <is>
          <t>SALA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35051-2024</t>
        </is>
      </c>
      <c r="B4421" s="1" t="n">
        <v>45527</v>
      </c>
      <c r="C4421" s="1" t="n">
        <v>45757</v>
      </c>
      <c r="D4421" t="inlineStr">
        <is>
          <t>VÄSTMANLANDS LÄN</t>
        </is>
      </c>
      <c r="E4421" t="inlineStr">
        <is>
          <t>SKINNSKATTEBERG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35059-2024</t>
        </is>
      </c>
      <c r="B4422" s="1" t="n">
        <v>45527</v>
      </c>
      <c r="C4422" s="1" t="n">
        <v>45757</v>
      </c>
      <c r="D4422" t="inlineStr">
        <is>
          <t>VÄSTMANLANDS LÄN</t>
        </is>
      </c>
      <c r="E4422" t="inlineStr">
        <is>
          <t>SKINNSKATTEBERG</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35016-2024</t>
        </is>
      </c>
      <c r="B4423" s="1" t="n">
        <v>45527</v>
      </c>
      <c r="C4423" s="1" t="n">
        <v>45757</v>
      </c>
      <c r="D4423" t="inlineStr">
        <is>
          <t>VÄSTMANLANDS LÄN</t>
        </is>
      </c>
      <c r="E4423" t="inlineStr">
        <is>
          <t>SALA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35036-2024</t>
        </is>
      </c>
      <c r="B4424" s="1" t="n">
        <v>45527</v>
      </c>
      <c r="C4424" s="1" t="n">
        <v>45757</v>
      </c>
      <c r="D4424" t="inlineStr">
        <is>
          <t>VÄSTMANLANDS LÄN</t>
        </is>
      </c>
      <c r="E4424" t="inlineStr">
        <is>
          <t>HALLSTAHAMMAR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35010-2024</t>
        </is>
      </c>
      <c r="B4425" s="1" t="n">
        <v>45527</v>
      </c>
      <c r="C4425" s="1" t="n">
        <v>45757</v>
      </c>
      <c r="D4425" t="inlineStr">
        <is>
          <t>VÄSTMANLANDS LÄN</t>
        </is>
      </c>
      <c r="E4425" t="inlineStr">
        <is>
          <t>SALA</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35062-2024</t>
        </is>
      </c>
      <c r="B4426" s="1" t="n">
        <v>45527</v>
      </c>
      <c r="C4426" s="1" t="n">
        <v>45757</v>
      </c>
      <c r="D4426" t="inlineStr">
        <is>
          <t>VÄSTMANLANDS LÄN</t>
        </is>
      </c>
      <c r="E4426" t="inlineStr">
        <is>
          <t>FAGERSTA</t>
        </is>
      </c>
      <c r="F4426" t="inlineStr">
        <is>
          <t>Sveaskog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34803-2024</t>
        </is>
      </c>
      <c r="B4427" s="1" t="n">
        <v>45527</v>
      </c>
      <c r="C4427" s="1" t="n">
        <v>45757</v>
      </c>
      <c r="D4427" t="inlineStr">
        <is>
          <t>VÄSTMANLANDS LÄN</t>
        </is>
      </c>
      <c r="E4427" t="inlineStr">
        <is>
          <t>KÖPING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34984-2024</t>
        </is>
      </c>
      <c r="B4428" s="1" t="n">
        <v>45527</v>
      </c>
      <c r="C4428" s="1" t="n">
        <v>45757</v>
      </c>
      <c r="D4428" t="inlineStr">
        <is>
          <t>VÄSTMANLANDS LÄN</t>
        </is>
      </c>
      <c r="E4428" t="inlineStr">
        <is>
          <t>HALLSTAHAMMAR</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35049-2024</t>
        </is>
      </c>
      <c r="B4429" s="1" t="n">
        <v>45527</v>
      </c>
      <c r="C4429" s="1" t="n">
        <v>45757</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35053-2024</t>
        </is>
      </c>
      <c r="B4430" s="1" t="n">
        <v>45527</v>
      </c>
      <c r="C4430" s="1" t="n">
        <v>45757</v>
      </c>
      <c r="D4430" t="inlineStr">
        <is>
          <t>VÄSTMANLANDS LÄN</t>
        </is>
      </c>
      <c r="E4430" t="inlineStr">
        <is>
          <t>SKINNSKATTEBERG</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35057-2024</t>
        </is>
      </c>
      <c r="B4431" s="1" t="n">
        <v>45527</v>
      </c>
      <c r="C4431" s="1" t="n">
        <v>45757</v>
      </c>
      <c r="D4431" t="inlineStr">
        <is>
          <t>VÄSTMANLANDS LÄN</t>
        </is>
      </c>
      <c r="E4431" t="inlineStr">
        <is>
          <t>SKINNSKATTEBERG</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35187-2024</t>
        </is>
      </c>
      <c r="B4432" s="1" t="n">
        <v>45530</v>
      </c>
      <c r="C4432" s="1" t="n">
        <v>45757</v>
      </c>
      <c r="D4432" t="inlineStr">
        <is>
          <t>VÄSTMANLANDS LÄN</t>
        </is>
      </c>
      <c r="E4432" t="inlineStr">
        <is>
          <t>VÄSTERÅS</t>
        </is>
      </c>
      <c r="F4432" t="inlineStr">
        <is>
          <t>Allmännings- och besparingsskogar</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35149-2024</t>
        </is>
      </c>
      <c r="B4433" s="1" t="n">
        <v>45530</v>
      </c>
      <c r="C4433" s="1" t="n">
        <v>45757</v>
      </c>
      <c r="D4433" t="inlineStr">
        <is>
          <t>VÄSTMANLANDS LÄN</t>
        </is>
      </c>
      <c r="E4433" t="inlineStr">
        <is>
          <t>VÄSTERÅS</t>
        </is>
      </c>
      <c r="F4433" t="inlineStr">
        <is>
          <t>Allmännings- och besparingsskogar</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35267-2024</t>
        </is>
      </c>
      <c r="B4434" s="1" t="n">
        <v>45530</v>
      </c>
      <c r="C4434" s="1" t="n">
        <v>45757</v>
      </c>
      <c r="D4434" t="inlineStr">
        <is>
          <t>VÄSTMANLANDS LÄN</t>
        </is>
      </c>
      <c r="E4434" t="inlineStr">
        <is>
          <t>VÄSTERÅS</t>
        </is>
      </c>
      <c r="G4434" t="n">
        <v>10.1</v>
      </c>
      <c r="H4434" t="n">
        <v>0</v>
      </c>
      <c r="I4434" t="n">
        <v>0</v>
      </c>
      <c r="J4434" t="n">
        <v>0</v>
      </c>
      <c r="K4434" t="n">
        <v>0</v>
      </c>
      <c r="L4434" t="n">
        <v>0</v>
      </c>
      <c r="M4434" t="n">
        <v>0</v>
      </c>
      <c r="N4434" t="n">
        <v>0</v>
      </c>
      <c r="O4434" t="n">
        <v>0</v>
      </c>
      <c r="P4434" t="n">
        <v>0</v>
      </c>
      <c r="Q4434" t="n">
        <v>0</v>
      </c>
      <c r="R4434" s="2" t="inlineStr"/>
    </row>
    <row r="4435" ht="15" customHeight="1">
      <c r="A4435" t="inlineStr">
        <is>
          <t>A 35370-2024</t>
        </is>
      </c>
      <c r="B4435" s="1" t="n">
        <v>45531</v>
      </c>
      <c r="C4435" s="1" t="n">
        <v>45757</v>
      </c>
      <c r="D4435" t="inlineStr">
        <is>
          <t>VÄSTMANLANDS LÄN</t>
        </is>
      </c>
      <c r="E4435" t="inlineStr">
        <is>
          <t>SKINNSKATTEBERG</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35462-2024</t>
        </is>
      </c>
      <c r="B4436" s="1" t="n">
        <v>45531</v>
      </c>
      <c r="C4436" s="1" t="n">
        <v>45757</v>
      </c>
      <c r="D4436" t="inlineStr">
        <is>
          <t>VÄSTMANLANDS LÄN</t>
        </is>
      </c>
      <c r="E4436" t="inlineStr">
        <is>
          <t>SALA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35499-2024</t>
        </is>
      </c>
      <c r="B4437" s="1" t="n">
        <v>45531</v>
      </c>
      <c r="C4437" s="1" t="n">
        <v>45757</v>
      </c>
      <c r="D4437" t="inlineStr">
        <is>
          <t>VÄSTMANLANDS LÄN</t>
        </is>
      </c>
      <c r="E4437" t="inlineStr">
        <is>
          <t>SALA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35529-2024</t>
        </is>
      </c>
      <c r="B4438" s="1" t="n">
        <v>45531</v>
      </c>
      <c r="C4438" s="1" t="n">
        <v>45757</v>
      </c>
      <c r="D4438" t="inlineStr">
        <is>
          <t>VÄSTMANLANDS LÄN</t>
        </is>
      </c>
      <c r="E4438" t="inlineStr">
        <is>
          <t>SALA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35558-2024</t>
        </is>
      </c>
      <c r="B4439" s="1" t="n">
        <v>45531</v>
      </c>
      <c r="C4439" s="1" t="n">
        <v>45757</v>
      </c>
      <c r="D4439" t="inlineStr">
        <is>
          <t>VÄSTMANLANDS LÄN</t>
        </is>
      </c>
      <c r="E4439" t="inlineStr">
        <is>
          <t>SALA</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35519-2024</t>
        </is>
      </c>
      <c r="B4440" s="1" t="n">
        <v>45531</v>
      </c>
      <c r="C4440" s="1" t="n">
        <v>45757</v>
      </c>
      <c r="D4440" t="inlineStr">
        <is>
          <t>VÄSTMANLANDS LÄN</t>
        </is>
      </c>
      <c r="E4440" t="inlineStr">
        <is>
          <t>SALA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35528-2024</t>
        </is>
      </c>
      <c r="B4441" s="1" t="n">
        <v>45531</v>
      </c>
      <c r="C4441" s="1" t="n">
        <v>45757</v>
      </c>
      <c r="D4441" t="inlineStr">
        <is>
          <t>VÄSTMANLANDS LÄN</t>
        </is>
      </c>
      <c r="E4441" t="inlineStr">
        <is>
          <t>SALA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35573-2024</t>
        </is>
      </c>
      <c r="B4442" s="1" t="n">
        <v>45531</v>
      </c>
      <c r="C4442" s="1" t="n">
        <v>45757</v>
      </c>
      <c r="D4442" t="inlineStr">
        <is>
          <t>VÄSTMANLANDS LÄN</t>
        </is>
      </c>
      <c r="E4442" t="inlineStr">
        <is>
          <t>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35698-2024</t>
        </is>
      </c>
      <c r="B4443" s="1" t="n">
        <v>45532</v>
      </c>
      <c r="C4443" s="1" t="n">
        <v>45757</v>
      </c>
      <c r="D4443" t="inlineStr">
        <is>
          <t>VÄSTMANLANDS LÄN</t>
        </is>
      </c>
      <c r="E4443" t="inlineStr">
        <is>
          <t>VÄSTERÅS</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35706-2024</t>
        </is>
      </c>
      <c r="B4444" s="1" t="n">
        <v>45532</v>
      </c>
      <c r="C4444" s="1" t="n">
        <v>45757</v>
      </c>
      <c r="D4444" t="inlineStr">
        <is>
          <t>VÄSTMANLANDS LÄN</t>
        </is>
      </c>
      <c r="E4444" t="inlineStr">
        <is>
          <t>SKINNSKATTEBERG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35683-2024</t>
        </is>
      </c>
      <c r="B4445" s="1" t="n">
        <v>45532</v>
      </c>
      <c r="C4445" s="1" t="n">
        <v>45757</v>
      </c>
      <c r="D4445" t="inlineStr">
        <is>
          <t>VÄSTMANLANDS LÄN</t>
        </is>
      </c>
      <c r="E4445" t="inlineStr">
        <is>
          <t>SKINNSKATTEBERG</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35709-2024</t>
        </is>
      </c>
      <c r="B4446" s="1" t="n">
        <v>45532</v>
      </c>
      <c r="C4446" s="1" t="n">
        <v>45757</v>
      </c>
      <c r="D4446" t="inlineStr">
        <is>
          <t>VÄSTMANLANDS LÄN</t>
        </is>
      </c>
      <c r="E4446" t="inlineStr">
        <is>
          <t>SKINNSKATTEBERG</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35831-2024</t>
        </is>
      </c>
      <c r="B4447" s="1" t="n">
        <v>45532</v>
      </c>
      <c r="C4447" s="1" t="n">
        <v>45757</v>
      </c>
      <c r="D4447" t="inlineStr">
        <is>
          <t>VÄSTMANLANDS LÄN</t>
        </is>
      </c>
      <c r="E4447" t="inlineStr">
        <is>
          <t>SKINNSKATTEBERG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35834-2024</t>
        </is>
      </c>
      <c r="B4448" s="1" t="n">
        <v>45532</v>
      </c>
      <c r="C4448" s="1" t="n">
        <v>45757</v>
      </c>
      <c r="D4448" t="inlineStr">
        <is>
          <t>VÄSTMANLANDS LÄN</t>
        </is>
      </c>
      <c r="E4448" t="inlineStr">
        <is>
          <t>SKINNSKATTEBERG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35684-2024</t>
        </is>
      </c>
      <c r="B4449" s="1" t="n">
        <v>45532</v>
      </c>
      <c r="C4449" s="1" t="n">
        <v>45757</v>
      </c>
      <c r="D4449" t="inlineStr">
        <is>
          <t>VÄSTMANLANDS LÄN</t>
        </is>
      </c>
      <c r="E4449" t="inlineStr">
        <is>
          <t>KÖPING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35700-2024</t>
        </is>
      </c>
      <c r="B4450" s="1" t="n">
        <v>45532</v>
      </c>
      <c r="C4450" s="1" t="n">
        <v>45757</v>
      </c>
      <c r="D4450" t="inlineStr">
        <is>
          <t>VÄSTMANLANDS LÄN</t>
        </is>
      </c>
      <c r="E4450" t="inlineStr">
        <is>
          <t>VÄSTERÅS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35716-2024</t>
        </is>
      </c>
      <c r="B4451" s="1" t="n">
        <v>45532</v>
      </c>
      <c r="C4451" s="1" t="n">
        <v>45757</v>
      </c>
      <c r="D4451" t="inlineStr">
        <is>
          <t>VÄSTMANLANDS LÄN</t>
        </is>
      </c>
      <c r="E4451" t="inlineStr">
        <is>
          <t>KUNGSÖR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35736-2024</t>
        </is>
      </c>
      <c r="B4452" s="1" t="n">
        <v>45532</v>
      </c>
      <c r="C4452" s="1" t="n">
        <v>45757</v>
      </c>
      <c r="D4452" t="inlineStr">
        <is>
          <t>VÄSTMANLANDS LÄN</t>
        </is>
      </c>
      <c r="E4452" t="inlineStr">
        <is>
          <t>FAGERSTA</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36075-2024</t>
        </is>
      </c>
      <c r="B4453" s="1" t="n">
        <v>45533</v>
      </c>
      <c r="C4453" s="1" t="n">
        <v>45757</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35976-2024</t>
        </is>
      </c>
      <c r="B4454" s="1" t="n">
        <v>45533</v>
      </c>
      <c r="C4454" s="1" t="n">
        <v>45757</v>
      </c>
      <c r="D4454" t="inlineStr">
        <is>
          <t>VÄSTMANLANDS LÄN</t>
        </is>
      </c>
      <c r="E4454" t="inlineStr">
        <is>
          <t>SALA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36073-2024</t>
        </is>
      </c>
      <c r="B4455" s="1" t="n">
        <v>45533</v>
      </c>
      <c r="C4455" s="1" t="n">
        <v>45757</v>
      </c>
      <c r="D4455" t="inlineStr">
        <is>
          <t>VÄSTMANLANDS LÄN</t>
        </is>
      </c>
      <c r="E4455" t="inlineStr">
        <is>
          <t>SALA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36087-2024</t>
        </is>
      </c>
      <c r="B4456" s="1" t="n">
        <v>45533</v>
      </c>
      <c r="C4456" s="1" t="n">
        <v>45757</v>
      </c>
      <c r="D4456" t="inlineStr">
        <is>
          <t>VÄSTMANLANDS LÄN</t>
        </is>
      </c>
      <c r="E4456" t="inlineStr">
        <is>
          <t>VÄSTERÅS</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36187-2024</t>
        </is>
      </c>
      <c r="B4457" s="1" t="n">
        <v>45534</v>
      </c>
      <c r="C4457" s="1" t="n">
        <v>45757</v>
      </c>
      <c r="D4457" t="inlineStr">
        <is>
          <t>VÄSTMANLANDS LÄN</t>
        </is>
      </c>
      <c r="E4457" t="inlineStr">
        <is>
          <t>ARBOGA</t>
        </is>
      </c>
      <c r="F4457" t="inlineStr">
        <is>
          <t>Sveaskog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36248-2024</t>
        </is>
      </c>
      <c r="B4458" s="1" t="n">
        <v>45534</v>
      </c>
      <c r="C4458" s="1" t="n">
        <v>45757</v>
      </c>
      <c r="D4458" t="inlineStr">
        <is>
          <t>VÄSTMANLANDS LÄN</t>
        </is>
      </c>
      <c r="E4458" t="inlineStr">
        <is>
          <t>SKINNSKATTEBERG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36264-2024</t>
        </is>
      </c>
      <c r="B4459" s="1" t="n">
        <v>45534</v>
      </c>
      <c r="C4459" s="1" t="n">
        <v>45757</v>
      </c>
      <c r="D4459" t="inlineStr">
        <is>
          <t>VÄSTMANLANDS LÄN</t>
        </is>
      </c>
      <c r="E4459" t="inlineStr">
        <is>
          <t>NORBERG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36443-2024</t>
        </is>
      </c>
      <c r="B4460" s="1" t="n">
        <v>45537</v>
      </c>
      <c r="C4460" s="1" t="n">
        <v>45757</v>
      </c>
      <c r="D4460" t="inlineStr">
        <is>
          <t>VÄSTMANLANDS LÄN</t>
        </is>
      </c>
      <c r="E4460" t="inlineStr">
        <is>
          <t>NORBERG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36642-2024</t>
        </is>
      </c>
      <c r="B4461" s="1" t="n">
        <v>45537</v>
      </c>
      <c r="C4461" s="1" t="n">
        <v>45757</v>
      </c>
      <c r="D4461" t="inlineStr">
        <is>
          <t>VÄSTMANLANDS LÄN</t>
        </is>
      </c>
      <c r="E4461" t="inlineStr">
        <is>
          <t>SKINNSKATTEBERG</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36476-2024</t>
        </is>
      </c>
      <c r="B4462" s="1" t="n">
        <v>45537</v>
      </c>
      <c r="C4462" s="1" t="n">
        <v>45757</v>
      </c>
      <c r="D4462" t="inlineStr">
        <is>
          <t>VÄSTMANLANDS LÄN</t>
        </is>
      </c>
      <c r="E4462" t="inlineStr">
        <is>
          <t>KÖPING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36597-2024</t>
        </is>
      </c>
      <c r="B4463" s="1" t="n">
        <v>45537</v>
      </c>
      <c r="C4463" s="1" t="n">
        <v>45757</v>
      </c>
      <c r="D4463" t="inlineStr">
        <is>
          <t>VÄSTMANLANDS LÄN</t>
        </is>
      </c>
      <c r="E4463" t="inlineStr">
        <is>
          <t>SKINNSKATTEBERG</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36559-2024</t>
        </is>
      </c>
      <c r="B4464" s="1" t="n">
        <v>45537</v>
      </c>
      <c r="C4464" s="1" t="n">
        <v>45757</v>
      </c>
      <c r="D4464" t="inlineStr">
        <is>
          <t>VÄSTMANLANDS LÄN</t>
        </is>
      </c>
      <c r="E4464" t="inlineStr">
        <is>
          <t>VÄSTERÅS</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36651-2024</t>
        </is>
      </c>
      <c r="B4465" s="1" t="n">
        <v>45537</v>
      </c>
      <c r="C4465" s="1" t="n">
        <v>45757</v>
      </c>
      <c r="D4465" t="inlineStr">
        <is>
          <t>VÄSTMANLANDS LÄN</t>
        </is>
      </c>
      <c r="E4465" t="inlineStr">
        <is>
          <t>SKINNSKATTEBERG</t>
        </is>
      </c>
      <c r="F4465" t="inlineStr">
        <is>
          <t>Sveaskog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36692-2024</t>
        </is>
      </c>
      <c r="B4466" s="1" t="n">
        <v>45537</v>
      </c>
      <c r="C4466" s="1" t="n">
        <v>45757</v>
      </c>
      <c r="D4466" t="inlineStr">
        <is>
          <t>VÄSTMANLANDS LÄN</t>
        </is>
      </c>
      <c r="E4466" t="inlineStr">
        <is>
          <t>SKINNSKATTEBERG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36761-2024</t>
        </is>
      </c>
      <c r="B4467" s="1" t="n">
        <v>45538</v>
      </c>
      <c r="C4467" s="1" t="n">
        <v>45757</v>
      </c>
      <c r="D4467" t="inlineStr">
        <is>
          <t>VÄSTMANLANDS LÄN</t>
        </is>
      </c>
      <c r="E4467" t="inlineStr">
        <is>
          <t>SKINNSKATTEBERG</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37137-2024</t>
        </is>
      </c>
      <c r="B4468" s="1" t="n">
        <v>45539</v>
      </c>
      <c r="C4468" s="1" t="n">
        <v>45757</v>
      </c>
      <c r="D4468" t="inlineStr">
        <is>
          <t>VÄSTMANLANDS LÄN</t>
        </is>
      </c>
      <c r="E4468" t="inlineStr">
        <is>
          <t>SALA</t>
        </is>
      </c>
      <c r="F4468" t="inlineStr">
        <is>
          <t>Kommuner</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37183-2024</t>
        </is>
      </c>
      <c r="B4469" s="1" t="n">
        <v>45539</v>
      </c>
      <c r="C4469" s="1" t="n">
        <v>45757</v>
      </c>
      <c r="D4469" t="inlineStr">
        <is>
          <t>VÄSTMANLANDS LÄN</t>
        </is>
      </c>
      <c r="E4469" t="inlineStr">
        <is>
          <t>SALA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37185-2024</t>
        </is>
      </c>
      <c r="B4470" s="1" t="n">
        <v>45539</v>
      </c>
      <c r="C4470" s="1" t="n">
        <v>45757</v>
      </c>
      <c r="D4470" t="inlineStr">
        <is>
          <t>VÄSTMANLANDS LÄN</t>
        </is>
      </c>
      <c r="E4470" t="inlineStr">
        <is>
          <t>SALA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37224-2024</t>
        </is>
      </c>
      <c r="B4471" s="1" t="n">
        <v>45539</v>
      </c>
      <c r="C4471" s="1" t="n">
        <v>45757</v>
      </c>
      <c r="D4471" t="inlineStr">
        <is>
          <t>VÄSTMANLANDS LÄN</t>
        </is>
      </c>
      <c r="E4471" t="inlineStr">
        <is>
          <t>SALA</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37190-2024</t>
        </is>
      </c>
      <c r="B4472" s="1" t="n">
        <v>45539</v>
      </c>
      <c r="C4472" s="1" t="n">
        <v>45757</v>
      </c>
      <c r="D4472" t="inlineStr">
        <is>
          <t>VÄSTMANLANDS LÄN</t>
        </is>
      </c>
      <c r="E4472" t="inlineStr">
        <is>
          <t>SALA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37251-2024</t>
        </is>
      </c>
      <c r="B4473" s="1" t="n">
        <v>45540</v>
      </c>
      <c r="C4473" s="1" t="n">
        <v>45757</v>
      </c>
      <c r="D4473" t="inlineStr">
        <is>
          <t>VÄSTMANLANDS LÄN</t>
        </is>
      </c>
      <c r="E4473" t="inlineStr">
        <is>
          <t>SALA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37332-2024</t>
        </is>
      </c>
      <c r="B4474" s="1" t="n">
        <v>45540</v>
      </c>
      <c r="C4474" s="1" t="n">
        <v>45757</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37337-2024</t>
        </is>
      </c>
      <c r="B4475" s="1" t="n">
        <v>45540</v>
      </c>
      <c r="C4475" s="1" t="n">
        <v>45757</v>
      </c>
      <c r="D4475" t="inlineStr">
        <is>
          <t>VÄSTMANLANDS LÄN</t>
        </is>
      </c>
      <c r="E4475" t="inlineStr">
        <is>
          <t>SALA</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37418-2024</t>
        </is>
      </c>
      <c r="B4476" s="1" t="n">
        <v>45540</v>
      </c>
      <c r="C4476" s="1" t="n">
        <v>45757</v>
      </c>
      <c r="D4476" t="inlineStr">
        <is>
          <t>VÄSTMANLANDS LÄN</t>
        </is>
      </c>
      <c r="E4476" t="inlineStr">
        <is>
          <t>FAGERSTA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37433-2024</t>
        </is>
      </c>
      <c r="B4477" s="1" t="n">
        <v>45540</v>
      </c>
      <c r="C4477" s="1" t="n">
        <v>45757</v>
      </c>
      <c r="D4477" t="inlineStr">
        <is>
          <t>VÄSTMANLANDS LÄN</t>
        </is>
      </c>
      <c r="E4477" t="inlineStr">
        <is>
          <t>FAGERSTA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37602-2024</t>
        </is>
      </c>
      <c r="B4478" s="1" t="n">
        <v>45541</v>
      </c>
      <c r="C4478" s="1" t="n">
        <v>45757</v>
      </c>
      <c r="D4478" t="inlineStr">
        <is>
          <t>VÄSTMANLANDS LÄN</t>
        </is>
      </c>
      <c r="E4478" t="inlineStr">
        <is>
          <t>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37638-2024</t>
        </is>
      </c>
      <c r="B4479" s="1" t="n">
        <v>45541</v>
      </c>
      <c r="C4479" s="1" t="n">
        <v>45757</v>
      </c>
      <c r="D4479" t="inlineStr">
        <is>
          <t>VÄSTMANLANDS LÄN</t>
        </is>
      </c>
      <c r="E4479" t="inlineStr">
        <is>
          <t>SKINNSKATTEBERG</t>
        </is>
      </c>
      <c r="G4479" t="n">
        <v>9.9</v>
      </c>
      <c r="H4479" t="n">
        <v>0</v>
      </c>
      <c r="I4479" t="n">
        <v>0</v>
      </c>
      <c r="J4479" t="n">
        <v>0</v>
      </c>
      <c r="K4479" t="n">
        <v>0</v>
      </c>
      <c r="L4479" t="n">
        <v>0</v>
      </c>
      <c r="M4479" t="n">
        <v>0</v>
      </c>
      <c r="N4479" t="n">
        <v>0</v>
      </c>
      <c r="O4479" t="n">
        <v>0</v>
      </c>
      <c r="P4479" t="n">
        <v>0</v>
      </c>
      <c r="Q4479" t="n">
        <v>0</v>
      </c>
      <c r="R4479" s="2" t="inlineStr"/>
    </row>
    <row r="4480" ht="15" customHeight="1">
      <c r="A4480" t="inlineStr">
        <is>
          <t>A 37587-2024</t>
        </is>
      </c>
      <c r="B4480" s="1" t="n">
        <v>45541</v>
      </c>
      <c r="C4480" s="1" t="n">
        <v>45757</v>
      </c>
      <c r="D4480" t="inlineStr">
        <is>
          <t>VÄSTMANLANDS LÄN</t>
        </is>
      </c>
      <c r="E4480" t="inlineStr">
        <is>
          <t>SALA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37612-2024</t>
        </is>
      </c>
      <c r="B4481" s="1" t="n">
        <v>45541</v>
      </c>
      <c r="C4481" s="1" t="n">
        <v>45757</v>
      </c>
      <c r="D4481" t="inlineStr">
        <is>
          <t>VÄSTMANLANDS LÄN</t>
        </is>
      </c>
      <c r="E4481" t="inlineStr">
        <is>
          <t>SALA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37624-2024</t>
        </is>
      </c>
      <c r="B4482" s="1" t="n">
        <v>45541</v>
      </c>
      <c r="C4482" s="1" t="n">
        <v>45757</v>
      </c>
      <c r="D4482" t="inlineStr">
        <is>
          <t>VÄSTMANLANDS LÄN</t>
        </is>
      </c>
      <c r="E4482" t="inlineStr">
        <is>
          <t>SALA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37615-2024</t>
        </is>
      </c>
      <c r="B4483" s="1" t="n">
        <v>45541</v>
      </c>
      <c r="C4483" s="1" t="n">
        <v>45757</v>
      </c>
      <c r="D4483" t="inlineStr">
        <is>
          <t>VÄSTMANLANDS LÄN</t>
        </is>
      </c>
      <c r="E4483" t="inlineStr">
        <is>
          <t>SALA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37732-2024</t>
        </is>
      </c>
      <c r="B4484" s="1" t="n">
        <v>45541</v>
      </c>
      <c r="C4484" s="1" t="n">
        <v>45757</v>
      </c>
      <c r="D4484" t="inlineStr">
        <is>
          <t>VÄSTMANLANDS LÄN</t>
        </is>
      </c>
      <c r="E4484" t="inlineStr">
        <is>
          <t>SKINNSKATTEBERG</t>
        </is>
      </c>
      <c r="F4484" t="inlineStr">
        <is>
          <t>Sveaskog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37735-2024</t>
        </is>
      </c>
      <c r="B4485" s="1" t="n">
        <v>45541</v>
      </c>
      <c r="C4485" s="1" t="n">
        <v>45757</v>
      </c>
      <c r="D4485" t="inlineStr">
        <is>
          <t>VÄSTMANLANDS LÄN</t>
        </is>
      </c>
      <c r="E4485" t="inlineStr">
        <is>
          <t>SKINNSKATTEBERG</t>
        </is>
      </c>
      <c r="F4485" t="inlineStr">
        <is>
          <t>Sveaskog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37730-2024</t>
        </is>
      </c>
      <c r="B4486" s="1" t="n">
        <v>45541</v>
      </c>
      <c r="C4486" s="1" t="n">
        <v>45757</v>
      </c>
      <c r="D4486" t="inlineStr">
        <is>
          <t>VÄSTMANLANDS LÄN</t>
        </is>
      </c>
      <c r="E4486" t="inlineStr">
        <is>
          <t>SKINNSKATTEBERG</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37769-2024</t>
        </is>
      </c>
      <c r="B4487" s="1" t="n">
        <v>45541</v>
      </c>
      <c r="C4487" s="1" t="n">
        <v>45757</v>
      </c>
      <c r="D4487" t="inlineStr">
        <is>
          <t>VÄSTMANLANDS LÄN</t>
        </is>
      </c>
      <c r="E4487" t="inlineStr">
        <is>
          <t>SKINNSKATTEBERG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37958-2024</t>
        </is>
      </c>
      <c r="B4488" s="1" t="n">
        <v>45544</v>
      </c>
      <c r="C4488" s="1" t="n">
        <v>45757</v>
      </c>
      <c r="D4488" t="inlineStr">
        <is>
          <t>VÄSTMANLANDS LÄN</t>
        </is>
      </c>
      <c r="E4488" t="inlineStr">
        <is>
          <t>SALA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37998-2024</t>
        </is>
      </c>
      <c r="B4489" s="1" t="n">
        <v>45544</v>
      </c>
      <c r="C4489" s="1" t="n">
        <v>45757</v>
      </c>
      <c r="D4489" t="inlineStr">
        <is>
          <t>VÄSTMANLANDS LÄN</t>
        </is>
      </c>
      <c r="E4489" t="inlineStr">
        <is>
          <t>KÖPING</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38109-2024</t>
        </is>
      </c>
      <c r="B4490" s="1" t="n">
        <v>45545</v>
      </c>
      <c r="C4490" s="1" t="n">
        <v>45757</v>
      </c>
      <c r="D4490" t="inlineStr">
        <is>
          <t>VÄSTMANLANDS LÄN</t>
        </is>
      </c>
      <c r="E4490" t="inlineStr">
        <is>
          <t>VÄSTERÅS</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38345-2024</t>
        </is>
      </c>
      <c r="B4491" s="1" t="n">
        <v>45545</v>
      </c>
      <c r="C4491" s="1" t="n">
        <v>45757</v>
      </c>
      <c r="D4491" t="inlineStr">
        <is>
          <t>VÄSTMANLANDS LÄN</t>
        </is>
      </c>
      <c r="E4491" t="inlineStr">
        <is>
          <t>VÄSTERÅS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38324-2024</t>
        </is>
      </c>
      <c r="B4492" s="1" t="n">
        <v>45545</v>
      </c>
      <c r="C4492" s="1" t="n">
        <v>45757</v>
      </c>
      <c r="D4492" t="inlineStr">
        <is>
          <t>VÄSTMANLANDS LÄN</t>
        </is>
      </c>
      <c r="E4492" t="inlineStr">
        <is>
          <t>NORBERG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38434-2024</t>
        </is>
      </c>
      <c r="B4493" s="1" t="n">
        <v>45546</v>
      </c>
      <c r="C4493" s="1" t="n">
        <v>45757</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38629-2024</t>
        </is>
      </c>
      <c r="B4494" s="1" t="n">
        <v>45546</v>
      </c>
      <c r="C4494" s="1" t="n">
        <v>45757</v>
      </c>
      <c r="D4494" t="inlineStr">
        <is>
          <t>VÄSTMANLANDS LÄN</t>
        </is>
      </c>
      <c r="E4494" t="inlineStr">
        <is>
          <t>KÖPING</t>
        </is>
      </c>
      <c r="G4494" t="n">
        <v>11.7</v>
      </c>
      <c r="H4494" t="n">
        <v>0</v>
      </c>
      <c r="I4494" t="n">
        <v>0</v>
      </c>
      <c r="J4494" t="n">
        <v>0</v>
      </c>
      <c r="K4494" t="n">
        <v>0</v>
      </c>
      <c r="L4494" t="n">
        <v>0</v>
      </c>
      <c r="M4494" t="n">
        <v>0</v>
      </c>
      <c r="N4494" t="n">
        <v>0</v>
      </c>
      <c r="O4494" t="n">
        <v>0</v>
      </c>
      <c r="P4494" t="n">
        <v>0</v>
      </c>
      <c r="Q4494" t="n">
        <v>0</v>
      </c>
      <c r="R4494" s="2" t="inlineStr"/>
    </row>
    <row r="4495" ht="15" customHeight="1">
      <c r="A4495" t="inlineStr">
        <is>
          <t>A 38667-2024</t>
        </is>
      </c>
      <c r="B4495" s="1" t="n">
        <v>45547</v>
      </c>
      <c r="C4495" s="1" t="n">
        <v>45757</v>
      </c>
      <c r="D4495" t="inlineStr">
        <is>
          <t>VÄSTMANLANDS LÄN</t>
        </is>
      </c>
      <c r="E4495" t="inlineStr">
        <is>
          <t>VÄSTERÅS</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38752-2024</t>
        </is>
      </c>
      <c r="B4496" s="1" t="n">
        <v>45547</v>
      </c>
      <c r="C4496" s="1" t="n">
        <v>45757</v>
      </c>
      <c r="D4496" t="inlineStr">
        <is>
          <t>VÄSTMANLANDS LÄN</t>
        </is>
      </c>
      <c r="E4496" t="inlineStr">
        <is>
          <t>VÄSTERÅS</t>
        </is>
      </c>
      <c r="F4496" t="inlineStr">
        <is>
          <t>Kyrkan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38785-2024</t>
        </is>
      </c>
      <c r="B4497" s="1" t="n">
        <v>45547</v>
      </c>
      <c r="C4497" s="1" t="n">
        <v>45757</v>
      </c>
      <c r="D4497" t="inlineStr">
        <is>
          <t>VÄSTMANLANDS LÄN</t>
        </is>
      </c>
      <c r="E4497" t="inlineStr">
        <is>
          <t>ARBOGA</t>
        </is>
      </c>
      <c r="F4497" t="inlineStr">
        <is>
          <t>Allmännings- och besparingsskogar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38784-2024</t>
        </is>
      </c>
      <c r="B4498" s="1" t="n">
        <v>45547</v>
      </c>
      <c r="C4498" s="1" t="n">
        <v>45757</v>
      </c>
      <c r="D4498" t="inlineStr">
        <is>
          <t>VÄSTMANLANDS LÄN</t>
        </is>
      </c>
      <c r="E4498" t="inlineStr">
        <is>
          <t>SKINNSKATTEBERG</t>
        </is>
      </c>
      <c r="F4498" t="inlineStr">
        <is>
          <t>Sveaskog</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38788-2024</t>
        </is>
      </c>
      <c r="B4499" s="1" t="n">
        <v>45547</v>
      </c>
      <c r="C4499" s="1" t="n">
        <v>45757</v>
      </c>
      <c r="D4499" t="inlineStr">
        <is>
          <t>VÄSTMANLANDS LÄN</t>
        </is>
      </c>
      <c r="E4499" t="inlineStr">
        <is>
          <t>ARBOGA</t>
        </is>
      </c>
      <c r="F4499" t="inlineStr">
        <is>
          <t>Allmännings- och besparingsskogar</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38782-2024</t>
        </is>
      </c>
      <c r="B4500" s="1" t="n">
        <v>45547</v>
      </c>
      <c r="C4500" s="1" t="n">
        <v>45757</v>
      </c>
      <c r="D4500" t="inlineStr">
        <is>
          <t>VÄSTMANLANDS LÄN</t>
        </is>
      </c>
      <c r="E4500" t="inlineStr">
        <is>
          <t>SKINNSKATTEBERG</t>
        </is>
      </c>
      <c r="F4500" t="inlineStr">
        <is>
          <t>Sveaskog</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38665-2024</t>
        </is>
      </c>
      <c r="B4501" s="1" t="n">
        <v>45547</v>
      </c>
      <c r="C4501" s="1" t="n">
        <v>45757</v>
      </c>
      <c r="D4501" t="inlineStr">
        <is>
          <t>VÄSTMANLANDS LÄN</t>
        </is>
      </c>
      <c r="E4501" t="inlineStr">
        <is>
          <t>HALLSTAHAMMAR</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38775-2024</t>
        </is>
      </c>
      <c r="B4502" s="1" t="n">
        <v>45547</v>
      </c>
      <c r="C4502" s="1" t="n">
        <v>45757</v>
      </c>
      <c r="D4502" t="inlineStr">
        <is>
          <t>VÄSTMANLANDS LÄN</t>
        </is>
      </c>
      <c r="E4502" t="inlineStr">
        <is>
          <t>ARBOGA</t>
        </is>
      </c>
      <c r="F4502" t="inlineStr">
        <is>
          <t>Allmännings- och besparingsskogar</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38783-2024</t>
        </is>
      </c>
      <c r="B4503" s="1" t="n">
        <v>45547</v>
      </c>
      <c r="C4503" s="1" t="n">
        <v>45757</v>
      </c>
      <c r="D4503" t="inlineStr">
        <is>
          <t>VÄSTMANLANDS LÄN</t>
        </is>
      </c>
      <c r="E4503" t="inlineStr">
        <is>
          <t>SKINNSKATTEBERG</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38844-2024</t>
        </is>
      </c>
      <c r="B4504" s="1" t="n">
        <v>45547</v>
      </c>
      <c r="C4504" s="1" t="n">
        <v>45757</v>
      </c>
      <c r="D4504" t="inlineStr">
        <is>
          <t>VÄSTMANLANDS LÄN</t>
        </is>
      </c>
      <c r="E4504" t="inlineStr">
        <is>
          <t>KÖPING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38857-2024</t>
        </is>
      </c>
      <c r="B4505" s="1" t="n">
        <v>45547</v>
      </c>
      <c r="C4505" s="1" t="n">
        <v>45757</v>
      </c>
      <c r="D4505" t="inlineStr">
        <is>
          <t>VÄSTMANLANDS LÄN</t>
        </is>
      </c>
      <c r="E4505" t="inlineStr">
        <is>
          <t>KÖPING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39155-2024</t>
        </is>
      </c>
      <c r="B4506" s="1" t="n">
        <v>45548</v>
      </c>
      <c r="C4506" s="1" t="n">
        <v>45757</v>
      </c>
      <c r="D4506" t="inlineStr">
        <is>
          <t>VÄSTMANLANDS LÄN</t>
        </is>
      </c>
      <c r="E4506" t="inlineStr">
        <is>
          <t>FAGERSTA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39157-2024</t>
        </is>
      </c>
      <c r="B4507" s="1" t="n">
        <v>45548</v>
      </c>
      <c r="C4507" s="1" t="n">
        <v>45757</v>
      </c>
      <c r="D4507" t="inlineStr">
        <is>
          <t>VÄSTMANLANDS LÄN</t>
        </is>
      </c>
      <c r="E4507" t="inlineStr">
        <is>
          <t>FAGERSTA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39261-2024</t>
        </is>
      </c>
      <c r="B4508" s="1" t="n">
        <v>45551</v>
      </c>
      <c r="C4508" s="1" t="n">
        <v>45757</v>
      </c>
      <c r="D4508" t="inlineStr">
        <is>
          <t>VÄSTMANLANDS LÄN</t>
        </is>
      </c>
      <c r="E4508" t="inlineStr">
        <is>
          <t>NORBERG</t>
        </is>
      </c>
      <c r="F4508" t="inlineStr">
        <is>
          <t>Övriga Aktiebolag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39290-2024</t>
        </is>
      </c>
      <c r="B4509" s="1" t="n">
        <v>45551</v>
      </c>
      <c r="C4509" s="1" t="n">
        <v>45757</v>
      </c>
      <c r="D4509" t="inlineStr">
        <is>
          <t>VÄSTMANLANDS LÄN</t>
        </is>
      </c>
      <c r="E4509" t="inlineStr">
        <is>
          <t>KÖPING</t>
        </is>
      </c>
      <c r="G4509" t="n">
        <v>3.6</v>
      </c>
      <c r="H4509" t="n">
        <v>0</v>
      </c>
      <c r="I4509" t="n">
        <v>0</v>
      </c>
      <c r="J4509" t="n">
        <v>0</v>
      </c>
      <c r="K4509" t="n">
        <v>0</v>
      </c>
      <c r="L4509" t="n">
        <v>0</v>
      </c>
      <c r="M4509" t="n">
        <v>0</v>
      </c>
      <c r="N4509" t="n">
        <v>0</v>
      </c>
      <c r="O4509" t="n">
        <v>0</v>
      </c>
      <c r="P4509" t="n">
        <v>0</v>
      </c>
      <c r="Q4509" t="n">
        <v>0</v>
      </c>
      <c r="R4509" s="2" t="inlineStr"/>
      <c r="U4509">
        <f>HYPERLINK("https://klasma.github.io/Logging_1983/knärot/A 39290-2024 karta knärot.png", "A 39290-2024")</f>
        <v/>
      </c>
      <c r="V4509">
        <f>HYPERLINK("https://klasma.github.io/Logging_1983/klagomål/A 39290-2024 FSC-klagomål.docx", "A 39290-2024")</f>
        <v/>
      </c>
      <c r="W4509">
        <f>HYPERLINK("https://klasma.github.io/Logging_1983/klagomålsmail/A 39290-2024 FSC-klagomål mail.docx", "A 39290-2024")</f>
        <v/>
      </c>
      <c r="X4509">
        <f>HYPERLINK("https://klasma.github.io/Logging_1983/tillsyn/A 39290-2024 tillsynsbegäran.docx", "A 39290-2024")</f>
        <v/>
      </c>
      <c r="Y4509">
        <f>HYPERLINK("https://klasma.github.io/Logging_1983/tillsynsmail/A 39290-2024 tillsynsbegäran mail.docx", "A 39290-2024")</f>
        <v/>
      </c>
    </row>
    <row r="4510" ht="15" customHeight="1">
      <c r="A4510" t="inlineStr">
        <is>
          <t>A 39255-2024</t>
        </is>
      </c>
      <c r="B4510" s="1" t="n">
        <v>45551</v>
      </c>
      <c r="C4510" s="1" t="n">
        <v>45757</v>
      </c>
      <c r="D4510" t="inlineStr">
        <is>
          <t>VÄSTMANLANDS LÄN</t>
        </is>
      </c>
      <c r="E4510" t="inlineStr">
        <is>
          <t>NORBERG</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39332-2024</t>
        </is>
      </c>
      <c r="B4511" s="1" t="n">
        <v>45551</v>
      </c>
      <c r="C4511" s="1" t="n">
        <v>45757</v>
      </c>
      <c r="D4511" t="inlineStr">
        <is>
          <t>VÄSTMANLANDS LÄN</t>
        </is>
      </c>
      <c r="E4511" t="inlineStr">
        <is>
          <t>KÖPING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39364-2024</t>
        </is>
      </c>
      <c r="B4512" s="1" t="n">
        <v>45551</v>
      </c>
      <c r="C4512" s="1" t="n">
        <v>45757</v>
      </c>
      <c r="D4512" t="inlineStr">
        <is>
          <t>VÄSTMANLANDS LÄN</t>
        </is>
      </c>
      <c r="E4512" t="inlineStr">
        <is>
          <t>SALA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39358-2024</t>
        </is>
      </c>
      <c r="B4513" s="1" t="n">
        <v>45551</v>
      </c>
      <c r="C4513" s="1" t="n">
        <v>45757</v>
      </c>
      <c r="D4513" t="inlineStr">
        <is>
          <t>VÄSTMANLANDS LÄN</t>
        </is>
      </c>
      <c r="E4513" t="inlineStr">
        <is>
          <t>KÖPING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39414-2024</t>
        </is>
      </c>
      <c r="B4514" s="1" t="n">
        <v>45551</v>
      </c>
      <c r="C4514" s="1" t="n">
        <v>45757</v>
      </c>
      <c r="D4514" t="inlineStr">
        <is>
          <t>VÄSTMANLANDS LÄN</t>
        </is>
      </c>
      <c r="E4514" t="inlineStr">
        <is>
          <t>SKINNSKATTEBERG</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39673-2024</t>
        </is>
      </c>
      <c r="B4515" s="1" t="n">
        <v>45552</v>
      </c>
      <c r="C4515" s="1" t="n">
        <v>45757</v>
      </c>
      <c r="D4515" t="inlineStr">
        <is>
          <t>VÄSTMANLANDS LÄN</t>
        </is>
      </c>
      <c r="E4515" t="inlineStr">
        <is>
          <t>SKINNSKATTEBERG</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39835-2024</t>
        </is>
      </c>
      <c r="B4516" s="1" t="n">
        <v>45553</v>
      </c>
      <c r="C4516" s="1" t="n">
        <v>45757</v>
      </c>
      <c r="D4516" t="inlineStr">
        <is>
          <t>VÄSTMANLANDS LÄN</t>
        </is>
      </c>
      <c r="E4516" t="inlineStr">
        <is>
          <t>NORBERG</t>
        </is>
      </c>
      <c r="F4516" t="inlineStr">
        <is>
          <t>Bergvik skog väst AB</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39837-2024</t>
        </is>
      </c>
      <c r="B4517" s="1" t="n">
        <v>45553</v>
      </c>
      <c r="C4517" s="1" t="n">
        <v>45757</v>
      </c>
      <c r="D4517" t="inlineStr">
        <is>
          <t>VÄSTMANLANDS LÄN</t>
        </is>
      </c>
      <c r="E4517" t="inlineStr">
        <is>
          <t>NORBERG</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39810-2024</t>
        </is>
      </c>
      <c r="B4518" s="1" t="n">
        <v>45553</v>
      </c>
      <c r="C4518" s="1" t="n">
        <v>45757</v>
      </c>
      <c r="D4518" t="inlineStr">
        <is>
          <t>VÄSTMANLANDS LÄN</t>
        </is>
      </c>
      <c r="E4518" t="inlineStr">
        <is>
          <t>VÄSTERÅS</t>
        </is>
      </c>
      <c r="F4518" t="inlineStr">
        <is>
          <t>Kyrkan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39868-2024</t>
        </is>
      </c>
      <c r="B4519" s="1" t="n">
        <v>45553</v>
      </c>
      <c r="C4519" s="1" t="n">
        <v>45757</v>
      </c>
      <c r="D4519" t="inlineStr">
        <is>
          <t>VÄSTMANLANDS LÄN</t>
        </is>
      </c>
      <c r="E4519" t="inlineStr">
        <is>
          <t>SKINNSKATTEBERG</t>
        </is>
      </c>
      <c r="F4519" t="inlineStr">
        <is>
          <t>Kyrkan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39836-2024</t>
        </is>
      </c>
      <c r="B4520" s="1" t="n">
        <v>45553</v>
      </c>
      <c r="C4520" s="1" t="n">
        <v>45757</v>
      </c>
      <c r="D4520" t="inlineStr">
        <is>
          <t>VÄSTMANLANDS LÄN</t>
        </is>
      </c>
      <c r="E4520" t="inlineStr">
        <is>
          <t>KÖPING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39817-2024</t>
        </is>
      </c>
      <c r="B4521" s="1" t="n">
        <v>45553</v>
      </c>
      <c r="C4521" s="1" t="n">
        <v>45757</v>
      </c>
      <c r="D4521" t="inlineStr">
        <is>
          <t>VÄSTMANLANDS LÄN</t>
        </is>
      </c>
      <c r="E4521" t="inlineStr">
        <is>
          <t>VÄSTERÅS</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39855-2024</t>
        </is>
      </c>
      <c r="B4522" s="1" t="n">
        <v>45553</v>
      </c>
      <c r="C4522" s="1" t="n">
        <v>45757</v>
      </c>
      <c r="D4522" t="inlineStr">
        <is>
          <t>VÄSTMANLANDS LÄN</t>
        </is>
      </c>
      <c r="E4522" t="inlineStr">
        <is>
          <t>FAGERSTA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40029-2024</t>
        </is>
      </c>
      <c r="B4523" s="1" t="n">
        <v>45553</v>
      </c>
      <c r="C4523" s="1" t="n">
        <v>45757</v>
      </c>
      <c r="D4523" t="inlineStr">
        <is>
          <t>VÄSTMANLANDS LÄN</t>
        </is>
      </c>
      <c r="E4523" t="inlineStr">
        <is>
          <t>KÖPING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40176-2024</t>
        </is>
      </c>
      <c r="B4524" s="1" t="n">
        <v>45554</v>
      </c>
      <c r="C4524" s="1" t="n">
        <v>45757</v>
      </c>
      <c r="D4524" t="inlineStr">
        <is>
          <t>VÄSTMANLANDS LÄN</t>
        </is>
      </c>
      <c r="E4524" t="inlineStr">
        <is>
          <t>SKINNSKATTEBERG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40233-2024</t>
        </is>
      </c>
      <c r="B4525" s="1" t="n">
        <v>45554</v>
      </c>
      <c r="C4525" s="1" t="n">
        <v>45757</v>
      </c>
      <c r="D4525" t="inlineStr">
        <is>
          <t>VÄSTMANLANDS LÄN</t>
        </is>
      </c>
      <c r="E4525" t="inlineStr">
        <is>
          <t>SKINNSKATTEBERG</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40158-2024</t>
        </is>
      </c>
      <c r="B4526" s="1" t="n">
        <v>45554</v>
      </c>
      <c r="C4526" s="1" t="n">
        <v>45757</v>
      </c>
      <c r="D4526" t="inlineStr">
        <is>
          <t>VÄSTMANLANDS LÄN</t>
        </is>
      </c>
      <c r="E4526" t="inlineStr">
        <is>
          <t>SKINNSKATTEBERG</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40174-2024</t>
        </is>
      </c>
      <c r="B4527" s="1" t="n">
        <v>45554</v>
      </c>
      <c r="C4527" s="1" t="n">
        <v>45757</v>
      </c>
      <c r="D4527" t="inlineStr">
        <is>
          <t>VÄSTMANLANDS LÄN</t>
        </is>
      </c>
      <c r="E4527" t="inlineStr">
        <is>
          <t>SKINNSKATTEBERG</t>
        </is>
      </c>
      <c r="F4527" t="inlineStr">
        <is>
          <t>Sveaskog</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40182-2024</t>
        </is>
      </c>
      <c r="B4528" s="1" t="n">
        <v>45554</v>
      </c>
      <c r="C4528" s="1" t="n">
        <v>45757</v>
      </c>
      <c r="D4528" t="inlineStr">
        <is>
          <t>VÄSTMANLANDS LÄN</t>
        </is>
      </c>
      <c r="E4528" t="inlineStr">
        <is>
          <t>SKINNSKATTEBERG</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40272-2024</t>
        </is>
      </c>
      <c r="B4529" s="1" t="n">
        <v>45554</v>
      </c>
      <c r="C4529" s="1" t="n">
        <v>45757</v>
      </c>
      <c r="D4529" t="inlineStr">
        <is>
          <t>VÄSTMANLANDS LÄN</t>
        </is>
      </c>
      <c r="E4529" t="inlineStr">
        <is>
          <t>SALA</t>
        </is>
      </c>
      <c r="F4529" t="inlineStr">
        <is>
          <t>Kommuner</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40085-2024</t>
        </is>
      </c>
      <c r="B4530" s="1" t="n">
        <v>45554</v>
      </c>
      <c r="C4530" s="1" t="n">
        <v>45757</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40165-2024</t>
        </is>
      </c>
      <c r="B4531" s="1" t="n">
        <v>45554</v>
      </c>
      <c r="C4531" s="1" t="n">
        <v>45757</v>
      </c>
      <c r="D4531" t="inlineStr">
        <is>
          <t>VÄSTMANLANDS LÄN</t>
        </is>
      </c>
      <c r="E4531" t="inlineStr">
        <is>
          <t>SKINNSKATTEBERG</t>
        </is>
      </c>
      <c r="F4531" t="inlineStr">
        <is>
          <t>Sveaskog</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40169-2024</t>
        </is>
      </c>
      <c r="B4532" s="1" t="n">
        <v>45554</v>
      </c>
      <c r="C4532" s="1" t="n">
        <v>45757</v>
      </c>
      <c r="D4532" t="inlineStr">
        <is>
          <t>VÄSTMANLANDS LÄN</t>
        </is>
      </c>
      <c r="E4532" t="inlineStr">
        <is>
          <t>SKINNSKATTEBERG</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40181-2024</t>
        </is>
      </c>
      <c r="B4533" s="1" t="n">
        <v>45554</v>
      </c>
      <c r="C4533" s="1" t="n">
        <v>45757</v>
      </c>
      <c r="D4533" t="inlineStr">
        <is>
          <t>VÄSTMANLANDS LÄN</t>
        </is>
      </c>
      <c r="E4533" t="inlineStr">
        <is>
          <t>SKINNSKATTEBERG</t>
        </is>
      </c>
      <c r="F4533" t="inlineStr">
        <is>
          <t>Sveaskog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40079-2024</t>
        </is>
      </c>
      <c r="B4534" s="1" t="n">
        <v>45554</v>
      </c>
      <c r="C4534" s="1" t="n">
        <v>45757</v>
      </c>
      <c r="D4534" t="inlineStr">
        <is>
          <t>VÄSTMANLANDS LÄN</t>
        </is>
      </c>
      <c r="E4534" t="inlineStr">
        <is>
          <t>SKINNSKATTEBERG</t>
        </is>
      </c>
      <c r="G4534" t="n">
        <v>12.7</v>
      </c>
      <c r="H4534" t="n">
        <v>0</v>
      </c>
      <c r="I4534" t="n">
        <v>0</v>
      </c>
      <c r="J4534" t="n">
        <v>0</v>
      </c>
      <c r="K4534" t="n">
        <v>0</v>
      </c>
      <c r="L4534" t="n">
        <v>0</v>
      </c>
      <c r="M4534" t="n">
        <v>0</v>
      </c>
      <c r="N4534" t="n">
        <v>0</v>
      </c>
      <c r="O4534" t="n">
        <v>0</v>
      </c>
      <c r="P4534" t="n">
        <v>0</v>
      </c>
      <c r="Q4534" t="n">
        <v>0</v>
      </c>
      <c r="R4534" s="2" t="inlineStr"/>
    </row>
    <row r="4535" ht="15" customHeight="1">
      <c r="A4535" t="inlineStr">
        <is>
          <t>A 40167-2024</t>
        </is>
      </c>
      <c r="B4535" s="1" t="n">
        <v>45554</v>
      </c>
      <c r="C4535" s="1" t="n">
        <v>45757</v>
      </c>
      <c r="D4535" t="inlineStr">
        <is>
          <t>VÄSTMANLANDS LÄN</t>
        </is>
      </c>
      <c r="E4535" t="inlineStr">
        <is>
          <t>SKINNSKATTEBERG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40171-2024</t>
        </is>
      </c>
      <c r="B4536" s="1" t="n">
        <v>45554</v>
      </c>
      <c r="C4536" s="1" t="n">
        <v>45757</v>
      </c>
      <c r="D4536" t="inlineStr">
        <is>
          <t>VÄSTMANLANDS LÄN</t>
        </is>
      </c>
      <c r="E4536" t="inlineStr">
        <is>
          <t>SKINNSKATTEBERG</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40179-2024</t>
        </is>
      </c>
      <c r="B4537" s="1" t="n">
        <v>45554</v>
      </c>
      <c r="C4537" s="1" t="n">
        <v>45757</v>
      </c>
      <c r="D4537" t="inlineStr">
        <is>
          <t>VÄSTMANLANDS LÄN</t>
        </is>
      </c>
      <c r="E4537" t="inlineStr">
        <is>
          <t>SKINNSKATTEBERG</t>
        </is>
      </c>
      <c r="F4537" t="inlineStr">
        <is>
          <t>Sveaskog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40228-2024</t>
        </is>
      </c>
      <c r="B4538" s="1" t="n">
        <v>45554</v>
      </c>
      <c r="C4538" s="1" t="n">
        <v>45757</v>
      </c>
      <c r="D4538" t="inlineStr">
        <is>
          <t>VÄSTMANLANDS LÄN</t>
        </is>
      </c>
      <c r="E4538" t="inlineStr">
        <is>
          <t>NORBERG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40232-2024</t>
        </is>
      </c>
      <c r="B4539" s="1" t="n">
        <v>45554</v>
      </c>
      <c r="C4539" s="1" t="n">
        <v>45757</v>
      </c>
      <c r="D4539" t="inlineStr">
        <is>
          <t>VÄSTMANLANDS LÄN</t>
        </is>
      </c>
      <c r="E4539" t="inlineStr">
        <is>
          <t>NORBERG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40549-2024</t>
        </is>
      </c>
      <c r="B4540" s="1" t="n">
        <v>45555</v>
      </c>
      <c r="C4540" s="1" t="n">
        <v>45757</v>
      </c>
      <c r="D4540" t="inlineStr">
        <is>
          <t>VÄSTMANLANDS LÄN</t>
        </is>
      </c>
      <c r="E4540" t="inlineStr">
        <is>
          <t>SKINNSKATTEBERG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40561-2024</t>
        </is>
      </c>
      <c r="B4541" s="1" t="n">
        <v>45555</v>
      </c>
      <c r="C4541" s="1" t="n">
        <v>45757</v>
      </c>
      <c r="D4541" t="inlineStr">
        <is>
          <t>VÄSTMANLANDS LÄN</t>
        </is>
      </c>
      <c r="E4541" t="inlineStr">
        <is>
          <t>VÄSTERÅS</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40554-2024</t>
        </is>
      </c>
      <c r="B4542" s="1" t="n">
        <v>45555</v>
      </c>
      <c r="C4542" s="1" t="n">
        <v>45757</v>
      </c>
      <c r="D4542" t="inlineStr">
        <is>
          <t>VÄSTMANLANDS LÄN</t>
        </is>
      </c>
      <c r="E4542" t="inlineStr">
        <is>
          <t>SKINNSKATTEBERG</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40551-2024</t>
        </is>
      </c>
      <c r="B4543" s="1" t="n">
        <v>45555</v>
      </c>
      <c r="C4543" s="1" t="n">
        <v>45757</v>
      </c>
      <c r="D4543" t="inlineStr">
        <is>
          <t>VÄSTMANLANDS LÄN</t>
        </is>
      </c>
      <c r="E4543" t="inlineStr">
        <is>
          <t>SKINNSKATTEBERG</t>
        </is>
      </c>
      <c r="F4543" t="inlineStr">
        <is>
          <t>Sveaskog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40606-2024</t>
        </is>
      </c>
      <c r="B4544" s="1" t="n">
        <v>45556</v>
      </c>
      <c r="C4544" s="1" t="n">
        <v>45757</v>
      </c>
      <c r="D4544" t="inlineStr">
        <is>
          <t>VÄSTMANLANDS LÄN</t>
        </is>
      </c>
      <c r="E4544" t="inlineStr">
        <is>
          <t>KUNGSÖR</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40607-2024</t>
        </is>
      </c>
      <c r="B4545" s="1" t="n">
        <v>45556</v>
      </c>
      <c r="C4545" s="1" t="n">
        <v>45757</v>
      </c>
      <c r="D4545" t="inlineStr">
        <is>
          <t>VÄSTMANLANDS LÄN</t>
        </is>
      </c>
      <c r="E4545" t="inlineStr">
        <is>
          <t>KUNGSÖR</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40605-2024</t>
        </is>
      </c>
      <c r="B4546" s="1" t="n">
        <v>45556</v>
      </c>
      <c r="C4546" s="1" t="n">
        <v>45757</v>
      </c>
      <c r="D4546" t="inlineStr">
        <is>
          <t>VÄSTMANLANDS LÄN</t>
        </is>
      </c>
      <c r="E4546" t="inlineStr">
        <is>
          <t>ARBOGA</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40757-2024</t>
        </is>
      </c>
      <c r="B4547" s="1" t="n">
        <v>45558</v>
      </c>
      <c r="C4547" s="1" t="n">
        <v>45757</v>
      </c>
      <c r="D4547" t="inlineStr">
        <is>
          <t>VÄSTMANLANDS LÄN</t>
        </is>
      </c>
      <c r="E4547" t="inlineStr">
        <is>
          <t>SALA</t>
        </is>
      </c>
      <c r="F4547" t="inlineStr">
        <is>
          <t>Kommuner</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40823-2024</t>
        </is>
      </c>
      <c r="B4548" s="1" t="n">
        <v>45558</v>
      </c>
      <c r="C4548" s="1" t="n">
        <v>45757</v>
      </c>
      <c r="D4548" t="inlineStr">
        <is>
          <t>VÄSTMANLANDS LÄN</t>
        </is>
      </c>
      <c r="E4548" t="inlineStr">
        <is>
          <t>KÖPING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40997-2024</t>
        </is>
      </c>
      <c r="B4549" s="1" t="n">
        <v>45558</v>
      </c>
      <c r="C4549" s="1" t="n">
        <v>45757</v>
      </c>
      <c r="D4549" t="inlineStr">
        <is>
          <t>VÄSTMANLANDS LÄN</t>
        </is>
      </c>
      <c r="E4549" t="inlineStr">
        <is>
          <t>SKINNSKATTEBERG</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40990-2024</t>
        </is>
      </c>
      <c r="B4550" s="1" t="n">
        <v>45558</v>
      </c>
      <c r="C4550" s="1" t="n">
        <v>45757</v>
      </c>
      <c r="D4550" t="inlineStr">
        <is>
          <t>VÄSTMANLANDS LÄN</t>
        </is>
      </c>
      <c r="E4550" t="inlineStr">
        <is>
          <t>KÖPING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40998-2024</t>
        </is>
      </c>
      <c r="B4551" s="1" t="n">
        <v>45558</v>
      </c>
      <c r="C4551" s="1" t="n">
        <v>45757</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41139-2024</t>
        </is>
      </c>
      <c r="B4552" s="1" t="n">
        <v>45559</v>
      </c>
      <c r="C4552" s="1" t="n">
        <v>45757</v>
      </c>
      <c r="D4552" t="inlineStr">
        <is>
          <t>VÄSTMANLANDS LÄN</t>
        </is>
      </c>
      <c r="E4552" t="inlineStr">
        <is>
          <t>KÖPING</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41247-2024</t>
        </is>
      </c>
      <c r="B4553" s="1" t="n">
        <v>45559</v>
      </c>
      <c r="C4553" s="1" t="n">
        <v>45757</v>
      </c>
      <c r="D4553" t="inlineStr">
        <is>
          <t>VÄSTMANLANDS LÄN</t>
        </is>
      </c>
      <c r="E4553" t="inlineStr">
        <is>
          <t>SALA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41490-2024</t>
        </is>
      </c>
      <c r="B4554" s="1" t="n">
        <v>45560</v>
      </c>
      <c r="C4554" s="1" t="n">
        <v>45757</v>
      </c>
      <c r="D4554" t="inlineStr">
        <is>
          <t>VÄSTMANLANDS LÄN</t>
        </is>
      </c>
      <c r="E4554" t="inlineStr">
        <is>
          <t>ARBOGA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41472-2024</t>
        </is>
      </c>
      <c r="B4555" s="1" t="n">
        <v>45560</v>
      </c>
      <c r="C4555" s="1" t="n">
        <v>45757</v>
      </c>
      <c r="D4555" t="inlineStr">
        <is>
          <t>VÄSTMANLANDS LÄN</t>
        </is>
      </c>
      <c r="E4555" t="inlineStr">
        <is>
          <t>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41469-2024</t>
        </is>
      </c>
      <c r="B4556" s="1" t="n">
        <v>45560</v>
      </c>
      <c r="C4556" s="1" t="n">
        <v>45757</v>
      </c>
      <c r="D4556" t="inlineStr">
        <is>
          <t>VÄSTMANLANDS LÄN</t>
        </is>
      </c>
      <c r="E4556" t="inlineStr">
        <is>
          <t>VÄSTERÅS</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41448-2024</t>
        </is>
      </c>
      <c r="B4557" s="1" t="n">
        <v>45560</v>
      </c>
      <c r="C4557" s="1" t="n">
        <v>45757</v>
      </c>
      <c r="D4557" t="inlineStr">
        <is>
          <t>VÄSTMANLANDS LÄN</t>
        </is>
      </c>
      <c r="E4557" t="inlineStr">
        <is>
          <t>NORBERG</t>
        </is>
      </c>
      <c r="F4557" t="inlineStr">
        <is>
          <t>Bergvik skog väst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41444-2024</t>
        </is>
      </c>
      <c r="B4558" s="1" t="n">
        <v>45560</v>
      </c>
      <c r="C4558" s="1" t="n">
        <v>45757</v>
      </c>
      <c r="D4558" t="inlineStr">
        <is>
          <t>VÄSTMANLANDS LÄN</t>
        </is>
      </c>
      <c r="E4558" t="inlineStr">
        <is>
          <t>NORBERG</t>
        </is>
      </c>
      <c r="F4558" t="inlineStr">
        <is>
          <t>Övriga Aktiebolag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41849-2024</t>
        </is>
      </c>
      <c r="B4559" s="1" t="n">
        <v>45561</v>
      </c>
      <c r="C4559" s="1" t="n">
        <v>45757</v>
      </c>
      <c r="D4559" t="inlineStr">
        <is>
          <t>VÄSTMANLANDS LÄN</t>
        </is>
      </c>
      <c r="E4559" t="inlineStr">
        <is>
          <t>VÄSTERÅS</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41748-2024</t>
        </is>
      </c>
      <c r="B4560" s="1" t="n">
        <v>45561</v>
      </c>
      <c r="C4560" s="1" t="n">
        <v>45757</v>
      </c>
      <c r="D4560" t="inlineStr">
        <is>
          <t>VÄSTMANLANDS LÄN</t>
        </is>
      </c>
      <c r="E4560" t="inlineStr">
        <is>
          <t>SALA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42406-2024</t>
        </is>
      </c>
      <c r="B4561" s="1" t="n">
        <v>45565</v>
      </c>
      <c r="C4561" s="1" t="n">
        <v>45757</v>
      </c>
      <c r="D4561" t="inlineStr">
        <is>
          <t>VÄSTMANLANDS LÄN</t>
        </is>
      </c>
      <c r="E4561" t="inlineStr">
        <is>
          <t>SURAHAMMAR</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42589-2024</t>
        </is>
      </c>
      <c r="B4562" s="1" t="n">
        <v>45565</v>
      </c>
      <c r="C4562" s="1" t="n">
        <v>45757</v>
      </c>
      <c r="D4562" t="inlineStr">
        <is>
          <t>VÄSTMANLANDS LÄN</t>
        </is>
      </c>
      <c r="E4562" t="inlineStr">
        <is>
          <t>SKINNSKATTEBERG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42581-2024</t>
        </is>
      </c>
      <c r="B4563" s="1" t="n">
        <v>45565</v>
      </c>
      <c r="C4563" s="1" t="n">
        <v>45757</v>
      </c>
      <c r="D4563" t="inlineStr">
        <is>
          <t>VÄSTMANLANDS LÄN</t>
        </is>
      </c>
      <c r="E4563" t="inlineStr">
        <is>
          <t>SKINNSKATTEBERG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42683-2024</t>
        </is>
      </c>
      <c r="B4564" s="1" t="n">
        <v>45565</v>
      </c>
      <c r="C4564" s="1" t="n">
        <v>45757</v>
      </c>
      <c r="D4564" t="inlineStr">
        <is>
          <t>VÄSTMANLANDS LÄN</t>
        </is>
      </c>
      <c r="E4564" t="inlineStr">
        <is>
          <t>FAGERSTA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42617-2024</t>
        </is>
      </c>
      <c r="B4565" s="1" t="n">
        <v>45565</v>
      </c>
      <c r="C4565" s="1" t="n">
        <v>45757</v>
      </c>
      <c r="D4565" t="inlineStr">
        <is>
          <t>VÄSTMANLANDS LÄN</t>
        </is>
      </c>
      <c r="E4565" t="inlineStr">
        <is>
          <t>SALA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42498-2024</t>
        </is>
      </c>
      <c r="B4566" s="1" t="n">
        <v>45565</v>
      </c>
      <c r="C4566" s="1" t="n">
        <v>45757</v>
      </c>
      <c r="D4566" t="inlineStr">
        <is>
          <t>VÄSTMANLANDS LÄN</t>
        </is>
      </c>
      <c r="E4566" t="inlineStr">
        <is>
          <t>KUNGSÖR</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42684-2024</t>
        </is>
      </c>
      <c r="B4567" s="1" t="n">
        <v>45565</v>
      </c>
      <c r="C4567" s="1" t="n">
        <v>45757</v>
      </c>
      <c r="D4567" t="inlineStr">
        <is>
          <t>VÄSTMANLANDS LÄN</t>
        </is>
      </c>
      <c r="E4567" t="inlineStr">
        <is>
          <t>SALA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42844-2024</t>
        </is>
      </c>
      <c r="B4568" s="1" t="n">
        <v>45566</v>
      </c>
      <c r="C4568" s="1" t="n">
        <v>45757</v>
      </c>
      <c r="D4568" t="inlineStr">
        <is>
          <t>VÄSTMANLANDS LÄN</t>
        </is>
      </c>
      <c r="E4568" t="inlineStr">
        <is>
          <t>FAGERSTA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42893-2024</t>
        </is>
      </c>
      <c r="B4569" s="1" t="n">
        <v>45566</v>
      </c>
      <c r="C4569" s="1" t="n">
        <v>45757</v>
      </c>
      <c r="D4569" t="inlineStr">
        <is>
          <t>VÄSTMANLANDS LÄN</t>
        </is>
      </c>
      <c r="E4569" t="inlineStr">
        <is>
          <t>KÖPING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43103-2024</t>
        </is>
      </c>
      <c r="B4570" s="1" t="n">
        <v>45567</v>
      </c>
      <c r="C4570" s="1" t="n">
        <v>45757</v>
      </c>
      <c r="D4570" t="inlineStr">
        <is>
          <t>VÄSTMANLANDS LÄN</t>
        </is>
      </c>
      <c r="E4570" t="inlineStr">
        <is>
          <t>NORBERG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43071-2024</t>
        </is>
      </c>
      <c r="B4571" s="1" t="n">
        <v>45567</v>
      </c>
      <c r="C4571" s="1" t="n">
        <v>45757</v>
      </c>
      <c r="D4571" t="inlineStr">
        <is>
          <t>VÄSTMANLANDS LÄN</t>
        </is>
      </c>
      <c r="E4571" t="inlineStr">
        <is>
          <t>FAGERSTA</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43073-2024</t>
        </is>
      </c>
      <c r="B4572" s="1" t="n">
        <v>45567</v>
      </c>
      <c r="C4572" s="1" t="n">
        <v>45757</v>
      </c>
      <c r="D4572" t="inlineStr">
        <is>
          <t>VÄSTMANLANDS LÄN</t>
        </is>
      </c>
      <c r="E4572" t="inlineStr">
        <is>
          <t>NORBERG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43196-2024</t>
        </is>
      </c>
      <c r="B4573" s="1" t="n">
        <v>45567</v>
      </c>
      <c r="C4573" s="1" t="n">
        <v>45757</v>
      </c>
      <c r="D4573" t="inlineStr">
        <is>
          <t>VÄSTMANLANDS LÄN</t>
        </is>
      </c>
      <c r="E4573" t="inlineStr">
        <is>
          <t>SALA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43108-2024</t>
        </is>
      </c>
      <c r="B4574" s="1" t="n">
        <v>45567</v>
      </c>
      <c r="C4574" s="1" t="n">
        <v>45757</v>
      </c>
      <c r="D4574" t="inlineStr">
        <is>
          <t>VÄSTMANLANDS LÄN</t>
        </is>
      </c>
      <c r="E4574" t="inlineStr">
        <is>
          <t>SALA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43455-2024</t>
        </is>
      </c>
      <c r="B4575" s="1" t="n">
        <v>45568</v>
      </c>
      <c r="C4575" s="1" t="n">
        <v>45757</v>
      </c>
      <c r="D4575" t="inlineStr">
        <is>
          <t>VÄSTMANLANDS LÄN</t>
        </is>
      </c>
      <c r="E4575" t="inlineStr">
        <is>
          <t>SURAHAMMAR</t>
        </is>
      </c>
      <c r="F4575" t="inlineStr">
        <is>
          <t>Bergvik skog väst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43411-2024</t>
        </is>
      </c>
      <c r="B4576" s="1" t="n">
        <v>45568</v>
      </c>
      <c r="C4576" s="1" t="n">
        <v>45757</v>
      </c>
      <c r="D4576" t="inlineStr">
        <is>
          <t>VÄSTMANLANDS LÄN</t>
        </is>
      </c>
      <c r="E4576" t="inlineStr">
        <is>
          <t>SKINNSKATTEBERG</t>
        </is>
      </c>
      <c r="F4576" t="inlineStr">
        <is>
          <t>Sveaskog</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43461-2024</t>
        </is>
      </c>
      <c r="B4577" s="1" t="n">
        <v>45568</v>
      </c>
      <c r="C4577" s="1" t="n">
        <v>45757</v>
      </c>
      <c r="D4577" t="inlineStr">
        <is>
          <t>VÄSTMANLANDS LÄN</t>
        </is>
      </c>
      <c r="E4577" t="inlineStr">
        <is>
          <t>SURAHAMMAR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43359-2024</t>
        </is>
      </c>
      <c r="B4578" s="1" t="n">
        <v>45568</v>
      </c>
      <c r="C4578" s="1" t="n">
        <v>45757</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43367-2024</t>
        </is>
      </c>
      <c r="B4579" s="1" t="n">
        <v>45568</v>
      </c>
      <c r="C4579" s="1" t="n">
        <v>45757</v>
      </c>
      <c r="D4579" t="inlineStr">
        <is>
          <t>VÄSTMANLANDS LÄN</t>
        </is>
      </c>
      <c r="E4579" t="inlineStr">
        <is>
          <t>VÄSTERÅS</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43400-2024</t>
        </is>
      </c>
      <c r="B4580" s="1" t="n">
        <v>45568</v>
      </c>
      <c r="C4580" s="1" t="n">
        <v>45757</v>
      </c>
      <c r="D4580" t="inlineStr">
        <is>
          <t>VÄSTMANLANDS LÄN</t>
        </is>
      </c>
      <c r="E4580" t="inlineStr">
        <is>
          <t>SKINNSKATTEBERG</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43374-2024</t>
        </is>
      </c>
      <c r="B4581" s="1" t="n">
        <v>45568</v>
      </c>
      <c r="C4581" s="1" t="n">
        <v>45757</v>
      </c>
      <c r="D4581" t="inlineStr">
        <is>
          <t>VÄSTMANLANDS LÄN</t>
        </is>
      </c>
      <c r="E4581" t="inlineStr">
        <is>
          <t>VÄSTERÅS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43600-2024</t>
        </is>
      </c>
      <c r="B4582" s="1" t="n">
        <v>45569</v>
      </c>
      <c r="C4582" s="1" t="n">
        <v>45757</v>
      </c>
      <c r="D4582" t="inlineStr">
        <is>
          <t>VÄSTMANLANDS LÄN</t>
        </is>
      </c>
      <c r="E4582" t="inlineStr">
        <is>
          <t>SALA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43596-2024</t>
        </is>
      </c>
      <c r="B4583" s="1" t="n">
        <v>45569</v>
      </c>
      <c r="C4583" s="1" t="n">
        <v>45757</v>
      </c>
      <c r="D4583" t="inlineStr">
        <is>
          <t>VÄSTMANLANDS LÄN</t>
        </is>
      </c>
      <c r="E4583" t="inlineStr">
        <is>
          <t>SALA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43807-2024</t>
        </is>
      </c>
      <c r="B4584" s="1" t="n">
        <v>45571</v>
      </c>
      <c r="C4584" s="1" t="n">
        <v>45757</v>
      </c>
      <c r="D4584" t="inlineStr">
        <is>
          <t>VÄSTMANLANDS LÄN</t>
        </is>
      </c>
      <c r="E4584" t="inlineStr">
        <is>
          <t>SKINNSKATTEBERG</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43806-2024</t>
        </is>
      </c>
      <c r="B4585" s="1" t="n">
        <v>45571</v>
      </c>
      <c r="C4585" s="1" t="n">
        <v>45757</v>
      </c>
      <c r="D4585" t="inlineStr">
        <is>
          <t>VÄSTMANLANDS LÄN</t>
        </is>
      </c>
      <c r="E4585" t="inlineStr">
        <is>
          <t>SKINNSKATTEBERG</t>
        </is>
      </c>
      <c r="F4585" t="inlineStr">
        <is>
          <t>Sveaskog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43805-2024</t>
        </is>
      </c>
      <c r="B4586" s="1" t="n">
        <v>45571</v>
      </c>
      <c r="C4586" s="1" t="n">
        <v>45757</v>
      </c>
      <c r="D4586" t="inlineStr">
        <is>
          <t>VÄSTMANLANDS LÄN</t>
        </is>
      </c>
      <c r="E4586" t="inlineStr">
        <is>
          <t>SKINNSKATTEBERG</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43804-2024</t>
        </is>
      </c>
      <c r="B4587" s="1" t="n">
        <v>45571</v>
      </c>
      <c r="C4587" s="1" t="n">
        <v>45757</v>
      </c>
      <c r="D4587" t="inlineStr">
        <is>
          <t>VÄSTMANLANDS LÄN</t>
        </is>
      </c>
      <c r="E4587" t="inlineStr">
        <is>
          <t>SKINNSKATTEBERG</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44361-2024</t>
        </is>
      </c>
      <c r="B4588" s="1" t="n">
        <v>45573</v>
      </c>
      <c r="C4588" s="1" t="n">
        <v>45757</v>
      </c>
      <c r="D4588" t="inlineStr">
        <is>
          <t>VÄSTMANLANDS LÄN</t>
        </is>
      </c>
      <c r="E4588" t="inlineStr">
        <is>
          <t>KÖPING</t>
        </is>
      </c>
      <c r="F4588" t="inlineStr">
        <is>
          <t>Sveaskog</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44357-2024</t>
        </is>
      </c>
      <c r="B4589" s="1" t="n">
        <v>45573</v>
      </c>
      <c r="C4589" s="1" t="n">
        <v>45757</v>
      </c>
      <c r="D4589" t="inlineStr">
        <is>
          <t>VÄSTMANLANDS LÄN</t>
        </is>
      </c>
      <c r="E4589" t="inlineStr">
        <is>
          <t>SURAHAMMAR</t>
        </is>
      </c>
      <c r="F4589" t="inlineStr">
        <is>
          <t>Sveaskog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44358-2024</t>
        </is>
      </c>
      <c r="B4590" s="1" t="n">
        <v>45573</v>
      </c>
      <c r="C4590" s="1" t="n">
        <v>45757</v>
      </c>
      <c r="D4590" t="inlineStr">
        <is>
          <t>VÄSTMANLANDS LÄN</t>
        </is>
      </c>
      <c r="E4590" t="inlineStr">
        <is>
          <t>SURAHAMMAR</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44353-2024</t>
        </is>
      </c>
      <c r="B4591" s="1" t="n">
        <v>45573</v>
      </c>
      <c r="C4591" s="1" t="n">
        <v>45757</v>
      </c>
      <c r="D4591" t="inlineStr">
        <is>
          <t>VÄSTMANLANDS LÄN</t>
        </is>
      </c>
      <c r="E4591" t="inlineStr">
        <is>
          <t>SURAHAMMAR</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44420-2024</t>
        </is>
      </c>
      <c r="B4592" s="1" t="n">
        <v>45573</v>
      </c>
      <c r="C4592" s="1" t="n">
        <v>45757</v>
      </c>
      <c r="D4592" t="inlineStr">
        <is>
          <t>VÄSTMANLANDS LÄN</t>
        </is>
      </c>
      <c r="E4592" t="inlineStr">
        <is>
          <t>FAGERSTA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44359-2024</t>
        </is>
      </c>
      <c r="B4593" s="1" t="n">
        <v>45573</v>
      </c>
      <c r="C4593" s="1" t="n">
        <v>45757</v>
      </c>
      <c r="D4593" t="inlineStr">
        <is>
          <t>VÄSTMANLANDS LÄN</t>
        </is>
      </c>
      <c r="E4593" t="inlineStr">
        <is>
          <t>SURAHAMMAR</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44689-2024</t>
        </is>
      </c>
      <c r="B4594" s="1" t="n">
        <v>45574</v>
      </c>
      <c r="C4594" s="1" t="n">
        <v>45757</v>
      </c>
      <c r="D4594" t="inlineStr">
        <is>
          <t>VÄSTMANLANDS LÄN</t>
        </is>
      </c>
      <c r="E4594" t="inlineStr">
        <is>
          <t>SKINNSKATTEBERG</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44693-2024</t>
        </is>
      </c>
      <c r="B4595" s="1" t="n">
        <v>45574</v>
      </c>
      <c r="C4595" s="1" t="n">
        <v>45757</v>
      </c>
      <c r="D4595" t="inlineStr">
        <is>
          <t>VÄSTMANLANDS LÄN</t>
        </is>
      </c>
      <c r="E4595" t="inlineStr">
        <is>
          <t>SKINNSKATTEBERG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44694-2024</t>
        </is>
      </c>
      <c r="B4596" s="1" t="n">
        <v>45574</v>
      </c>
      <c r="C4596" s="1" t="n">
        <v>45757</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44698-2024</t>
        </is>
      </c>
      <c r="B4597" s="1" t="n">
        <v>45574</v>
      </c>
      <c r="C4597" s="1" t="n">
        <v>45757</v>
      </c>
      <c r="D4597" t="inlineStr">
        <is>
          <t>VÄSTMANLANDS LÄN</t>
        </is>
      </c>
      <c r="E4597" t="inlineStr">
        <is>
          <t>SKINNSKATTEBERG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44544-2024</t>
        </is>
      </c>
      <c r="B4598" s="1" t="n">
        <v>45574</v>
      </c>
      <c r="C4598" s="1" t="n">
        <v>45757</v>
      </c>
      <c r="D4598" t="inlineStr">
        <is>
          <t>VÄSTMANLANDS LÄN</t>
        </is>
      </c>
      <c r="E4598" t="inlineStr">
        <is>
          <t>SALA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44746-2024</t>
        </is>
      </c>
      <c r="B4599" s="1" t="n">
        <v>45574</v>
      </c>
      <c r="C4599" s="1" t="n">
        <v>45757</v>
      </c>
      <c r="D4599" t="inlineStr">
        <is>
          <t>VÄSTMANLANDS LÄN</t>
        </is>
      </c>
      <c r="E4599" t="inlineStr">
        <is>
          <t>SALA</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45185-2024</t>
        </is>
      </c>
      <c r="B4600" s="1" t="n">
        <v>45575</v>
      </c>
      <c r="C4600" s="1" t="n">
        <v>45757</v>
      </c>
      <c r="D4600" t="inlineStr">
        <is>
          <t>VÄSTMANLANDS LÄN</t>
        </is>
      </c>
      <c r="E4600" t="inlineStr">
        <is>
          <t>SALA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45187-2024</t>
        </is>
      </c>
      <c r="B4601" s="1" t="n">
        <v>45575</v>
      </c>
      <c r="C4601" s="1" t="n">
        <v>45757</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45214-2024</t>
        </is>
      </c>
      <c r="B4602" s="1" t="n">
        <v>45575</v>
      </c>
      <c r="C4602" s="1" t="n">
        <v>45757</v>
      </c>
      <c r="D4602" t="inlineStr">
        <is>
          <t>VÄSTMANLANDS LÄN</t>
        </is>
      </c>
      <c r="E4602" t="inlineStr">
        <is>
          <t>KÖPING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45048-2024</t>
        </is>
      </c>
      <c r="B4603" s="1" t="n">
        <v>45575</v>
      </c>
      <c r="C4603" s="1" t="n">
        <v>45757</v>
      </c>
      <c r="D4603" t="inlineStr">
        <is>
          <t>VÄSTMANLANDS LÄN</t>
        </is>
      </c>
      <c r="E4603" t="inlineStr">
        <is>
          <t>KÖPING</t>
        </is>
      </c>
      <c r="F4603" t="inlineStr">
        <is>
          <t>Sveaskog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45290-2024</t>
        </is>
      </c>
      <c r="B4604" s="1" t="n">
        <v>45576</v>
      </c>
      <c r="C4604" s="1" t="n">
        <v>45757</v>
      </c>
      <c r="D4604" t="inlineStr">
        <is>
          <t>VÄSTMANLANDS LÄN</t>
        </is>
      </c>
      <c r="E4604" t="inlineStr">
        <is>
          <t>NORBERG</t>
        </is>
      </c>
      <c r="F4604" t="inlineStr">
        <is>
          <t>Övriga Aktiebolag</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45430-2024</t>
        </is>
      </c>
      <c r="B4605" s="1" t="n">
        <v>45576</v>
      </c>
      <c r="C4605" s="1" t="n">
        <v>45757</v>
      </c>
      <c r="D4605" t="inlineStr">
        <is>
          <t>VÄSTMANLANDS LÄN</t>
        </is>
      </c>
      <c r="E4605" t="inlineStr">
        <is>
          <t>NORBERG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45313-2024</t>
        </is>
      </c>
      <c r="B4606" s="1" t="n">
        <v>45576</v>
      </c>
      <c r="C4606" s="1" t="n">
        <v>45757</v>
      </c>
      <c r="D4606" t="inlineStr">
        <is>
          <t>VÄSTMANLANDS LÄN</t>
        </is>
      </c>
      <c r="E4606" t="inlineStr">
        <is>
          <t>SALA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45289-2024</t>
        </is>
      </c>
      <c r="B4607" s="1" t="n">
        <v>45576</v>
      </c>
      <c r="C4607" s="1" t="n">
        <v>45757</v>
      </c>
      <c r="D4607" t="inlineStr">
        <is>
          <t>VÄSTMANLANDS LÄN</t>
        </is>
      </c>
      <c r="E4607" t="inlineStr">
        <is>
          <t>NORBERG</t>
        </is>
      </c>
      <c r="F4607" t="inlineStr">
        <is>
          <t>Övriga Aktiebolag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45737-2024</t>
        </is>
      </c>
      <c r="B4608" s="1" t="n">
        <v>45579</v>
      </c>
      <c r="C4608" s="1" t="n">
        <v>45757</v>
      </c>
      <c r="D4608" t="inlineStr">
        <is>
          <t>VÄSTMANLANDS LÄN</t>
        </is>
      </c>
      <c r="E4608" t="inlineStr">
        <is>
          <t>SALA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45664-2024</t>
        </is>
      </c>
      <c r="B4609" s="1" t="n">
        <v>45579</v>
      </c>
      <c r="C4609" s="1" t="n">
        <v>45757</v>
      </c>
      <c r="D4609" t="inlineStr">
        <is>
          <t>VÄSTMANLANDS LÄN</t>
        </is>
      </c>
      <c r="E4609" t="inlineStr">
        <is>
          <t>KÖPING</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45621-2024</t>
        </is>
      </c>
      <c r="B4610" s="1" t="n">
        <v>45579</v>
      </c>
      <c r="C4610" s="1" t="n">
        <v>45757</v>
      </c>
      <c r="D4610" t="inlineStr">
        <is>
          <t>VÄSTMANLANDS LÄN</t>
        </is>
      </c>
      <c r="E4610" t="inlineStr">
        <is>
          <t>HALLSTAHAMMAR</t>
        </is>
      </c>
      <c r="G4610" t="n">
        <v>9</v>
      </c>
      <c r="H4610" t="n">
        <v>0</v>
      </c>
      <c r="I4610" t="n">
        <v>0</v>
      </c>
      <c r="J4610" t="n">
        <v>0</v>
      </c>
      <c r="K4610" t="n">
        <v>0</v>
      </c>
      <c r="L4610" t="n">
        <v>0</v>
      </c>
      <c r="M4610" t="n">
        <v>0</v>
      </c>
      <c r="N4610" t="n">
        <v>0</v>
      </c>
      <c r="O4610" t="n">
        <v>0</v>
      </c>
      <c r="P4610" t="n">
        <v>0</v>
      </c>
      <c r="Q4610" t="n">
        <v>0</v>
      </c>
      <c r="R4610" s="2" t="inlineStr"/>
    </row>
    <row r="4611" ht="15" customHeight="1">
      <c r="A4611" t="inlineStr">
        <is>
          <t>A 45804-2024</t>
        </is>
      </c>
      <c r="B4611" s="1" t="n">
        <v>45579</v>
      </c>
      <c r="C4611" s="1" t="n">
        <v>45757</v>
      </c>
      <c r="D4611" t="inlineStr">
        <is>
          <t>VÄSTMANLANDS LÄN</t>
        </is>
      </c>
      <c r="E4611" t="inlineStr">
        <is>
          <t>VÄSTERÅS</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45738-2024</t>
        </is>
      </c>
      <c r="B4612" s="1" t="n">
        <v>45579</v>
      </c>
      <c r="C4612" s="1" t="n">
        <v>45757</v>
      </c>
      <c r="D4612" t="inlineStr">
        <is>
          <t>VÄSTMANLANDS LÄN</t>
        </is>
      </c>
      <c r="E4612" t="inlineStr">
        <is>
          <t>SALA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45765-2024</t>
        </is>
      </c>
      <c r="B4613" s="1" t="n">
        <v>45579</v>
      </c>
      <c r="C4613" s="1" t="n">
        <v>45757</v>
      </c>
      <c r="D4613" t="inlineStr">
        <is>
          <t>VÄSTMANLANDS LÄN</t>
        </is>
      </c>
      <c r="E4613" t="inlineStr">
        <is>
          <t>SALA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45761-2024</t>
        </is>
      </c>
      <c r="B4614" s="1" t="n">
        <v>45579</v>
      </c>
      <c r="C4614" s="1" t="n">
        <v>45757</v>
      </c>
      <c r="D4614" t="inlineStr">
        <is>
          <t>VÄSTMANLANDS LÄN</t>
        </is>
      </c>
      <c r="E4614" t="inlineStr">
        <is>
          <t>SALA</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45684-2024</t>
        </is>
      </c>
      <c r="B4615" s="1" t="n">
        <v>45579</v>
      </c>
      <c r="C4615" s="1" t="n">
        <v>45757</v>
      </c>
      <c r="D4615" t="inlineStr">
        <is>
          <t>VÄSTMANLANDS LÄN</t>
        </is>
      </c>
      <c r="E4615" t="inlineStr">
        <is>
          <t>KÖPING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45931-2024</t>
        </is>
      </c>
      <c r="B4616" s="1" t="n">
        <v>45580</v>
      </c>
      <c r="C4616" s="1" t="n">
        <v>45757</v>
      </c>
      <c r="D4616" t="inlineStr">
        <is>
          <t>VÄSTMANLANDS LÄN</t>
        </is>
      </c>
      <c r="E4616" t="inlineStr">
        <is>
          <t>SALA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46077-2024</t>
        </is>
      </c>
      <c r="B4617" s="1" t="n">
        <v>45581</v>
      </c>
      <c r="C4617" s="1" t="n">
        <v>45757</v>
      </c>
      <c r="D4617" t="inlineStr">
        <is>
          <t>VÄSTMANLANDS LÄN</t>
        </is>
      </c>
      <c r="E4617" t="inlineStr">
        <is>
          <t>NORBERG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46655-2024</t>
        </is>
      </c>
      <c r="B4618" s="1" t="n">
        <v>45583</v>
      </c>
      <c r="C4618" s="1" t="n">
        <v>45757</v>
      </c>
      <c r="D4618" t="inlineStr">
        <is>
          <t>VÄSTMANLANDS LÄN</t>
        </is>
      </c>
      <c r="E4618" t="inlineStr">
        <is>
          <t>KÖPING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46659-2024</t>
        </is>
      </c>
      <c r="B4619" s="1" t="n">
        <v>45583</v>
      </c>
      <c r="C4619" s="1" t="n">
        <v>45757</v>
      </c>
      <c r="D4619" t="inlineStr">
        <is>
          <t>VÄSTMANLANDS LÄN</t>
        </is>
      </c>
      <c r="E4619" t="inlineStr">
        <is>
          <t>KÖPING</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46688-2024</t>
        </is>
      </c>
      <c r="B4620" s="1" t="n">
        <v>45583</v>
      </c>
      <c r="C4620" s="1" t="n">
        <v>45757</v>
      </c>
      <c r="D4620" t="inlineStr">
        <is>
          <t>VÄSTMANLANDS LÄN</t>
        </is>
      </c>
      <c r="E4620" t="inlineStr">
        <is>
          <t>NORBERG</t>
        </is>
      </c>
      <c r="F4620" t="inlineStr">
        <is>
          <t>Sveaskog</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46874-2024</t>
        </is>
      </c>
      <c r="B4621" s="1" t="n">
        <v>45583</v>
      </c>
      <c r="C4621" s="1" t="n">
        <v>45757</v>
      </c>
      <c r="D4621" t="inlineStr">
        <is>
          <t>VÄSTMANLANDS LÄN</t>
        </is>
      </c>
      <c r="E4621" t="inlineStr">
        <is>
          <t>SKINNSKATTEBERG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46870-2024</t>
        </is>
      </c>
      <c r="B4622" s="1" t="n">
        <v>45583</v>
      </c>
      <c r="C4622" s="1" t="n">
        <v>45757</v>
      </c>
      <c r="D4622" t="inlineStr">
        <is>
          <t>VÄSTMANLANDS LÄN</t>
        </is>
      </c>
      <c r="E4622" t="inlineStr">
        <is>
          <t>SKINNSKATTEBERG</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46683-2024</t>
        </is>
      </c>
      <c r="B4623" s="1" t="n">
        <v>45583</v>
      </c>
      <c r="C4623" s="1" t="n">
        <v>45757</v>
      </c>
      <c r="D4623" t="inlineStr">
        <is>
          <t>VÄSTMANLANDS LÄN</t>
        </is>
      </c>
      <c r="E4623" t="inlineStr">
        <is>
          <t>NORBERG</t>
        </is>
      </c>
      <c r="F4623" t="inlineStr">
        <is>
          <t>Sveaskog</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46665-2024</t>
        </is>
      </c>
      <c r="B4624" s="1" t="n">
        <v>45583</v>
      </c>
      <c r="C4624" s="1" t="n">
        <v>45757</v>
      </c>
      <c r="D4624" t="inlineStr">
        <is>
          <t>VÄSTMANLANDS LÄN</t>
        </is>
      </c>
      <c r="E4624" t="inlineStr">
        <is>
          <t>KÖPING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46875-2024</t>
        </is>
      </c>
      <c r="B4625" s="1" t="n">
        <v>45583</v>
      </c>
      <c r="C4625" s="1" t="n">
        <v>45757</v>
      </c>
      <c r="D4625" t="inlineStr">
        <is>
          <t>VÄSTMANLANDS LÄN</t>
        </is>
      </c>
      <c r="E4625" t="inlineStr">
        <is>
          <t>SKINNSKATTEBERG</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46861-2024</t>
        </is>
      </c>
      <c r="B4626" s="1" t="n">
        <v>45583</v>
      </c>
      <c r="C4626" s="1" t="n">
        <v>45757</v>
      </c>
      <c r="D4626" t="inlineStr">
        <is>
          <t>VÄSTMANLANDS LÄN</t>
        </is>
      </c>
      <c r="E4626" t="inlineStr">
        <is>
          <t>SALA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46877-2024</t>
        </is>
      </c>
      <c r="B4627" s="1" t="n">
        <v>45583</v>
      </c>
      <c r="C4627" s="1" t="n">
        <v>45757</v>
      </c>
      <c r="D4627" t="inlineStr">
        <is>
          <t>VÄSTMANLANDS LÄN</t>
        </is>
      </c>
      <c r="E4627" t="inlineStr">
        <is>
          <t>SKINNSKATTEBERG</t>
        </is>
      </c>
      <c r="F4627" t="inlineStr">
        <is>
          <t>Sveaskog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46686-2024</t>
        </is>
      </c>
      <c r="B4628" s="1" t="n">
        <v>45583</v>
      </c>
      <c r="C4628" s="1" t="n">
        <v>45757</v>
      </c>
      <c r="D4628" t="inlineStr">
        <is>
          <t>VÄSTMANLANDS LÄN</t>
        </is>
      </c>
      <c r="E4628" t="inlineStr">
        <is>
          <t>NORBERG</t>
        </is>
      </c>
      <c r="F4628" t="inlineStr">
        <is>
          <t>Sveaskog</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46682-2024</t>
        </is>
      </c>
      <c r="B4629" s="1" t="n">
        <v>45583</v>
      </c>
      <c r="C4629" s="1" t="n">
        <v>45757</v>
      </c>
      <c r="D4629" t="inlineStr">
        <is>
          <t>VÄSTMANLANDS LÄN</t>
        </is>
      </c>
      <c r="E4629" t="inlineStr">
        <is>
          <t>SALA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46650-2024</t>
        </is>
      </c>
      <c r="B4630" s="1" t="n">
        <v>45583</v>
      </c>
      <c r="C4630" s="1" t="n">
        <v>45757</v>
      </c>
      <c r="D4630" t="inlineStr">
        <is>
          <t>VÄSTMANLANDS LÄN</t>
        </is>
      </c>
      <c r="E4630" t="inlineStr">
        <is>
          <t>KÖPING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47254-2024</t>
        </is>
      </c>
      <c r="B4631" s="1" t="n">
        <v>45586</v>
      </c>
      <c r="C4631" s="1" t="n">
        <v>45757</v>
      </c>
      <c r="D4631" t="inlineStr">
        <is>
          <t>VÄSTMANLANDS LÄN</t>
        </is>
      </c>
      <c r="E4631" t="inlineStr">
        <is>
          <t>SKINNSKATTEBERG</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47061-2024</t>
        </is>
      </c>
      <c r="B4632" s="1" t="n">
        <v>45586</v>
      </c>
      <c r="C4632" s="1" t="n">
        <v>45757</v>
      </c>
      <c r="D4632" t="inlineStr">
        <is>
          <t>VÄSTMANLANDS LÄN</t>
        </is>
      </c>
      <c r="E4632" t="inlineStr">
        <is>
          <t>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47142-2024</t>
        </is>
      </c>
      <c r="B4633" s="1" t="n">
        <v>45586</v>
      </c>
      <c r="C4633" s="1" t="n">
        <v>45757</v>
      </c>
      <c r="D4633" t="inlineStr">
        <is>
          <t>VÄSTMANLANDS LÄN</t>
        </is>
      </c>
      <c r="E4633" t="inlineStr">
        <is>
          <t>NORBERG</t>
        </is>
      </c>
      <c r="F4633" t="inlineStr">
        <is>
          <t>Sveaskog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47253-2024</t>
        </is>
      </c>
      <c r="B4634" s="1" t="n">
        <v>45586</v>
      </c>
      <c r="C4634" s="1" t="n">
        <v>45757</v>
      </c>
      <c r="D4634" t="inlineStr">
        <is>
          <t>VÄSTMANLANDS LÄN</t>
        </is>
      </c>
      <c r="E4634" t="inlineStr">
        <is>
          <t>SKINNSKATTEBERG</t>
        </is>
      </c>
      <c r="F4634" t="inlineStr">
        <is>
          <t>Sveaskog</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47123-2024</t>
        </is>
      </c>
      <c r="B4635" s="1" t="n">
        <v>45586</v>
      </c>
      <c r="C4635" s="1" t="n">
        <v>45757</v>
      </c>
      <c r="D4635" t="inlineStr">
        <is>
          <t>VÄSTMANLANDS LÄN</t>
        </is>
      </c>
      <c r="E4635" t="inlineStr">
        <is>
          <t>KUNGSÖR</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47029-2024</t>
        </is>
      </c>
      <c r="B4636" s="1" t="n">
        <v>45586</v>
      </c>
      <c r="C4636" s="1" t="n">
        <v>45757</v>
      </c>
      <c r="D4636" t="inlineStr">
        <is>
          <t>VÄSTMANLANDS LÄN</t>
        </is>
      </c>
      <c r="E4636" t="inlineStr">
        <is>
          <t>NORBERG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47038-2024</t>
        </is>
      </c>
      <c r="B4637" s="1" t="n">
        <v>45586</v>
      </c>
      <c r="C4637" s="1" t="n">
        <v>45757</v>
      </c>
      <c r="D4637" t="inlineStr">
        <is>
          <t>VÄSTMANLANDS LÄN</t>
        </is>
      </c>
      <c r="E4637" t="inlineStr">
        <is>
          <t>SALA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47133-2024</t>
        </is>
      </c>
      <c r="B4638" s="1" t="n">
        <v>45586</v>
      </c>
      <c r="C4638" s="1" t="n">
        <v>45757</v>
      </c>
      <c r="D4638" t="inlineStr">
        <is>
          <t>VÄSTMANLANDS LÄN</t>
        </is>
      </c>
      <c r="E4638" t="inlineStr">
        <is>
          <t>SKINNSKATTEBERG</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47137-2024</t>
        </is>
      </c>
      <c r="B4639" s="1" t="n">
        <v>45586</v>
      </c>
      <c r="C4639" s="1" t="n">
        <v>45757</v>
      </c>
      <c r="D4639" t="inlineStr">
        <is>
          <t>VÄSTMANLANDS LÄN</t>
        </is>
      </c>
      <c r="E4639" t="inlineStr">
        <is>
          <t>SKINNSKATTEBERG</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47141-2024</t>
        </is>
      </c>
      <c r="B4640" s="1" t="n">
        <v>45586</v>
      </c>
      <c r="C4640" s="1" t="n">
        <v>45757</v>
      </c>
      <c r="D4640" t="inlineStr">
        <is>
          <t>VÄSTMANLANDS LÄN</t>
        </is>
      </c>
      <c r="E4640" t="inlineStr">
        <is>
          <t>SKINNSKATTEBERG</t>
        </is>
      </c>
      <c r="F4640" t="inlineStr">
        <is>
          <t>Sveaskog</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47546-2024</t>
        </is>
      </c>
      <c r="B4641" s="1" t="n">
        <v>45587</v>
      </c>
      <c r="C4641" s="1" t="n">
        <v>45757</v>
      </c>
      <c r="D4641" t="inlineStr">
        <is>
          <t>VÄSTMANLANDS LÄN</t>
        </is>
      </c>
      <c r="E4641" t="inlineStr">
        <is>
          <t>KUNGSÖR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47479-2024</t>
        </is>
      </c>
      <c r="B4642" s="1" t="n">
        <v>45587</v>
      </c>
      <c r="C4642" s="1" t="n">
        <v>45757</v>
      </c>
      <c r="D4642" t="inlineStr">
        <is>
          <t>VÄSTMANLANDS LÄN</t>
        </is>
      </c>
      <c r="E4642" t="inlineStr">
        <is>
          <t>SALA</t>
        </is>
      </c>
      <c r="F4642" t="inlineStr">
        <is>
          <t>Kommuner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47474-2024</t>
        </is>
      </c>
      <c r="B4643" s="1" t="n">
        <v>45587</v>
      </c>
      <c r="C4643" s="1" t="n">
        <v>45757</v>
      </c>
      <c r="D4643" t="inlineStr">
        <is>
          <t>VÄSTMANLANDS LÄN</t>
        </is>
      </c>
      <c r="E4643" t="inlineStr">
        <is>
          <t>SALA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47294-2024</t>
        </is>
      </c>
      <c r="B4644" s="1" t="n">
        <v>45587</v>
      </c>
      <c r="C4644" s="1" t="n">
        <v>45757</v>
      </c>
      <c r="D4644" t="inlineStr">
        <is>
          <t>VÄSTMANLANDS LÄN</t>
        </is>
      </c>
      <c r="E4644" t="inlineStr">
        <is>
          <t>SALA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47468-2024</t>
        </is>
      </c>
      <c r="B4645" s="1" t="n">
        <v>45587</v>
      </c>
      <c r="C4645" s="1" t="n">
        <v>45757</v>
      </c>
      <c r="D4645" t="inlineStr">
        <is>
          <t>VÄSTMANLANDS LÄN</t>
        </is>
      </c>
      <c r="E4645" t="inlineStr">
        <is>
          <t>SALA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47447-2024</t>
        </is>
      </c>
      <c r="B4646" s="1" t="n">
        <v>45587</v>
      </c>
      <c r="C4646" s="1" t="n">
        <v>45757</v>
      </c>
      <c r="D4646" t="inlineStr">
        <is>
          <t>VÄSTMANLANDS LÄN</t>
        </is>
      </c>
      <c r="E4646" t="inlineStr">
        <is>
          <t>SURAHAMMAR</t>
        </is>
      </c>
      <c r="G4646" t="n">
        <v>13.9</v>
      </c>
      <c r="H4646" t="n">
        <v>0</v>
      </c>
      <c r="I4646" t="n">
        <v>0</v>
      </c>
      <c r="J4646" t="n">
        <v>0</v>
      </c>
      <c r="K4646" t="n">
        <v>0</v>
      </c>
      <c r="L4646" t="n">
        <v>0</v>
      </c>
      <c r="M4646" t="n">
        <v>0</v>
      </c>
      <c r="N4646" t="n">
        <v>0</v>
      </c>
      <c r="O4646" t="n">
        <v>0</v>
      </c>
      <c r="P4646" t="n">
        <v>0</v>
      </c>
      <c r="Q4646" t="n">
        <v>0</v>
      </c>
      <c r="R4646" s="2" t="inlineStr"/>
    </row>
    <row r="4647" ht="15" customHeight="1">
      <c r="A4647" t="inlineStr">
        <is>
          <t>A 47351-2024</t>
        </is>
      </c>
      <c r="B4647" s="1" t="n">
        <v>45587</v>
      </c>
      <c r="C4647" s="1" t="n">
        <v>45757</v>
      </c>
      <c r="D4647" t="inlineStr">
        <is>
          <t>VÄSTMANLANDS LÄN</t>
        </is>
      </c>
      <c r="E4647" t="inlineStr">
        <is>
          <t>SALA</t>
        </is>
      </c>
      <c r="G4647" t="n">
        <v>9.699999999999999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47562-2024</t>
        </is>
      </c>
      <c r="B4648" s="1" t="n">
        <v>45587</v>
      </c>
      <c r="C4648" s="1" t="n">
        <v>45757</v>
      </c>
      <c r="D4648" t="inlineStr">
        <is>
          <t>VÄSTMANLANDS LÄN</t>
        </is>
      </c>
      <c r="E4648" t="inlineStr">
        <is>
          <t>NORBERG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47753-2024</t>
        </is>
      </c>
      <c r="B4649" s="1" t="n">
        <v>45588</v>
      </c>
      <c r="C4649" s="1" t="n">
        <v>45757</v>
      </c>
      <c r="D4649" t="inlineStr">
        <is>
          <t>VÄSTMANLANDS LÄN</t>
        </is>
      </c>
      <c r="E4649" t="inlineStr">
        <is>
          <t>NORBERG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47648-2024</t>
        </is>
      </c>
      <c r="B4650" s="1" t="n">
        <v>45588</v>
      </c>
      <c r="C4650" s="1" t="n">
        <v>45757</v>
      </c>
      <c r="D4650" t="inlineStr">
        <is>
          <t>VÄSTMANLANDS LÄN</t>
        </is>
      </c>
      <c r="E4650" t="inlineStr">
        <is>
          <t>ARBOGA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47830-2024</t>
        </is>
      </c>
      <c r="B4651" s="1" t="n">
        <v>45588</v>
      </c>
      <c r="C4651" s="1" t="n">
        <v>45757</v>
      </c>
      <c r="D4651" t="inlineStr">
        <is>
          <t>VÄSTMANLANDS LÄN</t>
        </is>
      </c>
      <c r="E4651" t="inlineStr">
        <is>
          <t>SKINNSKATTEBERG</t>
        </is>
      </c>
      <c r="F4651" t="inlineStr">
        <is>
          <t>Sveaskog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47833-2024</t>
        </is>
      </c>
      <c r="B4652" s="1" t="n">
        <v>45588</v>
      </c>
      <c r="C4652" s="1" t="n">
        <v>45757</v>
      </c>
      <c r="D4652" t="inlineStr">
        <is>
          <t>VÄSTMANLANDS LÄN</t>
        </is>
      </c>
      <c r="E4652" t="inlineStr">
        <is>
          <t>SKINNSKATTEBERG</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47846-2024</t>
        </is>
      </c>
      <c r="B4653" s="1" t="n">
        <v>45588</v>
      </c>
      <c r="C4653" s="1" t="n">
        <v>45757</v>
      </c>
      <c r="D4653" t="inlineStr">
        <is>
          <t>VÄSTMANLANDS LÄN</t>
        </is>
      </c>
      <c r="E4653" t="inlineStr">
        <is>
          <t>NORBERG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47831-2024</t>
        </is>
      </c>
      <c r="B4654" s="1" t="n">
        <v>45588</v>
      </c>
      <c r="C4654" s="1" t="n">
        <v>45757</v>
      </c>
      <c r="D4654" t="inlineStr">
        <is>
          <t>VÄSTMANLANDS LÄN</t>
        </is>
      </c>
      <c r="E4654" t="inlineStr">
        <is>
          <t>SKINNSKATTEBERG</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48114-2024</t>
        </is>
      </c>
      <c r="B4655" s="1" t="n">
        <v>45589</v>
      </c>
      <c r="C4655" s="1" t="n">
        <v>45757</v>
      </c>
      <c r="D4655" t="inlineStr">
        <is>
          <t>VÄSTMANLANDS LÄN</t>
        </is>
      </c>
      <c r="E4655" t="inlineStr">
        <is>
          <t>SALA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48117-2024</t>
        </is>
      </c>
      <c r="B4656" s="1" t="n">
        <v>45589</v>
      </c>
      <c r="C4656" s="1" t="n">
        <v>45757</v>
      </c>
      <c r="D4656" t="inlineStr">
        <is>
          <t>VÄSTMANLANDS LÄN</t>
        </is>
      </c>
      <c r="E4656" t="inlineStr">
        <is>
          <t>SALA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48075-2024</t>
        </is>
      </c>
      <c r="B4657" s="1" t="n">
        <v>45589</v>
      </c>
      <c r="C4657" s="1" t="n">
        <v>45757</v>
      </c>
      <c r="D4657" t="inlineStr">
        <is>
          <t>VÄSTMANLANDS LÄN</t>
        </is>
      </c>
      <c r="E4657" t="inlineStr">
        <is>
          <t>NORBERG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48104-2024</t>
        </is>
      </c>
      <c r="B4658" s="1" t="n">
        <v>45589</v>
      </c>
      <c r="C4658" s="1" t="n">
        <v>45757</v>
      </c>
      <c r="D4658" t="inlineStr">
        <is>
          <t>VÄSTMANLANDS LÄN</t>
        </is>
      </c>
      <c r="E4658" t="inlineStr">
        <is>
          <t>SALA</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48124-2024</t>
        </is>
      </c>
      <c r="B4659" s="1" t="n">
        <v>45589</v>
      </c>
      <c r="C4659" s="1" t="n">
        <v>45757</v>
      </c>
      <c r="D4659" t="inlineStr">
        <is>
          <t>VÄSTMANLANDS LÄN</t>
        </is>
      </c>
      <c r="E4659" t="inlineStr">
        <is>
          <t>SALA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48569-2024</t>
        </is>
      </c>
      <c r="B4660" s="1" t="n">
        <v>45591</v>
      </c>
      <c r="C4660" s="1" t="n">
        <v>45757</v>
      </c>
      <c r="D4660" t="inlineStr">
        <is>
          <t>VÄSTMANLANDS LÄN</t>
        </is>
      </c>
      <c r="E4660" t="inlineStr">
        <is>
          <t>SALA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48570-2024</t>
        </is>
      </c>
      <c r="B4661" s="1" t="n">
        <v>45591</v>
      </c>
      <c r="C4661" s="1" t="n">
        <v>45757</v>
      </c>
      <c r="D4661" t="inlineStr">
        <is>
          <t>VÄSTMANLANDS LÄN</t>
        </is>
      </c>
      <c r="E4661" t="inlineStr">
        <is>
          <t>SALA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49512-2024</t>
        </is>
      </c>
      <c r="B4662" s="1" t="n">
        <v>45591</v>
      </c>
      <c r="C4662" s="1" t="n">
        <v>45757</v>
      </c>
      <c r="D4662" t="inlineStr">
        <is>
          <t>VÄSTMANLANDS LÄN</t>
        </is>
      </c>
      <c r="E4662" t="inlineStr">
        <is>
          <t>SALA</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48571-2024</t>
        </is>
      </c>
      <c r="B4663" s="1" t="n">
        <v>45591</v>
      </c>
      <c r="C4663" s="1" t="n">
        <v>45757</v>
      </c>
      <c r="D4663" t="inlineStr">
        <is>
          <t>VÄSTMANLANDS LÄN</t>
        </is>
      </c>
      <c r="E4663" t="inlineStr">
        <is>
          <t>SALA</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48492-2024</t>
        </is>
      </c>
      <c r="B4664" s="1" t="n">
        <v>45592</v>
      </c>
      <c r="C4664" s="1" t="n">
        <v>45757</v>
      </c>
      <c r="D4664" t="inlineStr">
        <is>
          <t>VÄSTMANLANDS LÄN</t>
        </is>
      </c>
      <c r="E4664" t="inlineStr">
        <is>
          <t>SKINNSKATTEBERG</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48688-2024</t>
        </is>
      </c>
      <c r="B4665" s="1" t="n">
        <v>45593</v>
      </c>
      <c r="C4665" s="1" t="n">
        <v>45757</v>
      </c>
      <c r="D4665" t="inlineStr">
        <is>
          <t>VÄSTMANLANDS LÄN</t>
        </is>
      </c>
      <c r="E4665" t="inlineStr">
        <is>
          <t>SALA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48813-2024</t>
        </is>
      </c>
      <c r="B4666" s="1" t="n">
        <v>45593</v>
      </c>
      <c r="C4666" s="1" t="n">
        <v>45757</v>
      </c>
      <c r="D4666" t="inlineStr">
        <is>
          <t>VÄSTMANLANDS LÄN</t>
        </is>
      </c>
      <c r="E4666" t="inlineStr">
        <is>
          <t>FAGERSTA</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48817-2024</t>
        </is>
      </c>
      <c r="B4667" s="1" t="n">
        <v>45593</v>
      </c>
      <c r="C4667" s="1" t="n">
        <v>45757</v>
      </c>
      <c r="D4667" t="inlineStr">
        <is>
          <t>VÄSTMANLANDS LÄN</t>
        </is>
      </c>
      <c r="E4667" t="inlineStr">
        <is>
          <t>KÖPING</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48816-2024</t>
        </is>
      </c>
      <c r="B4668" s="1" t="n">
        <v>45593</v>
      </c>
      <c r="C4668" s="1" t="n">
        <v>45757</v>
      </c>
      <c r="D4668" t="inlineStr">
        <is>
          <t>VÄSTMANLANDS LÄN</t>
        </is>
      </c>
      <c r="E4668" t="inlineStr">
        <is>
          <t>FAGERSTA</t>
        </is>
      </c>
      <c r="F4668" t="inlineStr">
        <is>
          <t>Sveaskog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48810-2024</t>
        </is>
      </c>
      <c r="B4669" s="1" t="n">
        <v>45593</v>
      </c>
      <c r="C4669" s="1" t="n">
        <v>45757</v>
      </c>
      <c r="D4669" t="inlineStr">
        <is>
          <t>VÄSTMANLANDS LÄN</t>
        </is>
      </c>
      <c r="E4669" t="inlineStr">
        <is>
          <t>SALA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48814-2024</t>
        </is>
      </c>
      <c r="B4670" s="1" t="n">
        <v>45593</v>
      </c>
      <c r="C4670" s="1" t="n">
        <v>45757</v>
      </c>
      <c r="D4670" t="inlineStr">
        <is>
          <t>VÄSTMANLANDS LÄN</t>
        </is>
      </c>
      <c r="E4670" t="inlineStr">
        <is>
          <t>FAGERSTA</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48710-2024</t>
        </is>
      </c>
      <c r="B4671" s="1" t="n">
        <v>45593</v>
      </c>
      <c r="C4671" s="1" t="n">
        <v>45757</v>
      </c>
      <c r="D4671" t="inlineStr">
        <is>
          <t>VÄSTMANLANDS LÄN</t>
        </is>
      </c>
      <c r="E4671" t="inlineStr">
        <is>
          <t>SALA</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48789-2024</t>
        </is>
      </c>
      <c r="B4672" s="1" t="n">
        <v>45593</v>
      </c>
      <c r="C4672" s="1" t="n">
        <v>45757</v>
      </c>
      <c r="D4672" t="inlineStr">
        <is>
          <t>VÄSTMANLANDS LÄN</t>
        </is>
      </c>
      <c r="E4672" t="inlineStr">
        <is>
          <t>SALA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48664-2024</t>
        </is>
      </c>
      <c r="B4673" s="1" t="n">
        <v>45593</v>
      </c>
      <c r="C4673" s="1" t="n">
        <v>45757</v>
      </c>
      <c r="D4673" t="inlineStr">
        <is>
          <t>VÄSTMANLANDS LÄN</t>
        </is>
      </c>
      <c r="E4673" t="inlineStr">
        <is>
          <t>ARBOGA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48853-2024</t>
        </is>
      </c>
      <c r="B4674" s="1" t="n">
        <v>45593</v>
      </c>
      <c r="C4674" s="1" t="n">
        <v>45757</v>
      </c>
      <c r="D4674" t="inlineStr">
        <is>
          <t>VÄSTMANLANDS LÄN</t>
        </is>
      </c>
      <c r="E4674" t="inlineStr">
        <is>
          <t>NORBERG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48659-2024</t>
        </is>
      </c>
      <c r="B4675" s="1" t="n">
        <v>45593</v>
      </c>
      <c r="C4675" s="1" t="n">
        <v>45757</v>
      </c>
      <c r="D4675" t="inlineStr">
        <is>
          <t>VÄSTMANLANDS LÄN</t>
        </is>
      </c>
      <c r="E4675" t="inlineStr">
        <is>
          <t>ARBOGA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49060-2024</t>
        </is>
      </c>
      <c r="B4676" s="1" t="n">
        <v>45594</v>
      </c>
      <c r="C4676" s="1" t="n">
        <v>45757</v>
      </c>
      <c r="D4676" t="inlineStr">
        <is>
          <t>VÄSTMANLANDS LÄN</t>
        </is>
      </c>
      <c r="E4676" t="inlineStr">
        <is>
          <t>SURAHAMMAR</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49132-2024</t>
        </is>
      </c>
      <c r="B4677" s="1" t="n">
        <v>45594</v>
      </c>
      <c r="C4677" s="1" t="n">
        <v>45757</v>
      </c>
      <c r="D4677" t="inlineStr">
        <is>
          <t>VÄSTMANLANDS LÄN</t>
        </is>
      </c>
      <c r="E4677" t="inlineStr">
        <is>
          <t>NORBERG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49058-2024</t>
        </is>
      </c>
      <c r="B4678" s="1" t="n">
        <v>45594</v>
      </c>
      <c r="C4678" s="1" t="n">
        <v>45757</v>
      </c>
      <c r="D4678" t="inlineStr">
        <is>
          <t>VÄSTMANLANDS LÄN</t>
        </is>
      </c>
      <c r="E4678" t="inlineStr">
        <is>
          <t>SURAHAMMAR</t>
        </is>
      </c>
      <c r="F4678" t="inlineStr">
        <is>
          <t>Sveaskog</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49234-2024</t>
        </is>
      </c>
      <c r="B4679" s="1" t="n">
        <v>45595</v>
      </c>
      <c r="C4679" s="1" t="n">
        <v>45757</v>
      </c>
      <c r="D4679" t="inlineStr">
        <is>
          <t>VÄSTMANLANDS LÄN</t>
        </is>
      </c>
      <c r="E4679" t="inlineStr">
        <is>
          <t>VÄSTERÅS</t>
        </is>
      </c>
      <c r="F4679" t="inlineStr">
        <is>
          <t>Övriga Aktiebolag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49232-2024</t>
        </is>
      </c>
      <c r="B4680" s="1" t="n">
        <v>45595</v>
      </c>
      <c r="C4680" s="1" t="n">
        <v>45757</v>
      </c>
      <c r="D4680" t="inlineStr">
        <is>
          <t>VÄSTMANLANDS LÄN</t>
        </is>
      </c>
      <c r="E4680" t="inlineStr">
        <is>
          <t>VÄSTERÅS</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49289-2024</t>
        </is>
      </c>
      <c r="B4681" s="1" t="n">
        <v>45595</v>
      </c>
      <c r="C4681" s="1" t="n">
        <v>45757</v>
      </c>
      <c r="D4681" t="inlineStr">
        <is>
          <t>VÄSTMANLANDS LÄN</t>
        </is>
      </c>
      <c r="E4681" t="inlineStr">
        <is>
          <t>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49287-2024</t>
        </is>
      </c>
      <c r="B4682" s="1" t="n">
        <v>45595</v>
      </c>
      <c r="C4682" s="1" t="n">
        <v>45757</v>
      </c>
      <c r="D4682" t="inlineStr">
        <is>
          <t>VÄSTMANLANDS LÄN</t>
        </is>
      </c>
      <c r="E4682" t="inlineStr">
        <is>
          <t>KÖPING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49316-2024</t>
        </is>
      </c>
      <c r="B4683" s="1" t="n">
        <v>45595</v>
      </c>
      <c r="C4683" s="1" t="n">
        <v>45757</v>
      </c>
      <c r="D4683" t="inlineStr">
        <is>
          <t>VÄSTMANLANDS LÄN</t>
        </is>
      </c>
      <c r="E4683" t="inlineStr">
        <is>
          <t>KÖPING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49661-2024</t>
        </is>
      </c>
      <c r="B4684" s="1" t="n">
        <v>45596</v>
      </c>
      <c r="C4684" s="1" t="n">
        <v>45757</v>
      </c>
      <c r="D4684" t="inlineStr">
        <is>
          <t>VÄSTMANLANDS LÄN</t>
        </is>
      </c>
      <c r="E4684" t="inlineStr">
        <is>
          <t>SALA</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49619-2024</t>
        </is>
      </c>
      <c r="B4685" s="1" t="n">
        <v>45596</v>
      </c>
      <c r="C4685" s="1" t="n">
        <v>45757</v>
      </c>
      <c r="D4685" t="inlineStr">
        <is>
          <t>VÄSTMANLANDS LÄN</t>
        </is>
      </c>
      <c r="E4685" t="inlineStr">
        <is>
          <t>SALA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49636-2024</t>
        </is>
      </c>
      <c r="B4686" s="1" t="n">
        <v>45596</v>
      </c>
      <c r="C4686" s="1" t="n">
        <v>45757</v>
      </c>
      <c r="D4686" t="inlineStr">
        <is>
          <t>VÄSTMANLANDS LÄN</t>
        </is>
      </c>
      <c r="E4686" t="inlineStr">
        <is>
          <t>SKINNSKATTEBERG</t>
        </is>
      </c>
      <c r="F4686" t="inlineStr">
        <is>
          <t>Sveaskog</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49745-2024</t>
        </is>
      </c>
      <c r="B4687" s="1" t="n">
        <v>45596</v>
      </c>
      <c r="C4687" s="1" t="n">
        <v>45757</v>
      </c>
      <c r="D4687" t="inlineStr">
        <is>
          <t>VÄSTMANLANDS LÄN</t>
        </is>
      </c>
      <c r="E4687" t="inlineStr">
        <is>
          <t>SALA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49744-2024</t>
        </is>
      </c>
      <c r="B4688" s="1" t="n">
        <v>45596</v>
      </c>
      <c r="C4688" s="1" t="n">
        <v>45757</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49555-2024</t>
        </is>
      </c>
      <c r="B4689" s="1" t="n">
        <v>45596</v>
      </c>
      <c r="C4689" s="1" t="n">
        <v>45757</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49854-2024</t>
        </is>
      </c>
      <c r="B4690" s="1" t="n">
        <v>45597</v>
      </c>
      <c r="C4690" s="1" t="n">
        <v>45757</v>
      </c>
      <c r="D4690" t="inlineStr">
        <is>
          <t>VÄSTMANLANDS LÄN</t>
        </is>
      </c>
      <c r="E4690" t="inlineStr">
        <is>
          <t>HALLSTAHAMMAR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49763-2024</t>
        </is>
      </c>
      <c r="B4691" s="1" t="n">
        <v>45597</v>
      </c>
      <c r="C4691" s="1" t="n">
        <v>45757</v>
      </c>
      <c r="D4691" t="inlineStr">
        <is>
          <t>VÄSTMANLANDS LÄN</t>
        </is>
      </c>
      <c r="E4691" t="inlineStr">
        <is>
          <t>NORBERG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49884-2024</t>
        </is>
      </c>
      <c r="B4692" s="1" t="n">
        <v>45597</v>
      </c>
      <c r="C4692" s="1" t="n">
        <v>45757</v>
      </c>
      <c r="D4692" t="inlineStr">
        <is>
          <t>VÄSTMANLANDS LÄN</t>
        </is>
      </c>
      <c r="E4692" t="inlineStr">
        <is>
          <t>SKINNSKATTEBERG</t>
        </is>
      </c>
      <c r="F4692" t="inlineStr">
        <is>
          <t>Sveaskog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50005-2024</t>
        </is>
      </c>
      <c r="B4693" s="1" t="n">
        <v>45598</v>
      </c>
      <c r="C4693" s="1" t="n">
        <v>45757</v>
      </c>
      <c r="D4693" t="inlineStr">
        <is>
          <t>VÄSTMANLANDS LÄN</t>
        </is>
      </c>
      <c r="E4693" t="inlineStr">
        <is>
          <t>NORBERG</t>
        </is>
      </c>
      <c r="F4693" t="inlineStr">
        <is>
          <t>Sveaskog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50004-2024</t>
        </is>
      </c>
      <c r="B4694" s="1" t="n">
        <v>45598</v>
      </c>
      <c r="C4694" s="1" t="n">
        <v>45757</v>
      </c>
      <c r="D4694" t="inlineStr">
        <is>
          <t>VÄSTMANLANDS LÄN</t>
        </is>
      </c>
      <c r="E4694" t="inlineStr">
        <is>
          <t>NORBERG</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50105-2024</t>
        </is>
      </c>
      <c r="B4695" s="1" t="n">
        <v>45600</v>
      </c>
      <c r="C4695" s="1" t="n">
        <v>45757</v>
      </c>
      <c r="D4695" t="inlineStr">
        <is>
          <t>VÄSTMANLANDS LÄN</t>
        </is>
      </c>
      <c r="E4695" t="inlineStr">
        <is>
          <t>HALLSTAHAMMAR</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50209-2024</t>
        </is>
      </c>
      <c r="B4696" s="1" t="n">
        <v>45600</v>
      </c>
      <c r="C4696" s="1" t="n">
        <v>45757</v>
      </c>
      <c r="D4696" t="inlineStr">
        <is>
          <t>VÄSTMANLANDS LÄN</t>
        </is>
      </c>
      <c r="E4696" t="inlineStr">
        <is>
          <t>FAGERSTA</t>
        </is>
      </c>
      <c r="F4696" t="inlineStr">
        <is>
          <t>Kommuner</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50333-2024</t>
        </is>
      </c>
      <c r="B4697" s="1" t="n">
        <v>45600</v>
      </c>
      <c r="C4697" s="1" t="n">
        <v>45757</v>
      </c>
      <c r="D4697" t="inlineStr">
        <is>
          <t>VÄSTMANLANDS LÄN</t>
        </is>
      </c>
      <c r="E4697" t="inlineStr">
        <is>
          <t>FAGERSTA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50230-2024</t>
        </is>
      </c>
      <c r="B4698" s="1" t="n">
        <v>45600</v>
      </c>
      <c r="C4698" s="1" t="n">
        <v>45757</v>
      </c>
      <c r="D4698" t="inlineStr">
        <is>
          <t>VÄSTMANLANDS LÄN</t>
        </is>
      </c>
      <c r="E4698" t="inlineStr">
        <is>
          <t>HALLSTAHAMMAR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50594-2024</t>
        </is>
      </c>
      <c r="B4699" s="1" t="n">
        <v>45600</v>
      </c>
      <c r="C4699" s="1" t="n">
        <v>45757</v>
      </c>
      <c r="D4699" t="inlineStr">
        <is>
          <t>VÄSTMANLANDS LÄN</t>
        </is>
      </c>
      <c r="E4699" t="inlineStr">
        <is>
          <t>SKINNSKATTEBERG</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50210-2024</t>
        </is>
      </c>
      <c r="B4700" s="1" t="n">
        <v>45600</v>
      </c>
      <c r="C4700" s="1" t="n">
        <v>45757</v>
      </c>
      <c r="D4700" t="inlineStr">
        <is>
          <t>VÄSTMANLANDS LÄN</t>
        </is>
      </c>
      <c r="E4700" t="inlineStr">
        <is>
          <t>HALLSTAHAMMAR</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50487-2024</t>
        </is>
      </c>
      <c r="B4701" s="1" t="n">
        <v>45601</v>
      </c>
      <c r="C4701" s="1" t="n">
        <v>45757</v>
      </c>
      <c r="D4701" t="inlineStr">
        <is>
          <t>VÄSTMANLANDS LÄN</t>
        </is>
      </c>
      <c r="E4701" t="inlineStr">
        <is>
          <t>KÖPING</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50652-2024</t>
        </is>
      </c>
      <c r="B4702" s="1" t="n">
        <v>45601</v>
      </c>
      <c r="C4702" s="1" t="n">
        <v>45757</v>
      </c>
      <c r="D4702" t="inlineStr">
        <is>
          <t>VÄSTMANLANDS LÄN</t>
        </is>
      </c>
      <c r="E4702" t="inlineStr">
        <is>
          <t>SALA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50409-2024</t>
        </is>
      </c>
      <c r="B4703" s="1" t="n">
        <v>45601</v>
      </c>
      <c r="C4703" s="1" t="n">
        <v>45757</v>
      </c>
      <c r="D4703" t="inlineStr">
        <is>
          <t>VÄSTMANLANDS LÄN</t>
        </is>
      </c>
      <c r="E4703" t="inlineStr">
        <is>
          <t>KÖPING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50411-2024</t>
        </is>
      </c>
      <c r="B4704" s="1" t="n">
        <v>45601</v>
      </c>
      <c r="C4704" s="1" t="n">
        <v>45757</v>
      </c>
      <c r="D4704" t="inlineStr">
        <is>
          <t>VÄSTMANLANDS LÄN</t>
        </is>
      </c>
      <c r="E4704" t="inlineStr">
        <is>
          <t>KÖPING</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51097-2024</t>
        </is>
      </c>
      <c r="B4705" s="1" t="n">
        <v>45603</v>
      </c>
      <c r="C4705" s="1" t="n">
        <v>45757</v>
      </c>
      <c r="D4705" t="inlineStr">
        <is>
          <t>VÄSTMANLANDS LÄN</t>
        </is>
      </c>
      <c r="E4705" t="inlineStr">
        <is>
          <t>SKINNSKATTEBERG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51105-2024</t>
        </is>
      </c>
      <c r="B4706" s="1" t="n">
        <v>45603</v>
      </c>
      <c r="C4706" s="1" t="n">
        <v>45757</v>
      </c>
      <c r="D4706" t="inlineStr">
        <is>
          <t>VÄSTMANLANDS LÄN</t>
        </is>
      </c>
      <c r="E4706" t="inlineStr">
        <is>
          <t>KÖPING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51190-2024</t>
        </is>
      </c>
      <c r="B4707" s="1" t="n">
        <v>45603</v>
      </c>
      <c r="C4707" s="1" t="n">
        <v>45757</v>
      </c>
      <c r="D4707" t="inlineStr">
        <is>
          <t>VÄSTMANLANDS LÄN</t>
        </is>
      </c>
      <c r="E4707" t="inlineStr">
        <is>
          <t>KÖPING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51004-2024</t>
        </is>
      </c>
      <c r="B4708" s="1" t="n">
        <v>45603</v>
      </c>
      <c r="C4708" s="1" t="n">
        <v>45757</v>
      </c>
      <c r="D4708" t="inlineStr">
        <is>
          <t>VÄSTMANLANDS LÄN</t>
        </is>
      </c>
      <c r="E4708" t="inlineStr">
        <is>
          <t>VÄSTERÅS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50991-2024</t>
        </is>
      </c>
      <c r="B4709" s="1" t="n">
        <v>45603</v>
      </c>
      <c r="C4709" s="1" t="n">
        <v>45757</v>
      </c>
      <c r="D4709" t="inlineStr">
        <is>
          <t>VÄSTMANLANDS LÄN</t>
        </is>
      </c>
      <c r="E4709" t="inlineStr">
        <is>
          <t>VÄSTERÅS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51001-2024</t>
        </is>
      </c>
      <c r="B4710" s="1" t="n">
        <v>45603</v>
      </c>
      <c r="C4710" s="1" t="n">
        <v>45757</v>
      </c>
      <c r="D4710" t="inlineStr">
        <is>
          <t>VÄSTMANLANDS LÄN</t>
        </is>
      </c>
      <c r="E4710" t="inlineStr">
        <is>
          <t>VÄSTERÅS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50996-2024</t>
        </is>
      </c>
      <c r="B4711" s="1" t="n">
        <v>45603</v>
      </c>
      <c r="C4711" s="1" t="n">
        <v>45757</v>
      </c>
      <c r="D4711" t="inlineStr">
        <is>
          <t>VÄSTMANLANDS LÄN</t>
        </is>
      </c>
      <c r="E4711" t="inlineStr">
        <is>
          <t>VÄSTERÅS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50984-2024</t>
        </is>
      </c>
      <c r="B4712" s="1" t="n">
        <v>45603</v>
      </c>
      <c r="C4712" s="1" t="n">
        <v>45757</v>
      </c>
      <c r="D4712" t="inlineStr">
        <is>
          <t>VÄSTMANLANDS LÄN</t>
        </is>
      </c>
      <c r="E4712" t="inlineStr">
        <is>
          <t>ARBOGA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50987-2024</t>
        </is>
      </c>
      <c r="B4713" s="1" t="n">
        <v>45603</v>
      </c>
      <c r="C4713" s="1" t="n">
        <v>45757</v>
      </c>
      <c r="D4713" t="inlineStr">
        <is>
          <t>VÄSTMANLANDS LÄN</t>
        </is>
      </c>
      <c r="E4713" t="inlineStr">
        <is>
          <t>VÄSTERÅS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51163-2024</t>
        </is>
      </c>
      <c r="B4714" s="1" t="n">
        <v>45603</v>
      </c>
      <c r="C4714" s="1" t="n">
        <v>45757</v>
      </c>
      <c r="D4714" t="inlineStr">
        <is>
          <t>VÄSTMANLANDS LÄN</t>
        </is>
      </c>
      <c r="E4714" t="inlineStr">
        <is>
          <t>KÖPING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50993-2024</t>
        </is>
      </c>
      <c r="B4715" s="1" t="n">
        <v>45603</v>
      </c>
      <c r="C4715" s="1" t="n">
        <v>45757</v>
      </c>
      <c r="D4715" t="inlineStr">
        <is>
          <t>VÄSTMANLANDS LÄN</t>
        </is>
      </c>
      <c r="E4715" t="inlineStr">
        <is>
          <t>VÄSTERÅS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51156-2024</t>
        </is>
      </c>
      <c r="B4716" s="1" t="n">
        <v>45603</v>
      </c>
      <c r="C4716" s="1" t="n">
        <v>45757</v>
      </c>
      <c r="D4716" t="inlineStr">
        <is>
          <t>VÄSTMANLANDS LÄN</t>
        </is>
      </c>
      <c r="E4716" t="inlineStr">
        <is>
          <t>KÖPING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50998-2024</t>
        </is>
      </c>
      <c r="B4717" s="1" t="n">
        <v>45603</v>
      </c>
      <c r="C4717" s="1" t="n">
        <v>45757</v>
      </c>
      <c r="D4717" t="inlineStr">
        <is>
          <t>VÄSTMANLANDS LÄN</t>
        </is>
      </c>
      <c r="E4717" t="inlineStr">
        <is>
          <t>VÄSTERÅS</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51136-2024</t>
        </is>
      </c>
      <c r="B4718" s="1" t="n">
        <v>45603</v>
      </c>
      <c r="C4718" s="1" t="n">
        <v>45757</v>
      </c>
      <c r="D4718" t="inlineStr">
        <is>
          <t>VÄSTMANLANDS LÄN</t>
        </is>
      </c>
      <c r="E4718" t="inlineStr">
        <is>
          <t>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51120-2024</t>
        </is>
      </c>
      <c r="B4719" s="1" t="n">
        <v>45603</v>
      </c>
      <c r="C4719" s="1" t="n">
        <v>45757</v>
      </c>
      <c r="D4719" t="inlineStr">
        <is>
          <t>VÄSTMANLANDS LÄN</t>
        </is>
      </c>
      <c r="E4719" t="inlineStr">
        <is>
          <t>NORBERG</t>
        </is>
      </c>
      <c r="F4719" t="inlineStr">
        <is>
          <t>Sveaskog</t>
        </is>
      </c>
      <c r="G4719" t="n">
        <v>10.2</v>
      </c>
      <c r="H4719" t="n">
        <v>0</v>
      </c>
      <c r="I4719" t="n">
        <v>0</v>
      </c>
      <c r="J4719" t="n">
        <v>0</v>
      </c>
      <c r="K4719" t="n">
        <v>0</v>
      </c>
      <c r="L4719" t="n">
        <v>0</v>
      </c>
      <c r="M4719" t="n">
        <v>0</v>
      </c>
      <c r="N4719" t="n">
        <v>0</v>
      </c>
      <c r="O4719" t="n">
        <v>0</v>
      </c>
      <c r="P4719" t="n">
        <v>0</v>
      </c>
      <c r="Q4719" t="n">
        <v>0</v>
      </c>
      <c r="R4719" s="2" t="inlineStr"/>
    </row>
    <row r="4720" ht="15" customHeight="1">
      <c r="A4720" t="inlineStr">
        <is>
          <t>A 51113-2024</t>
        </is>
      </c>
      <c r="B4720" s="1" t="n">
        <v>45603</v>
      </c>
      <c r="C4720" s="1" t="n">
        <v>45757</v>
      </c>
      <c r="D4720" t="inlineStr">
        <is>
          <t>VÄSTMANLANDS LÄN</t>
        </is>
      </c>
      <c r="E4720" t="inlineStr">
        <is>
          <t>NORBERG</t>
        </is>
      </c>
      <c r="F4720" t="inlineStr">
        <is>
          <t>Sveaskog</t>
        </is>
      </c>
      <c r="G4720" t="n">
        <v>14.4</v>
      </c>
      <c r="H4720" t="n">
        <v>0</v>
      </c>
      <c r="I4720" t="n">
        <v>0</v>
      </c>
      <c r="J4720" t="n">
        <v>0</v>
      </c>
      <c r="K4720" t="n">
        <v>0</v>
      </c>
      <c r="L4720" t="n">
        <v>0</v>
      </c>
      <c r="M4720" t="n">
        <v>0</v>
      </c>
      <c r="N4720" t="n">
        <v>0</v>
      </c>
      <c r="O4720" t="n">
        <v>0</v>
      </c>
      <c r="P4720" t="n">
        <v>0</v>
      </c>
      <c r="Q4720" t="n">
        <v>0</v>
      </c>
      <c r="R4720" s="2" t="inlineStr"/>
    </row>
    <row r="4721" ht="15" customHeight="1">
      <c r="A4721" t="inlineStr">
        <is>
          <t>A 51096-2024</t>
        </is>
      </c>
      <c r="B4721" s="1" t="n">
        <v>45603</v>
      </c>
      <c r="C4721" s="1" t="n">
        <v>45757</v>
      </c>
      <c r="D4721" t="inlineStr">
        <is>
          <t>VÄSTMANLANDS LÄN</t>
        </is>
      </c>
      <c r="E4721" t="inlineStr">
        <is>
          <t>KUNGSÖR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51464-2024</t>
        </is>
      </c>
      <c r="B4722" s="1" t="n">
        <v>45604</v>
      </c>
      <c r="C4722" s="1" t="n">
        <v>45757</v>
      </c>
      <c r="D4722" t="inlineStr">
        <is>
          <t>VÄSTMANLANDS LÄN</t>
        </is>
      </c>
      <c r="E4722" t="inlineStr">
        <is>
          <t>SALA</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51472-2024</t>
        </is>
      </c>
      <c r="B4723" s="1" t="n">
        <v>45604</v>
      </c>
      <c r="C4723" s="1" t="n">
        <v>45757</v>
      </c>
      <c r="D4723" t="inlineStr">
        <is>
          <t>VÄSTMANLANDS LÄN</t>
        </is>
      </c>
      <c r="E4723" t="inlineStr">
        <is>
          <t>SKINNSKATTEBERG</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51467-2024</t>
        </is>
      </c>
      <c r="B4724" s="1" t="n">
        <v>45604</v>
      </c>
      <c r="C4724" s="1" t="n">
        <v>45757</v>
      </c>
      <c r="D4724" t="inlineStr">
        <is>
          <t>VÄSTMANLANDS LÄN</t>
        </is>
      </c>
      <c r="E4724" t="inlineStr">
        <is>
          <t>FAGERSTA</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51475-2024</t>
        </is>
      </c>
      <c r="B4725" s="1" t="n">
        <v>45604</v>
      </c>
      <c r="C4725" s="1" t="n">
        <v>45757</v>
      </c>
      <c r="D4725" t="inlineStr">
        <is>
          <t>VÄSTMANLANDS LÄN</t>
        </is>
      </c>
      <c r="E4725" t="inlineStr">
        <is>
          <t>SKINNSKATTEBERG</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51936-2024</t>
        </is>
      </c>
      <c r="B4726" s="1" t="n">
        <v>45607</v>
      </c>
      <c r="C4726" s="1" t="n">
        <v>45757</v>
      </c>
      <c r="D4726" t="inlineStr">
        <is>
          <t>VÄSTMANLANDS LÄN</t>
        </is>
      </c>
      <c r="E4726" t="inlineStr">
        <is>
          <t>VÄSTERÅS</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51951-2024</t>
        </is>
      </c>
      <c r="B4727" s="1" t="n">
        <v>45607</v>
      </c>
      <c r="C4727" s="1" t="n">
        <v>45757</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51798-2024</t>
        </is>
      </c>
      <c r="B4728" s="1" t="n">
        <v>45607</v>
      </c>
      <c r="C4728" s="1" t="n">
        <v>45757</v>
      </c>
      <c r="D4728" t="inlineStr">
        <is>
          <t>VÄSTMANLANDS LÄN</t>
        </is>
      </c>
      <c r="E4728" t="inlineStr">
        <is>
          <t>NORBERG</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51950-2024</t>
        </is>
      </c>
      <c r="B4729" s="1" t="n">
        <v>45607</v>
      </c>
      <c r="C4729" s="1" t="n">
        <v>45757</v>
      </c>
      <c r="D4729" t="inlineStr">
        <is>
          <t>VÄSTMANLANDS LÄN</t>
        </is>
      </c>
      <c r="E4729" t="inlineStr">
        <is>
          <t>VÄSTERÅS</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51954-2024</t>
        </is>
      </c>
      <c r="B4730" s="1" t="n">
        <v>45607</v>
      </c>
      <c r="C4730" s="1" t="n">
        <v>45757</v>
      </c>
      <c r="D4730" t="inlineStr">
        <is>
          <t>VÄSTMANLANDS LÄN</t>
        </is>
      </c>
      <c r="E4730" t="inlineStr">
        <is>
          <t>ARBOGA</t>
        </is>
      </c>
      <c r="F4730" t="inlineStr">
        <is>
          <t>Sveaskog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52015-2024</t>
        </is>
      </c>
      <c r="B4731" s="1" t="n">
        <v>45607</v>
      </c>
      <c r="C4731" s="1" t="n">
        <v>45757</v>
      </c>
      <c r="D4731" t="inlineStr">
        <is>
          <t>VÄSTMANLANDS LÄN</t>
        </is>
      </c>
      <c r="E4731" t="inlineStr">
        <is>
          <t>VÄSTERÅS</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51775-2024</t>
        </is>
      </c>
      <c r="B4732" s="1" t="n">
        <v>45607</v>
      </c>
      <c r="C4732" s="1" t="n">
        <v>45757</v>
      </c>
      <c r="D4732" t="inlineStr">
        <is>
          <t>VÄSTMANLANDS LÄN</t>
        </is>
      </c>
      <c r="E4732" t="inlineStr">
        <is>
          <t>SALA</t>
        </is>
      </c>
      <c r="F4732" t="inlineStr">
        <is>
          <t>Övriga Aktiebolag</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51791-2024</t>
        </is>
      </c>
      <c r="B4733" s="1" t="n">
        <v>45607</v>
      </c>
      <c r="C4733" s="1" t="n">
        <v>45757</v>
      </c>
      <c r="D4733" t="inlineStr">
        <is>
          <t>VÄSTMANLANDS LÄN</t>
        </is>
      </c>
      <c r="E4733" t="inlineStr">
        <is>
          <t>NORBERG</t>
        </is>
      </c>
      <c r="F4733" t="inlineStr">
        <is>
          <t>Övriga Aktiebolag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51937-2024</t>
        </is>
      </c>
      <c r="B4734" s="1" t="n">
        <v>45607</v>
      </c>
      <c r="C4734" s="1" t="n">
        <v>45757</v>
      </c>
      <c r="D4734" t="inlineStr">
        <is>
          <t>VÄSTMANLANDS LÄN</t>
        </is>
      </c>
      <c r="E4734" t="inlineStr">
        <is>
          <t>ARBOGA</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51969-2024</t>
        </is>
      </c>
      <c r="B4735" s="1" t="n">
        <v>45607</v>
      </c>
      <c r="C4735" s="1" t="n">
        <v>45757</v>
      </c>
      <c r="D4735" t="inlineStr">
        <is>
          <t>VÄSTMANLANDS LÄN</t>
        </is>
      </c>
      <c r="E4735" t="inlineStr">
        <is>
          <t>FAGERSTA</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51790-2024</t>
        </is>
      </c>
      <c r="B4736" s="1" t="n">
        <v>45607</v>
      </c>
      <c r="C4736" s="1" t="n">
        <v>45757</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51793-2024</t>
        </is>
      </c>
      <c r="B4737" s="1" t="n">
        <v>45607</v>
      </c>
      <c r="C4737" s="1" t="n">
        <v>45757</v>
      </c>
      <c r="D4737" t="inlineStr">
        <is>
          <t>VÄSTMANLANDS LÄN</t>
        </is>
      </c>
      <c r="E4737" t="inlineStr">
        <is>
          <t>NORBERG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51778-2024</t>
        </is>
      </c>
      <c r="B4738" s="1" t="n">
        <v>45607</v>
      </c>
      <c r="C4738" s="1" t="n">
        <v>45757</v>
      </c>
      <c r="D4738" t="inlineStr">
        <is>
          <t>VÄSTMANLANDS LÄN</t>
        </is>
      </c>
      <c r="E4738" t="inlineStr">
        <is>
          <t>NORBERG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52177-2024</t>
        </is>
      </c>
      <c r="B4739" s="1" t="n">
        <v>45608</v>
      </c>
      <c r="C4739" s="1" t="n">
        <v>45757</v>
      </c>
      <c r="D4739" t="inlineStr">
        <is>
          <t>VÄSTMANLANDS LÄN</t>
        </is>
      </c>
      <c r="E4739" t="inlineStr">
        <is>
          <t>SALA</t>
        </is>
      </c>
      <c r="F4739" t="inlineStr">
        <is>
          <t>Naturvårdsverket</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52433-2024</t>
        </is>
      </c>
      <c r="B4740" s="1" t="n">
        <v>45608</v>
      </c>
      <c r="C4740" s="1" t="n">
        <v>45757</v>
      </c>
      <c r="D4740" t="inlineStr">
        <is>
          <t>VÄSTMANLANDS LÄN</t>
        </is>
      </c>
      <c r="E4740" t="inlineStr">
        <is>
          <t>ARBOGA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52080-2024</t>
        </is>
      </c>
      <c r="B4741" s="1" t="n">
        <v>45608</v>
      </c>
      <c r="C4741" s="1" t="n">
        <v>45757</v>
      </c>
      <c r="D4741" t="inlineStr">
        <is>
          <t>VÄSTMANLANDS LÄN</t>
        </is>
      </c>
      <c r="E4741" t="inlineStr">
        <is>
          <t>NORBERG</t>
        </is>
      </c>
      <c r="F4741" t="inlineStr">
        <is>
          <t>Övriga Aktiebolag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52184-2024</t>
        </is>
      </c>
      <c r="B4742" s="1" t="n">
        <v>45608</v>
      </c>
      <c r="C4742" s="1" t="n">
        <v>45757</v>
      </c>
      <c r="D4742" t="inlineStr">
        <is>
          <t>VÄSTMANLANDS LÄN</t>
        </is>
      </c>
      <c r="E4742" t="inlineStr">
        <is>
          <t>SALA</t>
        </is>
      </c>
      <c r="F4742" t="inlineStr">
        <is>
          <t>Naturvårdsverket</t>
        </is>
      </c>
      <c r="G4742" t="n">
        <v>12.4</v>
      </c>
      <c r="H4742" t="n">
        <v>0</v>
      </c>
      <c r="I4742" t="n">
        <v>0</v>
      </c>
      <c r="J4742" t="n">
        <v>0</v>
      </c>
      <c r="K4742" t="n">
        <v>0</v>
      </c>
      <c r="L4742" t="n">
        <v>0</v>
      </c>
      <c r="M4742" t="n">
        <v>0</v>
      </c>
      <c r="N4742" t="n">
        <v>0</v>
      </c>
      <c r="O4742" t="n">
        <v>0</v>
      </c>
      <c r="P4742" t="n">
        <v>0</v>
      </c>
      <c r="Q4742" t="n">
        <v>0</v>
      </c>
      <c r="R4742" s="2" t="inlineStr"/>
    </row>
    <row r="4743" ht="15" customHeight="1">
      <c r="A4743" t="inlineStr">
        <is>
          <t>A 52500-2024</t>
        </is>
      </c>
      <c r="B4743" s="1" t="n">
        <v>45609</v>
      </c>
      <c r="C4743" s="1" t="n">
        <v>45757</v>
      </c>
      <c r="D4743" t="inlineStr">
        <is>
          <t>VÄSTMANLANDS LÄN</t>
        </is>
      </c>
      <c r="E4743" t="inlineStr">
        <is>
          <t>SALA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52503-2024</t>
        </is>
      </c>
      <c r="B4744" s="1" t="n">
        <v>45609</v>
      </c>
      <c r="C4744" s="1" t="n">
        <v>45757</v>
      </c>
      <c r="D4744" t="inlineStr">
        <is>
          <t>VÄSTMANLANDS LÄN</t>
        </is>
      </c>
      <c r="E4744" t="inlineStr">
        <is>
          <t>SALA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52553-2024</t>
        </is>
      </c>
      <c r="B4745" s="1" t="n">
        <v>45609</v>
      </c>
      <c r="C4745" s="1" t="n">
        <v>45757</v>
      </c>
      <c r="D4745" t="inlineStr">
        <is>
          <t>VÄSTMANLANDS LÄN</t>
        </is>
      </c>
      <c r="E4745" t="inlineStr">
        <is>
          <t>SKINNSKATTEBERG</t>
        </is>
      </c>
      <c r="F4745" t="inlineStr">
        <is>
          <t>Sveaskog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52532-2024</t>
        </is>
      </c>
      <c r="B4746" s="1" t="n">
        <v>45609</v>
      </c>
      <c r="C4746" s="1" t="n">
        <v>45757</v>
      </c>
      <c r="D4746" t="inlineStr">
        <is>
          <t>VÄSTMANLANDS LÄN</t>
        </is>
      </c>
      <c r="E4746" t="inlineStr">
        <is>
          <t>SKINNSKATTEBERG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52337-2024</t>
        </is>
      </c>
      <c r="B4747" s="1" t="n">
        <v>45609</v>
      </c>
      <c r="C4747" s="1" t="n">
        <v>45757</v>
      </c>
      <c r="D4747" t="inlineStr">
        <is>
          <t>VÄSTMANLANDS LÄN</t>
        </is>
      </c>
      <c r="E4747" t="inlineStr">
        <is>
          <t>FAGERSTA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52556-2024</t>
        </is>
      </c>
      <c r="B4748" s="1" t="n">
        <v>45609</v>
      </c>
      <c r="C4748" s="1" t="n">
        <v>45757</v>
      </c>
      <c r="D4748" t="inlineStr">
        <is>
          <t>VÄSTMANLANDS LÄN</t>
        </is>
      </c>
      <c r="E4748" t="inlineStr">
        <is>
          <t>SKINNSKATTEBERG</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52562-2024</t>
        </is>
      </c>
      <c r="B4749" s="1" t="n">
        <v>45609</v>
      </c>
      <c r="C4749" s="1" t="n">
        <v>45757</v>
      </c>
      <c r="D4749" t="inlineStr">
        <is>
          <t>VÄSTMANLANDS LÄN</t>
        </is>
      </c>
      <c r="E4749" t="inlineStr">
        <is>
          <t>SKINNSKATTEBERG</t>
        </is>
      </c>
      <c r="F4749" t="inlineStr">
        <is>
          <t>Sveaskog</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52566-2024</t>
        </is>
      </c>
      <c r="B4750" s="1" t="n">
        <v>45609</v>
      </c>
      <c r="C4750" s="1" t="n">
        <v>45757</v>
      </c>
      <c r="D4750" t="inlineStr">
        <is>
          <t>VÄSTMANLANDS LÄN</t>
        </is>
      </c>
      <c r="E4750" t="inlineStr">
        <is>
          <t>SKINNSKATTEBERG</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52570-2024</t>
        </is>
      </c>
      <c r="B4751" s="1" t="n">
        <v>45609</v>
      </c>
      <c r="C4751" s="1" t="n">
        <v>45757</v>
      </c>
      <c r="D4751" t="inlineStr">
        <is>
          <t>VÄSTMANLANDS LÄN</t>
        </is>
      </c>
      <c r="E4751" t="inlineStr">
        <is>
          <t>SKINNSKATTEBERG</t>
        </is>
      </c>
      <c r="F4751" t="inlineStr">
        <is>
          <t>Sveaskog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52789-2024</t>
        </is>
      </c>
      <c r="B4752" s="1" t="n">
        <v>45610</v>
      </c>
      <c r="C4752" s="1" t="n">
        <v>45757</v>
      </c>
      <c r="D4752" t="inlineStr">
        <is>
          <t>VÄSTMANLANDS LÄN</t>
        </is>
      </c>
      <c r="E4752" t="inlineStr">
        <is>
          <t>KUNGSÖR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52821-2024</t>
        </is>
      </c>
      <c r="B4753" s="1" t="n">
        <v>45610</v>
      </c>
      <c r="C4753" s="1" t="n">
        <v>45757</v>
      </c>
      <c r="D4753" t="inlineStr">
        <is>
          <t>VÄSTMANLANDS LÄN</t>
        </is>
      </c>
      <c r="E4753" t="inlineStr">
        <is>
          <t>SALA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52696-2024</t>
        </is>
      </c>
      <c r="B4754" s="1" t="n">
        <v>45610</v>
      </c>
      <c r="C4754" s="1" t="n">
        <v>45757</v>
      </c>
      <c r="D4754" t="inlineStr">
        <is>
          <t>VÄSTMANLANDS LÄN</t>
        </is>
      </c>
      <c r="E4754" t="inlineStr">
        <is>
          <t>SKINNSKATTEBERG</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52799-2024</t>
        </is>
      </c>
      <c r="B4755" s="1" t="n">
        <v>45610</v>
      </c>
      <c r="C4755" s="1" t="n">
        <v>45757</v>
      </c>
      <c r="D4755" t="inlineStr">
        <is>
          <t>VÄSTMANLANDS LÄN</t>
        </is>
      </c>
      <c r="E4755" t="inlineStr">
        <is>
          <t>SALA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52827-2024</t>
        </is>
      </c>
      <c r="B4756" s="1" t="n">
        <v>45610</v>
      </c>
      <c r="C4756" s="1" t="n">
        <v>45757</v>
      </c>
      <c r="D4756" t="inlineStr">
        <is>
          <t>VÄSTMANLANDS LÄN</t>
        </is>
      </c>
      <c r="E4756" t="inlineStr">
        <is>
          <t>SALA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52842-2024</t>
        </is>
      </c>
      <c r="B4757" s="1" t="n">
        <v>45610</v>
      </c>
      <c r="C4757" s="1" t="n">
        <v>45757</v>
      </c>
      <c r="D4757" t="inlineStr">
        <is>
          <t>VÄSTMANLANDS LÄN</t>
        </is>
      </c>
      <c r="E4757" t="inlineStr">
        <is>
          <t>KUNGSÖR</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53164-2024</t>
        </is>
      </c>
      <c r="B4758" s="1" t="n">
        <v>45611</v>
      </c>
      <c r="C4758" s="1" t="n">
        <v>45757</v>
      </c>
      <c r="D4758" t="inlineStr">
        <is>
          <t>VÄSTMANLANDS LÄN</t>
        </is>
      </c>
      <c r="E4758" t="inlineStr">
        <is>
          <t>SALA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53166-2024</t>
        </is>
      </c>
      <c r="B4759" s="1" t="n">
        <v>45611</v>
      </c>
      <c r="C4759" s="1" t="n">
        <v>45757</v>
      </c>
      <c r="D4759" t="inlineStr">
        <is>
          <t>VÄSTMANLANDS LÄN</t>
        </is>
      </c>
      <c r="E4759" t="inlineStr">
        <is>
          <t>SALA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53224-2024</t>
        </is>
      </c>
      <c r="B4760" s="1" t="n">
        <v>45613</v>
      </c>
      <c r="C4760" s="1" t="n">
        <v>45757</v>
      </c>
      <c r="D4760" t="inlineStr">
        <is>
          <t>VÄSTMANLANDS LÄN</t>
        </is>
      </c>
      <c r="E4760" t="inlineStr">
        <is>
          <t>NORBERG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53225-2024</t>
        </is>
      </c>
      <c r="B4761" s="1" t="n">
        <v>45613</v>
      </c>
      <c r="C4761" s="1" t="n">
        <v>45757</v>
      </c>
      <c r="D4761" t="inlineStr">
        <is>
          <t>VÄSTMANLANDS LÄN</t>
        </is>
      </c>
      <c r="E4761" t="inlineStr">
        <is>
          <t>NORBERG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53343-2024</t>
        </is>
      </c>
      <c r="B4762" s="1" t="n">
        <v>45614</v>
      </c>
      <c r="C4762" s="1" t="n">
        <v>45757</v>
      </c>
      <c r="D4762" t="inlineStr">
        <is>
          <t>VÄSTMANLANDS LÄN</t>
        </is>
      </c>
      <c r="E4762" t="inlineStr">
        <is>
          <t>HALLSTAHAMMAR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53290-2024</t>
        </is>
      </c>
      <c r="B4763" s="1" t="n">
        <v>45614</v>
      </c>
      <c r="C4763" s="1" t="n">
        <v>45757</v>
      </c>
      <c r="D4763" t="inlineStr">
        <is>
          <t>VÄSTMANLANDS LÄN</t>
        </is>
      </c>
      <c r="E4763" t="inlineStr">
        <is>
          <t>ARBOGA</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53637-2024</t>
        </is>
      </c>
      <c r="B4764" s="1" t="n">
        <v>45614</v>
      </c>
      <c r="C4764" s="1" t="n">
        <v>45757</v>
      </c>
      <c r="D4764" t="inlineStr">
        <is>
          <t>VÄSTMANLANDS LÄN</t>
        </is>
      </c>
      <c r="E4764" t="inlineStr">
        <is>
          <t>VÄSTERÅS</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53284-2024</t>
        </is>
      </c>
      <c r="B4765" s="1" t="n">
        <v>45614</v>
      </c>
      <c r="C4765" s="1" t="n">
        <v>45757</v>
      </c>
      <c r="D4765" t="inlineStr">
        <is>
          <t>VÄSTMANLANDS LÄN</t>
        </is>
      </c>
      <c r="E4765" t="inlineStr">
        <is>
          <t>ARBOGA</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53280-2024</t>
        </is>
      </c>
      <c r="B4766" s="1" t="n">
        <v>45614</v>
      </c>
      <c r="C4766" s="1" t="n">
        <v>45757</v>
      </c>
      <c r="D4766" t="inlineStr">
        <is>
          <t>VÄSTMANLANDS LÄN</t>
        </is>
      </c>
      <c r="E4766" t="inlineStr">
        <is>
          <t>ARBOGA</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53283-2024</t>
        </is>
      </c>
      <c r="B4767" s="1" t="n">
        <v>45614</v>
      </c>
      <c r="C4767" s="1" t="n">
        <v>45757</v>
      </c>
      <c r="D4767" t="inlineStr">
        <is>
          <t>VÄSTMANLANDS LÄN</t>
        </is>
      </c>
      <c r="E4767" t="inlineStr">
        <is>
          <t>ARBOGA</t>
        </is>
      </c>
      <c r="F4767" t="inlineStr">
        <is>
          <t>Sveaskog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53812-2024</t>
        </is>
      </c>
      <c r="B4768" s="1" t="n">
        <v>45615</v>
      </c>
      <c r="C4768" s="1" t="n">
        <v>45757</v>
      </c>
      <c r="D4768" t="inlineStr">
        <is>
          <t>VÄSTMANLANDS LÄN</t>
        </is>
      </c>
      <c r="E4768" t="inlineStr">
        <is>
          <t>FAGERSTA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53655-2024</t>
        </is>
      </c>
      <c r="B4769" s="1" t="n">
        <v>45615</v>
      </c>
      <c r="C4769" s="1" t="n">
        <v>45757</v>
      </c>
      <c r="D4769" t="inlineStr">
        <is>
          <t>VÄSTMANLANDS LÄN</t>
        </is>
      </c>
      <c r="E4769" t="inlineStr">
        <is>
          <t>SKINNSKATTEBERG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53798-2024</t>
        </is>
      </c>
      <c r="B4770" s="1" t="n">
        <v>45615</v>
      </c>
      <c r="C4770" s="1" t="n">
        <v>45757</v>
      </c>
      <c r="D4770" t="inlineStr">
        <is>
          <t>VÄSTMANLANDS LÄN</t>
        </is>
      </c>
      <c r="E4770" t="inlineStr">
        <is>
          <t>FAGERSTA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53850-2024</t>
        </is>
      </c>
      <c r="B4771" s="1" t="n">
        <v>45615</v>
      </c>
      <c r="C4771" s="1" t="n">
        <v>45757</v>
      </c>
      <c r="D4771" t="inlineStr">
        <is>
          <t>VÄSTMANLANDS LÄN</t>
        </is>
      </c>
      <c r="E4771" t="inlineStr">
        <is>
          <t>SKINNSKATTEBERG</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53903-2024</t>
        </is>
      </c>
      <c r="B4772" s="1" t="n">
        <v>45615</v>
      </c>
      <c r="C4772" s="1" t="n">
        <v>45757</v>
      </c>
      <c r="D4772" t="inlineStr">
        <is>
          <t>VÄSTMANLANDS LÄN</t>
        </is>
      </c>
      <c r="E4772" t="inlineStr">
        <is>
          <t>ARBOGA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54054-2024</t>
        </is>
      </c>
      <c r="B4773" s="1" t="n">
        <v>45615</v>
      </c>
      <c r="C4773" s="1" t="n">
        <v>45757</v>
      </c>
      <c r="D4773" t="inlineStr">
        <is>
          <t>VÄSTMANLANDS LÄN</t>
        </is>
      </c>
      <c r="E4773" t="inlineStr">
        <is>
          <t>ARBOGA</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54043-2024</t>
        </is>
      </c>
      <c r="B4774" s="1" t="n">
        <v>45616</v>
      </c>
      <c r="C4774" s="1" t="n">
        <v>45757</v>
      </c>
      <c r="D4774" t="inlineStr">
        <is>
          <t>VÄSTMANLANDS LÄN</t>
        </is>
      </c>
      <c r="E4774" t="inlineStr">
        <is>
          <t>SALA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54199-2024</t>
        </is>
      </c>
      <c r="B4775" s="1" t="n">
        <v>45616</v>
      </c>
      <c r="C4775" s="1" t="n">
        <v>45757</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54329-2024</t>
        </is>
      </c>
      <c r="B4776" s="1" t="n">
        <v>45617</v>
      </c>
      <c r="C4776" s="1" t="n">
        <v>45757</v>
      </c>
      <c r="D4776" t="inlineStr">
        <is>
          <t>VÄSTMANLANDS LÄN</t>
        </is>
      </c>
      <c r="E4776" t="inlineStr">
        <is>
          <t>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54510-2024</t>
        </is>
      </c>
      <c r="B4777" s="1" t="n">
        <v>45617</v>
      </c>
      <c r="C4777" s="1" t="n">
        <v>45757</v>
      </c>
      <c r="D4777" t="inlineStr">
        <is>
          <t>VÄSTMANLANDS LÄN</t>
        </is>
      </c>
      <c r="E4777" t="inlineStr">
        <is>
          <t>SKINNSKATTEBERG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54439-2024</t>
        </is>
      </c>
      <c r="B4778" s="1" t="n">
        <v>45617</v>
      </c>
      <c r="C4778" s="1" t="n">
        <v>45757</v>
      </c>
      <c r="D4778" t="inlineStr">
        <is>
          <t>VÄSTMANLANDS LÄN</t>
        </is>
      </c>
      <c r="E4778" t="inlineStr">
        <is>
          <t>SKINNSKATTEBERG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54483-2024</t>
        </is>
      </c>
      <c r="B4779" s="1" t="n">
        <v>45617</v>
      </c>
      <c r="C4779" s="1" t="n">
        <v>45757</v>
      </c>
      <c r="D4779" t="inlineStr">
        <is>
          <t>VÄSTMANLANDS LÄN</t>
        </is>
      </c>
      <c r="E4779" t="inlineStr">
        <is>
          <t>SKINNSKATTEBERG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54534-2024</t>
        </is>
      </c>
      <c r="B4780" s="1" t="n">
        <v>45617</v>
      </c>
      <c r="C4780" s="1" t="n">
        <v>45757</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54542-2024</t>
        </is>
      </c>
      <c r="B4781" s="1" t="n">
        <v>45617</v>
      </c>
      <c r="C4781" s="1" t="n">
        <v>45757</v>
      </c>
      <c r="D4781" t="inlineStr">
        <is>
          <t>VÄSTMANLANDS LÄN</t>
        </is>
      </c>
      <c r="E4781" t="inlineStr">
        <is>
          <t>VÄSTERÅS</t>
        </is>
      </c>
      <c r="F4781" t="inlineStr">
        <is>
          <t>Sveaskog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54603-2024</t>
        </is>
      </c>
      <c r="B4782" s="1" t="n">
        <v>45617</v>
      </c>
      <c r="C4782" s="1" t="n">
        <v>45757</v>
      </c>
      <c r="D4782" t="inlineStr">
        <is>
          <t>VÄSTMANLANDS LÄN</t>
        </is>
      </c>
      <c r="E4782" t="inlineStr">
        <is>
          <t>SALA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54347-2024</t>
        </is>
      </c>
      <c r="B4783" s="1" t="n">
        <v>45617</v>
      </c>
      <c r="C4783" s="1" t="n">
        <v>45757</v>
      </c>
      <c r="D4783" t="inlineStr">
        <is>
          <t>VÄSTMANLANDS LÄN</t>
        </is>
      </c>
      <c r="E4783" t="inlineStr">
        <is>
          <t>SALA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54528-2024</t>
        </is>
      </c>
      <c r="B4784" s="1" t="n">
        <v>45617</v>
      </c>
      <c r="C4784" s="1" t="n">
        <v>45757</v>
      </c>
      <c r="D4784" t="inlineStr">
        <is>
          <t>VÄSTMANLANDS LÄN</t>
        </is>
      </c>
      <c r="E4784" t="inlineStr">
        <is>
          <t>VÄSTERÅS</t>
        </is>
      </c>
      <c r="F4784" t="inlineStr">
        <is>
          <t>Sveaskog</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54536-2024</t>
        </is>
      </c>
      <c r="B4785" s="1" t="n">
        <v>45617</v>
      </c>
      <c r="C4785" s="1" t="n">
        <v>45757</v>
      </c>
      <c r="D4785" t="inlineStr">
        <is>
          <t>VÄSTMANLANDS LÄN</t>
        </is>
      </c>
      <c r="E4785" t="inlineStr">
        <is>
          <t>VÄSTERÅS</t>
        </is>
      </c>
      <c r="F4785" t="inlineStr">
        <is>
          <t>Sveaskog</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54540-2024</t>
        </is>
      </c>
      <c r="B4786" s="1" t="n">
        <v>45617</v>
      </c>
      <c r="C4786" s="1" t="n">
        <v>45757</v>
      </c>
      <c r="D4786" t="inlineStr">
        <is>
          <t>VÄSTMANLANDS LÄN</t>
        </is>
      </c>
      <c r="E4786" t="inlineStr">
        <is>
          <t>VÄSTERÅS</t>
        </is>
      </c>
      <c r="F4786" t="inlineStr">
        <is>
          <t>Sveaskog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54576-2024</t>
        </is>
      </c>
      <c r="B4787" s="1" t="n">
        <v>45617</v>
      </c>
      <c r="C4787" s="1" t="n">
        <v>45757</v>
      </c>
      <c r="D4787" t="inlineStr">
        <is>
          <t>VÄSTMANLANDS LÄN</t>
        </is>
      </c>
      <c r="E4787" t="inlineStr">
        <is>
          <t>SKINNSKATTEBERG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54441-2024</t>
        </is>
      </c>
      <c r="B4788" s="1" t="n">
        <v>45617</v>
      </c>
      <c r="C4788" s="1" t="n">
        <v>45757</v>
      </c>
      <c r="D4788" t="inlineStr">
        <is>
          <t>VÄSTMANLANDS LÄN</t>
        </is>
      </c>
      <c r="E4788" t="inlineStr">
        <is>
          <t>SKINNSKATTEBERG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54501-2024</t>
        </is>
      </c>
      <c r="B4789" s="1" t="n">
        <v>45617</v>
      </c>
      <c r="C4789" s="1" t="n">
        <v>45757</v>
      </c>
      <c r="D4789" t="inlineStr">
        <is>
          <t>VÄSTMANLANDS LÄN</t>
        </is>
      </c>
      <c r="E4789" t="inlineStr">
        <is>
          <t>SKINNSKATTEBERG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54537-2024</t>
        </is>
      </c>
      <c r="B4790" s="1" t="n">
        <v>45617</v>
      </c>
      <c r="C4790" s="1" t="n">
        <v>45757</v>
      </c>
      <c r="D4790" t="inlineStr">
        <is>
          <t>VÄSTMANLANDS LÄN</t>
        </is>
      </c>
      <c r="E4790" t="inlineStr">
        <is>
          <t>VÄSTERÅS</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54589-2024</t>
        </is>
      </c>
      <c r="B4791" s="1" t="n">
        <v>45617</v>
      </c>
      <c r="C4791" s="1" t="n">
        <v>45757</v>
      </c>
      <c r="D4791" t="inlineStr">
        <is>
          <t>VÄSTMANLANDS LÄN</t>
        </is>
      </c>
      <c r="E4791" t="inlineStr">
        <is>
          <t>SKINNSKATTEBERG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54867-2024</t>
        </is>
      </c>
      <c r="B4792" s="1" t="n">
        <v>45618</v>
      </c>
      <c r="C4792" s="1" t="n">
        <v>45757</v>
      </c>
      <c r="D4792" t="inlineStr">
        <is>
          <t>VÄSTMANLANDS LÄN</t>
        </is>
      </c>
      <c r="E4792" t="inlineStr">
        <is>
          <t>KÖPING</t>
        </is>
      </c>
      <c r="F4792" t="inlineStr">
        <is>
          <t>Sveaskog</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54721-2024</t>
        </is>
      </c>
      <c r="B4793" s="1" t="n">
        <v>45618</v>
      </c>
      <c r="C4793" s="1" t="n">
        <v>45757</v>
      </c>
      <c r="D4793" t="inlineStr">
        <is>
          <t>VÄSTMANLANDS LÄN</t>
        </is>
      </c>
      <c r="E4793" t="inlineStr">
        <is>
          <t>NORBERG</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54774-2024</t>
        </is>
      </c>
      <c r="B4794" s="1" t="n">
        <v>45618</v>
      </c>
      <c r="C4794" s="1" t="n">
        <v>45757</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54782-2024</t>
        </is>
      </c>
      <c r="B4795" s="1" t="n">
        <v>45618</v>
      </c>
      <c r="C4795" s="1" t="n">
        <v>45757</v>
      </c>
      <c r="D4795" t="inlineStr">
        <is>
          <t>VÄSTMANLANDS LÄN</t>
        </is>
      </c>
      <c r="E4795" t="inlineStr">
        <is>
          <t>SALA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54871-2024</t>
        </is>
      </c>
      <c r="B4796" s="1" t="n">
        <v>45618</v>
      </c>
      <c r="C4796" s="1" t="n">
        <v>45757</v>
      </c>
      <c r="D4796" t="inlineStr">
        <is>
          <t>VÄSTMANLANDS LÄN</t>
        </is>
      </c>
      <c r="E4796" t="inlineStr">
        <is>
          <t>KÖPING</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54835-2024</t>
        </is>
      </c>
      <c r="B4797" s="1" t="n">
        <v>45618</v>
      </c>
      <c r="C4797" s="1" t="n">
        <v>45757</v>
      </c>
      <c r="D4797" t="inlineStr">
        <is>
          <t>VÄSTMANLANDS LÄN</t>
        </is>
      </c>
      <c r="E4797" t="inlineStr">
        <is>
          <t>SALA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55065-2024</t>
        </is>
      </c>
      <c r="B4798" s="1" t="n">
        <v>45618</v>
      </c>
      <c r="C4798" s="1" t="n">
        <v>45757</v>
      </c>
      <c r="D4798" t="inlineStr">
        <is>
          <t>VÄSTMANLANDS LÄN</t>
        </is>
      </c>
      <c r="E4798" t="inlineStr">
        <is>
          <t>SALA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54836-2024</t>
        </is>
      </c>
      <c r="B4799" s="1" t="n">
        <v>45618</v>
      </c>
      <c r="C4799" s="1" t="n">
        <v>45757</v>
      </c>
      <c r="D4799" t="inlineStr">
        <is>
          <t>VÄSTMANLANDS LÄN</t>
        </is>
      </c>
      <c r="E4799" t="inlineStr">
        <is>
          <t>SALA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55101-2024</t>
        </is>
      </c>
      <c r="B4800" s="1" t="n">
        <v>45618</v>
      </c>
      <c r="C4800" s="1" t="n">
        <v>45757</v>
      </c>
      <c r="D4800" t="inlineStr">
        <is>
          <t>VÄSTMANLANDS LÄN</t>
        </is>
      </c>
      <c r="E4800" t="inlineStr">
        <is>
          <t>SALA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54771-2024</t>
        </is>
      </c>
      <c r="B4801" s="1" t="n">
        <v>45618</v>
      </c>
      <c r="C4801" s="1" t="n">
        <v>45757</v>
      </c>
      <c r="D4801" t="inlineStr">
        <is>
          <t>VÄSTMANLANDS LÄN</t>
        </is>
      </c>
      <c r="E4801" t="inlineStr">
        <is>
          <t>SALA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55107-2024</t>
        </is>
      </c>
      <c r="B4802" s="1" t="n">
        <v>45618</v>
      </c>
      <c r="C4802" s="1" t="n">
        <v>45757</v>
      </c>
      <c r="D4802" t="inlineStr">
        <is>
          <t>VÄSTMANLANDS LÄN</t>
        </is>
      </c>
      <c r="E4802" t="inlineStr">
        <is>
          <t>SALA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54869-2024</t>
        </is>
      </c>
      <c r="B4803" s="1" t="n">
        <v>45618</v>
      </c>
      <c r="C4803" s="1" t="n">
        <v>45757</v>
      </c>
      <c r="D4803" t="inlineStr">
        <is>
          <t>VÄSTMANLANDS LÄN</t>
        </is>
      </c>
      <c r="E4803" t="inlineStr">
        <is>
          <t>KÖPING</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54768-2024</t>
        </is>
      </c>
      <c r="B4804" s="1" t="n">
        <v>45618</v>
      </c>
      <c r="C4804" s="1" t="n">
        <v>45757</v>
      </c>
      <c r="D4804" t="inlineStr">
        <is>
          <t>VÄSTMANLANDS LÄN</t>
        </is>
      </c>
      <c r="E4804" t="inlineStr">
        <is>
          <t>SALA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54870-2024</t>
        </is>
      </c>
      <c r="B4805" s="1" t="n">
        <v>45618</v>
      </c>
      <c r="C4805" s="1" t="n">
        <v>45757</v>
      </c>
      <c r="D4805" t="inlineStr">
        <is>
          <t>VÄSTMANLANDS LÄN</t>
        </is>
      </c>
      <c r="E4805" t="inlineStr">
        <is>
          <t>KÖPING</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54671-2024</t>
        </is>
      </c>
      <c r="B4806" s="1" t="n">
        <v>45618</v>
      </c>
      <c r="C4806" s="1" t="n">
        <v>45757</v>
      </c>
      <c r="D4806" t="inlineStr">
        <is>
          <t>VÄSTMANLANDS LÄN</t>
        </is>
      </c>
      <c r="E4806" t="inlineStr">
        <is>
          <t>SURAHAMMAR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54959-2024</t>
        </is>
      </c>
      <c r="B4807" s="1" t="n">
        <v>45619</v>
      </c>
      <c r="C4807" s="1" t="n">
        <v>45757</v>
      </c>
      <c r="D4807" t="inlineStr">
        <is>
          <t>VÄSTMANLANDS LÄN</t>
        </is>
      </c>
      <c r="E4807" t="inlineStr">
        <is>
          <t>SALA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54960-2024</t>
        </is>
      </c>
      <c r="B4808" s="1" t="n">
        <v>45619</v>
      </c>
      <c r="C4808" s="1" t="n">
        <v>45757</v>
      </c>
      <c r="D4808" t="inlineStr">
        <is>
          <t>VÄSTMANLANDS LÄN</t>
        </is>
      </c>
      <c r="E4808" t="inlineStr">
        <is>
          <t>SALA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55195-2024</t>
        </is>
      </c>
      <c r="B4809" s="1" t="n">
        <v>45620</v>
      </c>
      <c r="C4809" s="1" t="n">
        <v>45757</v>
      </c>
      <c r="D4809" t="inlineStr">
        <is>
          <t>VÄSTMANLANDS LÄN</t>
        </is>
      </c>
      <c r="E4809" t="inlineStr">
        <is>
          <t>KÖPING</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54998-2024</t>
        </is>
      </c>
      <c r="B4810" s="1" t="n">
        <v>45621</v>
      </c>
      <c r="C4810" s="1" t="n">
        <v>45757</v>
      </c>
      <c r="D4810" t="inlineStr">
        <is>
          <t>VÄSTMANLANDS LÄN</t>
        </is>
      </c>
      <c r="E4810" t="inlineStr">
        <is>
          <t>ARBOGA</t>
        </is>
      </c>
      <c r="F4810" t="inlineStr">
        <is>
          <t>Sveaskog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54999-2024</t>
        </is>
      </c>
      <c r="B4811" s="1" t="n">
        <v>45621</v>
      </c>
      <c r="C4811" s="1" t="n">
        <v>45757</v>
      </c>
      <c r="D4811" t="inlineStr">
        <is>
          <t>VÄSTMANLANDS LÄN</t>
        </is>
      </c>
      <c r="E4811" t="inlineStr">
        <is>
          <t>ARBOGA</t>
        </is>
      </c>
      <c r="F4811" t="inlineStr">
        <is>
          <t>Sveaskog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55004-2024</t>
        </is>
      </c>
      <c r="B4812" s="1" t="n">
        <v>45621</v>
      </c>
      <c r="C4812" s="1" t="n">
        <v>45757</v>
      </c>
      <c r="D4812" t="inlineStr">
        <is>
          <t>VÄSTMANLANDS LÄN</t>
        </is>
      </c>
      <c r="E4812" t="inlineStr">
        <is>
          <t>HALLSTAHAMMAR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55725-2024</t>
        </is>
      </c>
      <c r="B4813" s="1" t="n">
        <v>45622</v>
      </c>
      <c r="C4813" s="1" t="n">
        <v>45757</v>
      </c>
      <c r="D4813" t="inlineStr">
        <is>
          <t>VÄSTMANLANDS LÄN</t>
        </is>
      </c>
      <c r="E4813" t="inlineStr">
        <is>
          <t>SKINNSKATTEBERG</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55753-2024</t>
        </is>
      </c>
      <c r="B4814" s="1" t="n">
        <v>45623</v>
      </c>
      <c r="C4814" s="1" t="n">
        <v>45757</v>
      </c>
      <c r="D4814" t="inlineStr">
        <is>
          <t>VÄSTMANLANDS LÄN</t>
        </is>
      </c>
      <c r="E4814" t="inlineStr">
        <is>
          <t>VÄSTERÅS</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55784-2024</t>
        </is>
      </c>
      <c r="B4815" s="1" t="n">
        <v>45623</v>
      </c>
      <c r="C4815" s="1" t="n">
        <v>45757</v>
      </c>
      <c r="D4815" t="inlineStr">
        <is>
          <t>VÄSTMANLANDS LÄN</t>
        </is>
      </c>
      <c r="E4815" t="inlineStr">
        <is>
          <t>SALA</t>
        </is>
      </c>
      <c r="F4815" t="inlineStr">
        <is>
          <t>Bergvik skog öst AB</t>
        </is>
      </c>
      <c r="G4815" t="n">
        <v>28.4</v>
      </c>
      <c r="H4815" t="n">
        <v>0</v>
      </c>
      <c r="I4815" t="n">
        <v>0</v>
      </c>
      <c r="J4815" t="n">
        <v>0</v>
      </c>
      <c r="K4815" t="n">
        <v>0</v>
      </c>
      <c r="L4815" t="n">
        <v>0</v>
      </c>
      <c r="M4815" t="n">
        <v>0</v>
      </c>
      <c r="N4815" t="n">
        <v>0</v>
      </c>
      <c r="O4815" t="n">
        <v>0</v>
      </c>
      <c r="P4815" t="n">
        <v>0</v>
      </c>
      <c r="Q4815" t="n">
        <v>0</v>
      </c>
      <c r="R4815" s="2" t="inlineStr"/>
    </row>
    <row r="4816" ht="15" customHeight="1">
      <c r="A4816" t="inlineStr">
        <is>
          <t>A 55801-2024</t>
        </is>
      </c>
      <c r="B4816" s="1" t="n">
        <v>45623</v>
      </c>
      <c r="C4816" s="1" t="n">
        <v>45757</v>
      </c>
      <c r="D4816" t="inlineStr">
        <is>
          <t>VÄSTMANLANDS LÄN</t>
        </is>
      </c>
      <c r="E4816" t="inlineStr">
        <is>
          <t>VÄSTERÅS</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55887-2024</t>
        </is>
      </c>
      <c r="B4817" s="1" t="n">
        <v>45623</v>
      </c>
      <c r="C4817" s="1" t="n">
        <v>45757</v>
      </c>
      <c r="D4817" t="inlineStr">
        <is>
          <t>VÄSTMANLANDS LÄN</t>
        </is>
      </c>
      <c r="E4817" t="inlineStr">
        <is>
          <t>NORBERG</t>
        </is>
      </c>
      <c r="F4817" t="inlineStr">
        <is>
          <t>Övriga Aktiebolag</t>
        </is>
      </c>
      <c r="G4817" t="n">
        <v>19.1</v>
      </c>
      <c r="H4817" t="n">
        <v>0</v>
      </c>
      <c r="I4817" t="n">
        <v>0</v>
      </c>
      <c r="J4817" t="n">
        <v>0</v>
      </c>
      <c r="K4817" t="n">
        <v>0</v>
      </c>
      <c r="L4817" t="n">
        <v>0</v>
      </c>
      <c r="M4817" t="n">
        <v>0</v>
      </c>
      <c r="N4817" t="n">
        <v>0</v>
      </c>
      <c r="O4817" t="n">
        <v>0</v>
      </c>
      <c r="P4817" t="n">
        <v>0</v>
      </c>
      <c r="Q4817" t="n">
        <v>0</v>
      </c>
      <c r="R4817" s="2" t="inlineStr"/>
    </row>
    <row r="4818" ht="15" customHeight="1">
      <c r="A4818" t="inlineStr">
        <is>
          <t>A 55973-2024</t>
        </is>
      </c>
      <c r="B4818" s="1" t="n">
        <v>45623</v>
      </c>
      <c r="C4818" s="1" t="n">
        <v>45757</v>
      </c>
      <c r="D4818" t="inlineStr">
        <is>
          <t>VÄSTMANLANDS LÄN</t>
        </is>
      </c>
      <c r="E4818" t="inlineStr">
        <is>
          <t>VÄSTERÅS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56159-2024</t>
        </is>
      </c>
      <c r="B4819" s="1" t="n">
        <v>45623</v>
      </c>
      <c r="C4819" s="1" t="n">
        <v>45757</v>
      </c>
      <c r="D4819" t="inlineStr">
        <is>
          <t>VÄSTMANLANDS LÄN</t>
        </is>
      </c>
      <c r="E4819" t="inlineStr">
        <is>
          <t>NORBERG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56150-2024</t>
        </is>
      </c>
      <c r="B4820" s="1" t="n">
        <v>45624</v>
      </c>
      <c r="C4820" s="1" t="n">
        <v>45757</v>
      </c>
      <c r="D4820" t="inlineStr">
        <is>
          <t>VÄSTMANLANDS LÄN</t>
        </is>
      </c>
      <c r="E4820" t="inlineStr">
        <is>
          <t>SALA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56463-2024</t>
        </is>
      </c>
      <c r="B4821" s="1" t="n">
        <v>45625</v>
      </c>
      <c r="C4821" s="1" t="n">
        <v>45757</v>
      </c>
      <c r="D4821" t="inlineStr">
        <is>
          <t>VÄSTMANLANDS LÄN</t>
        </is>
      </c>
      <c r="E4821" t="inlineStr">
        <is>
          <t>ARBOGA</t>
        </is>
      </c>
      <c r="F4821" t="inlineStr">
        <is>
          <t>Kommuner</t>
        </is>
      </c>
      <c r="G4821" t="n">
        <v>12.2</v>
      </c>
      <c r="H4821" t="n">
        <v>0</v>
      </c>
      <c r="I4821" t="n">
        <v>0</v>
      </c>
      <c r="J4821" t="n">
        <v>0</v>
      </c>
      <c r="K4821" t="n">
        <v>0</v>
      </c>
      <c r="L4821" t="n">
        <v>0</v>
      </c>
      <c r="M4821" t="n">
        <v>0</v>
      </c>
      <c r="N4821" t="n">
        <v>0</v>
      </c>
      <c r="O4821" t="n">
        <v>0</v>
      </c>
      <c r="P4821" t="n">
        <v>0</v>
      </c>
      <c r="Q4821" t="n">
        <v>0</v>
      </c>
      <c r="R4821" s="2" t="inlineStr"/>
    </row>
    <row r="4822" ht="15" customHeight="1">
      <c r="A4822" t="inlineStr">
        <is>
          <t>A 56540-2024</t>
        </is>
      </c>
      <c r="B4822" s="1" t="n">
        <v>45625</v>
      </c>
      <c r="C4822" s="1" t="n">
        <v>45757</v>
      </c>
      <c r="D4822" t="inlineStr">
        <is>
          <t>VÄSTMANLANDS LÄN</t>
        </is>
      </c>
      <c r="E4822" t="inlineStr">
        <is>
          <t>SALA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56548-2024</t>
        </is>
      </c>
      <c r="B4823" s="1" t="n">
        <v>45625</v>
      </c>
      <c r="C4823" s="1" t="n">
        <v>45757</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56543-2024</t>
        </is>
      </c>
      <c r="B4824" s="1" t="n">
        <v>45625</v>
      </c>
      <c r="C4824" s="1" t="n">
        <v>45757</v>
      </c>
      <c r="D4824" t="inlineStr">
        <is>
          <t>VÄSTMANLANDS LÄN</t>
        </is>
      </c>
      <c r="E4824" t="inlineStr">
        <is>
          <t>SALA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56694-2024</t>
        </is>
      </c>
      <c r="B4825" s="1" t="n">
        <v>45627</v>
      </c>
      <c r="C4825" s="1" t="n">
        <v>45757</v>
      </c>
      <c r="D4825" t="inlineStr">
        <is>
          <t>VÄSTMANLANDS LÄN</t>
        </is>
      </c>
      <c r="E4825" t="inlineStr">
        <is>
          <t>FAGERSTA</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56698-2024</t>
        </is>
      </c>
      <c r="B4826" s="1" t="n">
        <v>45627</v>
      </c>
      <c r="C4826" s="1" t="n">
        <v>45757</v>
      </c>
      <c r="D4826" t="inlineStr">
        <is>
          <t>VÄSTMANLANDS LÄN</t>
        </is>
      </c>
      <c r="E4826" t="inlineStr">
        <is>
          <t>FAGERSTA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56688-2024</t>
        </is>
      </c>
      <c r="B4827" s="1" t="n">
        <v>45627</v>
      </c>
      <c r="C4827" s="1" t="n">
        <v>45757</v>
      </c>
      <c r="D4827" t="inlineStr">
        <is>
          <t>VÄSTMANLANDS LÄN</t>
        </is>
      </c>
      <c r="E4827" t="inlineStr">
        <is>
          <t>SALA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56696-2024</t>
        </is>
      </c>
      <c r="B4828" s="1" t="n">
        <v>45627</v>
      </c>
      <c r="C4828" s="1" t="n">
        <v>45757</v>
      </c>
      <c r="D4828" t="inlineStr">
        <is>
          <t>VÄSTMANLANDS LÄN</t>
        </is>
      </c>
      <c r="E4828" t="inlineStr">
        <is>
          <t>FAGERSTA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56704-2024</t>
        </is>
      </c>
      <c r="B4829" s="1" t="n">
        <v>45627</v>
      </c>
      <c r="C4829" s="1" t="n">
        <v>45757</v>
      </c>
      <c r="D4829" t="inlineStr">
        <is>
          <t>VÄSTMANLANDS LÄN</t>
        </is>
      </c>
      <c r="E4829" t="inlineStr">
        <is>
          <t>FAGERSTA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56687-2024</t>
        </is>
      </c>
      <c r="B4830" s="1" t="n">
        <v>45627</v>
      </c>
      <c r="C4830" s="1" t="n">
        <v>45757</v>
      </c>
      <c r="D4830" t="inlineStr">
        <is>
          <t>VÄSTMANLANDS LÄN</t>
        </is>
      </c>
      <c r="E4830" t="inlineStr">
        <is>
          <t>SALA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56699-2024</t>
        </is>
      </c>
      <c r="B4831" s="1" t="n">
        <v>45627</v>
      </c>
      <c r="C4831" s="1" t="n">
        <v>45757</v>
      </c>
      <c r="D4831" t="inlineStr">
        <is>
          <t>VÄSTMANLANDS LÄN</t>
        </is>
      </c>
      <c r="E4831" t="inlineStr">
        <is>
          <t>FAGERSTA</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56689-2024</t>
        </is>
      </c>
      <c r="B4832" s="1" t="n">
        <v>45627</v>
      </c>
      <c r="C4832" s="1" t="n">
        <v>45757</v>
      </c>
      <c r="D4832" t="inlineStr">
        <is>
          <t>VÄSTMANLANDS LÄN</t>
        </is>
      </c>
      <c r="E4832" t="inlineStr">
        <is>
          <t>SALA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56814-2024</t>
        </is>
      </c>
      <c r="B4833" s="1" t="n">
        <v>45628</v>
      </c>
      <c r="C4833" s="1" t="n">
        <v>45757</v>
      </c>
      <c r="D4833" t="inlineStr">
        <is>
          <t>VÄSTMANLANDS LÄN</t>
        </is>
      </c>
      <c r="E4833" t="inlineStr">
        <is>
          <t>SALA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56939-2024</t>
        </is>
      </c>
      <c r="B4834" s="1" t="n">
        <v>45628</v>
      </c>
      <c r="C4834" s="1" t="n">
        <v>45757</v>
      </c>
      <c r="D4834" t="inlineStr">
        <is>
          <t>VÄSTMANLANDS LÄN</t>
        </is>
      </c>
      <c r="E4834" t="inlineStr">
        <is>
          <t>VÄSTERÅS</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56945-2024</t>
        </is>
      </c>
      <c r="B4835" s="1" t="n">
        <v>45628</v>
      </c>
      <c r="C4835" s="1" t="n">
        <v>45757</v>
      </c>
      <c r="D4835" t="inlineStr">
        <is>
          <t>VÄSTMANLANDS LÄN</t>
        </is>
      </c>
      <c r="E4835" t="inlineStr">
        <is>
          <t>VÄSTERÅS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56982-2024</t>
        </is>
      </c>
      <c r="B4836" s="1" t="n">
        <v>45628</v>
      </c>
      <c r="C4836" s="1" t="n">
        <v>45757</v>
      </c>
      <c r="D4836" t="inlineStr">
        <is>
          <t>VÄSTMANLANDS LÄN</t>
        </is>
      </c>
      <c r="E4836" t="inlineStr">
        <is>
          <t>ARBOGA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56798-2024</t>
        </is>
      </c>
      <c r="B4837" s="1" t="n">
        <v>45628</v>
      </c>
      <c r="C4837" s="1" t="n">
        <v>45757</v>
      </c>
      <c r="D4837" t="inlineStr">
        <is>
          <t>VÄSTMANLANDS LÄN</t>
        </is>
      </c>
      <c r="E4837" t="inlineStr">
        <is>
          <t>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56902-2024</t>
        </is>
      </c>
      <c r="B4838" s="1" t="n">
        <v>45628</v>
      </c>
      <c r="C4838" s="1" t="n">
        <v>45757</v>
      </c>
      <c r="D4838" t="inlineStr">
        <is>
          <t>VÄSTMANLANDS LÄN</t>
        </is>
      </c>
      <c r="E4838" t="inlineStr">
        <is>
          <t>VÄSTERÅS</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56931-2024</t>
        </is>
      </c>
      <c r="B4839" s="1" t="n">
        <v>45628</v>
      </c>
      <c r="C4839" s="1" t="n">
        <v>45757</v>
      </c>
      <c r="D4839" t="inlineStr">
        <is>
          <t>VÄSTMANLANDS LÄN</t>
        </is>
      </c>
      <c r="E4839" t="inlineStr">
        <is>
          <t>SKINNSKATTEBERG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56948-2024</t>
        </is>
      </c>
      <c r="B4840" s="1" t="n">
        <v>45628</v>
      </c>
      <c r="C4840" s="1" t="n">
        <v>45757</v>
      </c>
      <c r="D4840" t="inlineStr">
        <is>
          <t>VÄSTMANLANDS LÄN</t>
        </is>
      </c>
      <c r="E4840" t="inlineStr">
        <is>
          <t>VÄSTERÅS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56977-2024</t>
        </is>
      </c>
      <c r="B4841" s="1" t="n">
        <v>45628</v>
      </c>
      <c r="C4841" s="1" t="n">
        <v>45757</v>
      </c>
      <c r="D4841" t="inlineStr">
        <is>
          <t>VÄSTMANLANDS LÄN</t>
        </is>
      </c>
      <c r="E4841" t="inlineStr">
        <is>
          <t>ARBOGA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57160-2024</t>
        </is>
      </c>
      <c r="B4842" s="1" t="n">
        <v>45629</v>
      </c>
      <c r="C4842" s="1" t="n">
        <v>45757</v>
      </c>
      <c r="D4842" t="inlineStr">
        <is>
          <t>VÄSTMANLANDS LÄN</t>
        </is>
      </c>
      <c r="E4842" t="inlineStr">
        <is>
          <t>HALLSTAHAMMAR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57044-2024</t>
        </is>
      </c>
      <c r="B4843" s="1" t="n">
        <v>45629</v>
      </c>
      <c r="C4843" s="1" t="n">
        <v>45757</v>
      </c>
      <c r="D4843" t="inlineStr">
        <is>
          <t>VÄSTMANLANDS LÄN</t>
        </is>
      </c>
      <c r="E4843" t="inlineStr">
        <is>
          <t>ARBOGA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57039-2024</t>
        </is>
      </c>
      <c r="B4844" s="1" t="n">
        <v>45629</v>
      </c>
      <c r="C4844" s="1" t="n">
        <v>45757</v>
      </c>
      <c r="D4844" t="inlineStr">
        <is>
          <t>VÄSTMANLANDS LÄN</t>
        </is>
      </c>
      <c r="E4844" t="inlineStr">
        <is>
          <t>ARBOGA</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57256-2024</t>
        </is>
      </c>
      <c r="B4845" s="1" t="n">
        <v>45629</v>
      </c>
      <c r="C4845" s="1" t="n">
        <v>45757</v>
      </c>
      <c r="D4845" t="inlineStr">
        <is>
          <t>VÄSTMANLANDS LÄN</t>
        </is>
      </c>
      <c r="E4845" t="inlineStr">
        <is>
          <t>ARBOGA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57262-2024</t>
        </is>
      </c>
      <c r="B4846" s="1" t="n">
        <v>45629</v>
      </c>
      <c r="C4846" s="1" t="n">
        <v>45757</v>
      </c>
      <c r="D4846" t="inlineStr">
        <is>
          <t>VÄSTMANLANDS LÄN</t>
        </is>
      </c>
      <c r="E4846" t="inlineStr">
        <is>
          <t>ARBOGA</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57297-2024</t>
        </is>
      </c>
      <c r="B4847" s="1" t="n">
        <v>45629</v>
      </c>
      <c r="C4847" s="1" t="n">
        <v>45757</v>
      </c>
      <c r="D4847" t="inlineStr">
        <is>
          <t>VÄSTMANLANDS LÄN</t>
        </is>
      </c>
      <c r="E4847" t="inlineStr">
        <is>
          <t>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57404-2024</t>
        </is>
      </c>
      <c r="B4848" s="1" t="n">
        <v>45629</v>
      </c>
      <c r="C4848" s="1" t="n">
        <v>45757</v>
      </c>
      <c r="D4848" t="inlineStr">
        <is>
          <t>VÄSTMANLANDS LÄN</t>
        </is>
      </c>
      <c r="E4848" t="inlineStr">
        <is>
          <t>SALA</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57496-2024</t>
        </is>
      </c>
      <c r="B4849" s="1" t="n">
        <v>45630</v>
      </c>
      <c r="C4849" s="1" t="n">
        <v>45757</v>
      </c>
      <c r="D4849" t="inlineStr">
        <is>
          <t>VÄSTMANLANDS LÄN</t>
        </is>
      </c>
      <c r="E4849" t="inlineStr">
        <is>
          <t>KÖPING</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57597-2024</t>
        </is>
      </c>
      <c r="B4850" s="1" t="n">
        <v>45630</v>
      </c>
      <c r="C4850" s="1" t="n">
        <v>45757</v>
      </c>
      <c r="D4850" t="inlineStr">
        <is>
          <t>VÄSTMANLANDS LÄN</t>
        </is>
      </c>
      <c r="E4850" t="inlineStr">
        <is>
          <t>ARBOGA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57596-2024</t>
        </is>
      </c>
      <c r="B4851" s="1" t="n">
        <v>45630</v>
      </c>
      <c r="C4851" s="1" t="n">
        <v>45757</v>
      </c>
      <c r="D4851" t="inlineStr">
        <is>
          <t>VÄSTMANLANDS LÄN</t>
        </is>
      </c>
      <c r="E4851" t="inlineStr">
        <is>
          <t>ARBOGA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57650-2024</t>
        </is>
      </c>
      <c r="B4852" s="1" t="n">
        <v>45630</v>
      </c>
      <c r="C4852" s="1" t="n">
        <v>45757</v>
      </c>
      <c r="D4852" t="inlineStr">
        <is>
          <t>VÄSTMANLANDS LÄN</t>
        </is>
      </c>
      <c r="E4852" t="inlineStr">
        <is>
          <t>SALA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57636-2024</t>
        </is>
      </c>
      <c r="B4853" s="1" t="n">
        <v>45630</v>
      </c>
      <c r="C4853" s="1" t="n">
        <v>45757</v>
      </c>
      <c r="D4853" t="inlineStr">
        <is>
          <t>VÄSTMANLANDS LÄN</t>
        </is>
      </c>
      <c r="E4853" t="inlineStr">
        <is>
          <t>VÄSTERÅS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57883-2024</t>
        </is>
      </c>
      <c r="B4854" s="1" t="n">
        <v>45630</v>
      </c>
      <c r="C4854" s="1" t="n">
        <v>45757</v>
      </c>
      <c r="D4854" t="inlineStr">
        <is>
          <t>VÄSTMANLANDS LÄN</t>
        </is>
      </c>
      <c r="E4854" t="inlineStr">
        <is>
          <t>SALA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57813-2024</t>
        </is>
      </c>
      <c r="B4855" s="1" t="n">
        <v>45631</v>
      </c>
      <c r="C4855" s="1" t="n">
        <v>45757</v>
      </c>
      <c r="D4855" t="inlineStr">
        <is>
          <t>VÄSTMANLANDS LÄN</t>
        </is>
      </c>
      <c r="E4855" t="inlineStr">
        <is>
          <t>KÖPING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57823-2024</t>
        </is>
      </c>
      <c r="B4856" s="1" t="n">
        <v>45631</v>
      </c>
      <c r="C4856" s="1" t="n">
        <v>45757</v>
      </c>
      <c r="D4856" t="inlineStr">
        <is>
          <t>VÄSTMANLANDS LÄN</t>
        </is>
      </c>
      <c r="E4856" t="inlineStr">
        <is>
          <t>KÖPING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57884-2024</t>
        </is>
      </c>
      <c r="B4857" s="1" t="n">
        <v>45631</v>
      </c>
      <c r="C4857" s="1" t="n">
        <v>45757</v>
      </c>
      <c r="D4857" t="inlineStr">
        <is>
          <t>VÄSTMANLANDS LÄN</t>
        </is>
      </c>
      <c r="E4857" t="inlineStr">
        <is>
          <t>ARBOGA</t>
        </is>
      </c>
      <c r="F4857" t="inlineStr">
        <is>
          <t>Sveaskog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57993-2024</t>
        </is>
      </c>
      <c r="B4858" s="1" t="n">
        <v>45631</v>
      </c>
      <c r="C4858" s="1" t="n">
        <v>45757</v>
      </c>
      <c r="D4858" t="inlineStr">
        <is>
          <t>VÄSTMANLANDS LÄN</t>
        </is>
      </c>
      <c r="E4858" t="inlineStr">
        <is>
          <t>NORBERG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57895-2024</t>
        </is>
      </c>
      <c r="B4859" s="1" t="n">
        <v>45631</v>
      </c>
      <c r="C4859" s="1" t="n">
        <v>45757</v>
      </c>
      <c r="D4859" t="inlineStr">
        <is>
          <t>VÄSTMANLANDS LÄN</t>
        </is>
      </c>
      <c r="E4859" t="inlineStr">
        <is>
          <t>SALA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57872-2024</t>
        </is>
      </c>
      <c r="B4860" s="1" t="n">
        <v>45631</v>
      </c>
      <c r="C4860" s="1" t="n">
        <v>45757</v>
      </c>
      <c r="D4860" t="inlineStr">
        <is>
          <t>VÄSTMANLANDS LÄN</t>
        </is>
      </c>
      <c r="E4860" t="inlineStr">
        <is>
          <t>ARBOGA</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57890-2024</t>
        </is>
      </c>
      <c r="B4861" s="1" t="n">
        <v>45631</v>
      </c>
      <c r="C4861" s="1" t="n">
        <v>45757</v>
      </c>
      <c r="D4861" t="inlineStr">
        <is>
          <t>VÄSTMANLANDS LÄN</t>
        </is>
      </c>
      <c r="E4861" t="inlineStr">
        <is>
          <t>ARBOGA</t>
        </is>
      </c>
      <c r="F4861" t="inlineStr">
        <is>
          <t>Sveaskog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57948-2024</t>
        </is>
      </c>
      <c r="B4862" s="1" t="n">
        <v>45631</v>
      </c>
      <c r="C4862" s="1" t="n">
        <v>45757</v>
      </c>
      <c r="D4862" t="inlineStr">
        <is>
          <t>VÄSTMANLANDS LÄN</t>
        </is>
      </c>
      <c r="E4862" t="inlineStr">
        <is>
          <t>SALA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57975-2024</t>
        </is>
      </c>
      <c r="B4863" s="1" t="n">
        <v>45631</v>
      </c>
      <c r="C4863" s="1" t="n">
        <v>45757</v>
      </c>
      <c r="D4863" t="inlineStr">
        <is>
          <t>VÄSTMANLANDS LÄN</t>
        </is>
      </c>
      <c r="E4863" t="inlineStr">
        <is>
          <t>VÄSTERÅS</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57990-2024</t>
        </is>
      </c>
      <c r="B4864" s="1" t="n">
        <v>45631</v>
      </c>
      <c r="C4864" s="1" t="n">
        <v>45757</v>
      </c>
      <c r="D4864" t="inlineStr">
        <is>
          <t>VÄSTMANLANDS LÄN</t>
        </is>
      </c>
      <c r="E4864" t="inlineStr">
        <is>
          <t>NORBERG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58028-2024</t>
        </is>
      </c>
      <c r="B4865" s="1" t="n">
        <v>45631</v>
      </c>
      <c r="C4865" s="1" t="n">
        <v>45757</v>
      </c>
      <c r="D4865" t="inlineStr">
        <is>
          <t>VÄSTMANLANDS LÄN</t>
        </is>
      </c>
      <c r="E4865" t="inlineStr">
        <is>
          <t>VÄSTERÅS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58126-2024</t>
        </is>
      </c>
      <c r="B4866" s="1" t="n">
        <v>45632</v>
      </c>
      <c r="C4866" s="1" t="n">
        <v>45757</v>
      </c>
      <c r="D4866" t="inlineStr">
        <is>
          <t>VÄSTMANLANDS LÄN</t>
        </is>
      </c>
      <c r="E4866" t="inlineStr">
        <is>
          <t>SALA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58241-2024</t>
        </is>
      </c>
      <c r="B4867" s="1" t="n">
        <v>45632</v>
      </c>
      <c r="C4867" s="1" t="n">
        <v>45757</v>
      </c>
      <c r="D4867" t="inlineStr">
        <is>
          <t>VÄSTMANLANDS LÄN</t>
        </is>
      </c>
      <c r="E4867" t="inlineStr">
        <is>
          <t>ARBOGA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58310-2024</t>
        </is>
      </c>
      <c r="B4868" s="1" t="n">
        <v>45632</v>
      </c>
      <c r="C4868" s="1" t="n">
        <v>45757</v>
      </c>
      <c r="D4868" t="inlineStr">
        <is>
          <t>VÄSTMANLANDS LÄN</t>
        </is>
      </c>
      <c r="E4868" t="inlineStr">
        <is>
          <t>FAGERSTA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58262-2024</t>
        </is>
      </c>
      <c r="B4869" s="1" t="n">
        <v>45632</v>
      </c>
      <c r="C4869" s="1" t="n">
        <v>45757</v>
      </c>
      <c r="D4869" t="inlineStr">
        <is>
          <t>VÄSTMANLANDS LÄN</t>
        </is>
      </c>
      <c r="E4869" t="inlineStr">
        <is>
          <t>ARBOGA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58305-2024</t>
        </is>
      </c>
      <c r="B4870" s="1" t="n">
        <v>45632</v>
      </c>
      <c r="C4870" s="1" t="n">
        <v>45757</v>
      </c>
      <c r="D4870" t="inlineStr">
        <is>
          <t>VÄSTMANLANDS LÄN</t>
        </is>
      </c>
      <c r="E4870" t="inlineStr">
        <is>
          <t>FAGERSTA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58616-2024</t>
        </is>
      </c>
      <c r="B4871" s="1" t="n">
        <v>45632</v>
      </c>
      <c r="C4871" s="1" t="n">
        <v>45757</v>
      </c>
      <c r="D4871" t="inlineStr">
        <is>
          <t>VÄSTMANLANDS LÄN</t>
        </is>
      </c>
      <c r="E4871" t="inlineStr">
        <is>
          <t>NORBERG</t>
        </is>
      </c>
      <c r="F4871" t="inlineStr">
        <is>
          <t>Bergvik skog väst AB</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58460-2024</t>
        </is>
      </c>
      <c r="B4872" s="1" t="n">
        <v>45635</v>
      </c>
      <c r="C4872" s="1" t="n">
        <v>45757</v>
      </c>
      <c r="D4872" t="inlineStr">
        <is>
          <t>VÄSTMANLANDS LÄN</t>
        </is>
      </c>
      <c r="E4872" t="inlineStr">
        <is>
          <t>FAGERSTA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58464-2024</t>
        </is>
      </c>
      <c r="B4873" s="1" t="n">
        <v>45635</v>
      </c>
      <c r="C4873" s="1" t="n">
        <v>45757</v>
      </c>
      <c r="D4873" t="inlineStr">
        <is>
          <t>VÄSTMANLANDS LÄN</t>
        </is>
      </c>
      <c r="E4873" t="inlineStr">
        <is>
          <t>FAGERSTA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58468-2024</t>
        </is>
      </c>
      <c r="B4874" s="1" t="n">
        <v>45635</v>
      </c>
      <c r="C4874" s="1" t="n">
        <v>45757</v>
      </c>
      <c r="D4874" t="inlineStr">
        <is>
          <t>VÄSTMANLANDS LÄN</t>
        </is>
      </c>
      <c r="E4874" t="inlineStr">
        <is>
          <t>FAGERSTA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58594-2024</t>
        </is>
      </c>
      <c r="B4875" s="1" t="n">
        <v>45635</v>
      </c>
      <c r="C4875" s="1" t="n">
        <v>45757</v>
      </c>
      <c r="D4875" t="inlineStr">
        <is>
          <t>VÄSTMANLANDS LÄN</t>
        </is>
      </c>
      <c r="E4875" t="inlineStr">
        <is>
          <t>FAGERSTA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58651-2024</t>
        </is>
      </c>
      <c r="B4876" s="1" t="n">
        <v>45635</v>
      </c>
      <c r="C4876" s="1" t="n">
        <v>45757</v>
      </c>
      <c r="D4876" t="inlineStr">
        <is>
          <t>VÄSTMANLANDS LÄN</t>
        </is>
      </c>
      <c r="E4876" t="inlineStr">
        <is>
          <t>SALA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58655-2024</t>
        </is>
      </c>
      <c r="B4877" s="1" t="n">
        <v>45635</v>
      </c>
      <c r="C4877" s="1" t="n">
        <v>45757</v>
      </c>
      <c r="D4877" t="inlineStr">
        <is>
          <t>VÄSTMANLANDS LÄN</t>
        </is>
      </c>
      <c r="E4877" t="inlineStr">
        <is>
          <t>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58770-2024</t>
        </is>
      </c>
      <c r="B4878" s="1" t="n">
        <v>45635</v>
      </c>
      <c r="C4878" s="1" t="n">
        <v>45757</v>
      </c>
      <c r="D4878" t="inlineStr">
        <is>
          <t>VÄSTMANLANDS LÄN</t>
        </is>
      </c>
      <c r="E4878" t="inlineStr">
        <is>
          <t>FAGERSTA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58861-2024</t>
        </is>
      </c>
      <c r="B4879" s="1" t="n">
        <v>45636</v>
      </c>
      <c r="C4879" s="1" t="n">
        <v>45757</v>
      </c>
      <c r="D4879" t="inlineStr">
        <is>
          <t>VÄSTMANLANDS LÄN</t>
        </is>
      </c>
      <c r="E4879" t="inlineStr">
        <is>
          <t>VÄSTERÅS</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58957-2024</t>
        </is>
      </c>
      <c r="B4880" s="1" t="n">
        <v>45636</v>
      </c>
      <c r="C4880" s="1" t="n">
        <v>45757</v>
      </c>
      <c r="D4880" t="inlineStr">
        <is>
          <t>VÄSTMANLANDS LÄN</t>
        </is>
      </c>
      <c r="E4880" t="inlineStr">
        <is>
          <t>VÄSTERÅS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59578-2024</t>
        </is>
      </c>
      <c r="B4881" s="1" t="n">
        <v>45637</v>
      </c>
      <c r="C4881" s="1" t="n">
        <v>45757</v>
      </c>
      <c r="D4881" t="inlineStr">
        <is>
          <t>VÄSTMANLANDS LÄN</t>
        </is>
      </c>
      <c r="E4881" t="inlineStr">
        <is>
          <t>SKINNSKATTEBERG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59536-2024</t>
        </is>
      </c>
      <c r="B4882" s="1" t="n">
        <v>45638</v>
      </c>
      <c r="C4882" s="1" t="n">
        <v>45757</v>
      </c>
      <c r="D4882" t="inlineStr">
        <is>
          <t>VÄSTMANLANDS LÄN</t>
        </is>
      </c>
      <c r="E4882" t="inlineStr">
        <is>
          <t>VÄSTERÅS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59520-2024</t>
        </is>
      </c>
      <c r="B4883" s="1" t="n">
        <v>45638</v>
      </c>
      <c r="C4883" s="1" t="n">
        <v>45757</v>
      </c>
      <c r="D4883" t="inlineStr">
        <is>
          <t>VÄSTMANLANDS LÄN</t>
        </is>
      </c>
      <c r="E4883" t="inlineStr">
        <is>
          <t>VÄSTERÅS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59860-2024</t>
        </is>
      </c>
      <c r="B4884" s="1" t="n">
        <v>45638</v>
      </c>
      <c r="C4884" s="1" t="n">
        <v>45757</v>
      </c>
      <c r="D4884" t="inlineStr">
        <is>
          <t>VÄSTMANLANDS LÄN</t>
        </is>
      </c>
      <c r="E4884" t="inlineStr">
        <is>
          <t>SALA</t>
        </is>
      </c>
      <c r="G4884" t="n">
        <v>11.2</v>
      </c>
      <c r="H4884" t="n">
        <v>0</v>
      </c>
      <c r="I4884" t="n">
        <v>0</v>
      </c>
      <c r="J4884" t="n">
        <v>0</v>
      </c>
      <c r="K4884" t="n">
        <v>0</v>
      </c>
      <c r="L4884" t="n">
        <v>0</v>
      </c>
      <c r="M4884" t="n">
        <v>0</v>
      </c>
      <c r="N4884" t="n">
        <v>0</v>
      </c>
      <c r="O4884" t="n">
        <v>0</v>
      </c>
      <c r="P4884" t="n">
        <v>0</v>
      </c>
      <c r="Q4884" t="n">
        <v>0</v>
      </c>
      <c r="R4884" s="2" t="inlineStr"/>
    </row>
    <row r="4885" ht="15" customHeight="1">
      <c r="A4885" t="inlineStr">
        <is>
          <t>A 59805-2024</t>
        </is>
      </c>
      <c r="B4885" s="1" t="n">
        <v>45639</v>
      </c>
      <c r="C4885" s="1" t="n">
        <v>45757</v>
      </c>
      <c r="D4885" t="inlineStr">
        <is>
          <t>VÄSTMANLANDS LÄN</t>
        </is>
      </c>
      <c r="E4885" t="inlineStr">
        <is>
          <t>KUNGSÖR</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59705-2024</t>
        </is>
      </c>
      <c r="B4886" s="1" t="n">
        <v>45639</v>
      </c>
      <c r="C4886" s="1" t="n">
        <v>45757</v>
      </c>
      <c r="D4886" t="inlineStr">
        <is>
          <t>VÄSTMANLANDS LÄN</t>
        </is>
      </c>
      <c r="E4886" t="inlineStr">
        <is>
          <t>NORBERG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59747-2024</t>
        </is>
      </c>
      <c r="B4887" s="1" t="n">
        <v>45639</v>
      </c>
      <c r="C4887" s="1" t="n">
        <v>45757</v>
      </c>
      <c r="D4887" t="inlineStr">
        <is>
          <t>VÄSTMANLANDS LÄN</t>
        </is>
      </c>
      <c r="E4887" t="inlineStr">
        <is>
          <t>VÄSTERÅS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59741-2024</t>
        </is>
      </c>
      <c r="B4888" s="1" t="n">
        <v>45639</v>
      </c>
      <c r="C4888" s="1" t="n">
        <v>45757</v>
      </c>
      <c r="D4888" t="inlineStr">
        <is>
          <t>VÄSTMANLANDS LÄN</t>
        </is>
      </c>
      <c r="E4888" t="inlineStr">
        <is>
          <t>VÄSTERÅS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59740-2024</t>
        </is>
      </c>
      <c r="B4889" s="1" t="n">
        <v>45639</v>
      </c>
      <c r="C4889" s="1" t="n">
        <v>45757</v>
      </c>
      <c r="D4889" t="inlineStr">
        <is>
          <t>VÄSTMANLANDS LÄN</t>
        </is>
      </c>
      <c r="E4889" t="inlineStr">
        <is>
          <t>VÄSTERÅS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59909-2024</t>
        </is>
      </c>
      <c r="B4890" s="1" t="n">
        <v>45641</v>
      </c>
      <c r="C4890" s="1" t="n">
        <v>45757</v>
      </c>
      <c r="D4890" t="inlineStr">
        <is>
          <t>VÄSTMANLANDS LÄN</t>
        </is>
      </c>
      <c r="E4890" t="inlineStr">
        <is>
          <t>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60036-2024</t>
        </is>
      </c>
      <c r="B4891" s="1" t="n">
        <v>45642</v>
      </c>
      <c r="C4891" s="1" t="n">
        <v>45757</v>
      </c>
      <c r="D4891" t="inlineStr">
        <is>
          <t>VÄSTMANLANDS LÄN</t>
        </is>
      </c>
      <c r="E4891" t="inlineStr">
        <is>
          <t>SALA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60034-2024</t>
        </is>
      </c>
      <c r="B4892" s="1" t="n">
        <v>45642</v>
      </c>
      <c r="C4892" s="1" t="n">
        <v>45757</v>
      </c>
      <c r="D4892" t="inlineStr">
        <is>
          <t>VÄSTMANLANDS LÄN</t>
        </is>
      </c>
      <c r="E4892" t="inlineStr">
        <is>
          <t>SALA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60030-2024</t>
        </is>
      </c>
      <c r="B4893" s="1" t="n">
        <v>45642</v>
      </c>
      <c r="C4893" s="1" t="n">
        <v>45757</v>
      </c>
      <c r="D4893" t="inlineStr">
        <is>
          <t>VÄSTMANLANDS LÄN</t>
        </is>
      </c>
      <c r="E4893" t="inlineStr">
        <is>
          <t>SURAHAMMAR</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60328-2024</t>
        </is>
      </c>
      <c r="B4894" s="1" t="n">
        <v>45643</v>
      </c>
      <c r="C4894" s="1" t="n">
        <v>45757</v>
      </c>
      <c r="D4894" t="inlineStr">
        <is>
          <t>VÄSTMANLANDS LÄN</t>
        </is>
      </c>
      <c r="E4894" t="inlineStr">
        <is>
          <t>SALA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60355-2024</t>
        </is>
      </c>
      <c r="B4895" s="1" t="n">
        <v>45643</v>
      </c>
      <c r="C4895" s="1" t="n">
        <v>45757</v>
      </c>
      <c r="D4895" t="inlineStr">
        <is>
          <t>VÄSTMANLANDS LÄN</t>
        </is>
      </c>
      <c r="E4895" t="inlineStr">
        <is>
          <t>SKINNSKATTEBERG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60550-2024</t>
        </is>
      </c>
      <c r="B4896" s="1" t="n">
        <v>45643</v>
      </c>
      <c r="C4896" s="1" t="n">
        <v>45757</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60548-2024</t>
        </is>
      </c>
      <c r="B4897" s="1" t="n">
        <v>45643</v>
      </c>
      <c r="C4897" s="1" t="n">
        <v>45757</v>
      </c>
      <c r="D4897" t="inlineStr">
        <is>
          <t>VÄSTMANLANDS LÄN</t>
        </is>
      </c>
      <c r="E4897" t="inlineStr">
        <is>
          <t>SALA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60547-2024</t>
        </is>
      </c>
      <c r="B4898" s="1" t="n">
        <v>45643</v>
      </c>
      <c r="C4898" s="1" t="n">
        <v>45757</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60541-2024</t>
        </is>
      </c>
      <c r="B4899" s="1" t="n">
        <v>45643</v>
      </c>
      <c r="C4899" s="1" t="n">
        <v>45757</v>
      </c>
      <c r="D4899" t="inlineStr">
        <is>
          <t>VÄSTMANLANDS LÄN</t>
        </is>
      </c>
      <c r="E4899" t="inlineStr">
        <is>
          <t>SALA</t>
        </is>
      </c>
      <c r="G4899" t="n">
        <v>10.6</v>
      </c>
      <c r="H4899" t="n">
        <v>0</v>
      </c>
      <c r="I4899" t="n">
        <v>0</v>
      </c>
      <c r="J4899" t="n">
        <v>0</v>
      </c>
      <c r="K4899" t="n">
        <v>0</v>
      </c>
      <c r="L4899" t="n">
        <v>0</v>
      </c>
      <c r="M4899" t="n">
        <v>0</v>
      </c>
      <c r="N4899" t="n">
        <v>0</v>
      </c>
      <c r="O4899" t="n">
        <v>0</v>
      </c>
      <c r="P4899" t="n">
        <v>0</v>
      </c>
      <c r="Q4899" t="n">
        <v>0</v>
      </c>
      <c r="R4899" s="2" t="inlineStr"/>
    </row>
    <row r="4900" ht="15" customHeight="1">
      <c r="A4900" t="inlineStr">
        <is>
          <t>A 60545-2024</t>
        </is>
      </c>
      <c r="B4900" s="1" t="n">
        <v>45643</v>
      </c>
      <c r="C4900" s="1" t="n">
        <v>45757</v>
      </c>
      <c r="D4900" t="inlineStr">
        <is>
          <t>VÄSTMANLANDS LÄN</t>
        </is>
      </c>
      <c r="E4900" t="inlineStr">
        <is>
          <t>SALA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60764-2024</t>
        </is>
      </c>
      <c r="B4901" s="1" t="n">
        <v>45644</v>
      </c>
      <c r="C4901" s="1" t="n">
        <v>45757</v>
      </c>
      <c r="D4901" t="inlineStr">
        <is>
          <t>VÄSTMANLANDS LÄN</t>
        </is>
      </c>
      <c r="E4901" t="inlineStr">
        <is>
          <t>KUNGSÖR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60818-2024</t>
        </is>
      </c>
      <c r="B4902" s="1" t="n">
        <v>45644</v>
      </c>
      <c r="C4902" s="1" t="n">
        <v>45757</v>
      </c>
      <c r="D4902" t="inlineStr">
        <is>
          <t>VÄSTMANLANDS LÄN</t>
        </is>
      </c>
      <c r="E4902" t="inlineStr">
        <is>
          <t>SALA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60736-2024</t>
        </is>
      </c>
      <c r="B4903" s="1" t="n">
        <v>45644</v>
      </c>
      <c r="C4903" s="1" t="n">
        <v>45757</v>
      </c>
      <c r="D4903" t="inlineStr">
        <is>
          <t>VÄSTMANLANDS LÄN</t>
        </is>
      </c>
      <c r="E4903" t="inlineStr">
        <is>
          <t>KUNGSÖR</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60754-2024</t>
        </is>
      </c>
      <c r="B4904" s="1" t="n">
        <v>45644</v>
      </c>
      <c r="C4904" s="1" t="n">
        <v>45757</v>
      </c>
      <c r="D4904" t="inlineStr">
        <is>
          <t>VÄSTMANLANDS LÄN</t>
        </is>
      </c>
      <c r="E4904" t="inlineStr">
        <is>
          <t>KUNGSÖR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60823-2024</t>
        </is>
      </c>
      <c r="B4905" s="1" t="n">
        <v>45644</v>
      </c>
      <c r="C4905" s="1" t="n">
        <v>45757</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60852-2024</t>
        </is>
      </c>
      <c r="B4906" s="1" t="n">
        <v>45644</v>
      </c>
      <c r="C4906" s="1" t="n">
        <v>45757</v>
      </c>
      <c r="D4906" t="inlineStr">
        <is>
          <t>VÄSTMANLANDS LÄN</t>
        </is>
      </c>
      <c r="E4906" t="inlineStr">
        <is>
          <t>SALA</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61006-2024</t>
        </is>
      </c>
      <c r="B4907" s="1" t="n">
        <v>45645</v>
      </c>
      <c r="C4907" s="1" t="n">
        <v>45757</v>
      </c>
      <c r="D4907" t="inlineStr">
        <is>
          <t>VÄSTMANLANDS LÄN</t>
        </is>
      </c>
      <c r="E4907" t="inlineStr">
        <is>
          <t>ARBOGA</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61029-2024</t>
        </is>
      </c>
      <c r="B4908" s="1" t="n">
        <v>45645</v>
      </c>
      <c r="C4908" s="1" t="n">
        <v>45757</v>
      </c>
      <c r="D4908" t="inlineStr">
        <is>
          <t>VÄSTMANLANDS LÄN</t>
        </is>
      </c>
      <c r="E4908" t="inlineStr">
        <is>
          <t>VÄSTERÅS</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61059-2024</t>
        </is>
      </c>
      <c r="B4909" s="1" t="n">
        <v>45645</v>
      </c>
      <c r="C4909" s="1" t="n">
        <v>45757</v>
      </c>
      <c r="D4909" t="inlineStr">
        <is>
          <t>VÄSTMANLANDS LÄN</t>
        </is>
      </c>
      <c r="E4909" t="inlineStr">
        <is>
          <t>VÄSTERÅS</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61026-2024</t>
        </is>
      </c>
      <c r="B4910" s="1" t="n">
        <v>45645</v>
      </c>
      <c r="C4910" s="1" t="n">
        <v>45757</v>
      </c>
      <c r="D4910" t="inlineStr">
        <is>
          <t>VÄSTMANLANDS LÄN</t>
        </is>
      </c>
      <c r="E4910" t="inlineStr">
        <is>
          <t>ARBOGA</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61223-2024</t>
        </is>
      </c>
      <c r="B4911" s="1" t="n">
        <v>45645</v>
      </c>
      <c r="C4911" s="1" t="n">
        <v>45757</v>
      </c>
      <c r="D4911" t="inlineStr">
        <is>
          <t>VÄSTMANLANDS LÄN</t>
        </is>
      </c>
      <c r="E4911" t="inlineStr">
        <is>
          <t>KUNGSÖR</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61262-2024</t>
        </is>
      </c>
      <c r="B4912" s="1" t="n">
        <v>45645</v>
      </c>
      <c r="C4912" s="1" t="n">
        <v>45757</v>
      </c>
      <c r="D4912" t="inlineStr">
        <is>
          <t>VÄSTMANLANDS LÄN</t>
        </is>
      </c>
      <c r="E4912" t="inlineStr">
        <is>
          <t>KUNGSÖR</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61001-2024</t>
        </is>
      </c>
      <c r="B4913" s="1" t="n">
        <v>45645</v>
      </c>
      <c r="C4913" s="1" t="n">
        <v>45757</v>
      </c>
      <c r="D4913" t="inlineStr">
        <is>
          <t>VÄSTMANLANDS LÄN</t>
        </is>
      </c>
      <c r="E4913" t="inlineStr">
        <is>
          <t>VÄSTERÅS</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61018-2024</t>
        </is>
      </c>
      <c r="B4914" s="1" t="n">
        <v>45645</v>
      </c>
      <c r="C4914" s="1" t="n">
        <v>45757</v>
      </c>
      <c r="D4914" t="inlineStr">
        <is>
          <t>VÄSTMANLANDS LÄN</t>
        </is>
      </c>
      <c r="E4914" t="inlineStr">
        <is>
          <t>ARBOGA</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61264-2024</t>
        </is>
      </c>
      <c r="B4915" s="1" t="n">
        <v>45645</v>
      </c>
      <c r="C4915" s="1" t="n">
        <v>45757</v>
      </c>
      <c r="D4915" t="inlineStr">
        <is>
          <t>VÄSTMANLANDS LÄN</t>
        </is>
      </c>
      <c r="E4915" t="inlineStr">
        <is>
          <t>KUNGSÖR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61517-2024</t>
        </is>
      </c>
      <c r="B4916" s="1" t="n">
        <v>45645</v>
      </c>
      <c r="C4916" s="1" t="n">
        <v>45757</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61618-2024</t>
        </is>
      </c>
      <c r="B4917" s="1" t="n">
        <v>45646</v>
      </c>
      <c r="C4917" s="1" t="n">
        <v>45757</v>
      </c>
      <c r="D4917" t="inlineStr">
        <is>
          <t>VÄSTMANLANDS LÄN</t>
        </is>
      </c>
      <c r="E4917" t="inlineStr">
        <is>
          <t>KÖPING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61444-2024</t>
        </is>
      </c>
      <c r="B4918" s="1" t="n">
        <v>45646</v>
      </c>
      <c r="C4918" s="1" t="n">
        <v>45757</v>
      </c>
      <c r="D4918" t="inlineStr">
        <is>
          <t>VÄSTMANLANDS LÄN</t>
        </is>
      </c>
      <c r="E4918" t="inlineStr">
        <is>
          <t>SALA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61342-2024</t>
        </is>
      </c>
      <c r="B4919" s="1" t="n">
        <v>45646</v>
      </c>
      <c r="C4919" s="1" t="n">
        <v>45757</v>
      </c>
      <c r="D4919" t="inlineStr">
        <is>
          <t>VÄSTMANLANDS LÄN</t>
        </is>
      </c>
      <c r="E4919" t="inlineStr">
        <is>
          <t>KÖPING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61681-2024</t>
        </is>
      </c>
      <c r="B4920" s="1" t="n">
        <v>45647</v>
      </c>
      <c r="C4920" s="1" t="n">
        <v>45757</v>
      </c>
      <c r="D4920" t="inlineStr">
        <is>
          <t>VÄSTMANLANDS LÄN</t>
        </is>
      </c>
      <c r="E4920" t="inlineStr">
        <is>
          <t>SALA</t>
        </is>
      </c>
      <c r="F4920" t="inlineStr">
        <is>
          <t>Kommuner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61683-2024</t>
        </is>
      </c>
      <c r="B4921" s="1" t="n">
        <v>45647</v>
      </c>
      <c r="C4921" s="1" t="n">
        <v>45757</v>
      </c>
      <c r="D4921" t="inlineStr">
        <is>
          <t>VÄSTMANLANDS LÄN</t>
        </is>
      </c>
      <c r="E4921" t="inlineStr">
        <is>
          <t>SALA</t>
        </is>
      </c>
      <c r="F4921" t="inlineStr">
        <is>
          <t>Kommuner</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61715-2024</t>
        </is>
      </c>
      <c r="B4922" s="1" t="n">
        <v>45648</v>
      </c>
      <c r="C4922" s="1" t="n">
        <v>45757</v>
      </c>
      <c r="D4922" t="inlineStr">
        <is>
          <t>VÄSTMANLANDS LÄN</t>
        </is>
      </c>
      <c r="E4922" t="inlineStr">
        <is>
          <t>SALA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61717-2024</t>
        </is>
      </c>
      <c r="B4923" s="1" t="n">
        <v>45648</v>
      </c>
      <c r="C4923" s="1" t="n">
        <v>45757</v>
      </c>
      <c r="D4923" t="inlineStr">
        <is>
          <t>VÄSTMANLANDS LÄN</t>
        </is>
      </c>
      <c r="E4923" t="inlineStr">
        <is>
          <t>SALA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191-2025</t>
        </is>
      </c>
      <c r="B4924" s="1" t="n">
        <v>45649</v>
      </c>
      <c r="C4924" s="1" t="n">
        <v>45757</v>
      </c>
      <c r="D4924" t="inlineStr">
        <is>
          <t>VÄSTMANLANDS LÄN</t>
        </is>
      </c>
      <c r="E4924" t="inlineStr">
        <is>
          <t>SALA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61734-2024</t>
        </is>
      </c>
      <c r="B4925" s="1" t="n">
        <v>45649</v>
      </c>
      <c r="C4925" s="1" t="n">
        <v>45757</v>
      </c>
      <c r="D4925" t="inlineStr">
        <is>
          <t>VÄSTMANLANDS LÄN</t>
        </is>
      </c>
      <c r="E4925" t="inlineStr">
        <is>
          <t>ARBOGA</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61994-2024</t>
        </is>
      </c>
      <c r="B4926" s="1" t="n">
        <v>45653</v>
      </c>
      <c r="C4926" s="1" t="n">
        <v>45757</v>
      </c>
      <c r="D4926" t="inlineStr">
        <is>
          <t>VÄSTMANLANDS LÄN</t>
        </is>
      </c>
      <c r="E4926" t="inlineStr">
        <is>
          <t>ARBOGA</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62004-2024</t>
        </is>
      </c>
      <c r="B4927" s="1" t="n">
        <v>45655</v>
      </c>
      <c r="C4927" s="1" t="n">
        <v>45757</v>
      </c>
      <c r="D4927" t="inlineStr">
        <is>
          <t>VÄSTMANLANDS LÄN</t>
        </is>
      </c>
      <c r="E4927" t="inlineStr">
        <is>
          <t>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62057-2024</t>
        </is>
      </c>
      <c r="B4928" s="1" t="n">
        <v>45656</v>
      </c>
      <c r="C4928" s="1" t="n">
        <v>45757</v>
      </c>
      <c r="D4928" t="inlineStr">
        <is>
          <t>VÄSTMANLANDS LÄN</t>
        </is>
      </c>
      <c r="E4928" t="inlineStr">
        <is>
          <t>KÖPING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322-2025</t>
        </is>
      </c>
      <c r="B4929" s="1" t="n">
        <v>45656</v>
      </c>
      <c r="C4929" s="1" t="n">
        <v>45757</v>
      </c>
      <c r="D4929" t="inlineStr">
        <is>
          <t>VÄSTMANLANDS LÄN</t>
        </is>
      </c>
      <c r="E4929" t="inlineStr">
        <is>
          <t>SKINNSKATTEBERG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327-2025</t>
        </is>
      </c>
      <c r="B4930" s="1" t="n">
        <v>45657</v>
      </c>
      <c r="C4930" s="1" t="n">
        <v>45757</v>
      </c>
      <c r="D4930" t="inlineStr">
        <is>
          <t>VÄSTMANLANDS LÄN</t>
        </is>
      </c>
      <c r="E4930" t="inlineStr">
        <is>
          <t>SALA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199-2025</t>
        </is>
      </c>
      <c r="B4931" s="1" t="n">
        <v>45659</v>
      </c>
      <c r="C4931" s="1" t="n">
        <v>45757</v>
      </c>
      <c r="D4931" t="inlineStr">
        <is>
          <t>VÄSTMANLANDS LÄN</t>
        </is>
      </c>
      <c r="E4931" t="inlineStr">
        <is>
          <t>KÖPING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194-2025</t>
        </is>
      </c>
      <c r="B4932" s="1" t="n">
        <v>45659</v>
      </c>
      <c r="C4932" s="1" t="n">
        <v>45757</v>
      </c>
      <c r="D4932" t="inlineStr">
        <is>
          <t>VÄSTMANLANDS LÄN</t>
        </is>
      </c>
      <c r="E4932" t="inlineStr">
        <is>
          <t>FAGERSTA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508-2025</t>
        </is>
      </c>
      <c r="B4933" s="1" t="n">
        <v>45660</v>
      </c>
      <c r="C4933" s="1" t="n">
        <v>45757</v>
      </c>
      <c r="D4933" t="inlineStr">
        <is>
          <t>VÄSTMANLANDS LÄN</t>
        </is>
      </c>
      <c r="E4933" t="inlineStr">
        <is>
          <t>ARBOGA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494-2025</t>
        </is>
      </c>
      <c r="B4934" s="1" t="n">
        <v>45660</v>
      </c>
      <c r="C4934" s="1" t="n">
        <v>45757</v>
      </c>
      <c r="D4934" t="inlineStr">
        <is>
          <t>VÄSTMANLANDS LÄN</t>
        </is>
      </c>
      <c r="E4934" t="inlineStr">
        <is>
          <t>ARBOGA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669-2025</t>
        </is>
      </c>
      <c r="B4935" s="1" t="n">
        <v>45664</v>
      </c>
      <c r="C4935" s="1" t="n">
        <v>45757</v>
      </c>
      <c r="D4935" t="inlineStr">
        <is>
          <t>VÄSTMANLANDS LÄN</t>
        </is>
      </c>
      <c r="E4935" t="inlineStr">
        <is>
          <t>ARBOGA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620-2025</t>
        </is>
      </c>
      <c r="B4936" s="1" t="n">
        <v>45664</v>
      </c>
      <c r="C4936" s="1" t="n">
        <v>45757</v>
      </c>
      <c r="D4936" t="inlineStr">
        <is>
          <t>VÄSTMANLANDS LÄN</t>
        </is>
      </c>
      <c r="E4936" t="inlineStr">
        <is>
          <t>KÖPING</t>
        </is>
      </c>
      <c r="G4936" t="n">
        <v>9.300000000000001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744-2025</t>
        </is>
      </c>
      <c r="B4937" s="1" t="n">
        <v>45665</v>
      </c>
      <c r="C4937" s="1" t="n">
        <v>45757</v>
      </c>
      <c r="D4937" t="inlineStr">
        <is>
          <t>VÄSTMANLANDS LÄN</t>
        </is>
      </c>
      <c r="E4937" t="inlineStr">
        <is>
          <t>ARBOGA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813-2025</t>
        </is>
      </c>
      <c r="B4938" s="1" t="n">
        <v>45665</v>
      </c>
      <c r="C4938" s="1" t="n">
        <v>45757</v>
      </c>
      <c r="D4938" t="inlineStr">
        <is>
          <t>VÄSTMANLANDS LÄN</t>
        </is>
      </c>
      <c r="E4938" t="inlineStr">
        <is>
          <t>KÖPING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857-2025</t>
        </is>
      </c>
      <c r="B4939" s="1" t="n">
        <v>45665</v>
      </c>
      <c r="C4939" s="1" t="n">
        <v>45757</v>
      </c>
      <c r="D4939" t="inlineStr">
        <is>
          <t>VÄSTMANLANDS LÄN</t>
        </is>
      </c>
      <c r="E4939" t="inlineStr">
        <is>
          <t>KÖPING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876-2025</t>
        </is>
      </c>
      <c r="B4940" s="1" t="n">
        <v>45665</v>
      </c>
      <c r="C4940" s="1" t="n">
        <v>45757</v>
      </c>
      <c r="D4940" t="inlineStr">
        <is>
          <t>VÄSTMANLANDS LÄN</t>
        </is>
      </c>
      <c r="E4940" t="inlineStr">
        <is>
          <t>SALA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895-2025</t>
        </is>
      </c>
      <c r="B4941" s="1" t="n">
        <v>45665</v>
      </c>
      <c r="C4941" s="1" t="n">
        <v>45757</v>
      </c>
      <c r="D4941" t="inlineStr">
        <is>
          <t>VÄSTMANLANDS LÄN</t>
        </is>
      </c>
      <c r="E4941" t="inlineStr">
        <is>
          <t>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815-2025</t>
        </is>
      </c>
      <c r="B4942" s="1" t="n">
        <v>45665</v>
      </c>
      <c r="C4942" s="1" t="n">
        <v>45757</v>
      </c>
      <c r="D4942" t="inlineStr">
        <is>
          <t>VÄSTMANLANDS LÄN</t>
        </is>
      </c>
      <c r="E4942" t="inlineStr">
        <is>
          <t>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922-2025</t>
        </is>
      </c>
      <c r="B4943" s="1" t="n">
        <v>45665</v>
      </c>
      <c r="C4943" s="1" t="n">
        <v>45757</v>
      </c>
      <c r="D4943" t="inlineStr">
        <is>
          <t>VÄSTMANLANDS LÄN</t>
        </is>
      </c>
      <c r="E4943" t="inlineStr">
        <is>
          <t>SALA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818-2025</t>
        </is>
      </c>
      <c r="B4944" s="1" t="n">
        <v>45665</v>
      </c>
      <c r="C4944" s="1" t="n">
        <v>45757</v>
      </c>
      <c r="D4944" t="inlineStr">
        <is>
          <t>VÄSTMANLANDS LÄN</t>
        </is>
      </c>
      <c r="E4944" t="inlineStr">
        <is>
          <t>KÖPING</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1128-2025</t>
        </is>
      </c>
      <c r="B4945" s="1" t="n">
        <v>45666</v>
      </c>
      <c r="C4945" s="1" t="n">
        <v>45757</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996-2025</t>
        </is>
      </c>
      <c r="B4946" s="1" t="n">
        <v>45666</v>
      </c>
      <c r="C4946" s="1" t="n">
        <v>45757</v>
      </c>
      <c r="D4946" t="inlineStr">
        <is>
          <t>VÄSTMANLANDS LÄN</t>
        </is>
      </c>
      <c r="E4946" t="inlineStr">
        <is>
          <t>SALA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988-2025</t>
        </is>
      </c>
      <c r="B4947" s="1" t="n">
        <v>45666</v>
      </c>
      <c r="C4947" s="1" t="n">
        <v>45757</v>
      </c>
      <c r="D4947" t="inlineStr">
        <is>
          <t>VÄSTMANLANDS LÄN</t>
        </is>
      </c>
      <c r="E4947" t="inlineStr">
        <is>
          <t>SALA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1042-2025</t>
        </is>
      </c>
      <c r="B4948" s="1" t="n">
        <v>45666</v>
      </c>
      <c r="C4948" s="1" t="n">
        <v>45757</v>
      </c>
      <c r="D4948" t="inlineStr">
        <is>
          <t>VÄSTMANLANDS LÄN</t>
        </is>
      </c>
      <c r="E4948" t="inlineStr">
        <is>
          <t>KUNGSÖR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947-2025</t>
        </is>
      </c>
      <c r="B4949" s="1" t="n">
        <v>45666</v>
      </c>
      <c r="C4949" s="1" t="n">
        <v>45757</v>
      </c>
      <c r="D4949" t="inlineStr">
        <is>
          <t>VÄSTMANLANDS LÄN</t>
        </is>
      </c>
      <c r="E4949" t="inlineStr">
        <is>
          <t>ARBOGA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1040-2025</t>
        </is>
      </c>
      <c r="B4950" s="1" t="n">
        <v>45666</v>
      </c>
      <c r="C4950" s="1" t="n">
        <v>45757</v>
      </c>
      <c r="D4950" t="inlineStr">
        <is>
          <t>VÄSTMANLANDS LÄN</t>
        </is>
      </c>
      <c r="E4950" t="inlineStr">
        <is>
          <t>KUNGSÖR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1181-2025</t>
        </is>
      </c>
      <c r="B4951" s="1" t="n">
        <v>45667</v>
      </c>
      <c r="C4951" s="1" t="n">
        <v>45757</v>
      </c>
      <c r="D4951" t="inlineStr">
        <is>
          <t>VÄSTMANLANDS LÄN</t>
        </is>
      </c>
      <c r="E4951" t="inlineStr">
        <is>
          <t>KÖPING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1363-2025</t>
        </is>
      </c>
      <c r="B4952" s="1" t="n">
        <v>45667</v>
      </c>
      <c r="C4952" s="1" t="n">
        <v>45757</v>
      </c>
      <c r="D4952" t="inlineStr">
        <is>
          <t>VÄSTMANLANDS LÄN</t>
        </is>
      </c>
      <c r="E4952" t="inlineStr">
        <is>
          <t>ARBOGA</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1375-2025</t>
        </is>
      </c>
      <c r="B4953" s="1" t="n">
        <v>45667</v>
      </c>
      <c r="C4953" s="1" t="n">
        <v>45757</v>
      </c>
      <c r="D4953" t="inlineStr">
        <is>
          <t>VÄSTMANLANDS LÄN</t>
        </is>
      </c>
      <c r="E4953" t="inlineStr">
        <is>
          <t>ARBOGA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1387-2025</t>
        </is>
      </c>
      <c r="B4954" s="1" t="n">
        <v>45667</v>
      </c>
      <c r="C4954" s="1" t="n">
        <v>45757</v>
      </c>
      <c r="D4954" t="inlineStr">
        <is>
          <t>VÄSTMANLANDS LÄN</t>
        </is>
      </c>
      <c r="E4954" t="inlineStr">
        <is>
          <t>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1440-2025</t>
        </is>
      </c>
      <c r="B4955" s="1" t="n">
        <v>45669</v>
      </c>
      <c r="C4955" s="1" t="n">
        <v>45757</v>
      </c>
      <c r="D4955" t="inlineStr">
        <is>
          <t>VÄSTMANLANDS LÄN</t>
        </is>
      </c>
      <c r="E4955" t="inlineStr">
        <is>
          <t>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1569-2025</t>
        </is>
      </c>
      <c r="B4956" s="1" t="n">
        <v>45670</v>
      </c>
      <c r="C4956" s="1" t="n">
        <v>45757</v>
      </c>
      <c r="D4956" t="inlineStr">
        <is>
          <t>VÄSTMANLANDS LÄN</t>
        </is>
      </c>
      <c r="E4956" t="inlineStr">
        <is>
          <t>SALA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1770-2025</t>
        </is>
      </c>
      <c r="B4957" s="1" t="n">
        <v>45671</v>
      </c>
      <c r="C4957" s="1" t="n">
        <v>45757</v>
      </c>
      <c r="D4957" t="inlineStr">
        <is>
          <t>VÄSTMANLANDS LÄN</t>
        </is>
      </c>
      <c r="E4957" t="inlineStr">
        <is>
          <t>SALA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1804-2025</t>
        </is>
      </c>
      <c r="B4958" s="1" t="n">
        <v>45671</v>
      </c>
      <c r="C4958" s="1" t="n">
        <v>45757</v>
      </c>
      <c r="D4958" t="inlineStr">
        <is>
          <t>VÄSTMANLANDS LÄN</t>
        </is>
      </c>
      <c r="E4958" t="inlineStr">
        <is>
          <t>NORBERG</t>
        </is>
      </c>
      <c r="F4958" t="inlineStr">
        <is>
          <t>Övriga Aktiebolag</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1926-2025</t>
        </is>
      </c>
      <c r="B4959" s="1" t="n">
        <v>45671</v>
      </c>
      <c r="C4959" s="1" t="n">
        <v>45757</v>
      </c>
      <c r="D4959" t="inlineStr">
        <is>
          <t>VÄSTMANLANDS LÄN</t>
        </is>
      </c>
      <c r="E4959" t="inlineStr">
        <is>
          <t>KÖPING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2064-2025</t>
        </is>
      </c>
      <c r="B4960" s="1" t="n">
        <v>45672</v>
      </c>
      <c r="C4960" s="1" t="n">
        <v>45757</v>
      </c>
      <c r="D4960" t="inlineStr">
        <is>
          <t>VÄSTMANLANDS LÄN</t>
        </is>
      </c>
      <c r="E4960" t="inlineStr">
        <is>
          <t>KÖPING</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2071-2025</t>
        </is>
      </c>
      <c r="B4961" s="1" t="n">
        <v>45672</v>
      </c>
      <c r="C4961" s="1" t="n">
        <v>45757</v>
      </c>
      <c r="D4961" t="inlineStr">
        <is>
          <t>VÄSTMANLANDS LÄN</t>
        </is>
      </c>
      <c r="E4961" t="inlineStr">
        <is>
          <t>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2271-2025</t>
        </is>
      </c>
      <c r="B4962" s="1" t="n">
        <v>45673</v>
      </c>
      <c r="C4962" s="1" t="n">
        <v>45757</v>
      </c>
      <c r="D4962" t="inlineStr">
        <is>
          <t>VÄSTMANLANDS LÄN</t>
        </is>
      </c>
      <c r="E4962" t="inlineStr">
        <is>
          <t>SALA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2608-2025</t>
        </is>
      </c>
      <c r="B4963" s="1" t="n">
        <v>45674</v>
      </c>
      <c r="C4963" s="1" t="n">
        <v>45757</v>
      </c>
      <c r="D4963" t="inlineStr">
        <is>
          <t>VÄSTMANLANDS LÄN</t>
        </is>
      </c>
      <c r="E4963" t="inlineStr">
        <is>
          <t>KÖPING</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2523-2025</t>
        </is>
      </c>
      <c r="B4964" s="1" t="n">
        <v>45674</v>
      </c>
      <c r="C4964" s="1" t="n">
        <v>45757</v>
      </c>
      <c r="D4964" t="inlineStr">
        <is>
          <t>VÄSTMANLANDS LÄN</t>
        </is>
      </c>
      <c r="E4964" t="inlineStr">
        <is>
          <t>VÄSTERÅS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2521-2025</t>
        </is>
      </c>
      <c r="B4965" s="1" t="n">
        <v>45674</v>
      </c>
      <c r="C4965" s="1" t="n">
        <v>45757</v>
      </c>
      <c r="D4965" t="inlineStr">
        <is>
          <t>VÄSTMANLANDS LÄN</t>
        </is>
      </c>
      <c r="E4965" t="inlineStr">
        <is>
          <t>SALA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2690-2025</t>
        </is>
      </c>
      <c r="B4966" s="1" t="n">
        <v>45677</v>
      </c>
      <c r="C4966" s="1" t="n">
        <v>45757</v>
      </c>
      <c r="D4966" t="inlineStr">
        <is>
          <t>VÄSTMANLANDS LÄN</t>
        </is>
      </c>
      <c r="E4966" t="inlineStr">
        <is>
          <t>ARBOGA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3354-2025</t>
        </is>
      </c>
      <c r="B4967" s="1" t="n">
        <v>45679</v>
      </c>
      <c r="C4967" s="1" t="n">
        <v>45757</v>
      </c>
      <c r="D4967" t="inlineStr">
        <is>
          <t>VÄSTMANLANDS LÄN</t>
        </is>
      </c>
      <c r="E4967" t="inlineStr">
        <is>
          <t>NORBERG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3286-2025</t>
        </is>
      </c>
      <c r="B4968" s="1" t="n">
        <v>45679</v>
      </c>
      <c r="C4968" s="1" t="n">
        <v>45757</v>
      </c>
      <c r="D4968" t="inlineStr">
        <is>
          <t>VÄSTMANLANDS LÄN</t>
        </is>
      </c>
      <c r="E4968" t="inlineStr">
        <is>
          <t>SKINNSKATTEBERG</t>
        </is>
      </c>
      <c r="F4968" t="inlineStr">
        <is>
          <t>Sveaskog</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3229-2025</t>
        </is>
      </c>
      <c r="B4969" s="1" t="n">
        <v>45679</v>
      </c>
      <c r="C4969" s="1" t="n">
        <v>45757</v>
      </c>
      <c r="D4969" t="inlineStr">
        <is>
          <t>VÄSTMANLANDS LÄN</t>
        </is>
      </c>
      <c r="E4969" t="inlineStr">
        <is>
          <t>ARBOGA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3508-2025</t>
        </is>
      </c>
      <c r="B4970" s="1" t="n">
        <v>45680</v>
      </c>
      <c r="C4970" s="1" t="n">
        <v>45757</v>
      </c>
      <c r="D4970" t="inlineStr">
        <is>
          <t>VÄSTMANLANDS LÄN</t>
        </is>
      </c>
      <c r="E4970" t="inlineStr">
        <is>
          <t>KÖPING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3546-2025</t>
        </is>
      </c>
      <c r="B4971" s="1" t="n">
        <v>45680</v>
      </c>
      <c r="C4971" s="1" t="n">
        <v>45757</v>
      </c>
      <c r="D4971" t="inlineStr">
        <is>
          <t>VÄSTMANLANDS LÄN</t>
        </is>
      </c>
      <c r="E4971" t="inlineStr">
        <is>
          <t>SALA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4486-2025</t>
        </is>
      </c>
      <c r="B4972" s="1" t="n">
        <v>45686</v>
      </c>
      <c r="C4972" s="1" t="n">
        <v>45757</v>
      </c>
      <c r="D4972" t="inlineStr">
        <is>
          <t>VÄSTMANLANDS LÄN</t>
        </is>
      </c>
      <c r="E4972" t="inlineStr">
        <is>
          <t>FAGERSTA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4393-2025</t>
        </is>
      </c>
      <c r="B4973" s="1" t="n">
        <v>45686</v>
      </c>
      <c r="C4973" s="1" t="n">
        <v>45757</v>
      </c>
      <c r="D4973" t="inlineStr">
        <is>
          <t>VÄSTMANLANDS LÄN</t>
        </is>
      </c>
      <c r="E4973" t="inlineStr">
        <is>
          <t>SKINNSKATTEBERG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4389-2025</t>
        </is>
      </c>
      <c r="B4974" s="1" t="n">
        <v>45686</v>
      </c>
      <c r="C4974" s="1" t="n">
        <v>45757</v>
      </c>
      <c r="D4974" t="inlineStr">
        <is>
          <t>VÄSTMANLANDS LÄN</t>
        </is>
      </c>
      <c r="E4974" t="inlineStr">
        <is>
          <t>SALA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4385-2025</t>
        </is>
      </c>
      <c r="B4975" s="1" t="n">
        <v>45686</v>
      </c>
      <c r="C4975" s="1" t="n">
        <v>45757</v>
      </c>
      <c r="D4975" t="inlineStr">
        <is>
          <t>VÄSTMANLANDS LÄN</t>
        </is>
      </c>
      <c r="E4975" t="inlineStr">
        <is>
          <t>SKINNSKATTEBERG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4379-2025</t>
        </is>
      </c>
      <c r="B4976" s="1" t="n">
        <v>45686</v>
      </c>
      <c r="C4976" s="1" t="n">
        <v>45757</v>
      </c>
      <c r="D4976" t="inlineStr">
        <is>
          <t>VÄSTMANLANDS LÄN</t>
        </is>
      </c>
      <c r="E4976" t="inlineStr">
        <is>
          <t>SKINNSKATTEBERG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5225-2025</t>
        </is>
      </c>
      <c r="B4977" s="1" t="n">
        <v>45691</v>
      </c>
      <c r="C4977" s="1" t="n">
        <v>45757</v>
      </c>
      <c r="D4977" t="inlineStr">
        <is>
          <t>VÄSTMANLANDS LÄN</t>
        </is>
      </c>
      <c r="E4977" t="inlineStr">
        <is>
          <t>KÖPING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5032-2025</t>
        </is>
      </c>
      <c r="B4978" s="1" t="n">
        <v>45691</v>
      </c>
      <c r="C4978" s="1" t="n">
        <v>45757</v>
      </c>
      <c r="D4978" t="inlineStr">
        <is>
          <t>VÄSTMANLANDS LÄN</t>
        </is>
      </c>
      <c r="E4978" t="inlineStr">
        <is>
          <t>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5363-2025</t>
        </is>
      </c>
      <c r="B4979" s="1" t="n">
        <v>45692</v>
      </c>
      <c r="C4979" s="1" t="n">
        <v>45757</v>
      </c>
      <c r="D4979" t="inlineStr">
        <is>
          <t>VÄSTMANLANDS LÄN</t>
        </is>
      </c>
      <c r="E4979" t="inlineStr">
        <is>
          <t>VÄSTERÅS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5243-2025</t>
        </is>
      </c>
      <c r="B4980" s="1" t="n">
        <v>45692</v>
      </c>
      <c r="C4980" s="1" t="n">
        <v>45757</v>
      </c>
      <c r="D4980" t="inlineStr">
        <is>
          <t>VÄSTMANLANDS LÄN</t>
        </is>
      </c>
      <c r="E4980" t="inlineStr">
        <is>
          <t>ARBOGA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5283-2025</t>
        </is>
      </c>
      <c r="B4981" s="1" t="n">
        <v>45692</v>
      </c>
      <c r="C4981" s="1" t="n">
        <v>45757</v>
      </c>
      <c r="D4981" t="inlineStr">
        <is>
          <t>VÄSTMANLANDS LÄN</t>
        </is>
      </c>
      <c r="E4981" t="inlineStr">
        <is>
          <t>FAGERSTA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5505-2025</t>
        </is>
      </c>
      <c r="B4982" s="1" t="n">
        <v>45693</v>
      </c>
      <c r="C4982" s="1" t="n">
        <v>45757</v>
      </c>
      <c r="D4982" t="inlineStr">
        <is>
          <t>VÄSTMANLANDS LÄN</t>
        </is>
      </c>
      <c r="E4982" t="inlineStr">
        <is>
          <t>SKINNSKATTEBERG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5823-2025</t>
        </is>
      </c>
      <c r="B4983" s="1" t="n">
        <v>45694</v>
      </c>
      <c r="C4983" s="1" t="n">
        <v>45757</v>
      </c>
      <c r="D4983" t="inlineStr">
        <is>
          <t>VÄSTMANLANDS LÄN</t>
        </is>
      </c>
      <c r="E4983" t="inlineStr">
        <is>
          <t>SALA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5752-2025</t>
        </is>
      </c>
      <c r="B4984" s="1" t="n">
        <v>45694</v>
      </c>
      <c r="C4984" s="1" t="n">
        <v>45757</v>
      </c>
      <c r="D4984" t="inlineStr">
        <is>
          <t>VÄSTMANLANDS LÄN</t>
        </is>
      </c>
      <c r="E4984" t="inlineStr">
        <is>
          <t>ARBOGA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5824-2025</t>
        </is>
      </c>
      <c r="B4985" s="1" t="n">
        <v>45694</v>
      </c>
      <c r="C4985" s="1" t="n">
        <v>45757</v>
      </c>
      <c r="D4985" t="inlineStr">
        <is>
          <t>VÄSTMANLANDS LÄN</t>
        </is>
      </c>
      <c r="E4985" t="inlineStr">
        <is>
          <t>SALA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6032-2025</t>
        </is>
      </c>
      <c r="B4986" s="1" t="n">
        <v>45695</v>
      </c>
      <c r="C4986" s="1" t="n">
        <v>45757</v>
      </c>
      <c r="D4986" t="inlineStr">
        <is>
          <t>VÄSTMANLANDS LÄN</t>
        </is>
      </c>
      <c r="E4986" t="inlineStr">
        <is>
          <t>SALA</t>
        </is>
      </c>
      <c r="F4986" t="inlineStr">
        <is>
          <t>Bergvik skog öst AB</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6152-2025</t>
        </is>
      </c>
      <c r="B4987" s="1" t="n">
        <v>45695</v>
      </c>
      <c r="C4987" s="1" t="n">
        <v>45757</v>
      </c>
      <c r="D4987" t="inlineStr">
        <is>
          <t>VÄSTMANLANDS LÄN</t>
        </is>
      </c>
      <c r="E4987" t="inlineStr">
        <is>
          <t>VÄSTERÅS</t>
        </is>
      </c>
      <c r="F4987" t="inlineStr">
        <is>
          <t>Övriga Aktiebolag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6265-2025</t>
        </is>
      </c>
      <c r="B4988" s="1" t="n">
        <v>45696</v>
      </c>
      <c r="C4988" s="1" t="n">
        <v>45757</v>
      </c>
      <c r="D4988" t="inlineStr">
        <is>
          <t>VÄSTMANLANDS LÄN</t>
        </is>
      </c>
      <c r="E4988" t="inlineStr">
        <is>
          <t>ARBOGA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6183-2025</t>
        </is>
      </c>
      <c r="B4989" s="1" t="n">
        <v>45698</v>
      </c>
      <c r="C4989" s="1" t="n">
        <v>45757</v>
      </c>
      <c r="D4989" t="inlineStr">
        <is>
          <t>VÄSTMANLANDS LÄN</t>
        </is>
      </c>
      <c r="E4989" t="inlineStr">
        <is>
          <t>SALA</t>
        </is>
      </c>
      <c r="F4989" t="inlineStr">
        <is>
          <t>Bergvik skog öst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6322-2025</t>
        </is>
      </c>
      <c r="B4990" s="1" t="n">
        <v>45698</v>
      </c>
      <c r="C4990" s="1" t="n">
        <v>45757</v>
      </c>
      <c r="D4990" t="inlineStr">
        <is>
          <t>VÄSTMANLANDS LÄN</t>
        </is>
      </c>
      <c r="E4990" t="inlineStr">
        <is>
          <t>FAGERSTA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6312-2025</t>
        </is>
      </c>
      <c r="B4991" s="1" t="n">
        <v>45698</v>
      </c>
      <c r="C4991" s="1" t="n">
        <v>45757</v>
      </c>
      <c r="D4991" t="inlineStr">
        <is>
          <t>VÄSTMANLANDS LÄN</t>
        </is>
      </c>
      <c r="E4991" t="inlineStr">
        <is>
          <t>SALA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6190-2025</t>
        </is>
      </c>
      <c r="B4992" s="1" t="n">
        <v>45698</v>
      </c>
      <c r="C4992" s="1" t="n">
        <v>45757</v>
      </c>
      <c r="D4992" t="inlineStr">
        <is>
          <t>VÄSTMANLANDS LÄN</t>
        </is>
      </c>
      <c r="E4992" t="inlineStr">
        <is>
          <t>SALA</t>
        </is>
      </c>
      <c r="F4992" t="inlineStr">
        <is>
          <t>Bergvik skog öst AB</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6154-2025</t>
        </is>
      </c>
      <c r="B4993" s="1" t="n">
        <v>45698</v>
      </c>
      <c r="C4993" s="1" t="n">
        <v>45757</v>
      </c>
      <c r="D4993" t="inlineStr">
        <is>
          <t>VÄSTMANLANDS LÄN</t>
        </is>
      </c>
      <c r="E4993" t="inlineStr">
        <is>
          <t>SALA</t>
        </is>
      </c>
      <c r="F4993" t="inlineStr">
        <is>
          <t>Bergvik skog öst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6136-2025</t>
        </is>
      </c>
      <c r="B4994" s="1" t="n">
        <v>45698</v>
      </c>
      <c r="C4994" s="1" t="n">
        <v>45757</v>
      </c>
      <c r="D4994" t="inlineStr">
        <is>
          <t>VÄSTMANLANDS LÄN</t>
        </is>
      </c>
      <c r="E4994" t="inlineStr">
        <is>
          <t>SALA</t>
        </is>
      </c>
      <c r="F4994" t="inlineStr">
        <is>
          <t>Bergvik skog öst AB</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6132-2025</t>
        </is>
      </c>
      <c r="B4995" s="1" t="n">
        <v>45698</v>
      </c>
      <c r="C4995" s="1" t="n">
        <v>45757</v>
      </c>
      <c r="D4995" t="inlineStr">
        <is>
          <t>VÄSTMANLANDS LÄN</t>
        </is>
      </c>
      <c r="E4995" t="inlineStr">
        <is>
          <t>SALA</t>
        </is>
      </c>
      <c r="F4995" t="inlineStr">
        <is>
          <t>Bergvik skog öst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6127-2025</t>
        </is>
      </c>
      <c r="B4996" s="1" t="n">
        <v>45698</v>
      </c>
      <c r="C4996" s="1" t="n">
        <v>45757</v>
      </c>
      <c r="D4996" t="inlineStr">
        <is>
          <t>VÄSTMANLANDS LÄN</t>
        </is>
      </c>
      <c r="E4996" t="inlineStr">
        <is>
          <t>SALA</t>
        </is>
      </c>
      <c r="F4996" t="inlineStr">
        <is>
          <t>Bergvik skog öst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6493-2025</t>
        </is>
      </c>
      <c r="B4997" s="1" t="n">
        <v>45699</v>
      </c>
      <c r="C4997" s="1" t="n">
        <v>45757</v>
      </c>
      <c r="D4997" t="inlineStr">
        <is>
          <t>VÄSTMANLANDS LÄN</t>
        </is>
      </c>
      <c r="E4997" t="inlineStr">
        <is>
          <t>ARBOGA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6528-2025</t>
        </is>
      </c>
      <c r="B4998" s="1" t="n">
        <v>45699</v>
      </c>
      <c r="C4998" s="1" t="n">
        <v>45757</v>
      </c>
      <c r="D4998" t="inlineStr">
        <is>
          <t>VÄSTMANLANDS LÄN</t>
        </is>
      </c>
      <c r="E4998" t="inlineStr">
        <is>
          <t>ARBOGA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6388-2025</t>
        </is>
      </c>
      <c r="B4999" s="1" t="n">
        <v>45699</v>
      </c>
      <c r="C4999" s="1" t="n">
        <v>45757</v>
      </c>
      <c r="D4999" t="inlineStr">
        <is>
          <t>VÄSTMANLANDS LÄN</t>
        </is>
      </c>
      <c r="E4999" t="inlineStr">
        <is>
          <t>NORBERG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6518-2025</t>
        </is>
      </c>
      <c r="B5000" s="1" t="n">
        <v>45699</v>
      </c>
      <c r="C5000" s="1" t="n">
        <v>45757</v>
      </c>
      <c r="D5000" t="inlineStr">
        <is>
          <t>VÄSTMANLANDS LÄN</t>
        </is>
      </c>
      <c r="E5000" t="inlineStr">
        <is>
          <t>ARBOGA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6691-2025</t>
        </is>
      </c>
      <c r="B5001" s="1" t="n">
        <v>45700</v>
      </c>
      <c r="C5001" s="1" t="n">
        <v>45757</v>
      </c>
      <c r="D5001" t="inlineStr">
        <is>
          <t>VÄSTMANLANDS LÄN</t>
        </is>
      </c>
      <c r="E5001" t="inlineStr">
        <is>
          <t>SALA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7197-2025</t>
        </is>
      </c>
      <c r="B5002" s="1" t="n">
        <v>45702</v>
      </c>
      <c r="C5002" s="1" t="n">
        <v>45757</v>
      </c>
      <c r="D5002" t="inlineStr">
        <is>
          <t>VÄSTMANLANDS LÄN</t>
        </is>
      </c>
      <c r="E5002" t="inlineStr">
        <is>
          <t>SALA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7187-2025</t>
        </is>
      </c>
      <c r="B5003" s="1" t="n">
        <v>45702</v>
      </c>
      <c r="C5003" s="1" t="n">
        <v>45757</v>
      </c>
      <c r="D5003" t="inlineStr">
        <is>
          <t>VÄSTMANLANDS LÄN</t>
        </is>
      </c>
      <c r="E5003" t="inlineStr">
        <is>
          <t>ARBOGA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7245-2025</t>
        </is>
      </c>
      <c r="B5004" s="1" t="n">
        <v>45702</v>
      </c>
      <c r="C5004" s="1" t="n">
        <v>45757</v>
      </c>
      <c r="D5004" t="inlineStr">
        <is>
          <t>VÄSTMANLANDS LÄN</t>
        </is>
      </c>
      <c r="E5004" t="inlineStr">
        <is>
          <t>HALLSTAHAMMAR</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7196-2025</t>
        </is>
      </c>
      <c r="B5005" s="1" t="n">
        <v>45702</v>
      </c>
      <c r="C5005" s="1" t="n">
        <v>45757</v>
      </c>
      <c r="D5005" t="inlineStr">
        <is>
          <t>VÄSTMANLANDS LÄN</t>
        </is>
      </c>
      <c r="E5005" t="inlineStr">
        <is>
          <t>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7166-2025</t>
        </is>
      </c>
      <c r="B5006" s="1" t="n">
        <v>45702</v>
      </c>
      <c r="C5006" s="1" t="n">
        <v>45757</v>
      </c>
      <c r="D5006" t="inlineStr">
        <is>
          <t>VÄSTMANLANDS LÄN</t>
        </is>
      </c>
      <c r="E5006" t="inlineStr">
        <is>
          <t>SALA</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7195-2025</t>
        </is>
      </c>
      <c r="B5007" s="1" t="n">
        <v>45702</v>
      </c>
      <c r="C5007" s="1" t="n">
        <v>45757</v>
      </c>
      <c r="D5007" t="inlineStr">
        <is>
          <t>VÄSTMANLANDS LÄN</t>
        </is>
      </c>
      <c r="E5007" t="inlineStr">
        <is>
          <t>ARBOGA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7488-2025</t>
        </is>
      </c>
      <c r="B5008" s="1" t="n">
        <v>45705</v>
      </c>
      <c r="C5008" s="1" t="n">
        <v>45757</v>
      </c>
      <c r="D5008" t="inlineStr">
        <is>
          <t>VÄSTMANLANDS LÄN</t>
        </is>
      </c>
      <c r="E5008" t="inlineStr">
        <is>
          <t>NORBERG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7469-2025</t>
        </is>
      </c>
      <c r="B5009" s="1" t="n">
        <v>45705</v>
      </c>
      <c r="C5009" s="1" t="n">
        <v>45757</v>
      </c>
      <c r="D5009" t="inlineStr">
        <is>
          <t>VÄSTMANLANDS LÄN</t>
        </is>
      </c>
      <c r="E5009" t="inlineStr">
        <is>
          <t>SALA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7591-2025</t>
        </is>
      </c>
      <c r="B5010" s="1" t="n">
        <v>45705</v>
      </c>
      <c r="C5010" s="1" t="n">
        <v>45757</v>
      </c>
      <c r="D5010" t="inlineStr">
        <is>
          <t>VÄSTMANLANDS LÄN</t>
        </is>
      </c>
      <c r="E5010" t="inlineStr">
        <is>
          <t>KÖPING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7459-2025</t>
        </is>
      </c>
      <c r="B5011" s="1" t="n">
        <v>45705</v>
      </c>
      <c r="C5011" s="1" t="n">
        <v>45757</v>
      </c>
      <c r="D5011" t="inlineStr">
        <is>
          <t>VÄSTMANLANDS LÄN</t>
        </is>
      </c>
      <c r="E5011" t="inlineStr">
        <is>
          <t>SALA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7437-2025</t>
        </is>
      </c>
      <c r="B5012" s="1" t="n">
        <v>45705</v>
      </c>
      <c r="C5012" s="1" t="n">
        <v>45757</v>
      </c>
      <c r="D5012" t="inlineStr">
        <is>
          <t>VÄSTMANLANDS LÄN</t>
        </is>
      </c>
      <c r="E5012" t="inlineStr">
        <is>
          <t>VÄSTERÅS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7417-2025</t>
        </is>
      </c>
      <c r="B5013" s="1" t="n">
        <v>45705</v>
      </c>
      <c r="C5013" s="1" t="n">
        <v>45757</v>
      </c>
      <c r="D5013" t="inlineStr">
        <is>
          <t>VÄSTMANLANDS LÄN</t>
        </is>
      </c>
      <c r="E5013" t="inlineStr">
        <is>
          <t>NORBERG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7439-2025</t>
        </is>
      </c>
      <c r="B5014" s="1" t="n">
        <v>45705</v>
      </c>
      <c r="C5014" s="1" t="n">
        <v>45757</v>
      </c>
      <c r="D5014" t="inlineStr">
        <is>
          <t>VÄSTMANLANDS LÄN</t>
        </is>
      </c>
      <c r="E5014" t="inlineStr">
        <is>
          <t>VÄSTERÅS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7380-2025</t>
        </is>
      </c>
      <c r="B5015" s="1" t="n">
        <v>45705</v>
      </c>
      <c r="C5015" s="1" t="n">
        <v>45757</v>
      </c>
      <c r="D5015" t="inlineStr">
        <is>
          <t>VÄSTMANLANDS LÄN</t>
        </is>
      </c>
      <c r="E5015" t="inlineStr">
        <is>
          <t>FAGERSTA</t>
        </is>
      </c>
      <c r="F5015" t="inlineStr">
        <is>
          <t>Bergvik skog väst AB</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7467-2025</t>
        </is>
      </c>
      <c r="B5016" s="1" t="n">
        <v>45705</v>
      </c>
      <c r="C5016" s="1" t="n">
        <v>45757</v>
      </c>
      <c r="D5016" t="inlineStr">
        <is>
          <t>VÄSTMANLANDS LÄN</t>
        </is>
      </c>
      <c r="E5016" t="inlineStr">
        <is>
          <t>KÖPING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7874-2025</t>
        </is>
      </c>
      <c r="B5017" s="1" t="n">
        <v>45706</v>
      </c>
      <c r="C5017" s="1" t="n">
        <v>45757</v>
      </c>
      <c r="D5017" t="inlineStr">
        <is>
          <t>VÄSTMANLANDS LÄN</t>
        </is>
      </c>
      <c r="E5017" t="inlineStr">
        <is>
          <t>ARBOGA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7786-2025</t>
        </is>
      </c>
      <c r="B5018" s="1" t="n">
        <v>45706</v>
      </c>
      <c r="C5018" s="1" t="n">
        <v>45757</v>
      </c>
      <c r="D5018" t="inlineStr">
        <is>
          <t>VÄSTMANLANDS LÄN</t>
        </is>
      </c>
      <c r="E5018" t="inlineStr">
        <is>
          <t>ARBOGA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7703-2025</t>
        </is>
      </c>
      <c r="B5019" s="1" t="n">
        <v>45706</v>
      </c>
      <c r="C5019" s="1" t="n">
        <v>45757</v>
      </c>
      <c r="D5019" t="inlineStr">
        <is>
          <t>VÄSTMANLANDS LÄN</t>
        </is>
      </c>
      <c r="E5019" t="inlineStr">
        <is>
          <t>SALA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8062-2025</t>
        </is>
      </c>
      <c r="B5020" s="1" t="n">
        <v>45707</v>
      </c>
      <c r="C5020" s="1" t="n">
        <v>45757</v>
      </c>
      <c r="D5020" t="inlineStr">
        <is>
          <t>VÄSTMANLANDS LÄN</t>
        </is>
      </c>
      <c r="E5020" t="inlineStr">
        <is>
          <t>VÄSTERÅS</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7952-2025</t>
        </is>
      </c>
      <c r="B5021" s="1" t="n">
        <v>45707</v>
      </c>
      <c r="C5021" s="1" t="n">
        <v>45757</v>
      </c>
      <c r="D5021" t="inlineStr">
        <is>
          <t>VÄSTMANLANDS LÄN</t>
        </is>
      </c>
      <c r="E5021" t="inlineStr">
        <is>
          <t>KÖPING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8052-2025</t>
        </is>
      </c>
      <c r="B5022" s="1" t="n">
        <v>45707</v>
      </c>
      <c r="C5022" s="1" t="n">
        <v>45757</v>
      </c>
      <c r="D5022" t="inlineStr">
        <is>
          <t>VÄSTMANLANDS LÄN</t>
        </is>
      </c>
      <c r="E5022" t="inlineStr">
        <is>
          <t>VÄSTERÅS</t>
        </is>
      </c>
      <c r="F5022" t="inlineStr">
        <is>
          <t>Övriga Aktiebolag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7950-2025</t>
        </is>
      </c>
      <c r="B5023" s="1" t="n">
        <v>45707</v>
      </c>
      <c r="C5023" s="1" t="n">
        <v>45757</v>
      </c>
      <c r="D5023" t="inlineStr">
        <is>
          <t>VÄSTMANLANDS LÄN</t>
        </is>
      </c>
      <c r="E5023" t="inlineStr">
        <is>
          <t>SALA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7951-2025</t>
        </is>
      </c>
      <c r="B5024" s="1" t="n">
        <v>45707</v>
      </c>
      <c r="C5024" s="1" t="n">
        <v>45757</v>
      </c>
      <c r="D5024" t="inlineStr">
        <is>
          <t>VÄSTMANLANDS LÄN</t>
        </is>
      </c>
      <c r="E5024" t="inlineStr">
        <is>
          <t>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7948-2025</t>
        </is>
      </c>
      <c r="B5025" s="1" t="n">
        <v>45707</v>
      </c>
      <c r="C5025" s="1" t="n">
        <v>45757</v>
      </c>
      <c r="D5025" t="inlineStr">
        <is>
          <t>VÄSTMANLANDS LÄN</t>
        </is>
      </c>
      <c r="E5025" t="inlineStr">
        <is>
          <t>KÖPING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8285-2025</t>
        </is>
      </c>
      <c r="B5026" s="1" t="n">
        <v>45708</v>
      </c>
      <c r="C5026" s="1" t="n">
        <v>45757</v>
      </c>
      <c r="D5026" t="inlineStr">
        <is>
          <t>VÄSTMANLANDS LÄN</t>
        </is>
      </c>
      <c r="E5026" t="inlineStr">
        <is>
          <t>SALA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8147-2025</t>
        </is>
      </c>
      <c r="B5027" s="1" t="n">
        <v>45708</v>
      </c>
      <c r="C5027" s="1" t="n">
        <v>45757</v>
      </c>
      <c r="D5027" t="inlineStr">
        <is>
          <t>VÄSTMANLANDS LÄN</t>
        </is>
      </c>
      <c r="E5027" t="inlineStr">
        <is>
          <t>VÄSTERÅS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8358-2025</t>
        </is>
      </c>
      <c r="B5028" s="1" t="n">
        <v>45708</v>
      </c>
      <c r="C5028" s="1" t="n">
        <v>45757</v>
      </c>
      <c r="D5028" t="inlineStr">
        <is>
          <t>VÄSTMANLANDS LÄN</t>
        </is>
      </c>
      <c r="E5028" t="inlineStr">
        <is>
          <t>VÄSTERÅS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8395-2025</t>
        </is>
      </c>
      <c r="B5029" s="1" t="n">
        <v>45709</v>
      </c>
      <c r="C5029" s="1" t="n">
        <v>45757</v>
      </c>
      <c r="D5029" t="inlineStr">
        <is>
          <t>VÄSTMANLANDS LÄN</t>
        </is>
      </c>
      <c r="E5029" t="inlineStr">
        <is>
          <t>VÄSTERÅS</t>
        </is>
      </c>
      <c r="G5029" t="n">
        <v>0.9</v>
      </c>
      <c r="H5029" t="n">
        <v>0</v>
      </c>
      <c r="I5029" t="n">
        <v>0</v>
      </c>
      <c r="J5029" t="n">
        <v>0</v>
      </c>
      <c r="K5029" t="n">
        <v>0</v>
      </c>
      <c r="L5029" t="n">
        <v>0</v>
      </c>
      <c r="M5029" t="n">
        <v>0</v>
      </c>
      <c r="N5029" t="n">
        <v>0</v>
      </c>
      <c r="O5029" t="n">
        <v>0</v>
      </c>
      <c r="P5029" t="n">
        <v>0</v>
      </c>
      <c r="Q5029" t="n">
        <v>0</v>
      </c>
      <c r="R5029" s="2" t="inlineStr"/>
      <c r="U5029">
        <f>HYPERLINK("https://klasma.github.io/Logging_1980/knärot/A 8395-2025 karta knärot.png", "A 8395-2025")</f>
        <v/>
      </c>
      <c r="V5029">
        <f>HYPERLINK("https://klasma.github.io/Logging_1980/klagomål/A 8395-2025 FSC-klagomål.docx", "A 8395-2025")</f>
        <v/>
      </c>
      <c r="W5029">
        <f>HYPERLINK("https://klasma.github.io/Logging_1980/klagomålsmail/A 8395-2025 FSC-klagomål mail.docx", "A 8395-2025")</f>
        <v/>
      </c>
      <c r="X5029">
        <f>HYPERLINK("https://klasma.github.io/Logging_1980/tillsyn/A 8395-2025 tillsynsbegäran.docx", "A 8395-2025")</f>
        <v/>
      </c>
      <c r="Y5029">
        <f>HYPERLINK("https://klasma.github.io/Logging_1980/tillsynsmail/A 8395-2025 tillsynsbegäran mail.docx", "A 8395-2025")</f>
        <v/>
      </c>
    </row>
    <row r="5030" ht="15" customHeight="1">
      <c r="A5030" t="inlineStr">
        <is>
          <t>A 8525-2025</t>
        </is>
      </c>
      <c r="B5030" s="1" t="n">
        <v>45709</v>
      </c>
      <c r="C5030" s="1" t="n">
        <v>45757</v>
      </c>
      <c r="D5030" t="inlineStr">
        <is>
          <t>VÄSTMANLANDS LÄN</t>
        </is>
      </c>
      <c r="E5030" t="inlineStr">
        <is>
          <t>SKINNSKATTEBERG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8469-2025</t>
        </is>
      </c>
      <c r="B5031" s="1" t="n">
        <v>45709</v>
      </c>
      <c r="C5031" s="1" t="n">
        <v>45757</v>
      </c>
      <c r="D5031" t="inlineStr">
        <is>
          <t>VÄSTMANLANDS LÄN</t>
        </is>
      </c>
      <c r="E5031" t="inlineStr">
        <is>
          <t>KUNGSÖR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8467-2025</t>
        </is>
      </c>
      <c r="B5032" s="1" t="n">
        <v>45709</v>
      </c>
      <c r="C5032" s="1" t="n">
        <v>45757</v>
      </c>
      <c r="D5032" t="inlineStr">
        <is>
          <t>VÄSTMANLANDS LÄN</t>
        </is>
      </c>
      <c r="E5032" t="inlineStr">
        <is>
          <t>KUNGSÖR</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8477-2025</t>
        </is>
      </c>
      <c r="B5033" s="1" t="n">
        <v>45709</v>
      </c>
      <c r="C5033" s="1" t="n">
        <v>45757</v>
      </c>
      <c r="D5033" t="inlineStr">
        <is>
          <t>VÄSTMANLANDS LÄN</t>
        </is>
      </c>
      <c r="E5033" t="inlineStr">
        <is>
          <t>KUNGSÖR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8754-2025</t>
        </is>
      </c>
      <c r="B5034" s="1" t="n">
        <v>45712</v>
      </c>
      <c r="C5034" s="1" t="n">
        <v>45757</v>
      </c>
      <c r="D5034" t="inlineStr">
        <is>
          <t>VÄSTMANLANDS LÄN</t>
        </is>
      </c>
      <c r="E5034" t="inlineStr">
        <is>
          <t>ARBOGA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8822-2025</t>
        </is>
      </c>
      <c r="B5035" s="1" t="n">
        <v>45712</v>
      </c>
      <c r="C5035" s="1" t="n">
        <v>45757</v>
      </c>
      <c r="D5035" t="inlineStr">
        <is>
          <t>VÄSTMANLANDS LÄN</t>
        </is>
      </c>
      <c r="E5035" t="inlineStr">
        <is>
          <t>KÖPING</t>
        </is>
      </c>
      <c r="G5035" t="n">
        <v>21.6</v>
      </c>
      <c r="H5035" t="n">
        <v>0</v>
      </c>
      <c r="I5035" t="n">
        <v>0</v>
      </c>
      <c r="J5035" t="n">
        <v>0</v>
      </c>
      <c r="K5035" t="n">
        <v>0</v>
      </c>
      <c r="L5035" t="n">
        <v>0</v>
      </c>
      <c r="M5035" t="n">
        <v>0</v>
      </c>
      <c r="N5035" t="n">
        <v>0</v>
      </c>
      <c r="O5035" t="n">
        <v>0</v>
      </c>
      <c r="P5035" t="n">
        <v>0</v>
      </c>
      <c r="Q5035" t="n">
        <v>0</v>
      </c>
      <c r="R5035" s="2" t="inlineStr"/>
    </row>
    <row r="5036" ht="15" customHeight="1">
      <c r="A5036" t="inlineStr">
        <is>
          <t>A 8848-2025</t>
        </is>
      </c>
      <c r="B5036" s="1" t="n">
        <v>45713</v>
      </c>
      <c r="C5036" s="1" t="n">
        <v>45757</v>
      </c>
      <c r="D5036" t="inlineStr">
        <is>
          <t>VÄSTMANLANDS LÄN</t>
        </is>
      </c>
      <c r="E5036" t="inlineStr">
        <is>
          <t>HALLSTAHAMMAR</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9075-2025</t>
        </is>
      </c>
      <c r="B5037" s="1" t="n">
        <v>45713</v>
      </c>
      <c r="C5037" s="1" t="n">
        <v>45757</v>
      </c>
      <c r="D5037" t="inlineStr">
        <is>
          <t>VÄSTMANLANDS LÄN</t>
        </is>
      </c>
      <c r="E5037" t="inlineStr">
        <is>
          <t>NORBERG</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9013-2025</t>
        </is>
      </c>
      <c r="B5038" s="1" t="n">
        <v>45713</v>
      </c>
      <c r="C5038" s="1" t="n">
        <v>45757</v>
      </c>
      <c r="D5038" t="inlineStr">
        <is>
          <t>VÄSTMANLANDS LÄN</t>
        </is>
      </c>
      <c r="E5038" t="inlineStr">
        <is>
          <t>NORBERG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9095-2025</t>
        </is>
      </c>
      <c r="B5039" s="1" t="n">
        <v>45713</v>
      </c>
      <c r="C5039" s="1" t="n">
        <v>45757</v>
      </c>
      <c r="D5039" t="inlineStr">
        <is>
          <t>VÄSTMANLANDS LÄN</t>
        </is>
      </c>
      <c r="E5039" t="inlineStr">
        <is>
          <t>SALA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9103-2025</t>
        </is>
      </c>
      <c r="B5040" s="1" t="n">
        <v>45713</v>
      </c>
      <c r="C5040" s="1" t="n">
        <v>45757</v>
      </c>
      <c r="D5040" t="inlineStr">
        <is>
          <t>VÄSTMANLANDS LÄN</t>
        </is>
      </c>
      <c r="E5040" t="inlineStr">
        <is>
          <t>VÄSTERÅS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9006-2025</t>
        </is>
      </c>
      <c r="B5041" s="1" t="n">
        <v>45713</v>
      </c>
      <c r="C5041" s="1" t="n">
        <v>45757</v>
      </c>
      <c r="D5041" t="inlineStr">
        <is>
          <t>VÄSTMANLANDS LÄN</t>
        </is>
      </c>
      <c r="E5041" t="inlineStr">
        <is>
          <t>SALA</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9201-2025</t>
        </is>
      </c>
      <c r="B5042" s="1" t="n">
        <v>45714</v>
      </c>
      <c r="C5042" s="1" t="n">
        <v>45757</v>
      </c>
      <c r="D5042" t="inlineStr">
        <is>
          <t>VÄSTMANLANDS LÄN</t>
        </is>
      </c>
      <c r="E5042" t="inlineStr">
        <is>
          <t>NORBERG</t>
        </is>
      </c>
      <c r="F5042" t="inlineStr">
        <is>
          <t>Bergvik skog väst AB</t>
        </is>
      </c>
      <c r="G5042" t="n">
        <v>15.4</v>
      </c>
      <c r="H5042" t="n">
        <v>0</v>
      </c>
      <c r="I5042" t="n">
        <v>0</v>
      </c>
      <c r="J5042" t="n">
        <v>0</v>
      </c>
      <c r="K5042" t="n">
        <v>0</v>
      </c>
      <c r="L5042" t="n">
        <v>0</v>
      </c>
      <c r="M5042" t="n">
        <v>0</v>
      </c>
      <c r="N5042" t="n">
        <v>0</v>
      </c>
      <c r="O5042" t="n">
        <v>0</v>
      </c>
      <c r="P5042" t="n">
        <v>0</v>
      </c>
      <c r="Q5042" t="n">
        <v>0</v>
      </c>
      <c r="R5042" s="2" t="inlineStr"/>
    </row>
    <row r="5043" ht="15" customHeight="1">
      <c r="A5043" t="inlineStr">
        <is>
          <t>A 9238-2025</t>
        </is>
      </c>
      <c r="B5043" s="1" t="n">
        <v>45714</v>
      </c>
      <c r="C5043" s="1" t="n">
        <v>45757</v>
      </c>
      <c r="D5043" t="inlineStr">
        <is>
          <t>VÄSTMANLANDS LÄN</t>
        </is>
      </c>
      <c r="E5043" t="inlineStr">
        <is>
          <t>ARBOGA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9182-2025</t>
        </is>
      </c>
      <c r="B5044" s="1" t="n">
        <v>45714</v>
      </c>
      <c r="C5044" s="1" t="n">
        <v>45757</v>
      </c>
      <c r="D5044" t="inlineStr">
        <is>
          <t>VÄSTMANLANDS LÄN</t>
        </is>
      </c>
      <c r="E5044" t="inlineStr">
        <is>
          <t>NORBERG</t>
        </is>
      </c>
      <c r="F5044" t="inlineStr">
        <is>
          <t>Övriga Aktiebolag</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9627-2025</t>
        </is>
      </c>
      <c r="B5045" s="1" t="n">
        <v>45715</v>
      </c>
      <c r="C5045" s="1" t="n">
        <v>45757</v>
      </c>
      <c r="D5045" t="inlineStr">
        <is>
          <t>VÄSTMANLANDS LÄN</t>
        </is>
      </c>
      <c r="E5045" t="inlineStr">
        <is>
          <t>NORBERG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9580-2025</t>
        </is>
      </c>
      <c r="B5046" s="1" t="n">
        <v>45715</v>
      </c>
      <c r="C5046" s="1" t="n">
        <v>45757</v>
      </c>
      <c r="D5046" t="inlineStr">
        <is>
          <t>VÄSTMANLANDS LÄN</t>
        </is>
      </c>
      <c r="E5046" t="inlineStr">
        <is>
          <t>VÄSTERÅS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9636-2025</t>
        </is>
      </c>
      <c r="B5047" s="1" t="n">
        <v>45715</v>
      </c>
      <c r="C5047" s="1" t="n">
        <v>45757</v>
      </c>
      <c r="D5047" t="inlineStr">
        <is>
          <t>VÄSTMANLANDS LÄN</t>
        </is>
      </c>
      <c r="E5047" t="inlineStr">
        <is>
          <t>VÄSTERÅS</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10099-2025</t>
        </is>
      </c>
      <c r="B5048" s="1" t="n">
        <v>45719</v>
      </c>
      <c r="C5048" s="1" t="n">
        <v>45757</v>
      </c>
      <c r="D5048" t="inlineStr">
        <is>
          <t>VÄSTMANLANDS LÄN</t>
        </is>
      </c>
      <c r="E5048" t="inlineStr">
        <is>
          <t>KÖPING</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10142-2025</t>
        </is>
      </c>
      <c r="B5049" s="1" t="n">
        <v>45719</v>
      </c>
      <c r="C5049" s="1" t="n">
        <v>45757</v>
      </c>
      <c r="D5049" t="inlineStr">
        <is>
          <t>VÄSTMANLANDS LÄN</t>
        </is>
      </c>
      <c r="E5049" t="inlineStr">
        <is>
          <t>SKINNSKATTEBERG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10096-2025</t>
        </is>
      </c>
      <c r="B5050" s="1" t="n">
        <v>45719</v>
      </c>
      <c r="C5050" s="1" t="n">
        <v>45757</v>
      </c>
      <c r="D5050" t="inlineStr">
        <is>
          <t>VÄSTMANLANDS LÄN</t>
        </is>
      </c>
      <c r="E5050" t="inlineStr">
        <is>
          <t>KÖPING</t>
        </is>
      </c>
      <c r="F5050" t="inlineStr">
        <is>
          <t>Sveaskog</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9962-2025</t>
        </is>
      </c>
      <c r="B5051" s="1" t="n">
        <v>45719</v>
      </c>
      <c r="C5051" s="1" t="n">
        <v>45757</v>
      </c>
      <c r="D5051" t="inlineStr">
        <is>
          <t>VÄSTMANLANDS LÄN</t>
        </is>
      </c>
      <c r="E5051" t="inlineStr">
        <is>
          <t>SALA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10472-2025</t>
        </is>
      </c>
      <c r="B5052" s="1" t="n">
        <v>45720</v>
      </c>
      <c r="C5052" s="1" t="n">
        <v>45757</v>
      </c>
      <c r="D5052" t="inlineStr">
        <is>
          <t>VÄSTMANLANDS LÄN</t>
        </is>
      </c>
      <c r="E5052" t="inlineStr">
        <is>
          <t>NORBERG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10396-2025</t>
        </is>
      </c>
      <c r="B5053" s="1" t="n">
        <v>45720</v>
      </c>
      <c r="C5053" s="1" t="n">
        <v>45757</v>
      </c>
      <c r="D5053" t="inlineStr">
        <is>
          <t>VÄSTMANLANDS LÄN</t>
        </is>
      </c>
      <c r="E5053" t="inlineStr">
        <is>
          <t>SURAHAMMAR</t>
        </is>
      </c>
      <c r="F5053" t="inlineStr">
        <is>
          <t>Allmännings- och besparingsskogar</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10413-2025</t>
        </is>
      </c>
      <c r="B5054" s="1" t="n">
        <v>45720</v>
      </c>
      <c r="C5054" s="1" t="n">
        <v>45757</v>
      </c>
      <c r="D5054" t="inlineStr">
        <is>
          <t>VÄSTMANLANDS LÄN</t>
        </is>
      </c>
      <c r="E5054" t="inlineStr">
        <is>
          <t>HALLSTAHAMMAR</t>
        </is>
      </c>
      <c r="F5054" t="inlineStr">
        <is>
          <t>Allmännings- och besparingsskogar</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10232-2025</t>
        </is>
      </c>
      <c r="B5055" s="1" t="n">
        <v>45720</v>
      </c>
      <c r="C5055" s="1" t="n">
        <v>45757</v>
      </c>
      <c r="D5055" t="inlineStr">
        <is>
          <t>VÄSTMANLANDS LÄN</t>
        </is>
      </c>
      <c r="E5055" t="inlineStr">
        <is>
          <t>SKINNSKATTEBERG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10380-2025</t>
        </is>
      </c>
      <c r="B5056" s="1" t="n">
        <v>45720</v>
      </c>
      <c r="C5056" s="1" t="n">
        <v>45757</v>
      </c>
      <c r="D5056" t="inlineStr">
        <is>
          <t>VÄSTMANLANDS LÄN</t>
        </is>
      </c>
      <c r="E5056" t="inlineStr">
        <is>
          <t>HALLSTAHAMMAR</t>
        </is>
      </c>
      <c r="F5056" t="inlineStr">
        <is>
          <t>Allmännings- och besparingsskogar</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10248-2025</t>
        </is>
      </c>
      <c r="B5057" s="1" t="n">
        <v>45720</v>
      </c>
      <c r="C5057" s="1" t="n">
        <v>45757</v>
      </c>
      <c r="D5057" t="inlineStr">
        <is>
          <t>VÄSTMANLANDS LÄN</t>
        </is>
      </c>
      <c r="E5057" t="inlineStr">
        <is>
          <t>SALA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10284-2025</t>
        </is>
      </c>
      <c r="B5058" s="1" t="n">
        <v>45720</v>
      </c>
      <c r="C5058" s="1" t="n">
        <v>45757</v>
      </c>
      <c r="D5058" t="inlineStr">
        <is>
          <t>VÄSTMANLANDS LÄN</t>
        </is>
      </c>
      <c r="E5058" t="inlineStr">
        <is>
          <t>ARBOGA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10250-2025</t>
        </is>
      </c>
      <c r="B5059" s="1" t="n">
        <v>45720</v>
      </c>
      <c r="C5059" s="1" t="n">
        <v>45757</v>
      </c>
      <c r="D5059" t="inlineStr">
        <is>
          <t>VÄSTMANLANDS LÄN</t>
        </is>
      </c>
      <c r="E5059" t="inlineStr">
        <is>
          <t>SALA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10322-2025</t>
        </is>
      </c>
      <c r="B5060" s="1" t="n">
        <v>45720</v>
      </c>
      <c r="C5060" s="1" t="n">
        <v>45757</v>
      </c>
      <c r="D5060" t="inlineStr">
        <is>
          <t>VÄSTMANLANDS LÄN</t>
        </is>
      </c>
      <c r="E5060" t="inlineStr">
        <is>
          <t>VÄSTERÅS</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10253-2025</t>
        </is>
      </c>
      <c r="B5061" s="1" t="n">
        <v>45720</v>
      </c>
      <c r="C5061" s="1" t="n">
        <v>45757</v>
      </c>
      <c r="D5061" t="inlineStr">
        <is>
          <t>VÄSTMANLANDS LÄN</t>
        </is>
      </c>
      <c r="E5061" t="inlineStr">
        <is>
          <t>ARBOGA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10508-2025</t>
        </is>
      </c>
      <c r="B5062" s="1" t="n">
        <v>45721</v>
      </c>
      <c r="C5062" s="1" t="n">
        <v>45757</v>
      </c>
      <c r="D5062" t="inlineStr">
        <is>
          <t>VÄSTMANLANDS LÄN</t>
        </is>
      </c>
      <c r="E5062" t="inlineStr">
        <is>
          <t>SALA</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10824-2025</t>
        </is>
      </c>
      <c r="B5063" s="1" t="n">
        <v>45722</v>
      </c>
      <c r="C5063" s="1" t="n">
        <v>45757</v>
      </c>
      <c r="D5063" t="inlineStr">
        <is>
          <t>VÄSTMANLANDS LÄN</t>
        </is>
      </c>
      <c r="E5063" t="inlineStr">
        <is>
          <t>SALA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10820-2025</t>
        </is>
      </c>
      <c r="B5064" s="1" t="n">
        <v>45722</v>
      </c>
      <c r="C5064" s="1" t="n">
        <v>45757</v>
      </c>
      <c r="D5064" t="inlineStr">
        <is>
          <t>VÄSTMANLANDS LÄN</t>
        </is>
      </c>
      <c r="E5064" t="inlineStr">
        <is>
          <t>FAGERSTA</t>
        </is>
      </c>
      <c r="F5064" t="inlineStr">
        <is>
          <t>Sveaskog</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10913-2025</t>
        </is>
      </c>
      <c r="B5065" s="1" t="n">
        <v>45722</v>
      </c>
      <c r="C5065" s="1" t="n">
        <v>45757</v>
      </c>
      <c r="D5065" t="inlineStr">
        <is>
          <t>VÄSTMANLANDS LÄN</t>
        </is>
      </c>
      <c r="E5065" t="inlineStr">
        <is>
          <t>SALA</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11153-2025</t>
        </is>
      </c>
      <c r="B5066" s="1" t="n">
        <v>45723</v>
      </c>
      <c r="C5066" s="1" t="n">
        <v>45757</v>
      </c>
      <c r="D5066" t="inlineStr">
        <is>
          <t>VÄSTMANLANDS LÄN</t>
        </is>
      </c>
      <c r="E5066" t="inlineStr">
        <is>
          <t>SALA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11210-2025</t>
        </is>
      </c>
      <c r="B5067" s="1" t="n">
        <v>45726</v>
      </c>
      <c r="C5067" s="1" t="n">
        <v>45757</v>
      </c>
      <c r="D5067" t="inlineStr">
        <is>
          <t>VÄSTMANLANDS LÄN</t>
        </is>
      </c>
      <c r="E5067" t="inlineStr">
        <is>
          <t>SALA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11583-2025</t>
        </is>
      </c>
      <c r="B5068" s="1" t="n">
        <v>45727</v>
      </c>
      <c r="C5068" s="1" t="n">
        <v>45757</v>
      </c>
      <c r="D5068" t="inlineStr">
        <is>
          <t>VÄSTMANLANDS LÄN</t>
        </is>
      </c>
      <c r="E5068" t="inlineStr">
        <is>
          <t>FAGERSTA</t>
        </is>
      </c>
      <c r="F5068" t="inlineStr">
        <is>
          <t>Kommuner</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11696-2025</t>
        </is>
      </c>
      <c r="B5069" s="1" t="n">
        <v>45727</v>
      </c>
      <c r="C5069" s="1" t="n">
        <v>45757</v>
      </c>
      <c r="D5069" t="inlineStr">
        <is>
          <t>VÄSTMANLANDS LÄN</t>
        </is>
      </c>
      <c r="E5069" t="inlineStr">
        <is>
          <t>SALA</t>
        </is>
      </c>
      <c r="F5069" t="inlineStr">
        <is>
          <t>Bergvik skog öst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11771-2025</t>
        </is>
      </c>
      <c r="B5070" s="1" t="n">
        <v>45727</v>
      </c>
      <c r="C5070" s="1" t="n">
        <v>45757</v>
      </c>
      <c r="D5070" t="inlineStr">
        <is>
          <t>VÄSTMANLANDS LÄN</t>
        </is>
      </c>
      <c r="E5070" t="inlineStr">
        <is>
          <t>KUNGSÖR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11927-2025</t>
        </is>
      </c>
      <c r="B5071" s="1" t="n">
        <v>45728</v>
      </c>
      <c r="C5071" s="1" t="n">
        <v>45757</v>
      </c>
      <c r="D5071" t="inlineStr">
        <is>
          <t>VÄSTMANLANDS LÄN</t>
        </is>
      </c>
      <c r="E5071" t="inlineStr">
        <is>
          <t>SALA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12110-2025</t>
        </is>
      </c>
      <c r="B5072" s="1" t="n">
        <v>45729</v>
      </c>
      <c r="C5072" s="1" t="n">
        <v>45757</v>
      </c>
      <c r="D5072" t="inlineStr">
        <is>
          <t>VÄSTMANLANDS LÄN</t>
        </is>
      </c>
      <c r="E5072" t="inlineStr">
        <is>
          <t>NORBERG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12229-2025</t>
        </is>
      </c>
      <c r="B5073" s="1" t="n">
        <v>45729</v>
      </c>
      <c r="C5073" s="1" t="n">
        <v>45757</v>
      </c>
      <c r="D5073" t="inlineStr">
        <is>
          <t>VÄSTMANLANDS LÄN</t>
        </is>
      </c>
      <c r="E5073" t="inlineStr">
        <is>
          <t>VÄSTERÅS</t>
        </is>
      </c>
      <c r="G5073" t="n">
        <v>8.699999999999999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12293-2025</t>
        </is>
      </c>
      <c r="B5074" s="1" t="n">
        <v>45729</v>
      </c>
      <c r="C5074" s="1" t="n">
        <v>45757</v>
      </c>
      <c r="D5074" t="inlineStr">
        <is>
          <t>VÄSTMANLANDS LÄN</t>
        </is>
      </c>
      <c r="E5074" t="inlineStr">
        <is>
          <t>SALA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12526-2025</t>
        </is>
      </c>
      <c r="B5075" s="1" t="n">
        <v>45730</v>
      </c>
      <c r="C5075" s="1" t="n">
        <v>45757</v>
      </c>
      <c r="D5075" t="inlineStr">
        <is>
          <t>VÄSTMANLANDS LÄN</t>
        </is>
      </c>
      <c r="E5075" t="inlineStr">
        <is>
          <t>NORBERG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12566-2025</t>
        </is>
      </c>
      <c r="B5076" s="1" t="n">
        <v>45731</v>
      </c>
      <c r="C5076" s="1" t="n">
        <v>45757</v>
      </c>
      <c r="D5076" t="inlineStr">
        <is>
          <t>VÄSTMANLANDS LÄN</t>
        </is>
      </c>
      <c r="E5076" t="inlineStr">
        <is>
          <t>ARBOGA</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12756-2025</t>
        </is>
      </c>
      <c r="B5077" s="1" t="n">
        <v>45733</v>
      </c>
      <c r="C5077" s="1" t="n">
        <v>45757</v>
      </c>
      <c r="D5077" t="inlineStr">
        <is>
          <t>VÄSTMANLANDS LÄN</t>
        </is>
      </c>
      <c r="E5077" t="inlineStr">
        <is>
          <t>SALA</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12913-2025</t>
        </is>
      </c>
      <c r="B5078" s="1" t="n">
        <v>45733</v>
      </c>
      <c r="C5078" s="1" t="n">
        <v>45757</v>
      </c>
      <c r="D5078" t="inlineStr">
        <is>
          <t>VÄSTMANLANDS LÄN</t>
        </is>
      </c>
      <c r="E5078" t="inlineStr">
        <is>
          <t>FAGERSTA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12918-2025</t>
        </is>
      </c>
      <c r="B5079" s="1" t="n">
        <v>45733</v>
      </c>
      <c r="C5079" s="1" t="n">
        <v>45757</v>
      </c>
      <c r="D5079" t="inlineStr">
        <is>
          <t>VÄSTMANLANDS LÄN</t>
        </is>
      </c>
      <c r="E5079" t="inlineStr">
        <is>
          <t>SALA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12989-2025</t>
        </is>
      </c>
      <c r="B5080" s="1" t="n">
        <v>45734</v>
      </c>
      <c r="C5080" s="1" t="n">
        <v>45757</v>
      </c>
      <c r="D5080" t="inlineStr">
        <is>
          <t>VÄSTMANLANDS LÄN</t>
        </is>
      </c>
      <c r="E5080" t="inlineStr">
        <is>
          <t>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13041-2025</t>
        </is>
      </c>
      <c r="B5081" s="1" t="n">
        <v>45734</v>
      </c>
      <c r="C5081" s="1" t="n">
        <v>45757</v>
      </c>
      <c r="D5081" t="inlineStr">
        <is>
          <t>VÄSTMANLANDS LÄN</t>
        </is>
      </c>
      <c r="E5081" t="inlineStr">
        <is>
          <t>KÖPING</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12919-2025</t>
        </is>
      </c>
      <c r="B5082" s="1" t="n">
        <v>45734</v>
      </c>
      <c r="C5082" s="1" t="n">
        <v>45757</v>
      </c>
      <c r="D5082" t="inlineStr">
        <is>
          <t>VÄSTMANLANDS LÄN</t>
        </is>
      </c>
      <c r="E5082" t="inlineStr">
        <is>
          <t>VÄSTERÅS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13127-2025</t>
        </is>
      </c>
      <c r="B5083" s="1" t="n">
        <v>45734</v>
      </c>
      <c r="C5083" s="1" t="n">
        <v>45757</v>
      </c>
      <c r="D5083" t="inlineStr">
        <is>
          <t>VÄSTMANLANDS LÄN</t>
        </is>
      </c>
      <c r="E5083" t="inlineStr">
        <is>
          <t>SALA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13042-2025</t>
        </is>
      </c>
      <c r="B5084" s="1" t="n">
        <v>45734</v>
      </c>
      <c r="C5084" s="1" t="n">
        <v>45757</v>
      </c>
      <c r="D5084" t="inlineStr">
        <is>
          <t>VÄSTMANLANDS LÄN</t>
        </is>
      </c>
      <c r="E5084" t="inlineStr">
        <is>
          <t>KÖPING</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13047-2025</t>
        </is>
      </c>
      <c r="B5085" s="1" t="n">
        <v>45734</v>
      </c>
      <c r="C5085" s="1" t="n">
        <v>45757</v>
      </c>
      <c r="D5085" t="inlineStr">
        <is>
          <t>VÄSTMANLANDS LÄN</t>
        </is>
      </c>
      <c r="E5085" t="inlineStr">
        <is>
          <t>KÖPING</t>
        </is>
      </c>
      <c r="F5085" t="inlineStr">
        <is>
          <t>Sveaskog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13130-2025</t>
        </is>
      </c>
      <c r="B5086" s="1" t="n">
        <v>45734</v>
      </c>
      <c r="C5086" s="1" t="n">
        <v>45757</v>
      </c>
      <c r="D5086" t="inlineStr">
        <is>
          <t>VÄSTMANLANDS LÄN</t>
        </is>
      </c>
      <c r="E5086" t="inlineStr">
        <is>
          <t>SALA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13049-2025</t>
        </is>
      </c>
      <c r="B5087" s="1" t="n">
        <v>45734</v>
      </c>
      <c r="C5087" s="1" t="n">
        <v>45757</v>
      </c>
      <c r="D5087" t="inlineStr">
        <is>
          <t>VÄSTMANLANDS LÄN</t>
        </is>
      </c>
      <c r="E5087" t="inlineStr">
        <is>
          <t>KÖPING</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13043-2025</t>
        </is>
      </c>
      <c r="B5088" s="1" t="n">
        <v>45734</v>
      </c>
      <c r="C5088" s="1" t="n">
        <v>45757</v>
      </c>
      <c r="D5088" t="inlineStr">
        <is>
          <t>VÄSTMANLANDS LÄN</t>
        </is>
      </c>
      <c r="E5088" t="inlineStr">
        <is>
          <t>KÖPING</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13050-2025</t>
        </is>
      </c>
      <c r="B5089" s="1" t="n">
        <v>45734</v>
      </c>
      <c r="C5089" s="1" t="n">
        <v>45757</v>
      </c>
      <c r="D5089" t="inlineStr">
        <is>
          <t>VÄSTMANLANDS LÄN</t>
        </is>
      </c>
      <c r="E5089" t="inlineStr">
        <is>
          <t>KÖPING</t>
        </is>
      </c>
      <c r="F5089" t="inlineStr">
        <is>
          <t>Sveaskog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13129-2025</t>
        </is>
      </c>
      <c r="B5090" s="1" t="n">
        <v>45734</v>
      </c>
      <c r="C5090" s="1" t="n">
        <v>45757</v>
      </c>
      <c r="D5090" t="inlineStr">
        <is>
          <t>VÄSTMANLANDS LÄN</t>
        </is>
      </c>
      <c r="E5090" t="inlineStr">
        <is>
          <t>SALA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12921-2025</t>
        </is>
      </c>
      <c r="B5091" s="1" t="n">
        <v>45734</v>
      </c>
      <c r="C5091" s="1" t="n">
        <v>45757</v>
      </c>
      <c r="D5091" t="inlineStr">
        <is>
          <t>VÄSTMANLANDS LÄN</t>
        </is>
      </c>
      <c r="E5091" t="inlineStr">
        <is>
          <t>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12922-2025</t>
        </is>
      </c>
      <c r="B5092" s="1" t="n">
        <v>45734</v>
      </c>
      <c r="C5092" s="1" t="n">
        <v>45757</v>
      </c>
      <c r="D5092" t="inlineStr">
        <is>
          <t>VÄSTMANLANDS LÄN</t>
        </is>
      </c>
      <c r="E5092" t="inlineStr">
        <is>
          <t>SALA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13128-2025</t>
        </is>
      </c>
      <c r="B5093" s="1" t="n">
        <v>45734</v>
      </c>
      <c r="C5093" s="1" t="n">
        <v>45757</v>
      </c>
      <c r="D5093" t="inlineStr">
        <is>
          <t>VÄSTMANLANDS LÄN</t>
        </is>
      </c>
      <c r="E5093" t="inlineStr">
        <is>
          <t>SALA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13000-2025</t>
        </is>
      </c>
      <c r="B5094" s="1" t="n">
        <v>45734</v>
      </c>
      <c r="C5094" s="1" t="n">
        <v>45757</v>
      </c>
      <c r="D5094" t="inlineStr">
        <is>
          <t>VÄSTMANLANDS LÄN</t>
        </is>
      </c>
      <c r="E5094" t="inlineStr">
        <is>
          <t>SALA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13046-2025</t>
        </is>
      </c>
      <c r="B5095" s="1" t="n">
        <v>45734</v>
      </c>
      <c r="C5095" s="1" t="n">
        <v>45757</v>
      </c>
      <c r="D5095" t="inlineStr">
        <is>
          <t>VÄSTMANLANDS LÄN</t>
        </is>
      </c>
      <c r="E5095" t="inlineStr">
        <is>
          <t>KÖPING</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13188-2025</t>
        </is>
      </c>
      <c r="B5096" s="1" t="n">
        <v>45735</v>
      </c>
      <c r="C5096" s="1" t="n">
        <v>45757</v>
      </c>
      <c r="D5096" t="inlineStr">
        <is>
          <t>VÄSTMANLANDS LÄN</t>
        </is>
      </c>
      <c r="E5096" t="inlineStr">
        <is>
          <t>SALA</t>
        </is>
      </c>
      <c r="F5096" t="inlineStr">
        <is>
          <t>Naturvårdsverket</t>
        </is>
      </c>
      <c r="G5096" t="n">
        <v>18.4</v>
      </c>
      <c r="H5096" t="n">
        <v>0</v>
      </c>
      <c r="I5096" t="n">
        <v>0</v>
      </c>
      <c r="J5096" t="n">
        <v>0</v>
      </c>
      <c r="K5096" t="n">
        <v>0</v>
      </c>
      <c r="L5096" t="n">
        <v>0</v>
      </c>
      <c r="M5096" t="n">
        <v>0</v>
      </c>
      <c r="N5096" t="n">
        <v>0</v>
      </c>
      <c r="O5096" t="n">
        <v>0</v>
      </c>
      <c r="P5096" t="n">
        <v>0</v>
      </c>
      <c r="Q5096" t="n">
        <v>0</v>
      </c>
      <c r="R5096" s="2" t="inlineStr"/>
    </row>
    <row r="5097" ht="15" customHeight="1">
      <c r="A5097" t="inlineStr">
        <is>
          <t>A 13241-2025</t>
        </is>
      </c>
      <c r="B5097" s="1" t="n">
        <v>45735</v>
      </c>
      <c r="C5097" s="1" t="n">
        <v>45757</v>
      </c>
      <c r="D5097" t="inlineStr">
        <is>
          <t>VÄSTMANLANDS LÄN</t>
        </is>
      </c>
      <c r="E5097" t="inlineStr">
        <is>
          <t>VÄSTERÅS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13228-2025</t>
        </is>
      </c>
      <c r="B5098" s="1" t="n">
        <v>45735</v>
      </c>
      <c r="C5098" s="1" t="n">
        <v>45757</v>
      </c>
      <c r="D5098" t="inlineStr">
        <is>
          <t>VÄSTMANLANDS LÄN</t>
        </is>
      </c>
      <c r="E5098" t="inlineStr">
        <is>
          <t>VÄSTERÅS</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13386-2025</t>
        </is>
      </c>
      <c r="B5099" s="1" t="n">
        <v>45735</v>
      </c>
      <c r="C5099" s="1" t="n">
        <v>45757</v>
      </c>
      <c r="D5099" t="inlineStr">
        <is>
          <t>VÄSTMANLANDS LÄN</t>
        </is>
      </c>
      <c r="E5099" t="inlineStr">
        <is>
          <t>SURAHAMMAR</t>
        </is>
      </c>
      <c r="F5099" t="inlineStr">
        <is>
          <t>Bergvik skog väst AB</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45757</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13338-2025</t>
        </is>
      </c>
      <c r="B5101" s="1" t="n">
        <v>45735</v>
      </c>
      <c r="C5101" s="1" t="n">
        <v>45757</v>
      </c>
      <c r="D5101" t="inlineStr">
        <is>
          <t>VÄSTMANLANDS LÄN</t>
        </is>
      </c>
      <c r="E5101" t="inlineStr">
        <is>
          <t>VÄSTERÅS</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13388-2025</t>
        </is>
      </c>
      <c r="B5102" s="1" t="n">
        <v>45735</v>
      </c>
      <c r="C5102" s="1" t="n">
        <v>45757</v>
      </c>
      <c r="D5102" t="inlineStr">
        <is>
          <t>VÄSTMANLANDS LÄN</t>
        </is>
      </c>
      <c r="E5102" t="inlineStr">
        <is>
          <t>VÄSTERÅS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13531-2025</t>
        </is>
      </c>
      <c r="B5103" s="1" t="n">
        <v>45736</v>
      </c>
      <c r="C5103" s="1" t="n">
        <v>45757</v>
      </c>
      <c r="D5103" t="inlineStr">
        <is>
          <t>VÄSTMANLANDS LÄN</t>
        </is>
      </c>
      <c r="E5103" t="inlineStr">
        <is>
          <t>HALLSTAHAMMAR</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13477-2025</t>
        </is>
      </c>
      <c r="B5104" s="1" t="n">
        <v>45736</v>
      </c>
      <c r="C5104" s="1" t="n">
        <v>45757</v>
      </c>
      <c r="D5104" t="inlineStr">
        <is>
          <t>VÄSTMANLANDS LÄN</t>
        </is>
      </c>
      <c r="E5104" t="inlineStr">
        <is>
          <t>KÖPING</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13632-2025</t>
        </is>
      </c>
      <c r="B5105" s="1" t="n">
        <v>45736</v>
      </c>
      <c r="C5105" s="1" t="n">
        <v>45757</v>
      </c>
      <c r="D5105" t="inlineStr">
        <is>
          <t>VÄSTMANLANDS LÄN</t>
        </is>
      </c>
      <c r="E5105" t="inlineStr">
        <is>
          <t>VÄSTERÅS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13471-2025</t>
        </is>
      </c>
      <c r="B5106" s="1" t="n">
        <v>45736</v>
      </c>
      <c r="C5106" s="1" t="n">
        <v>45757</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13495-2025</t>
        </is>
      </c>
      <c r="B5107" s="1" t="n">
        <v>45736</v>
      </c>
      <c r="C5107" s="1" t="n">
        <v>45757</v>
      </c>
      <c r="D5107" t="inlineStr">
        <is>
          <t>VÄSTMANLANDS LÄN</t>
        </is>
      </c>
      <c r="E5107" t="inlineStr">
        <is>
          <t>FAGERSTA</t>
        </is>
      </c>
      <c r="F5107" t="inlineStr">
        <is>
          <t>Sveaskog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13510-2025</t>
        </is>
      </c>
      <c r="B5108" s="1" t="n">
        <v>45736</v>
      </c>
      <c r="C5108" s="1" t="n">
        <v>45757</v>
      </c>
      <c r="D5108" t="inlineStr">
        <is>
          <t>VÄSTMANLANDS LÄN</t>
        </is>
      </c>
      <c r="E5108" t="inlineStr">
        <is>
          <t>HALLSTAHAMMAR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13904-2025</t>
        </is>
      </c>
      <c r="B5109" s="1" t="n">
        <v>45737</v>
      </c>
      <c r="C5109" s="1" t="n">
        <v>45757</v>
      </c>
      <c r="D5109" t="inlineStr">
        <is>
          <t>VÄSTMANLANDS LÄN</t>
        </is>
      </c>
      <c r="E5109" t="inlineStr">
        <is>
          <t>FAGERSTA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13838-2025</t>
        </is>
      </c>
      <c r="B5110" s="1" t="n">
        <v>45737</v>
      </c>
      <c r="C5110" s="1" t="n">
        <v>45757</v>
      </c>
      <c r="D5110" t="inlineStr">
        <is>
          <t>VÄSTMANLANDS LÄN</t>
        </is>
      </c>
      <c r="E5110" t="inlineStr">
        <is>
          <t>NORBERG</t>
        </is>
      </c>
      <c r="F5110" t="inlineStr">
        <is>
          <t>Sveaskog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13847-2025</t>
        </is>
      </c>
      <c r="B5111" s="1" t="n">
        <v>45737</v>
      </c>
      <c r="C5111" s="1" t="n">
        <v>45757</v>
      </c>
      <c r="D5111" t="inlineStr">
        <is>
          <t>VÄSTMANLANDS LÄN</t>
        </is>
      </c>
      <c r="E5111" t="inlineStr">
        <is>
          <t>KÖPING</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13697-2025</t>
        </is>
      </c>
      <c r="B5112" s="1" t="n">
        <v>45737</v>
      </c>
      <c r="C5112" s="1" t="n">
        <v>45757</v>
      </c>
      <c r="D5112" t="inlineStr">
        <is>
          <t>VÄSTMANLANDS LÄN</t>
        </is>
      </c>
      <c r="E5112" t="inlineStr">
        <is>
          <t>FAGERSTA</t>
        </is>
      </c>
      <c r="F5112" t="inlineStr">
        <is>
          <t>Bergvik skog väst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45757</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13733-2025</t>
        </is>
      </c>
      <c r="B5114" s="1" t="n">
        <v>45737</v>
      </c>
      <c r="C5114" s="1" t="n">
        <v>45757</v>
      </c>
      <c r="D5114" t="inlineStr">
        <is>
          <t>VÄSTMANLANDS LÄN</t>
        </is>
      </c>
      <c r="E5114" t="inlineStr">
        <is>
          <t>SKINNSKATTEBERG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13835-2025</t>
        </is>
      </c>
      <c r="B5115" s="1" t="n">
        <v>45737</v>
      </c>
      <c r="C5115" s="1" t="n">
        <v>45757</v>
      </c>
      <c r="D5115" t="inlineStr">
        <is>
          <t>VÄSTMANLANDS LÄN</t>
        </is>
      </c>
      <c r="E5115" t="inlineStr">
        <is>
          <t>NORBERG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13752-2025</t>
        </is>
      </c>
      <c r="B5116" s="1" t="n">
        <v>45737</v>
      </c>
      <c r="C5116" s="1" t="n">
        <v>45757</v>
      </c>
      <c r="D5116" t="inlineStr">
        <is>
          <t>VÄSTMANLANDS LÄN</t>
        </is>
      </c>
      <c r="E5116" t="inlineStr">
        <is>
          <t>SALA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13796-2025</t>
        </is>
      </c>
      <c r="B5117" s="1" t="n">
        <v>45737</v>
      </c>
      <c r="C5117" s="1" t="n">
        <v>45757</v>
      </c>
      <c r="D5117" t="inlineStr">
        <is>
          <t>VÄSTMANLANDS LÄN</t>
        </is>
      </c>
      <c r="E5117" t="inlineStr">
        <is>
          <t>SURAHAMMAR</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13749-2025</t>
        </is>
      </c>
      <c r="B5118" s="1" t="n">
        <v>45737</v>
      </c>
      <c r="C5118" s="1" t="n">
        <v>45757</v>
      </c>
      <c r="D5118" t="inlineStr">
        <is>
          <t>VÄSTMANLANDS LÄN</t>
        </is>
      </c>
      <c r="E5118" t="inlineStr">
        <is>
          <t>SALA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13681-2025</t>
        </is>
      </c>
      <c r="B5119" s="1" t="n">
        <v>45737</v>
      </c>
      <c r="C5119" s="1" t="n">
        <v>45757</v>
      </c>
      <c r="D5119" t="inlineStr">
        <is>
          <t>VÄSTMANLANDS LÄN</t>
        </is>
      </c>
      <c r="E5119" t="inlineStr">
        <is>
          <t>KÖPING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13746-2025</t>
        </is>
      </c>
      <c r="B5120" s="1" t="n">
        <v>45737</v>
      </c>
      <c r="C5120" s="1" t="n">
        <v>45757</v>
      </c>
      <c r="D5120" t="inlineStr">
        <is>
          <t>VÄSTMANLANDS LÄN</t>
        </is>
      </c>
      <c r="E5120" t="inlineStr">
        <is>
          <t>SALA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13685-2025</t>
        </is>
      </c>
      <c r="B5121" s="1" t="n">
        <v>45737</v>
      </c>
      <c r="C5121" s="1" t="n">
        <v>45757</v>
      </c>
      <c r="D5121" t="inlineStr">
        <is>
          <t>VÄSTMANLANDS LÄN</t>
        </is>
      </c>
      <c r="E5121" t="inlineStr">
        <is>
          <t>KÖPING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14041-2025</t>
        </is>
      </c>
      <c r="B5122" s="1" t="n">
        <v>45740</v>
      </c>
      <c r="C5122" s="1" t="n">
        <v>45757</v>
      </c>
      <c r="D5122" t="inlineStr">
        <is>
          <t>VÄSTMANLANDS LÄN</t>
        </is>
      </c>
      <c r="E5122" t="inlineStr">
        <is>
          <t>SKINNSKATTEBERG</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45757</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14158-2025</t>
        </is>
      </c>
      <c r="B5124" s="1" t="n">
        <v>45740</v>
      </c>
      <c r="C5124" s="1" t="n">
        <v>45757</v>
      </c>
      <c r="D5124" t="inlineStr">
        <is>
          <t>VÄSTMANLANDS LÄN</t>
        </is>
      </c>
      <c r="E5124" t="inlineStr">
        <is>
          <t>NORBERG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14112-2025</t>
        </is>
      </c>
      <c r="B5125" s="1" t="n">
        <v>45740</v>
      </c>
      <c r="C5125" s="1" t="n">
        <v>45757</v>
      </c>
      <c r="D5125" t="inlineStr">
        <is>
          <t>VÄSTMANLANDS LÄN</t>
        </is>
      </c>
      <c r="E5125" t="inlineStr">
        <is>
          <t>NORBERG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14237-2025</t>
        </is>
      </c>
      <c r="B5126" s="1" t="n">
        <v>45740</v>
      </c>
      <c r="C5126" s="1" t="n">
        <v>45757</v>
      </c>
      <c r="D5126" t="inlineStr">
        <is>
          <t>VÄSTMANLANDS LÄN</t>
        </is>
      </c>
      <c r="E5126" t="inlineStr">
        <is>
          <t>SKINNSKATTEBERG</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14057-2025</t>
        </is>
      </c>
      <c r="B5127" s="1" t="n">
        <v>45740</v>
      </c>
      <c r="C5127" s="1" t="n">
        <v>45757</v>
      </c>
      <c r="D5127" t="inlineStr">
        <is>
          <t>VÄSTMANLANDS LÄN</t>
        </is>
      </c>
      <c r="E5127" t="inlineStr">
        <is>
          <t>ARBOGA</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14271-2025</t>
        </is>
      </c>
      <c r="B5128" s="1" t="n">
        <v>45740</v>
      </c>
      <c r="C5128" s="1" t="n">
        <v>45757</v>
      </c>
      <c r="D5128" t="inlineStr">
        <is>
          <t>VÄSTMANLANDS LÄN</t>
        </is>
      </c>
      <c r="E5128" t="inlineStr">
        <is>
          <t>SALA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14049-2025</t>
        </is>
      </c>
      <c r="B5129" s="1" t="n">
        <v>45740</v>
      </c>
      <c r="C5129" s="1" t="n">
        <v>45757</v>
      </c>
      <c r="D5129" t="inlineStr">
        <is>
          <t>VÄSTMANLANDS LÄN</t>
        </is>
      </c>
      <c r="E5129" t="inlineStr">
        <is>
          <t>SKINNSKATTEBERG</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14268-2025</t>
        </is>
      </c>
      <c r="B5130" s="1" t="n">
        <v>45740</v>
      </c>
      <c r="C5130" s="1" t="n">
        <v>45757</v>
      </c>
      <c r="D5130" t="inlineStr">
        <is>
          <t>VÄSTMANLANDS LÄN</t>
        </is>
      </c>
      <c r="E5130" t="inlineStr">
        <is>
          <t>SALA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14024-2025</t>
        </is>
      </c>
      <c r="B5131" s="1" t="n">
        <v>45740</v>
      </c>
      <c r="C5131" s="1" t="n">
        <v>45757</v>
      </c>
      <c r="D5131" t="inlineStr">
        <is>
          <t>VÄSTMANLANDS LÄN</t>
        </is>
      </c>
      <c r="E5131" t="inlineStr">
        <is>
          <t>SALA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14044-2025</t>
        </is>
      </c>
      <c r="B5132" s="1" t="n">
        <v>45740</v>
      </c>
      <c r="C5132" s="1" t="n">
        <v>45757</v>
      </c>
      <c r="D5132" t="inlineStr">
        <is>
          <t>VÄSTMANLANDS LÄN</t>
        </is>
      </c>
      <c r="E5132" t="inlineStr">
        <is>
          <t>SKINNSKATTEBERG</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14159-2025</t>
        </is>
      </c>
      <c r="B5133" s="1" t="n">
        <v>45740</v>
      </c>
      <c r="C5133" s="1" t="n">
        <v>45757</v>
      </c>
      <c r="D5133" t="inlineStr">
        <is>
          <t>VÄSTMANLANDS LÄN</t>
        </is>
      </c>
      <c r="E5133" t="inlineStr">
        <is>
          <t>NORBERG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14541-2025</t>
        </is>
      </c>
      <c r="B5134" s="1" t="n">
        <v>45741</v>
      </c>
      <c r="C5134" s="1" t="n">
        <v>45757</v>
      </c>
      <c r="D5134" t="inlineStr">
        <is>
          <t>VÄSTMANLANDS LÄN</t>
        </is>
      </c>
      <c r="E5134" t="inlineStr">
        <is>
          <t>SKINNSKATTEBERG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14406-2025</t>
        </is>
      </c>
      <c r="B5135" s="1" t="n">
        <v>45741</v>
      </c>
      <c r="C5135" s="1" t="n">
        <v>45757</v>
      </c>
      <c r="D5135" t="inlineStr">
        <is>
          <t>VÄSTMANLANDS LÄN</t>
        </is>
      </c>
      <c r="E5135" t="inlineStr">
        <is>
          <t>ARBOGA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14782-2025</t>
        </is>
      </c>
      <c r="B5136" s="1" t="n">
        <v>45742</v>
      </c>
      <c r="C5136" s="1" t="n">
        <v>45757</v>
      </c>
      <c r="D5136" t="inlineStr">
        <is>
          <t>VÄSTMANLANDS LÄN</t>
        </is>
      </c>
      <c r="E5136" t="inlineStr">
        <is>
          <t>FAGERSTA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14593-2025</t>
        </is>
      </c>
      <c r="B5137" s="1" t="n">
        <v>45742</v>
      </c>
      <c r="C5137" s="1" t="n">
        <v>45757</v>
      </c>
      <c r="D5137" t="inlineStr">
        <is>
          <t>VÄSTMANLANDS LÄN</t>
        </is>
      </c>
      <c r="E5137" t="inlineStr">
        <is>
          <t>HALLSTAHAMMAR</t>
        </is>
      </c>
      <c r="F5137" t="inlineStr">
        <is>
          <t>Allmännings- och besparingsskogar</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14690-2025</t>
        </is>
      </c>
      <c r="B5138" s="1" t="n">
        <v>45742</v>
      </c>
      <c r="C5138" s="1" t="n">
        <v>45757</v>
      </c>
      <c r="D5138" t="inlineStr">
        <is>
          <t>VÄSTMANLANDS LÄN</t>
        </is>
      </c>
      <c r="E5138" t="inlineStr">
        <is>
          <t>SALA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14590-2025</t>
        </is>
      </c>
      <c r="B5139" s="1" t="n">
        <v>45742</v>
      </c>
      <c r="C5139" s="1" t="n">
        <v>45757</v>
      </c>
      <c r="D5139" t="inlineStr">
        <is>
          <t>VÄSTMANLANDS LÄN</t>
        </is>
      </c>
      <c r="E5139" t="inlineStr">
        <is>
          <t>FAGERSTA</t>
        </is>
      </c>
      <c r="F5139" t="inlineStr">
        <is>
          <t>Kommuner</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14741-2025</t>
        </is>
      </c>
      <c r="B5140" s="1" t="n">
        <v>45742</v>
      </c>
      <c r="C5140" s="1" t="n">
        <v>45757</v>
      </c>
      <c r="D5140" t="inlineStr">
        <is>
          <t>VÄSTMANLANDS LÄN</t>
        </is>
      </c>
      <c r="E5140" t="inlineStr">
        <is>
          <t>ARBOGA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15000-2025</t>
        </is>
      </c>
      <c r="B5141" s="1" t="n">
        <v>45743</v>
      </c>
      <c r="C5141" s="1" t="n">
        <v>45757</v>
      </c>
      <c r="D5141" t="inlineStr">
        <is>
          <t>VÄSTMANLANDS LÄN</t>
        </is>
      </c>
      <c r="E5141" t="inlineStr">
        <is>
          <t>SALA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14853-2025</t>
        </is>
      </c>
      <c r="B5142" s="1" t="n">
        <v>45743</v>
      </c>
      <c r="C5142" s="1" t="n">
        <v>45757</v>
      </c>
      <c r="D5142" t="inlineStr">
        <is>
          <t>VÄSTMANLANDS LÄN</t>
        </is>
      </c>
      <c r="E5142" t="inlineStr">
        <is>
          <t>SALA</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14919-2025</t>
        </is>
      </c>
      <c r="B5143" s="1" t="n">
        <v>45743</v>
      </c>
      <c r="C5143" s="1" t="n">
        <v>45757</v>
      </c>
      <c r="D5143" t="inlineStr">
        <is>
          <t>VÄSTMANLANDS LÄN</t>
        </is>
      </c>
      <c r="E5143" t="inlineStr">
        <is>
          <t>SALA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14920-2025</t>
        </is>
      </c>
      <c r="B5144" s="1" t="n">
        <v>45743</v>
      </c>
      <c r="C5144" s="1" t="n">
        <v>45757</v>
      </c>
      <c r="D5144" t="inlineStr">
        <is>
          <t>VÄSTMANLANDS LÄN</t>
        </is>
      </c>
      <c r="E5144" t="inlineStr">
        <is>
          <t>SALA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15046-2025</t>
        </is>
      </c>
      <c r="B5145" s="1" t="n">
        <v>45743</v>
      </c>
      <c r="C5145" s="1" t="n">
        <v>45757</v>
      </c>
      <c r="D5145" t="inlineStr">
        <is>
          <t>VÄSTMANLANDS LÄN</t>
        </is>
      </c>
      <c r="E5145" t="inlineStr">
        <is>
          <t>VÄSTERÅS</t>
        </is>
      </c>
      <c r="G5145" t="n">
        <v>17.7</v>
      </c>
      <c r="H5145" t="n">
        <v>0</v>
      </c>
      <c r="I5145" t="n">
        <v>0</v>
      </c>
      <c r="J5145" t="n">
        <v>0</v>
      </c>
      <c r="K5145" t="n">
        <v>0</v>
      </c>
      <c r="L5145" t="n">
        <v>0</v>
      </c>
      <c r="M5145" t="n">
        <v>0</v>
      </c>
      <c r="N5145" t="n">
        <v>0</v>
      </c>
      <c r="O5145" t="n">
        <v>0</v>
      </c>
      <c r="P5145" t="n">
        <v>0</v>
      </c>
      <c r="Q5145" t="n">
        <v>0</v>
      </c>
      <c r="R5145" s="2" t="inlineStr"/>
    </row>
    <row r="5146" ht="15" customHeight="1">
      <c r="A5146" t="inlineStr">
        <is>
          <t>A 15050-2025</t>
        </is>
      </c>
      <c r="B5146" s="1" t="n">
        <v>45743</v>
      </c>
      <c r="C5146" s="1" t="n">
        <v>45757</v>
      </c>
      <c r="D5146" t="inlineStr">
        <is>
          <t>VÄSTMANLANDS LÄN</t>
        </is>
      </c>
      <c r="E5146" t="inlineStr">
        <is>
          <t>VÄSTERÅS</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45757</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45757</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15099-2025</t>
        </is>
      </c>
      <c r="B5149" s="1" t="n">
        <v>45744</v>
      </c>
      <c r="C5149" s="1" t="n">
        <v>45757</v>
      </c>
      <c r="D5149" t="inlineStr">
        <is>
          <t>VÄSTMANLANDS LÄN</t>
        </is>
      </c>
      <c r="E5149" t="inlineStr">
        <is>
          <t>SALA</t>
        </is>
      </c>
      <c r="F5149" t="inlineStr">
        <is>
          <t>Sveaskog</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15272-2025</t>
        </is>
      </c>
      <c r="B5150" s="1" t="n">
        <v>45744</v>
      </c>
      <c r="C5150" s="1" t="n">
        <v>45757</v>
      </c>
      <c r="D5150" t="inlineStr">
        <is>
          <t>VÄSTMANLANDS LÄN</t>
        </is>
      </c>
      <c r="E5150" t="inlineStr">
        <is>
          <t>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15562-2025</t>
        </is>
      </c>
      <c r="B5151" s="1" t="n">
        <v>45747</v>
      </c>
      <c r="C5151" s="1" t="n">
        <v>45757</v>
      </c>
      <c r="D5151" t="inlineStr">
        <is>
          <t>VÄSTMANLANDS LÄN</t>
        </is>
      </c>
      <c r="E5151" t="inlineStr">
        <is>
          <t>SKINNSKATTEBERG</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15545-2025</t>
        </is>
      </c>
      <c r="B5152" s="1" t="n">
        <v>45747</v>
      </c>
      <c r="C5152" s="1" t="n">
        <v>45757</v>
      </c>
      <c r="D5152" t="inlineStr">
        <is>
          <t>VÄSTMANLANDS LÄN</t>
        </is>
      </c>
      <c r="E5152" t="inlineStr">
        <is>
          <t>SKINNSKATTEBERG</t>
        </is>
      </c>
      <c r="G5152" t="n">
        <v>11.8</v>
      </c>
      <c r="H5152" t="n">
        <v>0</v>
      </c>
      <c r="I5152" t="n">
        <v>0</v>
      </c>
      <c r="J5152" t="n">
        <v>0</v>
      </c>
      <c r="K5152" t="n">
        <v>0</v>
      </c>
      <c r="L5152" t="n">
        <v>0</v>
      </c>
      <c r="M5152" t="n">
        <v>0</v>
      </c>
      <c r="N5152" t="n">
        <v>0</v>
      </c>
      <c r="O5152" t="n">
        <v>0</v>
      </c>
      <c r="P5152" t="n">
        <v>0</v>
      </c>
      <c r="Q5152" t="n">
        <v>0</v>
      </c>
      <c r="R5152" s="2" t="inlineStr"/>
    </row>
    <row r="5153" ht="15" customHeight="1">
      <c r="A5153" t="inlineStr">
        <is>
          <t>A 15569-2025</t>
        </is>
      </c>
      <c r="B5153" s="1" t="n">
        <v>45747</v>
      </c>
      <c r="C5153" s="1" t="n">
        <v>45757</v>
      </c>
      <c r="D5153" t="inlineStr">
        <is>
          <t>VÄSTMANLANDS LÄN</t>
        </is>
      </c>
      <c r="E5153" t="inlineStr">
        <is>
          <t>ARBOGA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15650-2025</t>
        </is>
      </c>
      <c r="B5154" s="1" t="n">
        <v>45748</v>
      </c>
      <c r="C5154" s="1" t="n">
        <v>45757</v>
      </c>
      <c r="D5154" t="inlineStr">
        <is>
          <t>VÄSTMANLANDS LÄN</t>
        </is>
      </c>
      <c r="E5154" t="inlineStr">
        <is>
          <t>SALA</t>
        </is>
      </c>
      <c r="F5154" t="inlineStr">
        <is>
          <t>Bergvik skog öst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15809-2025</t>
        </is>
      </c>
      <c r="B5155" s="1" t="n">
        <v>45748</v>
      </c>
      <c r="C5155" s="1" t="n">
        <v>45757</v>
      </c>
      <c r="D5155" t="inlineStr">
        <is>
          <t>VÄSTMANLANDS LÄN</t>
        </is>
      </c>
      <c r="E5155" t="inlineStr">
        <is>
          <t>NORBERG</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15810-2025</t>
        </is>
      </c>
      <c r="B5156" s="1" t="n">
        <v>45748</v>
      </c>
      <c r="C5156" s="1" t="n">
        <v>45757</v>
      </c>
      <c r="D5156" t="inlineStr">
        <is>
          <t>VÄSTMANLANDS LÄN</t>
        </is>
      </c>
      <c r="E5156" t="inlineStr">
        <is>
          <t>NORBERG</t>
        </is>
      </c>
      <c r="F5156" t="inlineStr">
        <is>
          <t>Sveaskog</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15681-2025</t>
        </is>
      </c>
      <c r="B5157" s="1" t="n">
        <v>45748</v>
      </c>
      <c r="C5157" s="1" t="n">
        <v>45757</v>
      </c>
      <c r="D5157" t="inlineStr">
        <is>
          <t>VÄSTMANLANDS LÄN</t>
        </is>
      </c>
      <c r="E5157" t="inlineStr">
        <is>
          <t>SALA</t>
        </is>
      </c>
      <c r="F5157" t="inlineStr">
        <is>
          <t>Bergvik skog öst AB</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15812-2025</t>
        </is>
      </c>
      <c r="B5158" s="1" t="n">
        <v>45748</v>
      </c>
      <c r="C5158" s="1" t="n">
        <v>45757</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15756-2025</t>
        </is>
      </c>
      <c r="B5159" s="1" t="n">
        <v>45748</v>
      </c>
      <c r="C5159" s="1" t="n">
        <v>45757</v>
      </c>
      <c r="D5159" t="inlineStr">
        <is>
          <t>VÄSTMANLANDS LÄN</t>
        </is>
      </c>
      <c r="E5159" t="inlineStr">
        <is>
          <t>SALA</t>
        </is>
      </c>
      <c r="F5159" t="inlineStr">
        <is>
          <t>Bergvik skog öst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16056-2025</t>
        </is>
      </c>
      <c r="B5160" s="1" t="n">
        <v>45749</v>
      </c>
      <c r="C5160" s="1" t="n">
        <v>45757</v>
      </c>
      <c r="D5160" t="inlineStr">
        <is>
          <t>VÄSTMANLANDS LÄN</t>
        </is>
      </c>
      <c r="E5160" t="inlineStr">
        <is>
          <t>KUNGSÖR</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15858-2025</t>
        </is>
      </c>
      <c r="B5161" s="1" t="n">
        <v>45749</v>
      </c>
      <c r="C5161" s="1" t="n">
        <v>45757</v>
      </c>
      <c r="D5161" t="inlineStr">
        <is>
          <t>VÄSTMANLANDS LÄN</t>
        </is>
      </c>
      <c r="E5161" t="inlineStr">
        <is>
          <t>KÖPING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15907-2025</t>
        </is>
      </c>
      <c r="B5162" s="1" t="n">
        <v>45749</v>
      </c>
      <c r="C5162" s="1" t="n">
        <v>45757</v>
      </c>
      <c r="D5162" t="inlineStr">
        <is>
          <t>VÄSTMANLANDS LÄN</t>
        </is>
      </c>
      <c r="E5162" t="inlineStr">
        <is>
          <t>VÄSTERÅS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15901-2025</t>
        </is>
      </c>
      <c r="B5163" s="1" t="n">
        <v>45749</v>
      </c>
      <c r="C5163" s="1" t="n">
        <v>45757</v>
      </c>
      <c r="D5163" t="inlineStr">
        <is>
          <t>VÄSTMANLANDS LÄN</t>
        </is>
      </c>
      <c r="E5163" t="inlineStr">
        <is>
          <t>VÄSTERÅS</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16074-2025</t>
        </is>
      </c>
      <c r="B5164" s="1" t="n">
        <v>45749</v>
      </c>
      <c r="C5164" s="1" t="n">
        <v>45757</v>
      </c>
      <c r="D5164" t="inlineStr">
        <is>
          <t>VÄSTMANLANDS LÄN</t>
        </is>
      </c>
      <c r="E5164" t="inlineStr">
        <is>
          <t>VÄSTERÅS</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16133-2025</t>
        </is>
      </c>
      <c r="B5165" s="1" t="n">
        <v>45750</v>
      </c>
      <c r="C5165" s="1" t="n">
        <v>45757</v>
      </c>
      <c r="D5165" t="inlineStr">
        <is>
          <t>VÄSTMANLANDS LÄN</t>
        </is>
      </c>
      <c r="E5165" t="inlineStr">
        <is>
          <t>SALA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16547-2025</t>
        </is>
      </c>
      <c r="B5166" s="1" t="n">
        <v>45751</v>
      </c>
      <c r="C5166" s="1" t="n">
        <v>45757</v>
      </c>
      <c r="D5166" t="inlineStr">
        <is>
          <t>VÄSTMANLANDS LÄN</t>
        </is>
      </c>
      <c r="E5166" t="inlineStr">
        <is>
          <t>FAGERSTA</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16544-2025</t>
        </is>
      </c>
      <c r="B5167" s="1" t="n">
        <v>45751</v>
      </c>
      <c r="C5167" s="1" t="n">
        <v>45757</v>
      </c>
      <c r="D5167" t="inlineStr">
        <is>
          <t>VÄSTMANLANDS LÄN</t>
        </is>
      </c>
      <c r="E5167" t="inlineStr">
        <is>
          <t>FAGERSTA</t>
        </is>
      </c>
      <c r="F5167" t="inlineStr">
        <is>
          <t>Sveaskog</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16374-2025</t>
        </is>
      </c>
      <c r="B5168" s="1" t="n">
        <v>45751</v>
      </c>
      <c r="C5168" s="1" t="n">
        <v>45757</v>
      </c>
      <c r="D5168" t="inlineStr">
        <is>
          <t>VÄSTMANLANDS LÄN</t>
        </is>
      </c>
      <c r="E5168" t="inlineStr">
        <is>
          <t>VÄSTERÅS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16328-2025</t>
        </is>
      </c>
      <c r="B5169" s="1" t="n">
        <v>45751</v>
      </c>
      <c r="C5169" s="1" t="n">
        <v>45757</v>
      </c>
      <c r="D5169" t="inlineStr">
        <is>
          <t>VÄSTMANLANDS LÄN</t>
        </is>
      </c>
      <c r="E5169" t="inlineStr">
        <is>
          <t>SALA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16545-2025</t>
        </is>
      </c>
      <c r="B5170" s="1" t="n">
        <v>45751</v>
      </c>
      <c r="C5170" s="1" t="n">
        <v>45757</v>
      </c>
      <c r="D5170" t="inlineStr">
        <is>
          <t>VÄSTMANLANDS LÄN</t>
        </is>
      </c>
      <c r="E5170" t="inlineStr">
        <is>
          <t>FAGERSTA</t>
        </is>
      </c>
      <c r="F5170" t="inlineStr">
        <is>
          <t>Sveaskog</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16546-2025</t>
        </is>
      </c>
      <c r="B5171" s="1" t="n">
        <v>45751</v>
      </c>
      <c r="C5171" s="1" t="n">
        <v>45757</v>
      </c>
      <c r="D5171" t="inlineStr">
        <is>
          <t>VÄSTMANLANDS LÄN</t>
        </is>
      </c>
      <c r="E5171" t="inlineStr">
        <is>
          <t>FAGERSTA</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16565-2025</t>
        </is>
      </c>
      <c r="B5172" s="1" t="n">
        <v>45752</v>
      </c>
      <c r="C5172" s="1" t="n">
        <v>45757</v>
      </c>
      <c r="D5172" t="inlineStr">
        <is>
          <t>VÄSTMANLANDS LÄN</t>
        </is>
      </c>
      <c r="E5172" t="inlineStr">
        <is>
          <t>NORBERG</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16647-2025</t>
        </is>
      </c>
      <c r="B5173" s="1" t="n">
        <v>45754</v>
      </c>
      <c r="C5173" s="1" t="n">
        <v>45757</v>
      </c>
      <c r="D5173" t="inlineStr">
        <is>
          <t>VÄSTMANLANDS LÄN</t>
        </is>
      </c>
      <c r="E5173" t="inlineStr">
        <is>
          <t>SKINNSKATTEBERG</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16649-2025</t>
        </is>
      </c>
      <c r="B5174" s="1" t="n">
        <v>45754</v>
      </c>
      <c r="C5174" s="1" t="n">
        <v>45757</v>
      </c>
      <c r="D5174" t="inlineStr">
        <is>
          <t>VÄSTMANLANDS LÄN</t>
        </is>
      </c>
      <c r="E5174" t="inlineStr">
        <is>
          <t>SKINNSKATTEBERG</t>
        </is>
      </c>
      <c r="F5174" t="inlineStr">
        <is>
          <t>Sveaskog</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16650-2025</t>
        </is>
      </c>
      <c r="B5175" s="1" t="n">
        <v>45754</v>
      </c>
      <c r="C5175" s="1" t="n">
        <v>45757</v>
      </c>
      <c r="D5175" t="inlineStr">
        <is>
          <t>VÄSTMANLANDS LÄN</t>
        </is>
      </c>
      <c r="E5175" t="inlineStr">
        <is>
          <t>SKINNSKATTEBERG</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16653-2025</t>
        </is>
      </c>
      <c r="B5176" s="1" t="n">
        <v>45754</v>
      </c>
      <c r="C5176" s="1" t="n">
        <v>45757</v>
      </c>
      <c r="D5176" t="inlineStr">
        <is>
          <t>VÄSTMANLANDS LÄN</t>
        </is>
      </c>
      <c r="E5176" t="inlineStr">
        <is>
          <t>SKINNSKATTEBERG</t>
        </is>
      </c>
      <c r="F5176" t="inlineStr">
        <is>
          <t>Sveaskog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16654-2025</t>
        </is>
      </c>
      <c r="B5177" s="1" t="n">
        <v>45754</v>
      </c>
      <c r="C5177" s="1" t="n">
        <v>45757</v>
      </c>
      <c r="D5177" t="inlineStr">
        <is>
          <t>VÄSTMANLANDS LÄN</t>
        </is>
      </c>
      <c r="E5177" t="inlineStr">
        <is>
          <t>SKINNSKATTEBERG</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16641-2025</t>
        </is>
      </c>
      <c r="B5178" s="1" t="n">
        <v>45754</v>
      </c>
      <c r="C5178" s="1" t="n">
        <v>45757</v>
      </c>
      <c r="D5178" t="inlineStr">
        <is>
          <t>VÄSTMANLANDS LÄN</t>
        </is>
      </c>
      <c r="E5178" t="inlineStr">
        <is>
          <t>SALA</t>
        </is>
      </c>
      <c r="G5178" t="n">
        <v>10.6</v>
      </c>
      <c r="H5178" t="n">
        <v>0</v>
      </c>
      <c r="I5178" t="n">
        <v>0</v>
      </c>
      <c r="J5178" t="n">
        <v>0</v>
      </c>
      <c r="K5178" t="n">
        <v>0</v>
      </c>
      <c r="L5178" t="n">
        <v>0</v>
      </c>
      <c r="M5178" t="n">
        <v>0</v>
      </c>
      <c r="N5178" t="n">
        <v>0</v>
      </c>
      <c r="O5178" t="n">
        <v>0</v>
      </c>
      <c r="P5178" t="n">
        <v>0</v>
      </c>
      <c r="Q5178" t="n">
        <v>0</v>
      </c>
      <c r="R5178" s="2" t="inlineStr"/>
    </row>
    <row r="5179" ht="15" customHeight="1">
      <c r="A5179" t="inlineStr">
        <is>
          <t>A 16651-2025</t>
        </is>
      </c>
      <c r="B5179" s="1" t="n">
        <v>45754</v>
      </c>
      <c r="C5179" s="1" t="n">
        <v>45757</v>
      </c>
      <c r="D5179" t="inlineStr">
        <is>
          <t>VÄSTMANLANDS LÄN</t>
        </is>
      </c>
      <c r="E5179" t="inlineStr">
        <is>
          <t>SKINNSKATTEBERG</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17051-2025</t>
        </is>
      </c>
      <c r="B5180" s="1" t="n">
        <v>45755</v>
      </c>
      <c r="C5180" s="1" t="n">
        <v>45757</v>
      </c>
      <c r="D5180" t="inlineStr">
        <is>
          <t>VÄSTMANLANDS LÄN</t>
        </is>
      </c>
      <c r="E5180" t="inlineStr">
        <is>
          <t>SALA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16922-2025</t>
        </is>
      </c>
      <c r="B5181" s="1" t="n">
        <v>45755</v>
      </c>
      <c r="C5181" s="1" t="n">
        <v>45757</v>
      </c>
      <c r="D5181" t="inlineStr">
        <is>
          <t>VÄSTMANLANDS LÄN</t>
        </is>
      </c>
      <c r="E5181" t="inlineStr">
        <is>
          <t>KÖPING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16910-2025</t>
        </is>
      </c>
      <c r="B5182" s="1" t="n">
        <v>45755</v>
      </c>
      <c r="C5182" s="1" t="n">
        <v>45757</v>
      </c>
      <c r="D5182" t="inlineStr">
        <is>
          <t>VÄSTMANLANDS LÄN</t>
        </is>
      </c>
      <c r="E5182" t="inlineStr">
        <is>
          <t>SKINNSKATTEBERG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17292-2025</t>
        </is>
      </c>
      <c r="B5183" s="1" t="n">
        <v>45756</v>
      </c>
      <c r="C5183" s="1" t="n">
        <v>45757</v>
      </c>
      <c r="D5183" t="inlineStr">
        <is>
          <t>VÄSTMANLANDS LÄN</t>
        </is>
      </c>
      <c r="E5183" t="inlineStr">
        <is>
          <t>SKINNSKATTEBERG</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17303-2025</t>
        </is>
      </c>
      <c r="B5184" s="1" t="n">
        <v>45756</v>
      </c>
      <c r="C5184" s="1" t="n">
        <v>45757</v>
      </c>
      <c r="D5184" t="inlineStr">
        <is>
          <t>VÄSTMANLANDS LÄN</t>
        </is>
      </c>
      <c r="E5184" t="inlineStr">
        <is>
          <t>SURAHAMMAR</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17235-2025</t>
        </is>
      </c>
      <c r="B5185" s="1" t="n">
        <v>45756</v>
      </c>
      <c r="C5185" s="1" t="n">
        <v>45757</v>
      </c>
      <c r="D5185" t="inlineStr">
        <is>
          <t>VÄSTMANLANDS LÄN</t>
        </is>
      </c>
      <c r="E5185" t="inlineStr">
        <is>
          <t>KÖPING</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17297-2025</t>
        </is>
      </c>
      <c r="B5186" s="1" t="n">
        <v>45756</v>
      </c>
      <c r="C5186" s="1" t="n">
        <v>45757</v>
      </c>
      <c r="D5186" t="inlineStr">
        <is>
          <t>VÄSTMANLANDS LÄN</t>
        </is>
      </c>
      <c r="E5186" t="inlineStr">
        <is>
          <t>SKINNSKATTEBERG</t>
        </is>
      </c>
      <c r="F5186" t="inlineStr">
        <is>
          <t>Sveaskog</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17316-2025</t>
        </is>
      </c>
      <c r="B5187" s="1" t="n">
        <v>45756</v>
      </c>
      <c r="C5187" s="1" t="n">
        <v>45757</v>
      </c>
      <c r="D5187" t="inlineStr">
        <is>
          <t>VÄSTMANLANDS LÄN</t>
        </is>
      </c>
      <c r="E5187" t="inlineStr">
        <is>
          <t>SALA</t>
        </is>
      </c>
      <c r="F5187" t="inlineStr">
        <is>
          <t>Kommuner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17320-2025</t>
        </is>
      </c>
      <c r="B5188" s="1" t="n">
        <v>45756</v>
      </c>
      <c r="C5188" s="1" t="n">
        <v>45757</v>
      </c>
      <c r="D5188" t="inlineStr">
        <is>
          <t>VÄSTMANLANDS LÄN</t>
        </is>
      </c>
      <c r="E5188" t="inlineStr">
        <is>
          <t>SALA</t>
        </is>
      </c>
      <c r="F5188" t="inlineStr">
        <is>
          <t>Kommuner</t>
        </is>
      </c>
      <c r="G5188" t="n">
        <v>2.8</v>
      </c>
      <c r="H5188" t="n">
        <v>0</v>
      </c>
      <c r="I5188" t="n">
        <v>0</v>
      </c>
      <c r="J5188" t="n">
        <v>0</v>
      </c>
      <c r="K5188" t="n">
        <v>0</v>
      </c>
      <c r="L5188" t="n">
        <v>0</v>
      </c>
      <c r="M5188" t="n">
        <v>0</v>
      </c>
      <c r="N5188" t="n">
        <v>0</v>
      </c>
      <c r="O5188" t="n">
        <v>0</v>
      </c>
      <c r="P5188" t="n">
        <v>0</v>
      </c>
      <c r="Q5188" t="n">
        <v>0</v>
      </c>
      <c r="R5188" s="2" t="inlineStr"/>
    </row>
    <row r="5189">
      <c r="A5189" t="inlineStr">
        <is>
          <t>A 17295-2025</t>
        </is>
      </c>
      <c r="B5189" s="1" t="n">
        <v>45756</v>
      </c>
      <c r="C5189" s="1" t="n">
        <v>45757</v>
      </c>
      <c r="D5189" t="inlineStr">
        <is>
          <t>VÄSTMANLANDS LÄN</t>
        </is>
      </c>
      <c r="E5189" t="inlineStr">
        <is>
          <t>SKINNSKATTEBERG</t>
        </is>
      </c>
      <c r="F5189" t="inlineStr">
        <is>
          <t>Sveaskog</t>
        </is>
      </c>
      <c r="G5189" t="n">
        <v>6.9</v>
      </c>
      <c r="H5189" t="n">
        <v>0</v>
      </c>
      <c r="I5189" t="n">
        <v>0</v>
      </c>
      <c r="J5189" t="n">
        <v>0</v>
      </c>
      <c r="K5189" t="n">
        <v>0</v>
      </c>
      <c r="L5189" t="n">
        <v>0</v>
      </c>
      <c r="M5189" t="n">
        <v>0</v>
      </c>
      <c r="N5189" t="n">
        <v>0</v>
      </c>
      <c r="O5189" t="n">
        <v>0</v>
      </c>
      <c r="P5189" t="n">
        <v>0</v>
      </c>
      <c r="Q5189" t="n">
        <v>0</v>
      </c>
      <c r="R5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2025-04-10T16:16:55Z</dcterms:created>
  <dcterms:modified xmlns:dcterms="http://purl.org/dc/terms/" xmlns:xsi="http://www.w3.org/2001/XMLSchema-instance" xsi:type="dcterms:W3CDTF">2025-04-10T16:17:00Z</dcterms:modified>
</cp:coreProperties>
</file>