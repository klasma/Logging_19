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45637</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45637</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45637</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45637</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45637</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45637</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45637</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45637</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45637</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45637</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45637</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45637</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45637</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45637</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45637</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45637</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45637</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45637</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45637</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45637</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45637</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45637</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45637</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45637</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45637</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45637</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45637</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45637</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45637</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45637</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45637</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45637</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45637</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45637</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45637</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45637</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45637</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45637</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45637</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45637</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45637</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45637</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45637</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45637</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45637</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45637</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45637</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45637</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45637</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45637</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45637</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45637</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45637</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45637</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45637</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45637</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45637</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45637</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45637</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45637</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45637</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45637</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45637</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45637</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45637</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45637</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45637</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45637</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45637</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45637</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45637</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45637</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45637</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45637</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45637</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45637</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45637</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45637</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45637</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45637</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45637</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45637</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45637</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45637</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45637</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45637</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45637</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45637</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45637</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45637</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45637</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45637</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45637</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45637</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45637</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45637</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45637</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45637</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45637</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45637</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45637</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45637</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45637</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45637</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45637</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45637</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45637</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45637</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45637</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45637</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45637</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45637</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45637</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45637</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45637</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45637</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45637</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45637</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45637</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45637</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45637</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45637</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45637</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45637</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45637</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45637</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45637</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45637</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45637</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45637</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45637</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45637</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45637</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45637</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45637</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45637</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45637</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45637</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45637</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45637</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45637</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45637</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45637</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45637</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45637</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45637</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45637</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45637</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45637</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45637</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45637</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45637</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45637</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45637</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45637</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45637</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45637</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45637</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45637</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45637</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45637</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45637</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45637</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45637</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45637</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45637</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45637</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45637</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45637</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45637</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45637</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45637</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45637</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45637</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45637</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45637</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45637</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45637</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45637</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45637</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45637</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45637</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45637</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45637</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45637</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45637</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45637</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45637</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45637</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45637</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45637</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45637</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45637</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45637</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45637</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45637</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45637</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45637</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45637</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45637</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45637</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45637</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45637</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45637</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45637</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45637</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45637</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45637</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52131-2024</t>
        </is>
      </c>
      <c r="B215" s="1" t="n">
        <v>45608</v>
      </c>
      <c r="C215" s="1" t="n">
        <v>45637</v>
      </c>
      <c r="D215" t="inlineStr">
        <is>
          <t>VÄSTMANLANDS LÄN</t>
        </is>
      </c>
      <c r="E215" t="inlineStr">
        <is>
          <t>SKINNSKATTEBERG</t>
        </is>
      </c>
      <c r="G215" t="n">
        <v>8.699999999999999</v>
      </c>
      <c r="H215" t="n">
        <v>2</v>
      </c>
      <c r="I215" t="n">
        <v>0</v>
      </c>
      <c r="J215" t="n">
        <v>2</v>
      </c>
      <c r="K215" t="n">
        <v>0</v>
      </c>
      <c r="L215" t="n">
        <v>0</v>
      </c>
      <c r="M215" t="n">
        <v>0</v>
      </c>
      <c r="N215" t="n">
        <v>0</v>
      </c>
      <c r="O215" t="n">
        <v>2</v>
      </c>
      <c r="P215" t="n">
        <v>0</v>
      </c>
      <c r="Q215" t="n">
        <v>2</v>
      </c>
      <c r="R215" s="2" t="inlineStr">
        <is>
          <t>Spillkråka
Talltita</t>
        </is>
      </c>
      <c r="S215">
        <f>HYPERLINK("https://klasma.github.io/Logging_1904/artfynd/A 52131-2024 artfynd.xlsx", "A 52131-2024")</f>
        <v/>
      </c>
      <c r="T215">
        <f>HYPERLINK("https://klasma.github.io/Logging_1904/kartor/A 52131-2024 karta.png", "A 52131-2024")</f>
        <v/>
      </c>
      <c r="V215">
        <f>HYPERLINK("https://klasma.github.io/Logging_1904/klagomål/A 52131-2024 FSC-klagomål.docx", "A 52131-2024")</f>
        <v/>
      </c>
      <c r="W215">
        <f>HYPERLINK("https://klasma.github.io/Logging_1904/klagomålsmail/A 52131-2024 FSC-klagomål mail.docx", "A 52131-2024")</f>
        <v/>
      </c>
      <c r="X215">
        <f>HYPERLINK("https://klasma.github.io/Logging_1904/tillsyn/A 52131-2024 tillsynsbegäran.docx", "A 52131-2024")</f>
        <v/>
      </c>
      <c r="Y215">
        <f>HYPERLINK("https://klasma.github.io/Logging_1904/tillsynsmail/A 52131-2024 tillsynsbegäran mail.docx", "A 52131-2024")</f>
        <v/>
      </c>
      <c r="Z215">
        <f>HYPERLINK("https://klasma.github.io/Logging_1904/fåglar/A 52131-2024 prioriterade fågelarter.docx", "A 52131-2024")</f>
        <v/>
      </c>
    </row>
    <row r="216" ht="15" customHeight="1">
      <c r="A216" t="inlineStr">
        <is>
          <t>A 18948-2019</t>
        </is>
      </c>
      <c r="B216" s="1" t="n">
        <v>43563</v>
      </c>
      <c r="C216" s="1" t="n">
        <v>45637</v>
      </c>
      <c r="D216" t="inlineStr">
        <is>
          <t>VÄSTMANLANDS LÄN</t>
        </is>
      </c>
      <c r="E216" t="inlineStr">
        <is>
          <t>SURAHAMMAR</t>
        </is>
      </c>
      <c r="F216" t="inlineStr">
        <is>
          <t>Övriga Aktiebolag</t>
        </is>
      </c>
      <c r="G216" t="n">
        <v>1.9</v>
      </c>
      <c r="H216" t="n">
        <v>0</v>
      </c>
      <c r="I216" t="n">
        <v>0</v>
      </c>
      <c r="J216" t="n">
        <v>0</v>
      </c>
      <c r="K216" t="n">
        <v>0</v>
      </c>
      <c r="L216" t="n">
        <v>1</v>
      </c>
      <c r="M216" t="n">
        <v>0</v>
      </c>
      <c r="N216" t="n">
        <v>0</v>
      </c>
      <c r="O216" t="n">
        <v>1</v>
      </c>
      <c r="P216" t="n">
        <v>1</v>
      </c>
      <c r="Q216" t="n">
        <v>1</v>
      </c>
      <c r="R216" s="2" t="inlineStr">
        <is>
          <t>Ask</t>
        </is>
      </c>
      <c r="S216">
        <f>HYPERLINK("https://klasma.github.io/Logging_1907/artfynd/A 18948-2019 artfynd.xlsx", "A 18948-2019")</f>
        <v/>
      </c>
      <c r="T216">
        <f>HYPERLINK("https://klasma.github.io/Logging_1907/kartor/A 18948-2019 karta.png", "A 18948-2019")</f>
        <v/>
      </c>
      <c r="V216">
        <f>HYPERLINK("https://klasma.github.io/Logging_1907/klagomål/A 18948-2019 FSC-klagomål.docx", "A 18948-2019")</f>
        <v/>
      </c>
      <c r="W216">
        <f>HYPERLINK("https://klasma.github.io/Logging_1907/klagomålsmail/A 18948-2019 FSC-klagomål mail.docx", "A 18948-2019")</f>
        <v/>
      </c>
      <c r="X216">
        <f>HYPERLINK("https://klasma.github.io/Logging_1907/tillsyn/A 18948-2019 tillsynsbegäran.docx", "A 18948-2019")</f>
        <v/>
      </c>
      <c r="Y216">
        <f>HYPERLINK("https://klasma.github.io/Logging_1907/tillsynsmail/A 18948-2019 tillsynsbegäran mail.docx", "A 18948-2019")</f>
        <v/>
      </c>
    </row>
    <row r="217" ht="15" customHeight="1">
      <c r="A217" t="inlineStr">
        <is>
          <t>A 20797-2019</t>
        </is>
      </c>
      <c r="B217" s="1" t="n">
        <v>43573</v>
      </c>
      <c r="C217" s="1" t="n">
        <v>45637</v>
      </c>
      <c r="D217" t="inlineStr">
        <is>
          <t>VÄSTMANLANDS LÄN</t>
        </is>
      </c>
      <c r="E217" t="inlineStr">
        <is>
          <t>ARBOGA</t>
        </is>
      </c>
      <c r="G217" t="n">
        <v>9.800000000000001</v>
      </c>
      <c r="H217" t="n">
        <v>0</v>
      </c>
      <c r="I217" t="n">
        <v>0</v>
      </c>
      <c r="J217" t="n">
        <v>0</v>
      </c>
      <c r="K217" t="n">
        <v>0</v>
      </c>
      <c r="L217" t="n">
        <v>1</v>
      </c>
      <c r="M217" t="n">
        <v>0</v>
      </c>
      <c r="N217" t="n">
        <v>0</v>
      </c>
      <c r="O217" t="n">
        <v>1</v>
      </c>
      <c r="P217" t="n">
        <v>1</v>
      </c>
      <c r="Q217" t="n">
        <v>1</v>
      </c>
      <c r="R217" s="2" t="inlineStr">
        <is>
          <t>Ask</t>
        </is>
      </c>
      <c r="S217">
        <f>HYPERLINK("https://klasma.github.io/Logging_1984/artfynd/A 20797-2019 artfynd.xlsx", "A 20797-2019")</f>
        <v/>
      </c>
      <c r="T217">
        <f>HYPERLINK("https://klasma.github.io/Logging_1984/kartor/A 20797-2019 karta.png", "A 20797-2019")</f>
        <v/>
      </c>
      <c r="V217">
        <f>HYPERLINK("https://klasma.github.io/Logging_1984/klagomål/A 20797-2019 FSC-klagomål.docx", "A 20797-2019")</f>
        <v/>
      </c>
      <c r="W217">
        <f>HYPERLINK("https://klasma.github.io/Logging_1984/klagomålsmail/A 20797-2019 FSC-klagomål mail.docx", "A 20797-2019")</f>
        <v/>
      </c>
      <c r="X217">
        <f>HYPERLINK("https://klasma.github.io/Logging_1984/tillsyn/A 20797-2019 tillsynsbegäran.docx", "A 20797-2019")</f>
        <v/>
      </c>
      <c r="Y217">
        <f>HYPERLINK("https://klasma.github.io/Logging_1984/tillsynsmail/A 20797-2019 tillsynsbegäran mail.docx", "A 20797-2019")</f>
        <v/>
      </c>
    </row>
    <row r="218" ht="15" customHeight="1">
      <c r="A218" t="inlineStr">
        <is>
          <t>A 20831-2019</t>
        </is>
      </c>
      <c r="B218" s="1" t="n">
        <v>43574</v>
      </c>
      <c r="C218" s="1" t="n">
        <v>45637</v>
      </c>
      <c r="D218" t="inlineStr">
        <is>
          <t>VÄSTMANLANDS LÄN</t>
        </is>
      </c>
      <c r="E218" t="inlineStr">
        <is>
          <t>FAGERSTA</t>
        </is>
      </c>
      <c r="G218" t="n">
        <v>13.1</v>
      </c>
      <c r="H218" t="n">
        <v>0</v>
      </c>
      <c r="I218" t="n">
        <v>1</v>
      </c>
      <c r="J218" t="n">
        <v>0</v>
      </c>
      <c r="K218" t="n">
        <v>0</v>
      </c>
      <c r="L218" t="n">
        <v>0</v>
      </c>
      <c r="M218" t="n">
        <v>0</v>
      </c>
      <c r="N218" t="n">
        <v>0</v>
      </c>
      <c r="O218" t="n">
        <v>0</v>
      </c>
      <c r="P218" t="n">
        <v>0</v>
      </c>
      <c r="Q218" t="n">
        <v>1</v>
      </c>
      <c r="R218" s="2" t="inlineStr">
        <is>
          <t>Vedticka</t>
        </is>
      </c>
      <c r="S218">
        <f>HYPERLINK("https://klasma.github.io/Logging_1982/artfynd/A 20831-2019 artfynd.xlsx", "A 20831-2019")</f>
        <v/>
      </c>
      <c r="T218">
        <f>HYPERLINK("https://klasma.github.io/Logging_1982/kartor/A 20831-2019 karta.png", "A 20831-2019")</f>
        <v/>
      </c>
      <c r="V218">
        <f>HYPERLINK("https://klasma.github.io/Logging_1982/klagomål/A 20831-2019 FSC-klagomål.docx", "A 20831-2019")</f>
        <v/>
      </c>
      <c r="W218">
        <f>HYPERLINK("https://klasma.github.io/Logging_1982/klagomålsmail/A 20831-2019 FSC-klagomål mail.docx", "A 20831-2019")</f>
        <v/>
      </c>
      <c r="X218">
        <f>HYPERLINK("https://klasma.github.io/Logging_1982/tillsyn/A 20831-2019 tillsynsbegäran.docx", "A 20831-2019")</f>
        <v/>
      </c>
      <c r="Y218">
        <f>HYPERLINK("https://klasma.github.io/Logging_1982/tillsynsmail/A 20831-2019 tillsynsbegäran mail.docx", "A 20831-2019")</f>
        <v/>
      </c>
    </row>
    <row r="219" ht="15" customHeight="1">
      <c r="A219" t="inlineStr">
        <is>
          <t>A 28276-2019</t>
        </is>
      </c>
      <c r="B219" s="1" t="n">
        <v>43623</v>
      </c>
      <c r="C219" s="1" t="n">
        <v>45637</v>
      </c>
      <c r="D219" t="inlineStr">
        <is>
          <t>VÄSTMANLANDS LÄN</t>
        </is>
      </c>
      <c r="E219" t="inlineStr">
        <is>
          <t>SURAHAMMAR</t>
        </is>
      </c>
      <c r="F219" t="inlineStr">
        <is>
          <t>Allmännings- och besparingsskogar</t>
        </is>
      </c>
      <c r="G219" t="n">
        <v>8.4</v>
      </c>
      <c r="H219" t="n">
        <v>0</v>
      </c>
      <c r="I219" t="n">
        <v>0</v>
      </c>
      <c r="J219" t="n">
        <v>1</v>
      </c>
      <c r="K219" t="n">
        <v>0</v>
      </c>
      <c r="L219" t="n">
        <v>0</v>
      </c>
      <c r="M219" t="n">
        <v>0</v>
      </c>
      <c r="N219" t="n">
        <v>0</v>
      </c>
      <c r="O219" t="n">
        <v>1</v>
      </c>
      <c r="P219" t="n">
        <v>0</v>
      </c>
      <c r="Q219" t="n">
        <v>1</v>
      </c>
      <c r="R219" s="2" t="inlineStr">
        <is>
          <t>Hapalopilus aurantiacus</t>
        </is>
      </c>
      <c r="S219">
        <f>HYPERLINK("https://klasma.github.io/Logging_1907/artfynd/A 28276-2019 artfynd.xlsx", "A 28276-2019")</f>
        <v/>
      </c>
      <c r="T219">
        <f>HYPERLINK("https://klasma.github.io/Logging_1907/kartor/A 28276-2019 karta.png", "A 28276-2019")</f>
        <v/>
      </c>
      <c r="V219">
        <f>HYPERLINK("https://klasma.github.io/Logging_1907/klagomål/A 28276-2019 FSC-klagomål.docx", "A 28276-2019")</f>
        <v/>
      </c>
      <c r="W219">
        <f>HYPERLINK("https://klasma.github.io/Logging_1907/klagomålsmail/A 28276-2019 FSC-klagomål mail.docx", "A 28276-2019")</f>
        <v/>
      </c>
      <c r="X219">
        <f>HYPERLINK("https://klasma.github.io/Logging_1907/tillsyn/A 28276-2019 tillsynsbegäran.docx", "A 28276-2019")</f>
        <v/>
      </c>
      <c r="Y219">
        <f>HYPERLINK("https://klasma.github.io/Logging_1907/tillsynsmail/A 28276-2019 tillsynsbegäran mail.docx", "A 28276-2019")</f>
        <v/>
      </c>
    </row>
    <row r="220" ht="15" customHeight="1">
      <c r="A220" t="inlineStr">
        <is>
          <t>A 28360-2019</t>
        </is>
      </c>
      <c r="B220" s="1" t="n">
        <v>43625</v>
      </c>
      <c r="C220" s="1" t="n">
        <v>45637</v>
      </c>
      <c r="D220" t="inlineStr">
        <is>
          <t>VÄSTMANLANDS LÄN</t>
        </is>
      </c>
      <c r="E220" t="inlineStr">
        <is>
          <t>KÖPING</t>
        </is>
      </c>
      <c r="F220" t="inlineStr">
        <is>
          <t>Sveaskog</t>
        </is>
      </c>
      <c r="G220" t="n">
        <v>2.6</v>
      </c>
      <c r="H220" t="n">
        <v>0</v>
      </c>
      <c r="I220" t="n">
        <v>1</v>
      </c>
      <c r="J220" t="n">
        <v>0</v>
      </c>
      <c r="K220" t="n">
        <v>0</v>
      </c>
      <c r="L220" t="n">
        <v>0</v>
      </c>
      <c r="M220" t="n">
        <v>0</v>
      </c>
      <c r="N220" t="n">
        <v>0</v>
      </c>
      <c r="O220" t="n">
        <v>0</v>
      </c>
      <c r="P220" t="n">
        <v>0</v>
      </c>
      <c r="Q220" t="n">
        <v>1</v>
      </c>
      <c r="R220" s="2" t="inlineStr">
        <is>
          <t>Trådticka</t>
        </is>
      </c>
      <c r="S220">
        <f>HYPERLINK("https://klasma.github.io/Logging_1983/artfynd/A 28360-2019 artfynd.xlsx", "A 28360-2019")</f>
        <v/>
      </c>
      <c r="T220">
        <f>HYPERLINK("https://klasma.github.io/Logging_1983/kartor/A 28360-2019 karta.png", "A 28360-2019")</f>
        <v/>
      </c>
      <c r="V220">
        <f>HYPERLINK("https://klasma.github.io/Logging_1983/klagomål/A 28360-2019 FSC-klagomål.docx", "A 28360-2019")</f>
        <v/>
      </c>
      <c r="W220">
        <f>HYPERLINK("https://klasma.github.io/Logging_1983/klagomålsmail/A 28360-2019 FSC-klagomål mail.docx", "A 28360-2019")</f>
        <v/>
      </c>
      <c r="X220">
        <f>HYPERLINK("https://klasma.github.io/Logging_1983/tillsyn/A 28360-2019 tillsynsbegäran.docx", "A 28360-2019")</f>
        <v/>
      </c>
      <c r="Y220">
        <f>HYPERLINK("https://klasma.github.io/Logging_1983/tillsynsmail/A 28360-2019 tillsynsbegäran mail.docx", "A 28360-2019")</f>
        <v/>
      </c>
    </row>
    <row r="221" ht="15" customHeight="1">
      <c r="A221" t="inlineStr">
        <is>
          <t>A 33879-2019</t>
        </is>
      </c>
      <c r="B221" s="1" t="n">
        <v>43653</v>
      </c>
      <c r="C221" s="1" t="n">
        <v>45637</v>
      </c>
      <c r="D221" t="inlineStr">
        <is>
          <t>VÄSTMANLANDS LÄN</t>
        </is>
      </c>
      <c r="E221" t="inlineStr">
        <is>
          <t>SURAHAMMAR</t>
        </is>
      </c>
      <c r="F221" t="inlineStr">
        <is>
          <t>Kyrkan</t>
        </is>
      </c>
      <c r="G221" t="n">
        <v>1.8</v>
      </c>
      <c r="H221" t="n">
        <v>1</v>
      </c>
      <c r="I221" t="n">
        <v>0</v>
      </c>
      <c r="J221" t="n">
        <v>0</v>
      </c>
      <c r="K221" t="n">
        <v>1</v>
      </c>
      <c r="L221" t="n">
        <v>0</v>
      </c>
      <c r="M221" t="n">
        <v>0</v>
      </c>
      <c r="N221" t="n">
        <v>0</v>
      </c>
      <c r="O221" t="n">
        <v>1</v>
      </c>
      <c r="P221" t="n">
        <v>1</v>
      </c>
      <c r="Q221" t="n">
        <v>1</v>
      </c>
      <c r="R221" s="2" t="inlineStr">
        <is>
          <t>Bombmurkla</t>
        </is>
      </c>
      <c r="S221">
        <f>HYPERLINK("https://klasma.github.io/Logging_1907/artfynd/A 33879-2019 artfynd.xlsx", "A 33879-2019")</f>
        <v/>
      </c>
      <c r="T221">
        <f>HYPERLINK("https://klasma.github.io/Logging_1907/kartor/A 33879-2019 karta.png", "A 33879-2019")</f>
        <v/>
      </c>
      <c r="V221">
        <f>HYPERLINK("https://klasma.github.io/Logging_1907/klagomål/A 33879-2019 FSC-klagomål.docx", "A 33879-2019")</f>
        <v/>
      </c>
      <c r="W221">
        <f>HYPERLINK("https://klasma.github.io/Logging_1907/klagomålsmail/A 33879-2019 FSC-klagomål mail.docx", "A 33879-2019")</f>
        <v/>
      </c>
      <c r="X221">
        <f>HYPERLINK("https://klasma.github.io/Logging_1907/tillsyn/A 33879-2019 tillsynsbegäran.docx", "A 33879-2019")</f>
        <v/>
      </c>
      <c r="Y221">
        <f>HYPERLINK("https://klasma.github.io/Logging_1907/tillsynsmail/A 33879-2019 tillsynsbegäran mail.docx", "A 33879-2019")</f>
        <v/>
      </c>
    </row>
    <row r="222" ht="15" customHeight="1">
      <c r="A222" t="inlineStr">
        <is>
          <t>A 39755-2019</t>
        </is>
      </c>
      <c r="B222" s="1" t="n">
        <v>43692</v>
      </c>
      <c r="C222" s="1" t="n">
        <v>45637</v>
      </c>
      <c r="D222" t="inlineStr">
        <is>
          <t>VÄSTMANLANDS LÄN</t>
        </is>
      </c>
      <c r="E222" t="inlineStr">
        <is>
          <t>SURAHAMMAR</t>
        </is>
      </c>
      <c r="F222" t="inlineStr">
        <is>
          <t>Övriga Aktiebolag</t>
        </is>
      </c>
      <c r="G222" t="n">
        <v>11.8</v>
      </c>
      <c r="H222" t="n">
        <v>1</v>
      </c>
      <c r="I222" t="n">
        <v>0</v>
      </c>
      <c r="J222" t="n">
        <v>0</v>
      </c>
      <c r="K222" t="n">
        <v>0</v>
      </c>
      <c r="L222" t="n">
        <v>0</v>
      </c>
      <c r="M222" t="n">
        <v>0</v>
      </c>
      <c r="N222" t="n">
        <v>0</v>
      </c>
      <c r="O222" t="n">
        <v>0</v>
      </c>
      <c r="P222" t="n">
        <v>0</v>
      </c>
      <c r="Q222" t="n">
        <v>1</v>
      </c>
      <c r="R222" s="2" t="inlineStr">
        <is>
          <t>Kopparödla</t>
        </is>
      </c>
      <c r="S222">
        <f>HYPERLINK("https://klasma.github.io/Logging_1907/artfynd/A 39755-2019 artfynd.xlsx", "A 39755-2019")</f>
        <v/>
      </c>
      <c r="T222">
        <f>HYPERLINK("https://klasma.github.io/Logging_1907/kartor/A 39755-2019 karta.png", "A 39755-2019")</f>
        <v/>
      </c>
      <c r="V222">
        <f>HYPERLINK("https://klasma.github.io/Logging_1907/klagomål/A 39755-2019 FSC-klagomål.docx", "A 39755-2019")</f>
        <v/>
      </c>
      <c r="W222">
        <f>HYPERLINK("https://klasma.github.io/Logging_1907/klagomålsmail/A 39755-2019 FSC-klagomål mail.docx", "A 39755-2019")</f>
        <v/>
      </c>
      <c r="X222">
        <f>HYPERLINK("https://klasma.github.io/Logging_1907/tillsyn/A 39755-2019 tillsynsbegäran.docx", "A 39755-2019")</f>
        <v/>
      </c>
      <c r="Y222">
        <f>HYPERLINK("https://klasma.github.io/Logging_1907/tillsynsmail/A 39755-2019 tillsynsbegäran mail.docx", "A 39755-2019")</f>
        <v/>
      </c>
    </row>
    <row r="223" ht="15" customHeight="1">
      <c r="A223" t="inlineStr">
        <is>
          <t>A 47716-2019</t>
        </is>
      </c>
      <c r="B223" s="1" t="n">
        <v>43724</v>
      </c>
      <c r="C223" s="1" t="n">
        <v>45637</v>
      </c>
      <c r="D223" t="inlineStr">
        <is>
          <t>VÄSTMANLANDS LÄN</t>
        </is>
      </c>
      <c r="E223" t="inlineStr">
        <is>
          <t>SALA</t>
        </is>
      </c>
      <c r="G223" t="n">
        <v>5</v>
      </c>
      <c r="H223" t="n">
        <v>0</v>
      </c>
      <c r="I223" t="n">
        <v>0</v>
      </c>
      <c r="J223" t="n">
        <v>0</v>
      </c>
      <c r="K223" t="n">
        <v>0</v>
      </c>
      <c r="L223" t="n">
        <v>0</v>
      </c>
      <c r="M223" t="n">
        <v>1</v>
      </c>
      <c r="N223" t="n">
        <v>0</v>
      </c>
      <c r="O223" t="n">
        <v>1</v>
      </c>
      <c r="P223" t="n">
        <v>1</v>
      </c>
      <c r="Q223" t="n">
        <v>1</v>
      </c>
      <c r="R223" s="2" t="inlineStr">
        <is>
          <t>Skogsalm</t>
        </is>
      </c>
      <c r="S223">
        <f>HYPERLINK("https://klasma.github.io/Logging_1981/artfynd/A 47716-2019 artfynd.xlsx", "A 47716-2019")</f>
        <v/>
      </c>
      <c r="T223">
        <f>HYPERLINK("https://klasma.github.io/Logging_1981/kartor/A 47716-2019 karta.png", "A 47716-2019")</f>
        <v/>
      </c>
      <c r="V223">
        <f>HYPERLINK("https://klasma.github.io/Logging_1981/klagomål/A 47716-2019 FSC-klagomål.docx", "A 47716-2019")</f>
        <v/>
      </c>
      <c r="W223">
        <f>HYPERLINK("https://klasma.github.io/Logging_1981/klagomålsmail/A 47716-2019 FSC-klagomål mail.docx", "A 47716-2019")</f>
        <v/>
      </c>
      <c r="X223">
        <f>HYPERLINK("https://klasma.github.io/Logging_1981/tillsyn/A 47716-2019 tillsynsbegäran.docx", "A 47716-2019")</f>
        <v/>
      </c>
      <c r="Y223">
        <f>HYPERLINK("https://klasma.github.io/Logging_1981/tillsynsmail/A 47716-2019 tillsynsbegäran mail.docx", "A 47716-2019")</f>
        <v/>
      </c>
    </row>
    <row r="224" ht="15" customHeight="1">
      <c r="A224" t="inlineStr">
        <is>
          <t>A 50786-2019</t>
        </is>
      </c>
      <c r="B224" s="1" t="n">
        <v>43738</v>
      </c>
      <c r="C224" s="1" t="n">
        <v>45637</v>
      </c>
      <c r="D224" t="inlineStr">
        <is>
          <t>VÄSTMANLANDS LÄN</t>
        </is>
      </c>
      <c r="E224" t="inlineStr">
        <is>
          <t>ARBOGA</t>
        </is>
      </c>
      <c r="G224" t="n">
        <v>2.1</v>
      </c>
      <c r="H224" t="n">
        <v>1</v>
      </c>
      <c r="I224" t="n">
        <v>0</v>
      </c>
      <c r="J224" t="n">
        <v>0</v>
      </c>
      <c r="K224" t="n">
        <v>0</v>
      </c>
      <c r="L224" t="n">
        <v>0</v>
      </c>
      <c r="M224" t="n">
        <v>0</v>
      </c>
      <c r="N224" t="n">
        <v>0</v>
      </c>
      <c r="O224" t="n">
        <v>0</v>
      </c>
      <c r="P224" t="n">
        <v>0</v>
      </c>
      <c r="Q224" t="n">
        <v>1</v>
      </c>
      <c r="R224" s="2" t="inlineStr">
        <is>
          <t>Mindre vattensalamander</t>
        </is>
      </c>
      <c r="S224">
        <f>HYPERLINK("https://klasma.github.io/Logging_1984/artfynd/A 50786-2019 artfynd.xlsx", "A 50786-2019")</f>
        <v/>
      </c>
      <c r="T224">
        <f>HYPERLINK("https://klasma.github.io/Logging_1984/kartor/A 50786-2019 karta.png", "A 50786-2019")</f>
        <v/>
      </c>
      <c r="V224">
        <f>HYPERLINK("https://klasma.github.io/Logging_1984/klagomål/A 50786-2019 FSC-klagomål.docx", "A 50786-2019")</f>
        <v/>
      </c>
      <c r="W224">
        <f>HYPERLINK("https://klasma.github.io/Logging_1984/klagomålsmail/A 50786-2019 FSC-klagomål mail.docx", "A 50786-2019")</f>
        <v/>
      </c>
      <c r="X224">
        <f>HYPERLINK("https://klasma.github.io/Logging_1984/tillsyn/A 50786-2019 tillsynsbegäran.docx", "A 50786-2019")</f>
        <v/>
      </c>
      <c r="Y224">
        <f>HYPERLINK("https://klasma.github.io/Logging_1984/tillsynsmail/A 50786-2019 tillsynsbegäran mail.docx", "A 50786-2019")</f>
        <v/>
      </c>
    </row>
    <row r="225" ht="15" customHeight="1">
      <c r="A225" t="inlineStr">
        <is>
          <t>A 52753-2019</t>
        </is>
      </c>
      <c r="B225" s="1" t="n">
        <v>43739</v>
      </c>
      <c r="C225" s="1" t="n">
        <v>45637</v>
      </c>
      <c r="D225" t="inlineStr">
        <is>
          <t>VÄSTMANLANDS LÄN</t>
        </is>
      </c>
      <c r="E225" t="inlineStr">
        <is>
          <t>SALA</t>
        </is>
      </c>
      <c r="G225" t="n">
        <v>4.9</v>
      </c>
      <c r="H225" t="n">
        <v>1</v>
      </c>
      <c r="I225" t="n">
        <v>0</v>
      </c>
      <c r="J225" t="n">
        <v>0</v>
      </c>
      <c r="K225" t="n">
        <v>1</v>
      </c>
      <c r="L225" t="n">
        <v>0</v>
      </c>
      <c r="M225" t="n">
        <v>0</v>
      </c>
      <c r="N225" t="n">
        <v>0</v>
      </c>
      <c r="O225" t="n">
        <v>1</v>
      </c>
      <c r="P225" t="n">
        <v>1</v>
      </c>
      <c r="Q225" t="n">
        <v>1</v>
      </c>
      <c r="R225" s="2" t="inlineStr">
        <is>
          <t>Knärot</t>
        </is>
      </c>
      <c r="S225">
        <f>HYPERLINK("https://klasma.github.io/Logging_1981/artfynd/A 52753-2019 artfynd.xlsx", "A 52753-2019")</f>
        <v/>
      </c>
      <c r="T225">
        <f>HYPERLINK("https://klasma.github.io/Logging_1981/kartor/A 52753-2019 karta.png", "A 52753-2019")</f>
        <v/>
      </c>
      <c r="U225">
        <f>HYPERLINK("https://klasma.github.io/Logging_1981/knärot/A 52753-2019 karta knärot.png", "A 52753-2019")</f>
        <v/>
      </c>
      <c r="V225">
        <f>HYPERLINK("https://klasma.github.io/Logging_1981/klagomål/A 52753-2019 FSC-klagomål.docx", "A 52753-2019")</f>
        <v/>
      </c>
      <c r="W225">
        <f>HYPERLINK("https://klasma.github.io/Logging_1981/klagomålsmail/A 52753-2019 FSC-klagomål mail.docx", "A 52753-2019")</f>
        <v/>
      </c>
      <c r="X225">
        <f>HYPERLINK("https://klasma.github.io/Logging_1981/tillsyn/A 52753-2019 tillsynsbegäran.docx", "A 52753-2019")</f>
        <v/>
      </c>
      <c r="Y225">
        <f>HYPERLINK("https://klasma.github.io/Logging_1981/tillsynsmail/A 52753-2019 tillsynsbegäran mail.docx", "A 52753-2019")</f>
        <v/>
      </c>
    </row>
    <row r="226" ht="15" customHeight="1">
      <c r="A226" t="inlineStr">
        <is>
          <t>A 51400-2019</t>
        </is>
      </c>
      <c r="B226" s="1" t="n">
        <v>43740</v>
      </c>
      <c r="C226" s="1" t="n">
        <v>45637</v>
      </c>
      <c r="D226" t="inlineStr">
        <is>
          <t>VÄSTMANLANDS LÄN</t>
        </is>
      </c>
      <c r="E226" t="inlineStr">
        <is>
          <t>SKINNSKATTEBERG</t>
        </is>
      </c>
      <c r="F226" t="inlineStr">
        <is>
          <t>Sveaskog</t>
        </is>
      </c>
      <c r="G226" t="n">
        <v>2.4</v>
      </c>
      <c r="H226" t="n">
        <v>0</v>
      </c>
      <c r="I226" t="n">
        <v>0</v>
      </c>
      <c r="J226" t="n">
        <v>1</v>
      </c>
      <c r="K226" t="n">
        <v>0</v>
      </c>
      <c r="L226" t="n">
        <v>0</v>
      </c>
      <c r="M226" t="n">
        <v>0</v>
      </c>
      <c r="N226" t="n">
        <v>0</v>
      </c>
      <c r="O226" t="n">
        <v>1</v>
      </c>
      <c r="P226" t="n">
        <v>0</v>
      </c>
      <c r="Q226" t="n">
        <v>1</v>
      </c>
      <c r="R226" s="2" t="inlineStr">
        <is>
          <t>Motaggsvamp</t>
        </is>
      </c>
      <c r="S226">
        <f>HYPERLINK("https://klasma.github.io/Logging_1904/artfynd/A 51400-2019 artfynd.xlsx", "A 51400-2019")</f>
        <v/>
      </c>
      <c r="T226">
        <f>HYPERLINK("https://klasma.github.io/Logging_1904/kartor/A 51400-2019 karta.png", "A 51400-2019")</f>
        <v/>
      </c>
      <c r="V226">
        <f>HYPERLINK("https://klasma.github.io/Logging_1904/klagomål/A 51400-2019 FSC-klagomål.docx", "A 51400-2019")</f>
        <v/>
      </c>
      <c r="W226">
        <f>HYPERLINK("https://klasma.github.io/Logging_1904/klagomålsmail/A 51400-2019 FSC-klagomål mail.docx", "A 51400-2019")</f>
        <v/>
      </c>
      <c r="X226">
        <f>HYPERLINK("https://klasma.github.io/Logging_1904/tillsyn/A 51400-2019 tillsynsbegäran.docx", "A 51400-2019")</f>
        <v/>
      </c>
      <c r="Y226">
        <f>HYPERLINK("https://klasma.github.io/Logging_1904/tillsynsmail/A 51400-2019 tillsynsbegäran mail.docx", "A 51400-2019")</f>
        <v/>
      </c>
    </row>
    <row r="227" ht="15" customHeight="1">
      <c r="A227" t="inlineStr">
        <is>
          <t>A 58427-2019</t>
        </is>
      </c>
      <c r="B227" s="1" t="n">
        <v>43773</v>
      </c>
      <c r="C227" s="1" t="n">
        <v>45637</v>
      </c>
      <c r="D227" t="inlineStr">
        <is>
          <t>VÄSTMANLANDS LÄN</t>
        </is>
      </c>
      <c r="E227" t="inlineStr">
        <is>
          <t>VÄSTERÅS</t>
        </is>
      </c>
      <c r="F227" t="inlineStr">
        <is>
          <t>Kommuner</t>
        </is>
      </c>
      <c r="G227" t="n">
        <v>2.6</v>
      </c>
      <c r="H227" t="n">
        <v>1</v>
      </c>
      <c r="I227" t="n">
        <v>0</v>
      </c>
      <c r="J227" t="n">
        <v>0</v>
      </c>
      <c r="K227" t="n">
        <v>1</v>
      </c>
      <c r="L227" t="n">
        <v>0</v>
      </c>
      <c r="M227" t="n">
        <v>0</v>
      </c>
      <c r="N227" t="n">
        <v>0</v>
      </c>
      <c r="O227" t="n">
        <v>1</v>
      </c>
      <c r="P227" t="n">
        <v>1</v>
      </c>
      <c r="Q227" t="n">
        <v>1</v>
      </c>
      <c r="R227" s="2" t="inlineStr">
        <is>
          <t>Bombmurkla</t>
        </is>
      </c>
      <c r="S227">
        <f>HYPERLINK("https://klasma.github.io/Logging_1980/artfynd/A 58427-2019 artfynd.xlsx", "A 58427-2019")</f>
        <v/>
      </c>
      <c r="T227">
        <f>HYPERLINK("https://klasma.github.io/Logging_1980/kartor/A 58427-2019 karta.png", "A 58427-2019")</f>
        <v/>
      </c>
      <c r="V227">
        <f>HYPERLINK("https://klasma.github.io/Logging_1980/klagomål/A 58427-2019 FSC-klagomål.docx", "A 58427-2019")</f>
        <v/>
      </c>
      <c r="W227">
        <f>HYPERLINK("https://klasma.github.io/Logging_1980/klagomålsmail/A 58427-2019 FSC-klagomål mail.docx", "A 58427-2019")</f>
        <v/>
      </c>
      <c r="X227">
        <f>HYPERLINK("https://klasma.github.io/Logging_1980/tillsyn/A 58427-2019 tillsynsbegäran.docx", "A 58427-2019")</f>
        <v/>
      </c>
      <c r="Y227">
        <f>HYPERLINK("https://klasma.github.io/Logging_1980/tillsynsmail/A 58427-2019 tillsynsbegäran mail.docx", "A 58427-2019")</f>
        <v/>
      </c>
    </row>
    <row r="228" ht="15" customHeight="1">
      <c r="A228" t="inlineStr">
        <is>
          <t>A 59891-2019</t>
        </is>
      </c>
      <c r="B228" s="1" t="n">
        <v>43774</v>
      </c>
      <c r="C228" s="1" t="n">
        <v>45637</v>
      </c>
      <c r="D228" t="inlineStr">
        <is>
          <t>VÄSTMANLANDS LÄN</t>
        </is>
      </c>
      <c r="E228" t="inlineStr">
        <is>
          <t>NORBERG</t>
        </is>
      </c>
      <c r="G228" t="n">
        <v>2.6</v>
      </c>
      <c r="H228" t="n">
        <v>0</v>
      </c>
      <c r="I228" t="n">
        <v>1</v>
      </c>
      <c r="J228" t="n">
        <v>0</v>
      </c>
      <c r="K228" t="n">
        <v>0</v>
      </c>
      <c r="L228" t="n">
        <v>0</v>
      </c>
      <c r="M228" t="n">
        <v>0</v>
      </c>
      <c r="N228" t="n">
        <v>0</v>
      </c>
      <c r="O228" t="n">
        <v>0</v>
      </c>
      <c r="P228" t="n">
        <v>0</v>
      </c>
      <c r="Q228" t="n">
        <v>1</v>
      </c>
      <c r="R228" s="2" t="inlineStr">
        <is>
          <t>Bollvitmossa</t>
        </is>
      </c>
      <c r="S228">
        <f>HYPERLINK("https://klasma.github.io/Logging_1962/artfynd/A 59891-2019 artfynd.xlsx", "A 59891-2019")</f>
        <v/>
      </c>
      <c r="T228">
        <f>HYPERLINK("https://klasma.github.io/Logging_1962/kartor/A 59891-2019 karta.png", "A 59891-2019")</f>
        <v/>
      </c>
      <c r="V228">
        <f>HYPERLINK("https://klasma.github.io/Logging_1962/klagomål/A 59891-2019 FSC-klagomål.docx", "A 59891-2019")</f>
        <v/>
      </c>
      <c r="W228">
        <f>HYPERLINK("https://klasma.github.io/Logging_1962/klagomålsmail/A 59891-2019 FSC-klagomål mail.docx", "A 59891-2019")</f>
        <v/>
      </c>
      <c r="X228">
        <f>HYPERLINK("https://klasma.github.io/Logging_1962/tillsyn/A 59891-2019 tillsynsbegäran.docx", "A 59891-2019")</f>
        <v/>
      </c>
      <c r="Y228">
        <f>HYPERLINK("https://klasma.github.io/Logging_1962/tillsynsmail/A 59891-2019 tillsynsbegäran mail.docx", "A 59891-2019")</f>
        <v/>
      </c>
    </row>
    <row r="229" ht="15" customHeight="1">
      <c r="A229" t="inlineStr">
        <is>
          <t>A 59346-2019</t>
        </is>
      </c>
      <c r="B229" s="1" t="n">
        <v>43775</v>
      </c>
      <c r="C229" s="1" t="n">
        <v>45637</v>
      </c>
      <c r="D229" t="inlineStr">
        <is>
          <t>VÄSTMANLANDS LÄN</t>
        </is>
      </c>
      <c r="E229" t="inlineStr">
        <is>
          <t>SKINNSKATTEBERG</t>
        </is>
      </c>
      <c r="F229" t="inlineStr">
        <is>
          <t>Sveaskog</t>
        </is>
      </c>
      <c r="G229" t="n">
        <v>5</v>
      </c>
      <c r="H229" t="n">
        <v>0</v>
      </c>
      <c r="I229" t="n">
        <v>0</v>
      </c>
      <c r="J229" t="n">
        <v>1</v>
      </c>
      <c r="K229" t="n">
        <v>0</v>
      </c>
      <c r="L229" t="n">
        <v>0</v>
      </c>
      <c r="M229" t="n">
        <v>0</v>
      </c>
      <c r="N229" t="n">
        <v>0</v>
      </c>
      <c r="O229" t="n">
        <v>1</v>
      </c>
      <c r="P229" t="n">
        <v>0</v>
      </c>
      <c r="Q229" t="n">
        <v>1</v>
      </c>
      <c r="R229" s="2" t="inlineStr">
        <is>
          <t>Bandad skulderbock</t>
        </is>
      </c>
      <c r="S229">
        <f>HYPERLINK("https://klasma.github.io/Logging_1904/artfynd/A 59346-2019 artfynd.xlsx", "A 59346-2019")</f>
        <v/>
      </c>
      <c r="T229">
        <f>HYPERLINK("https://klasma.github.io/Logging_1904/kartor/A 59346-2019 karta.png", "A 59346-2019")</f>
        <v/>
      </c>
      <c r="V229">
        <f>HYPERLINK("https://klasma.github.io/Logging_1904/klagomål/A 59346-2019 FSC-klagomål.docx", "A 59346-2019")</f>
        <v/>
      </c>
      <c r="W229">
        <f>HYPERLINK("https://klasma.github.io/Logging_1904/klagomålsmail/A 59346-2019 FSC-klagomål mail.docx", "A 59346-2019")</f>
        <v/>
      </c>
      <c r="X229">
        <f>HYPERLINK("https://klasma.github.io/Logging_1904/tillsyn/A 59346-2019 tillsynsbegäran.docx", "A 59346-2019")</f>
        <v/>
      </c>
      <c r="Y229">
        <f>HYPERLINK("https://klasma.github.io/Logging_1904/tillsynsmail/A 59346-2019 tillsynsbegäran mail.docx", "A 59346-2019")</f>
        <v/>
      </c>
    </row>
    <row r="230" ht="15" customHeight="1">
      <c r="A230" t="inlineStr">
        <is>
          <t>A 2708-2020</t>
        </is>
      </c>
      <c r="B230" s="1" t="n">
        <v>43850</v>
      </c>
      <c r="C230" s="1" t="n">
        <v>45637</v>
      </c>
      <c r="D230" t="inlineStr">
        <is>
          <t>VÄSTMANLANDS LÄN</t>
        </is>
      </c>
      <c r="E230" t="inlineStr">
        <is>
          <t>SURAHAMMAR</t>
        </is>
      </c>
      <c r="F230" t="inlineStr">
        <is>
          <t>Övriga Aktiebolag</t>
        </is>
      </c>
      <c r="G230" t="n">
        <v>29.7</v>
      </c>
      <c r="H230" t="n">
        <v>0</v>
      </c>
      <c r="I230" t="n">
        <v>0</v>
      </c>
      <c r="J230" t="n">
        <v>1</v>
      </c>
      <c r="K230" t="n">
        <v>0</v>
      </c>
      <c r="L230" t="n">
        <v>0</v>
      </c>
      <c r="M230" t="n">
        <v>0</v>
      </c>
      <c r="N230" t="n">
        <v>0</v>
      </c>
      <c r="O230" t="n">
        <v>1</v>
      </c>
      <c r="P230" t="n">
        <v>0</v>
      </c>
      <c r="Q230" t="n">
        <v>1</v>
      </c>
      <c r="R230" s="2" t="inlineStr">
        <is>
          <t>Ullticka</t>
        </is>
      </c>
      <c r="S230">
        <f>HYPERLINK("https://klasma.github.io/Logging_1907/artfynd/A 2708-2020 artfynd.xlsx", "A 2708-2020")</f>
        <v/>
      </c>
      <c r="T230">
        <f>HYPERLINK("https://klasma.github.io/Logging_1907/kartor/A 2708-2020 karta.png", "A 2708-2020")</f>
        <v/>
      </c>
      <c r="V230">
        <f>HYPERLINK("https://klasma.github.io/Logging_1907/klagomål/A 2708-2020 FSC-klagomål.docx", "A 2708-2020")</f>
        <v/>
      </c>
      <c r="W230">
        <f>HYPERLINK("https://klasma.github.io/Logging_1907/klagomålsmail/A 2708-2020 FSC-klagomål mail.docx", "A 2708-2020")</f>
        <v/>
      </c>
      <c r="X230">
        <f>HYPERLINK("https://klasma.github.io/Logging_1907/tillsyn/A 2708-2020 tillsynsbegäran.docx", "A 2708-2020")</f>
        <v/>
      </c>
      <c r="Y230">
        <f>HYPERLINK("https://klasma.github.io/Logging_1907/tillsynsmail/A 2708-2020 tillsynsbegäran mail.docx", "A 2708-2020")</f>
        <v/>
      </c>
    </row>
    <row r="231" ht="15" customHeight="1">
      <c r="A231" t="inlineStr">
        <is>
          <t>A 6514-2020</t>
        </is>
      </c>
      <c r="B231" s="1" t="n">
        <v>43867</v>
      </c>
      <c r="C231" s="1" t="n">
        <v>45637</v>
      </c>
      <c r="D231" t="inlineStr">
        <is>
          <t>VÄSTMANLANDS LÄN</t>
        </is>
      </c>
      <c r="E231" t="inlineStr">
        <is>
          <t>SURAHAMMAR</t>
        </is>
      </c>
      <c r="G231" t="n">
        <v>2.2</v>
      </c>
      <c r="H231" t="n">
        <v>1</v>
      </c>
      <c r="I231" t="n">
        <v>0</v>
      </c>
      <c r="J231" t="n">
        <v>0</v>
      </c>
      <c r="K231" t="n">
        <v>1</v>
      </c>
      <c r="L231" t="n">
        <v>0</v>
      </c>
      <c r="M231" t="n">
        <v>0</v>
      </c>
      <c r="N231" t="n">
        <v>0</v>
      </c>
      <c r="O231" t="n">
        <v>1</v>
      </c>
      <c r="P231" t="n">
        <v>1</v>
      </c>
      <c r="Q231" t="n">
        <v>1</v>
      </c>
      <c r="R231" s="2" t="inlineStr">
        <is>
          <t>Bombmurkla</t>
        </is>
      </c>
      <c r="S231">
        <f>HYPERLINK("https://klasma.github.io/Logging_1907/artfynd/A 6514-2020 artfynd.xlsx", "A 6514-2020")</f>
        <v/>
      </c>
      <c r="T231">
        <f>HYPERLINK("https://klasma.github.io/Logging_1907/kartor/A 6514-2020 karta.png", "A 6514-2020")</f>
        <v/>
      </c>
      <c r="V231">
        <f>HYPERLINK("https://klasma.github.io/Logging_1907/klagomål/A 6514-2020 FSC-klagomål.docx", "A 6514-2020")</f>
        <v/>
      </c>
      <c r="W231">
        <f>HYPERLINK("https://klasma.github.io/Logging_1907/klagomålsmail/A 6514-2020 FSC-klagomål mail.docx", "A 6514-2020")</f>
        <v/>
      </c>
      <c r="X231">
        <f>HYPERLINK("https://klasma.github.io/Logging_1907/tillsyn/A 6514-2020 tillsynsbegäran.docx", "A 6514-2020")</f>
        <v/>
      </c>
      <c r="Y231">
        <f>HYPERLINK("https://klasma.github.io/Logging_1907/tillsynsmail/A 6514-2020 tillsynsbegäran mail.docx", "A 6514-2020")</f>
        <v/>
      </c>
    </row>
    <row r="232" ht="15" customHeight="1">
      <c r="A232" t="inlineStr">
        <is>
          <t>A 8432-2020</t>
        </is>
      </c>
      <c r="B232" s="1" t="n">
        <v>43875</v>
      </c>
      <c r="C232" s="1" t="n">
        <v>45637</v>
      </c>
      <c r="D232" t="inlineStr">
        <is>
          <t>VÄSTMANLANDS LÄN</t>
        </is>
      </c>
      <c r="E232" t="inlineStr">
        <is>
          <t>SALA</t>
        </is>
      </c>
      <c r="G232" t="n">
        <v>2</v>
      </c>
      <c r="H232" t="n">
        <v>1</v>
      </c>
      <c r="I232" t="n">
        <v>0</v>
      </c>
      <c r="J232" t="n">
        <v>0</v>
      </c>
      <c r="K232" t="n">
        <v>1</v>
      </c>
      <c r="L232" t="n">
        <v>0</v>
      </c>
      <c r="M232" t="n">
        <v>0</v>
      </c>
      <c r="N232" t="n">
        <v>0</v>
      </c>
      <c r="O232" t="n">
        <v>1</v>
      </c>
      <c r="P232" t="n">
        <v>1</v>
      </c>
      <c r="Q232" t="n">
        <v>1</v>
      </c>
      <c r="R232" s="2" t="inlineStr">
        <is>
          <t>Bombmurkla</t>
        </is>
      </c>
      <c r="S232">
        <f>HYPERLINK("https://klasma.github.io/Logging_1981/artfynd/A 8432-2020 artfynd.xlsx", "A 8432-2020")</f>
        <v/>
      </c>
      <c r="T232">
        <f>HYPERLINK("https://klasma.github.io/Logging_1981/kartor/A 8432-2020 karta.png", "A 8432-2020")</f>
        <v/>
      </c>
      <c r="V232">
        <f>HYPERLINK("https://klasma.github.io/Logging_1981/klagomål/A 8432-2020 FSC-klagomål.docx", "A 8432-2020")</f>
        <v/>
      </c>
      <c r="W232">
        <f>HYPERLINK("https://klasma.github.io/Logging_1981/klagomålsmail/A 8432-2020 FSC-klagomål mail.docx", "A 8432-2020")</f>
        <v/>
      </c>
      <c r="X232">
        <f>HYPERLINK("https://klasma.github.io/Logging_1981/tillsyn/A 8432-2020 tillsynsbegäran.docx", "A 8432-2020")</f>
        <v/>
      </c>
      <c r="Y232">
        <f>HYPERLINK("https://klasma.github.io/Logging_1981/tillsynsmail/A 8432-2020 tillsynsbegäran mail.docx", "A 8432-2020")</f>
        <v/>
      </c>
    </row>
    <row r="233" ht="15" customHeight="1">
      <c r="A233" t="inlineStr">
        <is>
          <t>A 12592-2020</t>
        </is>
      </c>
      <c r="B233" s="1" t="n">
        <v>43899</v>
      </c>
      <c r="C233" s="1" t="n">
        <v>45637</v>
      </c>
      <c r="D233" t="inlineStr">
        <is>
          <t>VÄSTMANLANDS LÄN</t>
        </is>
      </c>
      <c r="E233" t="inlineStr">
        <is>
          <t>SKINNSKATTEBERG</t>
        </is>
      </c>
      <c r="F233" t="inlineStr">
        <is>
          <t>Sveaskog</t>
        </is>
      </c>
      <c r="G233" t="n">
        <v>6.5</v>
      </c>
      <c r="H233" t="n">
        <v>1</v>
      </c>
      <c r="I233" t="n">
        <v>0</v>
      </c>
      <c r="J233" t="n">
        <v>0</v>
      </c>
      <c r="K233" t="n">
        <v>0</v>
      </c>
      <c r="L233" t="n">
        <v>0</v>
      </c>
      <c r="M233" t="n">
        <v>0</v>
      </c>
      <c r="N233" t="n">
        <v>0</v>
      </c>
      <c r="O233" t="n">
        <v>0</v>
      </c>
      <c r="P233" t="n">
        <v>0</v>
      </c>
      <c r="Q233" t="n">
        <v>1</v>
      </c>
      <c r="R233" s="2" t="inlineStr">
        <is>
          <t>Fläcknycklar</t>
        </is>
      </c>
      <c r="S233">
        <f>HYPERLINK("https://klasma.github.io/Logging_1904/artfynd/A 12592-2020 artfynd.xlsx", "A 12592-2020")</f>
        <v/>
      </c>
      <c r="T233">
        <f>HYPERLINK("https://klasma.github.io/Logging_1904/kartor/A 12592-2020 karta.png", "A 12592-2020")</f>
        <v/>
      </c>
      <c r="V233">
        <f>HYPERLINK("https://klasma.github.io/Logging_1904/klagomål/A 12592-2020 FSC-klagomål.docx", "A 12592-2020")</f>
        <v/>
      </c>
      <c r="W233">
        <f>HYPERLINK("https://klasma.github.io/Logging_1904/klagomålsmail/A 12592-2020 FSC-klagomål mail.docx", "A 12592-2020")</f>
        <v/>
      </c>
      <c r="X233">
        <f>HYPERLINK("https://klasma.github.io/Logging_1904/tillsyn/A 12592-2020 tillsynsbegäran.docx", "A 12592-2020")</f>
        <v/>
      </c>
      <c r="Y233">
        <f>HYPERLINK("https://klasma.github.io/Logging_1904/tillsynsmail/A 12592-2020 tillsynsbegäran mail.docx", "A 12592-2020")</f>
        <v/>
      </c>
    </row>
    <row r="234" ht="15" customHeight="1">
      <c r="A234" t="inlineStr">
        <is>
          <t>A 13671-2020</t>
        </is>
      </c>
      <c r="B234" s="1" t="n">
        <v>43903</v>
      </c>
      <c r="C234" s="1" t="n">
        <v>45637</v>
      </c>
      <c r="D234" t="inlineStr">
        <is>
          <t>VÄSTMANLANDS LÄN</t>
        </is>
      </c>
      <c r="E234" t="inlineStr">
        <is>
          <t>SALA</t>
        </is>
      </c>
      <c r="G234" t="n">
        <v>2.5</v>
      </c>
      <c r="H234" t="n">
        <v>1</v>
      </c>
      <c r="I234" t="n">
        <v>0</v>
      </c>
      <c r="J234" t="n">
        <v>0</v>
      </c>
      <c r="K234" t="n">
        <v>0</v>
      </c>
      <c r="L234" t="n">
        <v>0</v>
      </c>
      <c r="M234" t="n">
        <v>0</v>
      </c>
      <c r="N234" t="n">
        <v>0</v>
      </c>
      <c r="O234" t="n">
        <v>0</v>
      </c>
      <c r="P234" t="n">
        <v>0</v>
      </c>
      <c r="Q234" t="n">
        <v>1</v>
      </c>
      <c r="R234" s="2" t="inlineStr">
        <is>
          <t>Revlummer</t>
        </is>
      </c>
      <c r="S234">
        <f>HYPERLINK("https://klasma.github.io/Logging_1981/artfynd/A 13671-2020 artfynd.xlsx", "A 13671-2020")</f>
        <v/>
      </c>
      <c r="T234">
        <f>HYPERLINK("https://klasma.github.io/Logging_1981/kartor/A 13671-2020 karta.png", "A 13671-2020")</f>
        <v/>
      </c>
      <c r="V234">
        <f>HYPERLINK("https://klasma.github.io/Logging_1981/klagomål/A 13671-2020 FSC-klagomål.docx", "A 13671-2020")</f>
        <v/>
      </c>
      <c r="W234">
        <f>HYPERLINK("https://klasma.github.io/Logging_1981/klagomålsmail/A 13671-2020 FSC-klagomål mail.docx", "A 13671-2020")</f>
        <v/>
      </c>
      <c r="X234">
        <f>HYPERLINK("https://klasma.github.io/Logging_1981/tillsyn/A 13671-2020 tillsynsbegäran.docx", "A 13671-2020")</f>
        <v/>
      </c>
      <c r="Y234">
        <f>HYPERLINK("https://klasma.github.io/Logging_1981/tillsynsmail/A 13671-2020 tillsynsbegäran mail.docx", "A 13671-2020")</f>
        <v/>
      </c>
    </row>
    <row r="235" ht="15" customHeight="1">
      <c r="A235" t="inlineStr">
        <is>
          <t>A 21817-2020</t>
        </is>
      </c>
      <c r="B235" s="1" t="n">
        <v>43958</v>
      </c>
      <c r="C235" s="1" t="n">
        <v>45637</v>
      </c>
      <c r="D235" t="inlineStr">
        <is>
          <t>VÄSTMANLANDS LÄN</t>
        </is>
      </c>
      <c r="E235" t="inlineStr">
        <is>
          <t>VÄSTERÅS</t>
        </is>
      </c>
      <c r="F235" t="inlineStr">
        <is>
          <t>Kyrkan</t>
        </is>
      </c>
      <c r="G235" t="n">
        <v>9.5</v>
      </c>
      <c r="H235" t="n">
        <v>0</v>
      </c>
      <c r="I235" t="n">
        <v>1</v>
      </c>
      <c r="J235" t="n">
        <v>0</v>
      </c>
      <c r="K235" t="n">
        <v>0</v>
      </c>
      <c r="L235" t="n">
        <v>0</v>
      </c>
      <c r="M235" t="n">
        <v>0</v>
      </c>
      <c r="N235" t="n">
        <v>0</v>
      </c>
      <c r="O235" t="n">
        <v>0</v>
      </c>
      <c r="P235" t="n">
        <v>0</v>
      </c>
      <c r="Q235" t="n">
        <v>1</v>
      </c>
      <c r="R235" s="2" t="inlineStr">
        <is>
          <t>Trubbfjädermossa</t>
        </is>
      </c>
      <c r="S235">
        <f>HYPERLINK("https://klasma.github.io/Logging_1980/artfynd/A 21817-2020 artfynd.xlsx", "A 21817-2020")</f>
        <v/>
      </c>
      <c r="T235">
        <f>HYPERLINK("https://klasma.github.io/Logging_1980/kartor/A 21817-2020 karta.png", "A 21817-2020")</f>
        <v/>
      </c>
      <c r="V235">
        <f>HYPERLINK("https://klasma.github.io/Logging_1980/klagomål/A 21817-2020 FSC-klagomål.docx", "A 21817-2020")</f>
        <v/>
      </c>
      <c r="W235">
        <f>HYPERLINK("https://klasma.github.io/Logging_1980/klagomålsmail/A 21817-2020 FSC-klagomål mail.docx", "A 21817-2020")</f>
        <v/>
      </c>
      <c r="X235">
        <f>HYPERLINK("https://klasma.github.io/Logging_1980/tillsyn/A 21817-2020 tillsynsbegäran.docx", "A 21817-2020")</f>
        <v/>
      </c>
      <c r="Y235">
        <f>HYPERLINK("https://klasma.github.io/Logging_1980/tillsynsmail/A 21817-2020 tillsynsbegäran mail.docx", "A 21817-2020")</f>
        <v/>
      </c>
    </row>
    <row r="236" ht="15" customHeight="1">
      <c r="A236" t="inlineStr">
        <is>
          <t>A 32604-2020</t>
        </is>
      </c>
      <c r="B236" s="1" t="n">
        <v>44019</v>
      </c>
      <c r="C236" s="1" t="n">
        <v>45637</v>
      </c>
      <c r="D236" t="inlineStr">
        <is>
          <t>VÄSTMANLANDS LÄN</t>
        </is>
      </c>
      <c r="E236" t="inlineStr">
        <is>
          <t>KÖPING</t>
        </is>
      </c>
      <c r="F236" t="inlineStr">
        <is>
          <t>Sveaskog</t>
        </is>
      </c>
      <c r="G236" t="n">
        <v>5.5</v>
      </c>
      <c r="H236" t="n">
        <v>0</v>
      </c>
      <c r="I236" t="n">
        <v>0</v>
      </c>
      <c r="J236" t="n">
        <v>1</v>
      </c>
      <c r="K236" t="n">
        <v>0</v>
      </c>
      <c r="L236" t="n">
        <v>0</v>
      </c>
      <c r="M236" t="n">
        <v>0</v>
      </c>
      <c r="N236" t="n">
        <v>0</v>
      </c>
      <c r="O236" t="n">
        <v>1</v>
      </c>
      <c r="P236" t="n">
        <v>0</v>
      </c>
      <c r="Q236" t="n">
        <v>1</v>
      </c>
      <c r="R236" s="2" t="inlineStr">
        <is>
          <t>Motaggsvamp</t>
        </is>
      </c>
      <c r="S236">
        <f>HYPERLINK("https://klasma.github.io/Logging_1983/artfynd/A 32604-2020 artfynd.xlsx", "A 32604-2020")</f>
        <v/>
      </c>
      <c r="T236">
        <f>HYPERLINK("https://klasma.github.io/Logging_1983/kartor/A 32604-2020 karta.png", "A 32604-2020")</f>
        <v/>
      </c>
      <c r="V236">
        <f>HYPERLINK("https://klasma.github.io/Logging_1983/klagomål/A 32604-2020 FSC-klagomål.docx", "A 32604-2020")</f>
        <v/>
      </c>
      <c r="W236">
        <f>HYPERLINK("https://klasma.github.io/Logging_1983/klagomålsmail/A 32604-2020 FSC-klagomål mail.docx", "A 32604-2020")</f>
        <v/>
      </c>
      <c r="X236">
        <f>HYPERLINK("https://klasma.github.io/Logging_1983/tillsyn/A 32604-2020 tillsynsbegäran.docx", "A 32604-2020")</f>
        <v/>
      </c>
      <c r="Y236">
        <f>HYPERLINK("https://klasma.github.io/Logging_1983/tillsynsmail/A 32604-2020 tillsynsbegäran mail.docx", "A 32604-2020")</f>
        <v/>
      </c>
    </row>
    <row r="237" ht="15" customHeight="1">
      <c r="A237" t="inlineStr">
        <is>
          <t>A 33393-2020</t>
        </is>
      </c>
      <c r="B237" s="1" t="n">
        <v>44022</v>
      </c>
      <c r="C237" s="1" t="n">
        <v>45637</v>
      </c>
      <c r="D237" t="inlineStr">
        <is>
          <t>VÄSTMANLANDS LÄN</t>
        </is>
      </c>
      <c r="E237" t="inlineStr">
        <is>
          <t>SKINNSKATTEBERG</t>
        </is>
      </c>
      <c r="F237" t="inlineStr">
        <is>
          <t>Sveaskog</t>
        </is>
      </c>
      <c r="G237" t="n">
        <v>2.7</v>
      </c>
      <c r="H237" t="n">
        <v>0</v>
      </c>
      <c r="I237" t="n">
        <v>1</v>
      </c>
      <c r="J237" t="n">
        <v>0</v>
      </c>
      <c r="K237" t="n">
        <v>0</v>
      </c>
      <c r="L237" t="n">
        <v>0</v>
      </c>
      <c r="M237" t="n">
        <v>0</v>
      </c>
      <c r="N237" t="n">
        <v>0</v>
      </c>
      <c r="O237" t="n">
        <v>0</v>
      </c>
      <c r="P237" t="n">
        <v>0</v>
      </c>
      <c r="Q237" t="n">
        <v>1</v>
      </c>
      <c r="R237" s="2" t="inlineStr">
        <is>
          <t>Svart trolldruva</t>
        </is>
      </c>
      <c r="S237">
        <f>HYPERLINK("https://klasma.github.io/Logging_1904/artfynd/A 33393-2020 artfynd.xlsx", "A 33393-2020")</f>
        <v/>
      </c>
      <c r="T237">
        <f>HYPERLINK("https://klasma.github.io/Logging_1904/kartor/A 33393-2020 karta.png", "A 33393-2020")</f>
        <v/>
      </c>
      <c r="V237">
        <f>HYPERLINK("https://klasma.github.io/Logging_1904/klagomål/A 33393-2020 FSC-klagomål.docx", "A 33393-2020")</f>
        <v/>
      </c>
      <c r="W237">
        <f>HYPERLINK("https://klasma.github.io/Logging_1904/klagomålsmail/A 33393-2020 FSC-klagomål mail.docx", "A 33393-2020")</f>
        <v/>
      </c>
      <c r="X237">
        <f>HYPERLINK("https://klasma.github.io/Logging_1904/tillsyn/A 33393-2020 tillsynsbegäran.docx", "A 33393-2020")</f>
        <v/>
      </c>
      <c r="Y237">
        <f>HYPERLINK("https://klasma.github.io/Logging_1904/tillsynsmail/A 33393-2020 tillsynsbegäran mail.docx", "A 33393-2020")</f>
        <v/>
      </c>
    </row>
    <row r="238" ht="15" customHeight="1">
      <c r="A238" t="inlineStr">
        <is>
          <t>A 34062-2020</t>
        </is>
      </c>
      <c r="B238" s="1" t="n">
        <v>44028</v>
      </c>
      <c r="C238" s="1" t="n">
        <v>45637</v>
      </c>
      <c r="D238" t="inlineStr">
        <is>
          <t>VÄSTMANLANDS LÄN</t>
        </is>
      </c>
      <c r="E238" t="inlineStr">
        <is>
          <t>KÖPING</t>
        </is>
      </c>
      <c r="F238" t="inlineStr">
        <is>
          <t>Sveaskog</t>
        </is>
      </c>
      <c r="G238" t="n">
        <v>2.8</v>
      </c>
      <c r="H238" t="n">
        <v>0</v>
      </c>
      <c r="I238" t="n">
        <v>0</v>
      </c>
      <c r="J238" t="n">
        <v>1</v>
      </c>
      <c r="K238" t="n">
        <v>0</v>
      </c>
      <c r="L238" t="n">
        <v>0</v>
      </c>
      <c r="M238" t="n">
        <v>0</v>
      </c>
      <c r="N238" t="n">
        <v>0</v>
      </c>
      <c r="O238" t="n">
        <v>1</v>
      </c>
      <c r="P238" t="n">
        <v>0</v>
      </c>
      <c r="Q238" t="n">
        <v>1</v>
      </c>
      <c r="R238" s="2" t="inlineStr">
        <is>
          <t>Ullticka</t>
        </is>
      </c>
      <c r="S238">
        <f>HYPERLINK("https://klasma.github.io/Logging_1983/artfynd/A 34062-2020 artfynd.xlsx", "A 34062-2020")</f>
        <v/>
      </c>
      <c r="T238">
        <f>HYPERLINK("https://klasma.github.io/Logging_1983/kartor/A 34062-2020 karta.png", "A 34062-2020")</f>
        <v/>
      </c>
      <c r="V238">
        <f>HYPERLINK("https://klasma.github.io/Logging_1983/klagomål/A 34062-2020 FSC-klagomål.docx", "A 34062-2020")</f>
        <v/>
      </c>
      <c r="W238">
        <f>HYPERLINK("https://klasma.github.io/Logging_1983/klagomålsmail/A 34062-2020 FSC-klagomål mail.docx", "A 34062-2020")</f>
        <v/>
      </c>
      <c r="X238">
        <f>HYPERLINK("https://klasma.github.io/Logging_1983/tillsyn/A 34062-2020 tillsynsbegäran.docx", "A 34062-2020")</f>
        <v/>
      </c>
      <c r="Y238">
        <f>HYPERLINK("https://klasma.github.io/Logging_1983/tillsynsmail/A 34062-2020 tillsynsbegäran mail.docx", "A 34062-2020")</f>
        <v/>
      </c>
    </row>
    <row r="239" ht="15" customHeight="1">
      <c r="A239" t="inlineStr">
        <is>
          <t>A 34064-2020</t>
        </is>
      </c>
      <c r="B239" s="1" t="n">
        <v>44028</v>
      </c>
      <c r="C239" s="1" t="n">
        <v>45637</v>
      </c>
      <c r="D239" t="inlineStr">
        <is>
          <t>VÄSTMANLANDS LÄN</t>
        </is>
      </c>
      <c r="E239" t="inlineStr">
        <is>
          <t>KÖPING</t>
        </is>
      </c>
      <c r="F239" t="inlineStr">
        <is>
          <t>Sveaskog</t>
        </is>
      </c>
      <c r="G239" t="n">
        <v>3</v>
      </c>
      <c r="H239" t="n">
        <v>0</v>
      </c>
      <c r="I239" t="n">
        <v>1</v>
      </c>
      <c r="J239" t="n">
        <v>0</v>
      </c>
      <c r="K239" t="n">
        <v>0</v>
      </c>
      <c r="L239" t="n">
        <v>0</v>
      </c>
      <c r="M239" t="n">
        <v>0</v>
      </c>
      <c r="N239" t="n">
        <v>0</v>
      </c>
      <c r="O239" t="n">
        <v>0</v>
      </c>
      <c r="P239" t="n">
        <v>0</v>
      </c>
      <c r="Q239" t="n">
        <v>1</v>
      </c>
      <c r="R239" s="2" t="inlineStr">
        <is>
          <t>Bollvitmossa</t>
        </is>
      </c>
      <c r="S239">
        <f>HYPERLINK("https://klasma.github.io/Logging_1983/artfynd/A 34064-2020 artfynd.xlsx", "A 34064-2020")</f>
        <v/>
      </c>
      <c r="T239">
        <f>HYPERLINK("https://klasma.github.io/Logging_1983/kartor/A 34064-2020 karta.png", "A 34064-2020")</f>
        <v/>
      </c>
      <c r="V239">
        <f>HYPERLINK("https://klasma.github.io/Logging_1983/klagomål/A 34064-2020 FSC-klagomål.docx", "A 34064-2020")</f>
        <v/>
      </c>
      <c r="W239">
        <f>HYPERLINK("https://klasma.github.io/Logging_1983/klagomålsmail/A 34064-2020 FSC-klagomål mail.docx", "A 34064-2020")</f>
        <v/>
      </c>
      <c r="X239">
        <f>HYPERLINK("https://klasma.github.io/Logging_1983/tillsyn/A 34064-2020 tillsynsbegäran.docx", "A 34064-2020")</f>
        <v/>
      </c>
      <c r="Y239">
        <f>HYPERLINK("https://klasma.github.io/Logging_1983/tillsynsmail/A 34064-2020 tillsynsbegäran mail.docx", "A 34064-2020")</f>
        <v/>
      </c>
    </row>
    <row r="240" ht="15" customHeight="1">
      <c r="A240" t="inlineStr">
        <is>
          <t>A 35708-2020</t>
        </is>
      </c>
      <c r="B240" s="1" t="n">
        <v>44032</v>
      </c>
      <c r="C240" s="1" t="n">
        <v>45637</v>
      </c>
      <c r="D240" t="inlineStr">
        <is>
          <t>VÄSTMANLANDS LÄN</t>
        </is>
      </c>
      <c r="E240" t="inlineStr">
        <is>
          <t>VÄSTERÅS</t>
        </is>
      </c>
      <c r="G240" t="n">
        <v>2.2</v>
      </c>
      <c r="H240" t="n">
        <v>0</v>
      </c>
      <c r="I240" t="n">
        <v>0</v>
      </c>
      <c r="J240" t="n">
        <v>1</v>
      </c>
      <c r="K240" t="n">
        <v>0</v>
      </c>
      <c r="L240" t="n">
        <v>0</v>
      </c>
      <c r="M240" t="n">
        <v>0</v>
      </c>
      <c r="N240" t="n">
        <v>0</v>
      </c>
      <c r="O240" t="n">
        <v>1</v>
      </c>
      <c r="P240" t="n">
        <v>0</v>
      </c>
      <c r="Q240" t="n">
        <v>1</v>
      </c>
      <c r="R240" s="2" t="inlineStr">
        <is>
          <t>Garnlav</t>
        </is>
      </c>
      <c r="S240">
        <f>HYPERLINK("https://klasma.github.io/Logging_1980/artfynd/A 35708-2020 artfynd.xlsx", "A 35708-2020")</f>
        <v/>
      </c>
      <c r="T240">
        <f>HYPERLINK("https://klasma.github.io/Logging_1980/kartor/A 35708-2020 karta.png", "A 35708-2020")</f>
        <v/>
      </c>
      <c r="V240">
        <f>HYPERLINK("https://klasma.github.io/Logging_1980/klagomål/A 35708-2020 FSC-klagomål.docx", "A 35708-2020")</f>
        <v/>
      </c>
      <c r="W240">
        <f>HYPERLINK("https://klasma.github.io/Logging_1980/klagomålsmail/A 35708-2020 FSC-klagomål mail.docx", "A 35708-2020")</f>
        <v/>
      </c>
      <c r="X240">
        <f>HYPERLINK("https://klasma.github.io/Logging_1980/tillsyn/A 35708-2020 tillsynsbegäran.docx", "A 35708-2020")</f>
        <v/>
      </c>
      <c r="Y240">
        <f>HYPERLINK("https://klasma.github.io/Logging_1980/tillsynsmail/A 35708-2020 tillsynsbegäran mail.docx", "A 35708-2020")</f>
        <v/>
      </c>
    </row>
    <row r="241" ht="15" customHeight="1">
      <c r="A241" t="inlineStr">
        <is>
          <t>A 36828-2020</t>
        </is>
      </c>
      <c r="B241" s="1" t="n">
        <v>44053</v>
      </c>
      <c r="C241" s="1" t="n">
        <v>45637</v>
      </c>
      <c r="D241" t="inlineStr">
        <is>
          <t>VÄSTMANLANDS LÄN</t>
        </is>
      </c>
      <c r="E241" t="inlineStr">
        <is>
          <t>KÖPING</t>
        </is>
      </c>
      <c r="G241" t="n">
        <v>2</v>
      </c>
      <c r="H241" t="n">
        <v>0</v>
      </c>
      <c r="I241" t="n">
        <v>0</v>
      </c>
      <c r="J241" t="n">
        <v>1</v>
      </c>
      <c r="K241" t="n">
        <v>0</v>
      </c>
      <c r="L241" t="n">
        <v>0</v>
      </c>
      <c r="M241" t="n">
        <v>0</v>
      </c>
      <c r="N241" t="n">
        <v>0</v>
      </c>
      <c r="O241" t="n">
        <v>1</v>
      </c>
      <c r="P241" t="n">
        <v>0</v>
      </c>
      <c r="Q241" t="n">
        <v>1</v>
      </c>
      <c r="R241" s="2" t="inlineStr">
        <is>
          <t>Skumticka</t>
        </is>
      </c>
      <c r="S241">
        <f>HYPERLINK("https://klasma.github.io/Logging_1983/artfynd/A 36828-2020 artfynd.xlsx", "A 36828-2020")</f>
        <v/>
      </c>
      <c r="T241">
        <f>HYPERLINK("https://klasma.github.io/Logging_1983/kartor/A 36828-2020 karta.png", "A 36828-2020")</f>
        <v/>
      </c>
      <c r="V241">
        <f>HYPERLINK("https://klasma.github.io/Logging_1983/klagomål/A 36828-2020 FSC-klagomål.docx", "A 36828-2020")</f>
        <v/>
      </c>
      <c r="W241">
        <f>HYPERLINK("https://klasma.github.io/Logging_1983/klagomålsmail/A 36828-2020 FSC-klagomål mail.docx", "A 36828-2020")</f>
        <v/>
      </c>
      <c r="X241">
        <f>HYPERLINK("https://klasma.github.io/Logging_1983/tillsyn/A 36828-2020 tillsynsbegäran.docx", "A 36828-2020")</f>
        <v/>
      </c>
      <c r="Y241">
        <f>HYPERLINK("https://klasma.github.io/Logging_1983/tillsynsmail/A 36828-2020 tillsynsbegäran mail.docx", "A 36828-2020")</f>
        <v/>
      </c>
    </row>
    <row r="242" ht="15" customHeight="1">
      <c r="A242" t="inlineStr">
        <is>
          <t>A 37469-2020</t>
        </is>
      </c>
      <c r="B242" s="1" t="n">
        <v>44055</v>
      </c>
      <c r="C242" s="1" t="n">
        <v>45637</v>
      </c>
      <c r="D242" t="inlineStr">
        <is>
          <t>VÄSTMANLANDS LÄN</t>
        </is>
      </c>
      <c r="E242" t="inlineStr">
        <is>
          <t>KÖPING</t>
        </is>
      </c>
      <c r="F242" t="inlineStr">
        <is>
          <t>Kyrkan</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HYPERLINK("https://klasma.github.io/Logging_1983/artfynd/A 37469-2020 artfynd.xlsx", "A 37469-2020")</f>
        <v/>
      </c>
      <c r="T242">
        <f>HYPERLINK("https://klasma.github.io/Logging_1983/kartor/A 37469-2020 karta.png", "A 37469-2020")</f>
        <v/>
      </c>
      <c r="V242">
        <f>HYPERLINK("https://klasma.github.io/Logging_1983/klagomål/A 37469-2020 FSC-klagomål.docx", "A 37469-2020")</f>
        <v/>
      </c>
      <c r="W242">
        <f>HYPERLINK("https://klasma.github.io/Logging_1983/klagomålsmail/A 37469-2020 FSC-klagomål mail.docx", "A 37469-2020")</f>
        <v/>
      </c>
      <c r="X242">
        <f>HYPERLINK("https://klasma.github.io/Logging_1983/tillsyn/A 37469-2020 tillsynsbegäran.docx", "A 37469-2020")</f>
        <v/>
      </c>
      <c r="Y242">
        <f>HYPERLINK("https://klasma.github.io/Logging_1983/tillsynsmail/A 37469-2020 tillsynsbegäran mail.docx", "A 37469-2020")</f>
        <v/>
      </c>
    </row>
    <row r="243" ht="15" customHeight="1">
      <c r="A243" t="inlineStr">
        <is>
          <t>A 38226-2020</t>
        </is>
      </c>
      <c r="B243" s="1" t="n">
        <v>44060</v>
      </c>
      <c r="C243" s="1" t="n">
        <v>45637</v>
      </c>
      <c r="D243" t="inlineStr">
        <is>
          <t>VÄSTMANLANDS LÄN</t>
        </is>
      </c>
      <c r="E243" t="inlineStr">
        <is>
          <t>SKINNSKATTEBERG</t>
        </is>
      </c>
      <c r="G243" t="n">
        <v>3.4</v>
      </c>
      <c r="H243" t="n">
        <v>1</v>
      </c>
      <c r="I243" t="n">
        <v>0</v>
      </c>
      <c r="J243" t="n">
        <v>0</v>
      </c>
      <c r="K243" t="n">
        <v>0</v>
      </c>
      <c r="L243" t="n">
        <v>0</v>
      </c>
      <c r="M243" t="n">
        <v>0</v>
      </c>
      <c r="N243" t="n">
        <v>0</v>
      </c>
      <c r="O243" t="n">
        <v>0</v>
      </c>
      <c r="P243" t="n">
        <v>0</v>
      </c>
      <c r="Q243" t="n">
        <v>1</v>
      </c>
      <c r="R243" s="2" t="inlineStr">
        <is>
          <t>Kopparödla</t>
        </is>
      </c>
      <c r="S243">
        <f>HYPERLINK("https://klasma.github.io/Logging_1904/artfynd/A 38226-2020 artfynd.xlsx", "A 38226-2020")</f>
        <v/>
      </c>
      <c r="T243">
        <f>HYPERLINK("https://klasma.github.io/Logging_1904/kartor/A 38226-2020 karta.png", "A 38226-2020")</f>
        <v/>
      </c>
      <c r="V243">
        <f>HYPERLINK("https://klasma.github.io/Logging_1904/klagomål/A 38226-2020 FSC-klagomål.docx", "A 38226-2020")</f>
        <v/>
      </c>
      <c r="W243">
        <f>HYPERLINK("https://klasma.github.io/Logging_1904/klagomålsmail/A 38226-2020 FSC-klagomål mail.docx", "A 38226-2020")</f>
        <v/>
      </c>
      <c r="X243">
        <f>HYPERLINK("https://klasma.github.io/Logging_1904/tillsyn/A 38226-2020 tillsynsbegäran.docx", "A 38226-2020")</f>
        <v/>
      </c>
      <c r="Y243">
        <f>HYPERLINK("https://klasma.github.io/Logging_1904/tillsynsmail/A 38226-2020 tillsynsbegäran mail.docx", "A 38226-2020")</f>
        <v/>
      </c>
    </row>
    <row r="244" ht="15" customHeight="1">
      <c r="A244" t="inlineStr">
        <is>
          <t>A 39800-2020</t>
        </is>
      </c>
      <c r="B244" s="1" t="n">
        <v>44067</v>
      </c>
      <c r="C244" s="1" t="n">
        <v>45637</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39800-2020 artfynd.xlsx", "A 39800-2020")</f>
        <v/>
      </c>
      <c r="T244">
        <f>HYPERLINK("https://klasma.github.io/Logging_1981/kartor/A 39800-2020 karta.png", "A 39800-2020")</f>
        <v/>
      </c>
      <c r="V244">
        <f>HYPERLINK("https://klasma.github.io/Logging_1981/klagomål/A 39800-2020 FSC-klagomål.docx", "A 39800-2020")</f>
        <v/>
      </c>
      <c r="W244">
        <f>HYPERLINK("https://klasma.github.io/Logging_1981/klagomålsmail/A 39800-2020 FSC-klagomål mail.docx", "A 39800-2020")</f>
        <v/>
      </c>
      <c r="X244">
        <f>HYPERLINK("https://klasma.github.io/Logging_1981/tillsyn/A 39800-2020 tillsynsbegäran.docx", "A 39800-2020")</f>
        <v/>
      </c>
      <c r="Y244">
        <f>HYPERLINK("https://klasma.github.io/Logging_1981/tillsynsmail/A 39800-2020 tillsynsbegäran mail.docx", "A 39800-2020")</f>
        <v/>
      </c>
    </row>
    <row r="245" ht="15" customHeight="1">
      <c r="A245" t="inlineStr">
        <is>
          <t>A 39807-2020</t>
        </is>
      </c>
      <c r="B245" s="1" t="n">
        <v>44067</v>
      </c>
      <c r="C245" s="1" t="n">
        <v>45637</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39807-2020 artfynd.xlsx", "A 39807-2020")</f>
        <v/>
      </c>
      <c r="T245">
        <f>HYPERLINK("https://klasma.github.io/Logging_1981/kartor/A 39807-2020 karta.png", "A 39807-2020")</f>
        <v/>
      </c>
      <c r="V245">
        <f>HYPERLINK("https://klasma.github.io/Logging_1981/klagomål/A 39807-2020 FSC-klagomål.docx", "A 39807-2020")</f>
        <v/>
      </c>
      <c r="W245">
        <f>HYPERLINK("https://klasma.github.io/Logging_1981/klagomålsmail/A 39807-2020 FSC-klagomål mail.docx", "A 39807-2020")</f>
        <v/>
      </c>
      <c r="X245">
        <f>HYPERLINK("https://klasma.github.io/Logging_1981/tillsyn/A 39807-2020 tillsynsbegäran.docx", "A 39807-2020")</f>
        <v/>
      </c>
      <c r="Y245">
        <f>HYPERLINK("https://klasma.github.io/Logging_1981/tillsynsmail/A 39807-2020 tillsynsbegäran mail.docx", "A 39807-2020")</f>
        <v/>
      </c>
    </row>
    <row r="246" ht="15" customHeight="1">
      <c r="A246" t="inlineStr">
        <is>
          <t>A 42352-2020</t>
        </is>
      </c>
      <c r="B246" s="1" t="n">
        <v>44076</v>
      </c>
      <c r="C246" s="1" t="n">
        <v>45637</v>
      </c>
      <c r="D246" t="inlineStr">
        <is>
          <t>VÄSTMANLANDS LÄN</t>
        </is>
      </c>
      <c r="E246" t="inlineStr">
        <is>
          <t>SALA</t>
        </is>
      </c>
      <c r="G246" t="n">
        <v>8.6</v>
      </c>
      <c r="H246" t="n">
        <v>1</v>
      </c>
      <c r="I246" t="n">
        <v>0</v>
      </c>
      <c r="J246" t="n">
        <v>0</v>
      </c>
      <c r="K246" t="n">
        <v>0</v>
      </c>
      <c r="L246" t="n">
        <v>0</v>
      </c>
      <c r="M246" t="n">
        <v>0</v>
      </c>
      <c r="N246" t="n">
        <v>0</v>
      </c>
      <c r="O246" t="n">
        <v>0</v>
      </c>
      <c r="P246" t="n">
        <v>0</v>
      </c>
      <c r="Q246" t="n">
        <v>1</v>
      </c>
      <c r="R246" s="2" t="inlineStr">
        <is>
          <t>Mattlummer</t>
        </is>
      </c>
      <c r="S246">
        <f>HYPERLINK("https://klasma.github.io/Logging_1981/artfynd/A 42352-2020 artfynd.xlsx", "A 42352-2020")</f>
        <v/>
      </c>
      <c r="T246">
        <f>HYPERLINK("https://klasma.github.io/Logging_1981/kartor/A 42352-2020 karta.png", "A 42352-2020")</f>
        <v/>
      </c>
      <c r="V246">
        <f>HYPERLINK("https://klasma.github.io/Logging_1981/klagomål/A 42352-2020 FSC-klagomål.docx", "A 42352-2020")</f>
        <v/>
      </c>
      <c r="W246">
        <f>HYPERLINK("https://klasma.github.io/Logging_1981/klagomålsmail/A 42352-2020 FSC-klagomål mail.docx", "A 42352-2020")</f>
        <v/>
      </c>
      <c r="X246">
        <f>HYPERLINK("https://klasma.github.io/Logging_1981/tillsyn/A 42352-2020 tillsynsbegäran.docx", "A 42352-2020")</f>
        <v/>
      </c>
      <c r="Y246">
        <f>HYPERLINK("https://klasma.github.io/Logging_1981/tillsynsmail/A 42352-2020 tillsynsbegäran mail.docx", "A 42352-2020")</f>
        <v/>
      </c>
    </row>
    <row r="247" ht="15" customHeight="1">
      <c r="A247" t="inlineStr">
        <is>
          <t>A 56014-2020</t>
        </is>
      </c>
      <c r="B247" s="1" t="n">
        <v>44132</v>
      </c>
      <c r="C247" s="1" t="n">
        <v>45637</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57412-2020</t>
        </is>
      </c>
      <c r="B248" s="1" t="n">
        <v>44138</v>
      </c>
      <c r="C248" s="1" t="n">
        <v>45637</v>
      </c>
      <c r="D248" t="inlineStr">
        <is>
          <t>VÄSTMANLANDS LÄN</t>
        </is>
      </c>
      <c r="E248" t="inlineStr">
        <is>
          <t>SURAHAMMAR</t>
        </is>
      </c>
      <c r="G248" t="n">
        <v>2.9</v>
      </c>
      <c r="H248" t="n">
        <v>1</v>
      </c>
      <c r="I248" t="n">
        <v>0</v>
      </c>
      <c r="J248" t="n">
        <v>1</v>
      </c>
      <c r="K248" t="n">
        <v>0</v>
      </c>
      <c r="L248" t="n">
        <v>0</v>
      </c>
      <c r="M248" t="n">
        <v>0</v>
      </c>
      <c r="N248" t="n">
        <v>0</v>
      </c>
      <c r="O248" t="n">
        <v>1</v>
      </c>
      <c r="P248" t="n">
        <v>0</v>
      </c>
      <c r="Q248" t="n">
        <v>1</v>
      </c>
      <c r="R248" s="2" t="inlineStr">
        <is>
          <t>Gulsparv</t>
        </is>
      </c>
      <c r="S248">
        <f>HYPERLINK("https://klasma.github.io/Logging_1907/artfynd/A 57412-2020 artfynd.xlsx", "A 57412-2020")</f>
        <v/>
      </c>
      <c r="T248">
        <f>HYPERLINK("https://klasma.github.io/Logging_1907/kartor/A 57412-2020 karta.png", "A 57412-2020")</f>
        <v/>
      </c>
      <c r="V248">
        <f>HYPERLINK("https://klasma.github.io/Logging_1907/klagomål/A 57412-2020 FSC-klagomål.docx", "A 57412-2020")</f>
        <v/>
      </c>
      <c r="W248">
        <f>HYPERLINK("https://klasma.github.io/Logging_1907/klagomålsmail/A 57412-2020 FSC-klagomål mail.docx", "A 57412-2020")</f>
        <v/>
      </c>
      <c r="X248">
        <f>HYPERLINK("https://klasma.github.io/Logging_1907/tillsyn/A 57412-2020 tillsynsbegäran.docx", "A 57412-2020")</f>
        <v/>
      </c>
      <c r="Y248">
        <f>HYPERLINK("https://klasma.github.io/Logging_1907/tillsynsmail/A 57412-2020 tillsynsbegäran mail.docx", "A 57412-2020")</f>
        <v/>
      </c>
      <c r="Z248">
        <f>HYPERLINK("https://klasma.github.io/Logging_1907/fåglar/A 57412-2020 prioriterade fågelarter.docx", "A 57412-2020")</f>
        <v/>
      </c>
    </row>
    <row r="249" ht="15" customHeight="1">
      <c r="A249" t="inlineStr">
        <is>
          <t>A 69308-2020</t>
        </is>
      </c>
      <c r="B249" s="1" t="n">
        <v>44188</v>
      </c>
      <c r="C249" s="1" t="n">
        <v>45637</v>
      </c>
      <c r="D249" t="inlineStr">
        <is>
          <t>VÄSTMANLANDS LÄN</t>
        </is>
      </c>
      <c r="E249" t="inlineStr">
        <is>
          <t>VÄSTERÅS</t>
        </is>
      </c>
      <c r="F249" t="inlineStr">
        <is>
          <t>Övriga Aktiebolag</t>
        </is>
      </c>
      <c r="G249" t="n">
        <v>7.7</v>
      </c>
      <c r="H249" t="n">
        <v>0</v>
      </c>
      <c r="I249" t="n">
        <v>0</v>
      </c>
      <c r="J249" t="n">
        <v>0</v>
      </c>
      <c r="K249" t="n">
        <v>0</v>
      </c>
      <c r="L249" t="n">
        <v>1</v>
      </c>
      <c r="M249" t="n">
        <v>0</v>
      </c>
      <c r="N249" t="n">
        <v>0</v>
      </c>
      <c r="O249" t="n">
        <v>1</v>
      </c>
      <c r="P249" t="n">
        <v>1</v>
      </c>
      <c r="Q249" t="n">
        <v>1</v>
      </c>
      <c r="R249" s="2" t="inlineStr">
        <is>
          <t>Ask</t>
        </is>
      </c>
      <c r="S249">
        <f>HYPERLINK("https://klasma.github.io/Logging_1980/artfynd/A 69308-2020 artfynd.xlsx", "A 69308-2020")</f>
        <v/>
      </c>
      <c r="T249">
        <f>HYPERLINK("https://klasma.github.io/Logging_1980/kartor/A 69308-2020 karta.png", "A 69308-2020")</f>
        <v/>
      </c>
      <c r="V249">
        <f>HYPERLINK("https://klasma.github.io/Logging_1980/klagomål/A 69308-2020 FSC-klagomål.docx", "A 69308-2020")</f>
        <v/>
      </c>
      <c r="W249">
        <f>HYPERLINK("https://klasma.github.io/Logging_1980/klagomålsmail/A 69308-2020 FSC-klagomål mail.docx", "A 69308-2020")</f>
        <v/>
      </c>
      <c r="X249">
        <f>HYPERLINK("https://klasma.github.io/Logging_1980/tillsyn/A 69308-2020 tillsynsbegäran.docx", "A 69308-2020")</f>
        <v/>
      </c>
      <c r="Y249">
        <f>HYPERLINK("https://klasma.github.io/Logging_1980/tillsynsmail/A 69308-2020 tillsynsbegäran mail.docx", "A 69308-2020")</f>
        <v/>
      </c>
    </row>
    <row r="250" ht="15" customHeight="1">
      <c r="A250" t="inlineStr">
        <is>
          <t>A 10364-2021</t>
        </is>
      </c>
      <c r="B250" s="1" t="n">
        <v>44257</v>
      </c>
      <c r="C250" s="1" t="n">
        <v>45637</v>
      </c>
      <c r="D250" t="inlineStr">
        <is>
          <t>VÄSTMANLANDS LÄN</t>
        </is>
      </c>
      <c r="E250" t="inlineStr">
        <is>
          <t>ARBOGA</t>
        </is>
      </c>
      <c r="F250" t="inlineStr">
        <is>
          <t>Sveaskog</t>
        </is>
      </c>
      <c r="G250" t="n">
        <v>2</v>
      </c>
      <c r="H250" t="n">
        <v>0</v>
      </c>
      <c r="I250" t="n">
        <v>0</v>
      </c>
      <c r="J250" t="n">
        <v>1</v>
      </c>
      <c r="K250" t="n">
        <v>0</v>
      </c>
      <c r="L250" t="n">
        <v>0</v>
      </c>
      <c r="M250" t="n">
        <v>0</v>
      </c>
      <c r="N250" t="n">
        <v>0</v>
      </c>
      <c r="O250" t="n">
        <v>1</v>
      </c>
      <c r="P250" t="n">
        <v>0</v>
      </c>
      <c r="Q250" t="n">
        <v>1</v>
      </c>
      <c r="R250" s="2" t="inlineStr">
        <is>
          <t>Mindre timmerman</t>
        </is>
      </c>
      <c r="S250">
        <f>HYPERLINK("https://klasma.github.io/Logging_1984/artfynd/A 10364-2021 artfynd.xlsx", "A 10364-2021")</f>
        <v/>
      </c>
      <c r="T250">
        <f>HYPERLINK("https://klasma.github.io/Logging_1984/kartor/A 10364-2021 karta.png", "A 10364-2021")</f>
        <v/>
      </c>
      <c r="V250">
        <f>HYPERLINK("https://klasma.github.io/Logging_1984/klagomål/A 10364-2021 FSC-klagomål.docx", "A 10364-2021")</f>
        <v/>
      </c>
      <c r="W250">
        <f>HYPERLINK("https://klasma.github.io/Logging_1984/klagomålsmail/A 10364-2021 FSC-klagomål mail.docx", "A 10364-2021")</f>
        <v/>
      </c>
      <c r="X250">
        <f>HYPERLINK("https://klasma.github.io/Logging_1984/tillsyn/A 10364-2021 tillsynsbegäran.docx", "A 10364-2021")</f>
        <v/>
      </c>
      <c r="Y250">
        <f>HYPERLINK("https://klasma.github.io/Logging_1984/tillsynsmail/A 10364-2021 tillsynsbegäran mail.docx", "A 10364-2021")</f>
        <v/>
      </c>
    </row>
    <row r="251" ht="15" customHeight="1">
      <c r="A251" t="inlineStr">
        <is>
          <t>A 13973-2021</t>
        </is>
      </c>
      <c r="B251" s="1" t="n">
        <v>44277</v>
      </c>
      <c r="C251" s="1" t="n">
        <v>45637</v>
      </c>
      <c r="D251" t="inlineStr">
        <is>
          <t>VÄSTMANLANDS LÄN</t>
        </is>
      </c>
      <c r="E251" t="inlineStr">
        <is>
          <t>SALA</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HYPERLINK("https://klasma.github.io/Logging_1981/artfynd/A 13973-2021 artfynd.xlsx", "A 13973-2021")</f>
        <v/>
      </c>
      <c r="T251">
        <f>HYPERLINK("https://klasma.github.io/Logging_1981/kartor/A 13973-2021 karta.png", "A 13973-2021")</f>
        <v/>
      </c>
      <c r="V251">
        <f>HYPERLINK("https://klasma.github.io/Logging_1981/klagomål/A 13973-2021 FSC-klagomål.docx", "A 13973-2021")</f>
        <v/>
      </c>
      <c r="W251">
        <f>HYPERLINK("https://klasma.github.io/Logging_1981/klagomålsmail/A 13973-2021 FSC-klagomål mail.docx", "A 13973-2021")</f>
        <v/>
      </c>
      <c r="X251">
        <f>HYPERLINK("https://klasma.github.io/Logging_1981/tillsyn/A 13973-2021 tillsynsbegäran.docx", "A 13973-2021")</f>
        <v/>
      </c>
      <c r="Y251">
        <f>HYPERLINK("https://klasma.github.io/Logging_1981/tillsynsmail/A 13973-2021 tillsynsbegäran mail.docx", "A 13973-2021")</f>
        <v/>
      </c>
    </row>
    <row r="252" ht="15" customHeight="1">
      <c r="A252" t="inlineStr">
        <is>
          <t>A 20479-2021</t>
        </is>
      </c>
      <c r="B252" s="1" t="n">
        <v>44315</v>
      </c>
      <c r="C252" s="1" t="n">
        <v>45637</v>
      </c>
      <c r="D252" t="inlineStr">
        <is>
          <t>VÄSTMANLANDS LÄN</t>
        </is>
      </c>
      <c r="E252" t="inlineStr">
        <is>
          <t>SURAHAMMAR</t>
        </is>
      </c>
      <c r="F252" t="inlineStr">
        <is>
          <t>Sveaskog</t>
        </is>
      </c>
      <c r="G252" t="n">
        <v>3.8</v>
      </c>
      <c r="H252" t="n">
        <v>0</v>
      </c>
      <c r="I252" t="n">
        <v>1</v>
      </c>
      <c r="J252" t="n">
        <v>0</v>
      </c>
      <c r="K252" t="n">
        <v>0</v>
      </c>
      <c r="L252" t="n">
        <v>0</v>
      </c>
      <c r="M252" t="n">
        <v>0</v>
      </c>
      <c r="N252" t="n">
        <v>0</v>
      </c>
      <c r="O252" t="n">
        <v>0</v>
      </c>
      <c r="P252" t="n">
        <v>0</v>
      </c>
      <c r="Q252" t="n">
        <v>1</v>
      </c>
      <c r="R252" s="2" t="inlineStr">
        <is>
          <t>Grönpyrola</t>
        </is>
      </c>
      <c r="S252">
        <f>HYPERLINK("https://klasma.github.io/Logging_1907/artfynd/A 20479-2021 artfynd.xlsx", "A 20479-2021")</f>
        <v/>
      </c>
      <c r="T252">
        <f>HYPERLINK("https://klasma.github.io/Logging_1907/kartor/A 20479-2021 karta.png", "A 20479-2021")</f>
        <v/>
      </c>
      <c r="V252">
        <f>HYPERLINK("https://klasma.github.io/Logging_1907/klagomål/A 20479-2021 FSC-klagomål.docx", "A 20479-2021")</f>
        <v/>
      </c>
      <c r="W252">
        <f>HYPERLINK("https://klasma.github.io/Logging_1907/klagomålsmail/A 20479-2021 FSC-klagomål mail.docx", "A 20479-2021")</f>
        <v/>
      </c>
      <c r="X252">
        <f>HYPERLINK("https://klasma.github.io/Logging_1907/tillsyn/A 20479-2021 tillsynsbegäran.docx", "A 20479-2021")</f>
        <v/>
      </c>
      <c r="Y252">
        <f>HYPERLINK("https://klasma.github.io/Logging_1907/tillsynsmail/A 20479-2021 tillsynsbegäran mail.docx", "A 20479-2021")</f>
        <v/>
      </c>
    </row>
    <row r="253" ht="15" customHeight="1">
      <c r="A253" t="inlineStr">
        <is>
          <t>A 22099-2021</t>
        </is>
      </c>
      <c r="B253" s="1" t="n">
        <v>44323</v>
      </c>
      <c r="C253" s="1" t="n">
        <v>45637</v>
      </c>
      <c r="D253" t="inlineStr">
        <is>
          <t>VÄSTMANLANDS LÄN</t>
        </is>
      </c>
      <c r="E253" t="inlineStr">
        <is>
          <t>SKINNSKATTEBERG</t>
        </is>
      </c>
      <c r="F253" t="inlineStr">
        <is>
          <t>Sveaskog</t>
        </is>
      </c>
      <c r="G253" t="n">
        <v>10.7</v>
      </c>
      <c r="H253" t="n">
        <v>1</v>
      </c>
      <c r="I253" t="n">
        <v>0</v>
      </c>
      <c r="J253" t="n">
        <v>0</v>
      </c>
      <c r="K253" t="n">
        <v>0</v>
      </c>
      <c r="L253" t="n">
        <v>0</v>
      </c>
      <c r="M253" t="n">
        <v>0</v>
      </c>
      <c r="N253" t="n">
        <v>0</v>
      </c>
      <c r="O253" t="n">
        <v>0</v>
      </c>
      <c r="P253" t="n">
        <v>0</v>
      </c>
      <c r="Q253" t="n">
        <v>1</v>
      </c>
      <c r="R253" s="2" t="inlineStr">
        <is>
          <t>Mattlummer</t>
        </is>
      </c>
      <c r="S253">
        <f>HYPERLINK("https://klasma.github.io/Logging_1904/artfynd/A 22099-2021 artfynd.xlsx", "A 22099-2021")</f>
        <v/>
      </c>
      <c r="T253">
        <f>HYPERLINK("https://klasma.github.io/Logging_1904/kartor/A 22099-2021 karta.png", "A 22099-2021")</f>
        <v/>
      </c>
      <c r="V253">
        <f>HYPERLINK("https://klasma.github.io/Logging_1904/klagomål/A 22099-2021 FSC-klagomål.docx", "A 22099-2021")</f>
        <v/>
      </c>
      <c r="W253">
        <f>HYPERLINK("https://klasma.github.io/Logging_1904/klagomålsmail/A 22099-2021 FSC-klagomål mail.docx", "A 22099-2021")</f>
        <v/>
      </c>
      <c r="X253">
        <f>HYPERLINK("https://klasma.github.io/Logging_1904/tillsyn/A 22099-2021 tillsynsbegäran.docx", "A 22099-2021")</f>
        <v/>
      </c>
      <c r="Y253">
        <f>HYPERLINK("https://klasma.github.io/Logging_1904/tillsynsmail/A 22099-2021 tillsynsbegäran mail.docx", "A 22099-2021")</f>
        <v/>
      </c>
    </row>
    <row r="254" ht="15" customHeight="1">
      <c r="A254" t="inlineStr">
        <is>
          <t>A 24535-2021</t>
        </is>
      </c>
      <c r="B254" s="1" t="n">
        <v>44339</v>
      </c>
      <c r="C254" s="1" t="n">
        <v>45637</v>
      </c>
      <c r="D254" t="inlineStr">
        <is>
          <t>VÄSTMANLANDS LÄN</t>
        </is>
      </c>
      <c r="E254" t="inlineStr">
        <is>
          <t>KÖPING</t>
        </is>
      </c>
      <c r="F254" t="inlineStr">
        <is>
          <t>Sveaskog</t>
        </is>
      </c>
      <c r="G254" t="n">
        <v>4.8</v>
      </c>
      <c r="H254" t="n">
        <v>0</v>
      </c>
      <c r="I254" t="n">
        <v>0</v>
      </c>
      <c r="J254" t="n">
        <v>1</v>
      </c>
      <c r="K254" t="n">
        <v>0</v>
      </c>
      <c r="L254" t="n">
        <v>0</v>
      </c>
      <c r="M254" t="n">
        <v>0</v>
      </c>
      <c r="N254" t="n">
        <v>0</v>
      </c>
      <c r="O254" t="n">
        <v>1</v>
      </c>
      <c r="P254" t="n">
        <v>0</v>
      </c>
      <c r="Q254" t="n">
        <v>1</v>
      </c>
      <c r="R254" s="2" t="inlineStr">
        <is>
          <t>Skrovlig taggsvamp</t>
        </is>
      </c>
      <c r="S254">
        <f>HYPERLINK("https://klasma.github.io/Logging_1983/artfynd/A 24535-2021 artfynd.xlsx", "A 24535-2021")</f>
        <v/>
      </c>
      <c r="T254">
        <f>HYPERLINK("https://klasma.github.io/Logging_1983/kartor/A 24535-2021 karta.png", "A 24535-2021")</f>
        <v/>
      </c>
      <c r="V254">
        <f>HYPERLINK("https://klasma.github.io/Logging_1983/klagomål/A 24535-2021 FSC-klagomål.docx", "A 24535-2021")</f>
        <v/>
      </c>
      <c r="W254">
        <f>HYPERLINK("https://klasma.github.io/Logging_1983/klagomålsmail/A 24535-2021 FSC-klagomål mail.docx", "A 24535-2021")</f>
        <v/>
      </c>
      <c r="X254">
        <f>HYPERLINK("https://klasma.github.io/Logging_1983/tillsyn/A 24535-2021 tillsynsbegäran.docx", "A 24535-2021")</f>
        <v/>
      </c>
      <c r="Y254">
        <f>HYPERLINK("https://klasma.github.io/Logging_1983/tillsynsmail/A 24535-2021 tillsynsbegäran mail.docx", "A 24535-2021")</f>
        <v/>
      </c>
    </row>
    <row r="255" ht="15" customHeight="1">
      <c r="A255" t="inlineStr">
        <is>
          <t>A 25391-2021</t>
        </is>
      </c>
      <c r="B255" s="1" t="n">
        <v>44342</v>
      </c>
      <c r="C255" s="1" t="n">
        <v>45637</v>
      </c>
      <c r="D255" t="inlineStr">
        <is>
          <t>VÄSTMANLANDS LÄN</t>
        </is>
      </c>
      <c r="E255" t="inlineStr">
        <is>
          <t>NORBERG</t>
        </is>
      </c>
      <c r="G255" t="n">
        <v>4.2</v>
      </c>
      <c r="H255" t="n">
        <v>0</v>
      </c>
      <c r="I255" t="n">
        <v>1</v>
      </c>
      <c r="J255" t="n">
        <v>0</v>
      </c>
      <c r="K255" t="n">
        <v>0</v>
      </c>
      <c r="L255" t="n">
        <v>0</v>
      </c>
      <c r="M255" t="n">
        <v>0</v>
      </c>
      <c r="N255" t="n">
        <v>0</v>
      </c>
      <c r="O255" t="n">
        <v>0</v>
      </c>
      <c r="P255" t="n">
        <v>0</v>
      </c>
      <c r="Q255" t="n">
        <v>1</v>
      </c>
      <c r="R255" s="2" t="inlineStr">
        <is>
          <t>Vedticka</t>
        </is>
      </c>
      <c r="S255">
        <f>HYPERLINK("https://klasma.github.io/Logging_1962/artfynd/A 25391-2021 artfynd.xlsx", "A 25391-2021")</f>
        <v/>
      </c>
      <c r="T255">
        <f>HYPERLINK("https://klasma.github.io/Logging_1962/kartor/A 25391-2021 karta.png", "A 25391-2021")</f>
        <v/>
      </c>
      <c r="V255">
        <f>HYPERLINK("https://klasma.github.io/Logging_1962/klagomål/A 25391-2021 FSC-klagomål.docx", "A 25391-2021")</f>
        <v/>
      </c>
      <c r="W255">
        <f>HYPERLINK("https://klasma.github.io/Logging_1962/klagomålsmail/A 25391-2021 FSC-klagomål mail.docx", "A 25391-2021")</f>
        <v/>
      </c>
      <c r="X255">
        <f>HYPERLINK("https://klasma.github.io/Logging_1962/tillsyn/A 25391-2021 tillsynsbegäran.docx", "A 25391-2021")</f>
        <v/>
      </c>
      <c r="Y255">
        <f>HYPERLINK("https://klasma.github.io/Logging_1962/tillsynsmail/A 25391-2021 tillsynsbegäran mail.docx", "A 25391-2021")</f>
        <v/>
      </c>
    </row>
    <row r="256" ht="15" customHeight="1">
      <c r="A256" t="inlineStr">
        <is>
          <t>A 28050-2021</t>
        </is>
      </c>
      <c r="B256" s="1" t="n">
        <v>44355</v>
      </c>
      <c r="C256" s="1" t="n">
        <v>45637</v>
      </c>
      <c r="D256" t="inlineStr">
        <is>
          <t>VÄSTMANLANDS LÄN</t>
        </is>
      </c>
      <c r="E256" t="inlineStr">
        <is>
          <t>ARBOGA</t>
        </is>
      </c>
      <c r="G256" t="n">
        <v>1.8</v>
      </c>
      <c r="H256" t="n">
        <v>0</v>
      </c>
      <c r="I256" t="n">
        <v>1</v>
      </c>
      <c r="J256" t="n">
        <v>0</v>
      </c>
      <c r="K256" t="n">
        <v>0</v>
      </c>
      <c r="L256" t="n">
        <v>0</v>
      </c>
      <c r="M256" t="n">
        <v>0</v>
      </c>
      <c r="N256" t="n">
        <v>0</v>
      </c>
      <c r="O256" t="n">
        <v>0</v>
      </c>
      <c r="P256" t="n">
        <v>0</v>
      </c>
      <c r="Q256" t="n">
        <v>1</v>
      </c>
      <c r="R256" s="2" t="inlineStr">
        <is>
          <t>Platt fjädermossa</t>
        </is>
      </c>
      <c r="S256">
        <f>HYPERLINK("https://klasma.github.io/Logging_1984/artfynd/A 28050-2021 artfynd.xlsx", "A 28050-2021")</f>
        <v/>
      </c>
      <c r="T256">
        <f>HYPERLINK("https://klasma.github.io/Logging_1984/kartor/A 28050-2021 karta.png", "A 28050-2021")</f>
        <v/>
      </c>
      <c r="V256">
        <f>HYPERLINK("https://klasma.github.io/Logging_1984/klagomål/A 28050-2021 FSC-klagomål.docx", "A 28050-2021")</f>
        <v/>
      </c>
      <c r="W256">
        <f>HYPERLINK("https://klasma.github.io/Logging_1984/klagomålsmail/A 28050-2021 FSC-klagomål mail.docx", "A 28050-2021")</f>
        <v/>
      </c>
      <c r="X256">
        <f>HYPERLINK("https://klasma.github.io/Logging_1984/tillsyn/A 28050-2021 tillsynsbegäran.docx", "A 28050-2021")</f>
        <v/>
      </c>
      <c r="Y256">
        <f>HYPERLINK("https://klasma.github.io/Logging_1984/tillsynsmail/A 28050-2021 tillsynsbegäran mail.docx", "A 28050-2021")</f>
        <v/>
      </c>
    </row>
    <row r="257" ht="15" customHeight="1">
      <c r="A257" t="inlineStr">
        <is>
          <t>A 30186-2021</t>
        </is>
      </c>
      <c r="B257" s="1" t="n">
        <v>44363</v>
      </c>
      <c r="C257" s="1" t="n">
        <v>45637</v>
      </c>
      <c r="D257" t="inlineStr">
        <is>
          <t>VÄSTMANLANDS LÄN</t>
        </is>
      </c>
      <c r="E257" t="inlineStr">
        <is>
          <t>HALLSTAHAMMAR</t>
        </is>
      </c>
      <c r="G257" t="n">
        <v>4.8</v>
      </c>
      <c r="H257" t="n">
        <v>0</v>
      </c>
      <c r="I257" t="n">
        <v>0</v>
      </c>
      <c r="J257" t="n">
        <v>1</v>
      </c>
      <c r="K257" t="n">
        <v>0</v>
      </c>
      <c r="L257" t="n">
        <v>0</v>
      </c>
      <c r="M257" t="n">
        <v>0</v>
      </c>
      <c r="N257" t="n">
        <v>0</v>
      </c>
      <c r="O257" t="n">
        <v>1</v>
      </c>
      <c r="P257" t="n">
        <v>0</v>
      </c>
      <c r="Q257" t="n">
        <v>1</v>
      </c>
      <c r="R257" s="2" t="inlineStr">
        <is>
          <t>Ullticka</t>
        </is>
      </c>
      <c r="S257">
        <f>HYPERLINK("https://klasma.github.io/Logging_1961/artfynd/A 30186-2021 artfynd.xlsx", "A 30186-2021")</f>
        <v/>
      </c>
      <c r="T257">
        <f>HYPERLINK("https://klasma.github.io/Logging_1961/kartor/A 30186-2021 karta.png", "A 30186-2021")</f>
        <v/>
      </c>
      <c r="V257">
        <f>HYPERLINK("https://klasma.github.io/Logging_1961/klagomål/A 30186-2021 FSC-klagomål.docx", "A 30186-2021")</f>
        <v/>
      </c>
      <c r="W257">
        <f>HYPERLINK("https://klasma.github.io/Logging_1961/klagomålsmail/A 30186-2021 FSC-klagomål mail.docx", "A 30186-2021")</f>
        <v/>
      </c>
      <c r="X257">
        <f>HYPERLINK("https://klasma.github.io/Logging_1961/tillsyn/A 30186-2021 tillsynsbegäran.docx", "A 30186-2021")</f>
        <v/>
      </c>
      <c r="Y257">
        <f>HYPERLINK("https://klasma.github.io/Logging_1961/tillsynsmail/A 30186-2021 tillsynsbegäran mail.docx", "A 30186-2021")</f>
        <v/>
      </c>
    </row>
    <row r="258" ht="15" customHeight="1">
      <c r="A258" t="inlineStr">
        <is>
          <t>A 32862-2021</t>
        </is>
      </c>
      <c r="B258" s="1" t="n">
        <v>44375</v>
      </c>
      <c r="C258" s="1" t="n">
        <v>45637</v>
      </c>
      <c r="D258" t="inlineStr">
        <is>
          <t>VÄSTMANLANDS LÄN</t>
        </is>
      </c>
      <c r="E258" t="inlineStr">
        <is>
          <t>VÄSTERÅS</t>
        </is>
      </c>
      <c r="G258" t="n">
        <v>4.4</v>
      </c>
      <c r="H258" t="n">
        <v>1</v>
      </c>
      <c r="I258" t="n">
        <v>0</v>
      </c>
      <c r="J258" t="n">
        <v>0</v>
      </c>
      <c r="K258" t="n">
        <v>0</v>
      </c>
      <c r="L258" t="n">
        <v>0</v>
      </c>
      <c r="M258" t="n">
        <v>0</v>
      </c>
      <c r="N258" t="n">
        <v>0</v>
      </c>
      <c r="O258" t="n">
        <v>0</v>
      </c>
      <c r="P258" t="n">
        <v>0</v>
      </c>
      <c r="Q258" t="n">
        <v>1</v>
      </c>
      <c r="R258" s="2" t="inlineStr">
        <is>
          <t>Mistel</t>
        </is>
      </c>
      <c r="S258">
        <f>HYPERLINK("https://klasma.github.io/Logging_1980/artfynd/A 32862-2021 artfynd.xlsx", "A 32862-2021")</f>
        <v/>
      </c>
      <c r="T258">
        <f>HYPERLINK("https://klasma.github.io/Logging_1980/kartor/A 32862-2021 karta.png", "A 32862-2021")</f>
        <v/>
      </c>
      <c r="V258">
        <f>HYPERLINK("https://klasma.github.io/Logging_1980/klagomål/A 32862-2021 FSC-klagomål.docx", "A 32862-2021")</f>
        <v/>
      </c>
      <c r="W258">
        <f>HYPERLINK("https://klasma.github.io/Logging_1980/klagomålsmail/A 32862-2021 FSC-klagomål mail.docx", "A 32862-2021")</f>
        <v/>
      </c>
      <c r="X258">
        <f>HYPERLINK("https://klasma.github.io/Logging_1980/tillsyn/A 32862-2021 tillsynsbegäran.docx", "A 32862-2021")</f>
        <v/>
      </c>
      <c r="Y258">
        <f>HYPERLINK("https://klasma.github.io/Logging_1980/tillsynsmail/A 32862-2021 tillsynsbegäran mail.docx", "A 32862-2021")</f>
        <v/>
      </c>
    </row>
    <row r="259" ht="15" customHeight="1">
      <c r="A259" t="inlineStr">
        <is>
          <t>A 36209-2021</t>
        </is>
      </c>
      <c r="B259" s="1" t="n">
        <v>44389</v>
      </c>
      <c r="C259" s="1" t="n">
        <v>45637</v>
      </c>
      <c r="D259" t="inlineStr">
        <is>
          <t>VÄSTMANLANDS LÄN</t>
        </is>
      </c>
      <c r="E259" t="inlineStr">
        <is>
          <t>KÖPING</t>
        </is>
      </c>
      <c r="G259" t="n">
        <v>6.9</v>
      </c>
      <c r="H259" t="n">
        <v>0</v>
      </c>
      <c r="I259" t="n">
        <v>1</v>
      </c>
      <c r="J259" t="n">
        <v>0</v>
      </c>
      <c r="K259" t="n">
        <v>0</v>
      </c>
      <c r="L259" t="n">
        <v>0</v>
      </c>
      <c r="M259" t="n">
        <v>0</v>
      </c>
      <c r="N259" t="n">
        <v>0</v>
      </c>
      <c r="O259" t="n">
        <v>0</v>
      </c>
      <c r="P259" t="n">
        <v>0</v>
      </c>
      <c r="Q259" t="n">
        <v>1</v>
      </c>
      <c r="R259" s="2" t="inlineStr">
        <is>
          <t>Svart trolldruva</t>
        </is>
      </c>
      <c r="S259">
        <f>HYPERLINK("https://klasma.github.io/Logging_1983/artfynd/A 36209-2021 artfynd.xlsx", "A 36209-2021")</f>
        <v/>
      </c>
      <c r="T259">
        <f>HYPERLINK("https://klasma.github.io/Logging_1983/kartor/A 36209-2021 karta.png", "A 36209-2021")</f>
        <v/>
      </c>
      <c r="V259">
        <f>HYPERLINK("https://klasma.github.io/Logging_1983/klagomål/A 36209-2021 FSC-klagomål.docx", "A 36209-2021")</f>
        <v/>
      </c>
      <c r="W259">
        <f>HYPERLINK("https://klasma.github.io/Logging_1983/klagomålsmail/A 36209-2021 FSC-klagomål mail.docx", "A 36209-2021")</f>
        <v/>
      </c>
      <c r="X259">
        <f>HYPERLINK("https://klasma.github.io/Logging_1983/tillsyn/A 36209-2021 tillsynsbegäran.docx", "A 36209-2021")</f>
        <v/>
      </c>
      <c r="Y259">
        <f>HYPERLINK("https://klasma.github.io/Logging_1983/tillsynsmail/A 36209-2021 tillsynsbegäran mail.docx", "A 36209-2021")</f>
        <v/>
      </c>
    </row>
    <row r="260" ht="15" customHeight="1">
      <c r="A260" t="inlineStr">
        <is>
          <t>A 37464-2021</t>
        </is>
      </c>
      <c r="B260" s="1" t="n">
        <v>44398</v>
      </c>
      <c r="C260" s="1" t="n">
        <v>45637</v>
      </c>
      <c r="D260" t="inlineStr">
        <is>
          <t>VÄSTMANLANDS LÄN</t>
        </is>
      </c>
      <c r="E260" t="inlineStr">
        <is>
          <t>VÄSTERÅS</t>
        </is>
      </c>
      <c r="G260" t="n">
        <v>8.1</v>
      </c>
      <c r="H260" t="n">
        <v>1</v>
      </c>
      <c r="I260" t="n">
        <v>0</v>
      </c>
      <c r="J260" t="n">
        <v>0</v>
      </c>
      <c r="K260" t="n">
        <v>0</v>
      </c>
      <c r="L260" t="n">
        <v>0</v>
      </c>
      <c r="M260" t="n">
        <v>0</v>
      </c>
      <c r="N260" t="n">
        <v>0</v>
      </c>
      <c r="O260" t="n">
        <v>0</v>
      </c>
      <c r="P260" t="n">
        <v>0</v>
      </c>
      <c r="Q260" t="n">
        <v>1</v>
      </c>
      <c r="R260" s="2" t="inlineStr">
        <is>
          <t>Mistel</t>
        </is>
      </c>
      <c r="S260">
        <f>HYPERLINK("https://klasma.github.io/Logging_1980/artfynd/A 37464-2021 artfynd.xlsx", "A 37464-2021")</f>
        <v/>
      </c>
      <c r="T260">
        <f>HYPERLINK("https://klasma.github.io/Logging_1980/kartor/A 37464-2021 karta.png", "A 37464-2021")</f>
        <v/>
      </c>
      <c r="V260">
        <f>HYPERLINK("https://klasma.github.io/Logging_1980/klagomål/A 37464-2021 FSC-klagomål.docx", "A 37464-2021")</f>
        <v/>
      </c>
      <c r="W260">
        <f>HYPERLINK("https://klasma.github.io/Logging_1980/klagomålsmail/A 37464-2021 FSC-klagomål mail.docx", "A 37464-2021")</f>
        <v/>
      </c>
      <c r="X260">
        <f>HYPERLINK("https://klasma.github.io/Logging_1980/tillsyn/A 37464-2021 tillsynsbegäran.docx", "A 37464-2021")</f>
        <v/>
      </c>
      <c r="Y260">
        <f>HYPERLINK("https://klasma.github.io/Logging_1980/tillsynsmail/A 37464-2021 tillsynsbegäran mail.docx", "A 37464-2021")</f>
        <v/>
      </c>
    </row>
    <row r="261" ht="15" customHeight="1">
      <c r="A261" t="inlineStr">
        <is>
          <t>A 38127-2021</t>
        </is>
      </c>
      <c r="B261" s="1" t="n">
        <v>44405</v>
      </c>
      <c r="C261" s="1" t="n">
        <v>45637</v>
      </c>
      <c r="D261" t="inlineStr">
        <is>
          <t>VÄSTMANLANDS LÄN</t>
        </is>
      </c>
      <c r="E261" t="inlineStr">
        <is>
          <t>FAGERSTA</t>
        </is>
      </c>
      <c r="F261" t="inlineStr">
        <is>
          <t>Sveaskog</t>
        </is>
      </c>
      <c r="G261" t="n">
        <v>2.8</v>
      </c>
      <c r="H261" t="n">
        <v>1</v>
      </c>
      <c r="I261" t="n">
        <v>0</v>
      </c>
      <c r="J261" t="n">
        <v>0</v>
      </c>
      <c r="K261" t="n">
        <v>1</v>
      </c>
      <c r="L261" t="n">
        <v>0</v>
      </c>
      <c r="M261" t="n">
        <v>0</v>
      </c>
      <c r="N261" t="n">
        <v>0</v>
      </c>
      <c r="O261" t="n">
        <v>1</v>
      </c>
      <c r="P261" t="n">
        <v>1</v>
      </c>
      <c r="Q261" t="n">
        <v>1</v>
      </c>
      <c r="R261" s="2" t="inlineStr">
        <is>
          <t>Knärot</t>
        </is>
      </c>
      <c r="S261">
        <f>HYPERLINK("https://klasma.github.io/Logging_1982/artfynd/A 38127-2021 artfynd.xlsx", "A 38127-2021")</f>
        <v/>
      </c>
      <c r="T261">
        <f>HYPERLINK("https://klasma.github.io/Logging_1982/kartor/A 38127-2021 karta.png", "A 38127-2021")</f>
        <v/>
      </c>
      <c r="U261">
        <f>HYPERLINK("https://klasma.github.io/Logging_1982/knärot/A 38127-2021 karta knärot.png", "A 38127-2021")</f>
        <v/>
      </c>
      <c r="V261">
        <f>HYPERLINK("https://klasma.github.io/Logging_1982/klagomål/A 38127-2021 FSC-klagomål.docx", "A 38127-2021")</f>
        <v/>
      </c>
      <c r="W261">
        <f>HYPERLINK("https://klasma.github.io/Logging_1982/klagomålsmail/A 38127-2021 FSC-klagomål mail.docx", "A 38127-2021")</f>
        <v/>
      </c>
      <c r="X261">
        <f>HYPERLINK("https://klasma.github.io/Logging_1982/tillsyn/A 38127-2021 tillsynsbegäran.docx", "A 38127-2021")</f>
        <v/>
      </c>
      <c r="Y261">
        <f>HYPERLINK("https://klasma.github.io/Logging_1982/tillsynsmail/A 38127-2021 tillsynsbegäran mail.docx", "A 38127-2021")</f>
        <v/>
      </c>
    </row>
    <row r="262" ht="15" customHeight="1">
      <c r="A262" t="inlineStr">
        <is>
          <t>A 38170-2021</t>
        </is>
      </c>
      <c r="B262" s="1" t="n">
        <v>44405</v>
      </c>
      <c r="C262" s="1" t="n">
        <v>45637</v>
      </c>
      <c r="D262" t="inlineStr">
        <is>
          <t>VÄSTMANLANDS LÄN</t>
        </is>
      </c>
      <c r="E262" t="inlineStr">
        <is>
          <t>SURAHAMMAR</t>
        </is>
      </c>
      <c r="F262" t="inlineStr">
        <is>
          <t>Sveaskog</t>
        </is>
      </c>
      <c r="G262" t="n">
        <v>1.2</v>
      </c>
      <c r="H262" t="n">
        <v>1</v>
      </c>
      <c r="I262" t="n">
        <v>0</v>
      </c>
      <c r="J262" t="n">
        <v>0</v>
      </c>
      <c r="K262" t="n">
        <v>0</v>
      </c>
      <c r="L262" t="n">
        <v>0</v>
      </c>
      <c r="M262" t="n">
        <v>0</v>
      </c>
      <c r="N262" t="n">
        <v>0</v>
      </c>
      <c r="O262" t="n">
        <v>0</v>
      </c>
      <c r="P262" t="n">
        <v>0</v>
      </c>
      <c r="Q262" t="n">
        <v>1</v>
      </c>
      <c r="R262" s="2" t="inlineStr">
        <is>
          <t>Revlummer</t>
        </is>
      </c>
      <c r="S262">
        <f>HYPERLINK("https://klasma.github.io/Logging_1907/artfynd/A 38170-2021 artfynd.xlsx", "A 38170-2021")</f>
        <v/>
      </c>
      <c r="T262">
        <f>HYPERLINK("https://klasma.github.io/Logging_1907/kartor/A 38170-2021 karta.png", "A 38170-2021")</f>
        <v/>
      </c>
      <c r="V262">
        <f>HYPERLINK("https://klasma.github.io/Logging_1907/klagomål/A 38170-2021 FSC-klagomål.docx", "A 38170-2021")</f>
        <v/>
      </c>
      <c r="W262">
        <f>HYPERLINK("https://klasma.github.io/Logging_1907/klagomålsmail/A 38170-2021 FSC-klagomål mail.docx", "A 38170-2021")</f>
        <v/>
      </c>
      <c r="X262">
        <f>HYPERLINK("https://klasma.github.io/Logging_1907/tillsyn/A 38170-2021 tillsynsbegäran.docx", "A 38170-2021")</f>
        <v/>
      </c>
      <c r="Y262">
        <f>HYPERLINK("https://klasma.github.io/Logging_1907/tillsynsmail/A 38170-2021 tillsynsbegäran mail.docx", "A 38170-2021")</f>
        <v/>
      </c>
    </row>
    <row r="263" ht="15" customHeight="1">
      <c r="A263" t="inlineStr">
        <is>
          <t>A 38175-2021</t>
        </is>
      </c>
      <c r="B263" s="1" t="n">
        <v>44405</v>
      </c>
      <c r="C263" s="1" t="n">
        <v>45637</v>
      </c>
      <c r="D263" t="inlineStr">
        <is>
          <t>VÄSTMANLANDS LÄN</t>
        </is>
      </c>
      <c r="E263" t="inlineStr">
        <is>
          <t>SURAHAMMAR</t>
        </is>
      </c>
      <c r="F263" t="inlineStr">
        <is>
          <t>Sveaskog</t>
        </is>
      </c>
      <c r="G263" t="n">
        <v>3.1</v>
      </c>
      <c r="H263" t="n">
        <v>0</v>
      </c>
      <c r="I263" t="n">
        <v>0</v>
      </c>
      <c r="J263" t="n">
        <v>1</v>
      </c>
      <c r="K263" t="n">
        <v>0</v>
      </c>
      <c r="L263" t="n">
        <v>0</v>
      </c>
      <c r="M263" t="n">
        <v>0</v>
      </c>
      <c r="N263" t="n">
        <v>0</v>
      </c>
      <c r="O263" t="n">
        <v>1</v>
      </c>
      <c r="P263" t="n">
        <v>0</v>
      </c>
      <c r="Q263" t="n">
        <v>1</v>
      </c>
      <c r="R263" s="2" t="inlineStr">
        <is>
          <t>Ullticka</t>
        </is>
      </c>
      <c r="S263">
        <f>HYPERLINK("https://klasma.github.io/Logging_1907/artfynd/A 38175-2021 artfynd.xlsx", "A 38175-2021")</f>
        <v/>
      </c>
      <c r="T263">
        <f>HYPERLINK("https://klasma.github.io/Logging_1907/kartor/A 38175-2021 karta.png", "A 38175-2021")</f>
        <v/>
      </c>
      <c r="V263">
        <f>HYPERLINK("https://klasma.github.io/Logging_1907/klagomål/A 38175-2021 FSC-klagomål.docx", "A 38175-2021")</f>
        <v/>
      </c>
      <c r="W263">
        <f>HYPERLINK("https://klasma.github.io/Logging_1907/klagomålsmail/A 38175-2021 FSC-klagomål mail.docx", "A 38175-2021")</f>
        <v/>
      </c>
      <c r="X263">
        <f>HYPERLINK("https://klasma.github.io/Logging_1907/tillsyn/A 38175-2021 tillsynsbegäran.docx", "A 38175-2021")</f>
        <v/>
      </c>
      <c r="Y263">
        <f>HYPERLINK("https://klasma.github.io/Logging_1907/tillsynsmail/A 38175-2021 tillsynsbegäran mail.docx", "A 38175-2021")</f>
        <v/>
      </c>
    </row>
    <row r="264" ht="15" customHeight="1">
      <c r="A264" t="inlineStr">
        <is>
          <t>A 39147-2021</t>
        </is>
      </c>
      <c r="B264" s="1" t="n">
        <v>44412</v>
      </c>
      <c r="C264" s="1" t="n">
        <v>45637</v>
      </c>
      <c r="D264" t="inlineStr">
        <is>
          <t>VÄSTMANLANDS LÄN</t>
        </is>
      </c>
      <c r="E264" t="inlineStr">
        <is>
          <t>VÄSTERÅS</t>
        </is>
      </c>
      <c r="G264" t="n">
        <v>6.2</v>
      </c>
      <c r="H264" t="n">
        <v>0</v>
      </c>
      <c r="I264" t="n">
        <v>1</v>
      </c>
      <c r="J264" t="n">
        <v>0</v>
      </c>
      <c r="K264" t="n">
        <v>0</v>
      </c>
      <c r="L264" t="n">
        <v>0</v>
      </c>
      <c r="M264" t="n">
        <v>0</v>
      </c>
      <c r="N264" t="n">
        <v>0</v>
      </c>
      <c r="O264" t="n">
        <v>0</v>
      </c>
      <c r="P264" t="n">
        <v>0</v>
      </c>
      <c r="Q264" t="n">
        <v>1</v>
      </c>
      <c r="R264" s="2" t="inlineStr">
        <is>
          <t>Kornknutmossa</t>
        </is>
      </c>
      <c r="S264">
        <f>HYPERLINK("https://klasma.github.io/Logging_1980/artfynd/A 39147-2021 artfynd.xlsx", "A 39147-2021")</f>
        <v/>
      </c>
      <c r="T264">
        <f>HYPERLINK("https://klasma.github.io/Logging_1980/kartor/A 39147-2021 karta.png", "A 39147-2021")</f>
        <v/>
      </c>
      <c r="V264">
        <f>HYPERLINK("https://klasma.github.io/Logging_1980/klagomål/A 39147-2021 FSC-klagomål.docx", "A 39147-2021")</f>
        <v/>
      </c>
      <c r="W264">
        <f>HYPERLINK("https://klasma.github.io/Logging_1980/klagomålsmail/A 39147-2021 FSC-klagomål mail.docx", "A 39147-2021")</f>
        <v/>
      </c>
      <c r="X264">
        <f>HYPERLINK("https://klasma.github.io/Logging_1980/tillsyn/A 39147-2021 tillsynsbegäran.docx", "A 39147-2021")</f>
        <v/>
      </c>
      <c r="Y264">
        <f>HYPERLINK("https://klasma.github.io/Logging_1980/tillsynsmail/A 39147-2021 tillsynsbegäran mail.docx", "A 39147-2021")</f>
        <v/>
      </c>
    </row>
    <row r="265" ht="15" customHeight="1">
      <c r="A265" t="inlineStr">
        <is>
          <t>A 40411-2021</t>
        </is>
      </c>
      <c r="B265" s="1" t="n">
        <v>44419</v>
      </c>
      <c r="C265" s="1" t="n">
        <v>45637</v>
      </c>
      <c r="D265" t="inlineStr">
        <is>
          <t>VÄSTMANLANDS LÄN</t>
        </is>
      </c>
      <c r="E265" t="inlineStr">
        <is>
          <t>SURAHAMMAR</t>
        </is>
      </c>
      <c r="F265" t="inlineStr">
        <is>
          <t>Sveaskog</t>
        </is>
      </c>
      <c r="G265" t="n">
        <v>2.4</v>
      </c>
      <c r="H265" t="n">
        <v>1</v>
      </c>
      <c r="I265" t="n">
        <v>0</v>
      </c>
      <c r="J265" t="n">
        <v>0</v>
      </c>
      <c r="K265" t="n">
        <v>0</v>
      </c>
      <c r="L265" t="n">
        <v>0</v>
      </c>
      <c r="M265" t="n">
        <v>0</v>
      </c>
      <c r="N265" t="n">
        <v>0</v>
      </c>
      <c r="O265" t="n">
        <v>0</v>
      </c>
      <c r="P265" t="n">
        <v>0</v>
      </c>
      <c r="Q265" t="n">
        <v>1</v>
      </c>
      <c r="R265" s="2" t="inlineStr">
        <is>
          <t>Kopparödla</t>
        </is>
      </c>
      <c r="S265">
        <f>HYPERLINK("https://klasma.github.io/Logging_1907/artfynd/A 40411-2021 artfynd.xlsx", "A 40411-2021")</f>
        <v/>
      </c>
      <c r="T265">
        <f>HYPERLINK("https://klasma.github.io/Logging_1907/kartor/A 40411-2021 karta.png", "A 40411-2021")</f>
        <v/>
      </c>
      <c r="V265">
        <f>HYPERLINK("https://klasma.github.io/Logging_1907/klagomål/A 40411-2021 FSC-klagomål.docx", "A 40411-2021")</f>
        <v/>
      </c>
      <c r="W265">
        <f>HYPERLINK("https://klasma.github.io/Logging_1907/klagomålsmail/A 40411-2021 FSC-klagomål mail.docx", "A 40411-2021")</f>
        <v/>
      </c>
      <c r="X265">
        <f>HYPERLINK("https://klasma.github.io/Logging_1907/tillsyn/A 40411-2021 tillsynsbegäran.docx", "A 40411-2021")</f>
        <v/>
      </c>
      <c r="Y265">
        <f>HYPERLINK("https://klasma.github.io/Logging_1907/tillsynsmail/A 40411-2021 tillsynsbegäran mail.docx", "A 40411-2021")</f>
        <v/>
      </c>
    </row>
    <row r="266" ht="15" customHeight="1">
      <c r="A266" t="inlineStr">
        <is>
          <t>A 42073-2021</t>
        </is>
      </c>
      <c r="B266" s="1" t="n">
        <v>44426</v>
      </c>
      <c r="C266" s="1" t="n">
        <v>45637</v>
      </c>
      <c r="D266" t="inlineStr">
        <is>
          <t>VÄSTMANLANDS LÄN</t>
        </is>
      </c>
      <c r="E266" t="inlineStr">
        <is>
          <t>SKINNSKATTEBERG</t>
        </is>
      </c>
      <c r="F266" t="inlineStr">
        <is>
          <t>Sveaskog</t>
        </is>
      </c>
      <c r="G266" t="n">
        <v>0.8</v>
      </c>
      <c r="H266" t="n">
        <v>1</v>
      </c>
      <c r="I266" t="n">
        <v>0</v>
      </c>
      <c r="J266" t="n">
        <v>0</v>
      </c>
      <c r="K266" t="n">
        <v>0</v>
      </c>
      <c r="L266" t="n">
        <v>0</v>
      </c>
      <c r="M266" t="n">
        <v>0</v>
      </c>
      <c r="N266" t="n">
        <v>0</v>
      </c>
      <c r="O266" t="n">
        <v>0</v>
      </c>
      <c r="P266" t="n">
        <v>0</v>
      </c>
      <c r="Q266" t="n">
        <v>1</v>
      </c>
      <c r="R266" s="2" t="inlineStr">
        <is>
          <t>Fläcknycklar</t>
        </is>
      </c>
      <c r="S266">
        <f>HYPERLINK("https://klasma.github.io/Logging_1904/artfynd/A 42073-2021 artfynd.xlsx", "A 42073-2021")</f>
        <v/>
      </c>
      <c r="T266">
        <f>HYPERLINK("https://klasma.github.io/Logging_1904/kartor/A 42073-2021 karta.png", "A 42073-2021")</f>
        <v/>
      </c>
      <c r="V266">
        <f>HYPERLINK("https://klasma.github.io/Logging_1904/klagomål/A 42073-2021 FSC-klagomål.docx", "A 42073-2021")</f>
        <v/>
      </c>
      <c r="W266">
        <f>HYPERLINK("https://klasma.github.io/Logging_1904/klagomålsmail/A 42073-2021 FSC-klagomål mail.docx", "A 42073-2021")</f>
        <v/>
      </c>
      <c r="X266">
        <f>HYPERLINK("https://klasma.github.io/Logging_1904/tillsyn/A 42073-2021 tillsynsbegäran.docx", "A 42073-2021")</f>
        <v/>
      </c>
      <c r="Y266">
        <f>HYPERLINK("https://klasma.github.io/Logging_1904/tillsynsmail/A 42073-2021 tillsynsbegäran mail.docx", "A 42073-2021")</f>
        <v/>
      </c>
    </row>
    <row r="267" ht="15" customHeight="1">
      <c r="A267" t="inlineStr">
        <is>
          <t>A 44970-2021</t>
        </is>
      </c>
      <c r="B267" s="1" t="n">
        <v>44438</v>
      </c>
      <c r="C267" s="1" t="n">
        <v>45637</v>
      </c>
      <c r="D267" t="inlineStr">
        <is>
          <t>VÄSTMANLANDS LÄN</t>
        </is>
      </c>
      <c r="E267" t="inlineStr">
        <is>
          <t>SALA</t>
        </is>
      </c>
      <c r="G267" t="n">
        <v>1.2</v>
      </c>
      <c r="H267" t="n">
        <v>1</v>
      </c>
      <c r="I267" t="n">
        <v>0</v>
      </c>
      <c r="J267" t="n">
        <v>0</v>
      </c>
      <c r="K267" t="n">
        <v>0</v>
      </c>
      <c r="L267" t="n">
        <v>0</v>
      </c>
      <c r="M267" t="n">
        <v>0</v>
      </c>
      <c r="N267" t="n">
        <v>0</v>
      </c>
      <c r="O267" t="n">
        <v>0</v>
      </c>
      <c r="P267" t="n">
        <v>0</v>
      </c>
      <c r="Q267" t="n">
        <v>1</v>
      </c>
      <c r="R267" s="2" t="inlineStr">
        <is>
          <t>Revlummer</t>
        </is>
      </c>
      <c r="S267">
        <f>HYPERLINK("https://klasma.github.io/Logging_1981/artfynd/A 44970-2021 artfynd.xlsx", "A 44970-2021")</f>
        <v/>
      </c>
      <c r="T267">
        <f>HYPERLINK("https://klasma.github.io/Logging_1981/kartor/A 44970-2021 karta.png", "A 44970-2021")</f>
        <v/>
      </c>
      <c r="V267">
        <f>HYPERLINK("https://klasma.github.io/Logging_1981/klagomål/A 44970-2021 FSC-klagomål.docx", "A 44970-2021")</f>
        <v/>
      </c>
      <c r="W267">
        <f>HYPERLINK("https://klasma.github.io/Logging_1981/klagomålsmail/A 44970-2021 FSC-klagomål mail.docx", "A 44970-2021")</f>
        <v/>
      </c>
      <c r="X267">
        <f>HYPERLINK("https://klasma.github.io/Logging_1981/tillsyn/A 44970-2021 tillsynsbegäran.docx", "A 44970-2021")</f>
        <v/>
      </c>
      <c r="Y267">
        <f>HYPERLINK("https://klasma.github.io/Logging_1981/tillsynsmail/A 44970-2021 tillsynsbegäran mail.docx", "A 44970-2021")</f>
        <v/>
      </c>
    </row>
    <row r="268" ht="15" customHeight="1">
      <c r="A268" t="inlineStr">
        <is>
          <t>A 45826-2021</t>
        </is>
      </c>
      <c r="B268" s="1" t="n">
        <v>44441</v>
      </c>
      <c r="C268" s="1" t="n">
        <v>45637</v>
      </c>
      <c r="D268" t="inlineStr">
        <is>
          <t>VÄSTMANLANDS LÄN</t>
        </is>
      </c>
      <c r="E268" t="inlineStr">
        <is>
          <t>KÖPING</t>
        </is>
      </c>
      <c r="G268" t="n">
        <v>9</v>
      </c>
      <c r="H268" t="n">
        <v>1</v>
      </c>
      <c r="I268" t="n">
        <v>0</v>
      </c>
      <c r="J268" t="n">
        <v>0</v>
      </c>
      <c r="K268" t="n">
        <v>0</v>
      </c>
      <c r="L268" t="n">
        <v>0</v>
      </c>
      <c r="M268" t="n">
        <v>0</v>
      </c>
      <c r="N268" t="n">
        <v>0</v>
      </c>
      <c r="O268" t="n">
        <v>0</v>
      </c>
      <c r="P268" t="n">
        <v>0</v>
      </c>
      <c r="Q268" t="n">
        <v>1</v>
      </c>
      <c r="R268" s="2" t="inlineStr">
        <is>
          <t>Fläcknycklar</t>
        </is>
      </c>
      <c r="S268">
        <f>HYPERLINK("https://klasma.github.io/Logging_1983/artfynd/A 45826-2021 artfynd.xlsx", "A 45826-2021")</f>
        <v/>
      </c>
      <c r="T268">
        <f>HYPERLINK("https://klasma.github.io/Logging_1983/kartor/A 45826-2021 karta.png", "A 45826-2021")</f>
        <v/>
      </c>
      <c r="V268">
        <f>HYPERLINK("https://klasma.github.io/Logging_1983/klagomål/A 45826-2021 FSC-klagomål.docx", "A 45826-2021")</f>
        <v/>
      </c>
      <c r="W268">
        <f>HYPERLINK("https://klasma.github.io/Logging_1983/klagomålsmail/A 45826-2021 FSC-klagomål mail.docx", "A 45826-2021")</f>
        <v/>
      </c>
      <c r="X268">
        <f>HYPERLINK("https://klasma.github.io/Logging_1983/tillsyn/A 45826-2021 tillsynsbegäran.docx", "A 45826-2021")</f>
        <v/>
      </c>
      <c r="Y268">
        <f>HYPERLINK("https://klasma.github.io/Logging_1983/tillsynsmail/A 45826-2021 tillsynsbegäran mail.docx", "A 45826-2021")</f>
        <v/>
      </c>
    </row>
    <row r="269" ht="15" customHeight="1">
      <c r="A269" t="inlineStr">
        <is>
          <t>A 53151-2021</t>
        </is>
      </c>
      <c r="B269" s="1" t="n">
        <v>44468</v>
      </c>
      <c r="C269" s="1" t="n">
        <v>45637</v>
      </c>
      <c r="D269" t="inlineStr">
        <is>
          <t>VÄSTMANLANDS LÄN</t>
        </is>
      </c>
      <c r="E269" t="inlineStr">
        <is>
          <t>KÖPING</t>
        </is>
      </c>
      <c r="F269" t="inlineStr">
        <is>
          <t>Sveaskog</t>
        </is>
      </c>
      <c r="G269" t="n">
        <v>1.1</v>
      </c>
      <c r="H269" t="n">
        <v>0</v>
      </c>
      <c r="I269" t="n">
        <v>1</v>
      </c>
      <c r="J269" t="n">
        <v>0</v>
      </c>
      <c r="K269" t="n">
        <v>0</v>
      </c>
      <c r="L269" t="n">
        <v>0</v>
      </c>
      <c r="M269" t="n">
        <v>0</v>
      </c>
      <c r="N269" t="n">
        <v>0</v>
      </c>
      <c r="O269" t="n">
        <v>0</v>
      </c>
      <c r="P269" t="n">
        <v>0</v>
      </c>
      <c r="Q269" t="n">
        <v>1</v>
      </c>
      <c r="R269" s="2" t="inlineStr">
        <is>
          <t>Skinnlav</t>
        </is>
      </c>
      <c r="S269">
        <f>HYPERLINK("https://klasma.github.io/Logging_1983/artfynd/A 53151-2021 artfynd.xlsx", "A 53151-2021")</f>
        <v/>
      </c>
      <c r="T269">
        <f>HYPERLINK("https://klasma.github.io/Logging_1983/kartor/A 53151-2021 karta.png", "A 53151-2021")</f>
        <v/>
      </c>
      <c r="V269">
        <f>HYPERLINK("https://klasma.github.io/Logging_1983/klagomål/A 53151-2021 FSC-klagomål.docx", "A 53151-2021")</f>
        <v/>
      </c>
      <c r="W269">
        <f>HYPERLINK("https://klasma.github.io/Logging_1983/klagomålsmail/A 53151-2021 FSC-klagomål mail.docx", "A 53151-2021")</f>
        <v/>
      </c>
      <c r="X269">
        <f>HYPERLINK("https://klasma.github.io/Logging_1983/tillsyn/A 53151-2021 tillsynsbegäran.docx", "A 53151-2021")</f>
        <v/>
      </c>
      <c r="Y269">
        <f>HYPERLINK("https://klasma.github.io/Logging_1983/tillsynsmail/A 53151-2021 tillsynsbegäran mail.docx", "A 53151-2021")</f>
        <v/>
      </c>
    </row>
    <row r="270" ht="15" customHeight="1">
      <c r="A270" t="inlineStr">
        <is>
          <t>A 56825-2021</t>
        </is>
      </c>
      <c r="B270" s="1" t="n">
        <v>44480</v>
      </c>
      <c r="C270" s="1" t="n">
        <v>45637</v>
      </c>
      <c r="D270" t="inlineStr">
        <is>
          <t>VÄSTMANLANDS LÄN</t>
        </is>
      </c>
      <c r="E270" t="inlineStr">
        <is>
          <t>NORBERG</t>
        </is>
      </c>
      <c r="G270" t="n">
        <v>2.4</v>
      </c>
      <c r="H270" t="n">
        <v>1</v>
      </c>
      <c r="I270" t="n">
        <v>0</v>
      </c>
      <c r="J270" t="n">
        <v>0</v>
      </c>
      <c r="K270" t="n">
        <v>0</v>
      </c>
      <c r="L270" t="n">
        <v>0</v>
      </c>
      <c r="M270" t="n">
        <v>0</v>
      </c>
      <c r="N270" t="n">
        <v>0</v>
      </c>
      <c r="O270" t="n">
        <v>0</v>
      </c>
      <c r="P270" t="n">
        <v>0</v>
      </c>
      <c r="Q270" t="n">
        <v>1</v>
      </c>
      <c r="R270" s="2" t="inlineStr">
        <is>
          <t>Blåsippa</t>
        </is>
      </c>
      <c r="S270">
        <f>HYPERLINK("https://klasma.github.io/Logging_1962/artfynd/A 56825-2021 artfynd.xlsx", "A 56825-2021")</f>
        <v/>
      </c>
      <c r="T270">
        <f>HYPERLINK("https://klasma.github.io/Logging_1962/kartor/A 56825-2021 karta.png", "A 56825-2021")</f>
        <v/>
      </c>
      <c r="V270">
        <f>HYPERLINK("https://klasma.github.io/Logging_1962/klagomål/A 56825-2021 FSC-klagomål.docx", "A 56825-2021")</f>
        <v/>
      </c>
      <c r="W270">
        <f>HYPERLINK("https://klasma.github.io/Logging_1962/klagomålsmail/A 56825-2021 FSC-klagomål mail.docx", "A 56825-2021")</f>
        <v/>
      </c>
      <c r="X270">
        <f>HYPERLINK("https://klasma.github.io/Logging_1962/tillsyn/A 56825-2021 tillsynsbegäran.docx", "A 56825-2021")</f>
        <v/>
      </c>
      <c r="Y270">
        <f>HYPERLINK("https://klasma.github.io/Logging_1962/tillsynsmail/A 56825-2021 tillsynsbegäran mail.docx", "A 56825-2021")</f>
        <v/>
      </c>
    </row>
    <row r="271" ht="15" customHeight="1">
      <c r="A271" t="inlineStr">
        <is>
          <t>A 59566-2021</t>
        </is>
      </c>
      <c r="B271" s="1" t="n">
        <v>44491</v>
      </c>
      <c r="C271" s="1" t="n">
        <v>45637</v>
      </c>
      <c r="D271" t="inlineStr">
        <is>
          <t>VÄSTMANLANDS LÄN</t>
        </is>
      </c>
      <c r="E271" t="inlineStr">
        <is>
          <t>VÄSTERÅS</t>
        </is>
      </c>
      <c r="G271" t="n">
        <v>2.1</v>
      </c>
      <c r="H271" t="n">
        <v>0</v>
      </c>
      <c r="I271" t="n">
        <v>1</v>
      </c>
      <c r="J271" t="n">
        <v>0</v>
      </c>
      <c r="K271" t="n">
        <v>0</v>
      </c>
      <c r="L271" t="n">
        <v>0</v>
      </c>
      <c r="M271" t="n">
        <v>0</v>
      </c>
      <c r="N271" t="n">
        <v>0</v>
      </c>
      <c r="O271" t="n">
        <v>0</v>
      </c>
      <c r="P271" t="n">
        <v>0</v>
      </c>
      <c r="Q271" t="n">
        <v>1</v>
      </c>
      <c r="R271" s="2" t="inlineStr">
        <is>
          <t>Vanlig flatbagge</t>
        </is>
      </c>
      <c r="S271">
        <f>HYPERLINK("https://klasma.github.io/Logging_1980/artfynd/A 59566-2021 artfynd.xlsx", "A 59566-2021")</f>
        <v/>
      </c>
      <c r="T271">
        <f>HYPERLINK("https://klasma.github.io/Logging_1980/kartor/A 59566-2021 karta.png", "A 59566-2021")</f>
        <v/>
      </c>
      <c r="V271">
        <f>HYPERLINK("https://klasma.github.io/Logging_1980/klagomål/A 59566-2021 FSC-klagomål.docx", "A 59566-2021")</f>
        <v/>
      </c>
      <c r="W271">
        <f>HYPERLINK("https://klasma.github.io/Logging_1980/klagomålsmail/A 59566-2021 FSC-klagomål mail.docx", "A 59566-2021")</f>
        <v/>
      </c>
      <c r="X271">
        <f>HYPERLINK("https://klasma.github.io/Logging_1980/tillsyn/A 59566-2021 tillsynsbegäran.docx", "A 59566-2021")</f>
        <v/>
      </c>
      <c r="Y271">
        <f>HYPERLINK("https://klasma.github.io/Logging_1980/tillsynsmail/A 59566-2021 tillsynsbegäran mail.docx", "A 59566-2021")</f>
        <v/>
      </c>
    </row>
    <row r="272" ht="15" customHeight="1">
      <c r="A272" t="inlineStr">
        <is>
          <t>A 60242-2021</t>
        </is>
      </c>
      <c r="B272" s="1" t="n">
        <v>44495</v>
      </c>
      <c r="C272" s="1" t="n">
        <v>45637</v>
      </c>
      <c r="D272" t="inlineStr">
        <is>
          <t>VÄSTMANLANDS LÄN</t>
        </is>
      </c>
      <c r="E272" t="inlineStr">
        <is>
          <t>SKINNSKATTEBERG</t>
        </is>
      </c>
      <c r="F272" t="inlineStr">
        <is>
          <t>Sveaskog</t>
        </is>
      </c>
      <c r="G272" t="n">
        <v>0.9</v>
      </c>
      <c r="H272" t="n">
        <v>1</v>
      </c>
      <c r="I272" t="n">
        <v>0</v>
      </c>
      <c r="J272" t="n">
        <v>0</v>
      </c>
      <c r="K272" t="n">
        <v>0</v>
      </c>
      <c r="L272" t="n">
        <v>0</v>
      </c>
      <c r="M272" t="n">
        <v>0</v>
      </c>
      <c r="N272" t="n">
        <v>0</v>
      </c>
      <c r="O272" t="n">
        <v>0</v>
      </c>
      <c r="P272" t="n">
        <v>0</v>
      </c>
      <c r="Q272" t="n">
        <v>1</v>
      </c>
      <c r="R272" s="2" t="inlineStr">
        <is>
          <t>Mattlummer</t>
        </is>
      </c>
      <c r="S272">
        <f>HYPERLINK("https://klasma.github.io/Logging_1904/artfynd/A 60242-2021 artfynd.xlsx", "A 60242-2021")</f>
        <v/>
      </c>
      <c r="T272">
        <f>HYPERLINK("https://klasma.github.io/Logging_1904/kartor/A 60242-2021 karta.png", "A 60242-2021")</f>
        <v/>
      </c>
      <c r="V272">
        <f>HYPERLINK("https://klasma.github.io/Logging_1904/klagomål/A 60242-2021 FSC-klagomål.docx", "A 60242-2021")</f>
        <v/>
      </c>
      <c r="W272">
        <f>HYPERLINK("https://klasma.github.io/Logging_1904/klagomålsmail/A 60242-2021 FSC-klagomål mail.docx", "A 60242-2021")</f>
        <v/>
      </c>
      <c r="X272">
        <f>HYPERLINK("https://klasma.github.io/Logging_1904/tillsyn/A 60242-2021 tillsynsbegäran.docx", "A 60242-2021")</f>
        <v/>
      </c>
      <c r="Y272">
        <f>HYPERLINK("https://klasma.github.io/Logging_1904/tillsynsmail/A 60242-2021 tillsynsbegäran mail.docx", "A 60242-2021")</f>
        <v/>
      </c>
    </row>
    <row r="273" ht="15" customHeight="1">
      <c r="A273" t="inlineStr">
        <is>
          <t>A 69022-2021</t>
        </is>
      </c>
      <c r="B273" s="1" t="n">
        <v>44530</v>
      </c>
      <c r="C273" s="1" t="n">
        <v>45637</v>
      </c>
      <c r="D273" t="inlineStr">
        <is>
          <t>VÄSTMANLANDS LÄN</t>
        </is>
      </c>
      <c r="E273" t="inlineStr">
        <is>
          <t>KÖPING</t>
        </is>
      </c>
      <c r="G273" t="n">
        <v>3.1</v>
      </c>
      <c r="H273" t="n">
        <v>0</v>
      </c>
      <c r="I273" t="n">
        <v>1</v>
      </c>
      <c r="J273" t="n">
        <v>0</v>
      </c>
      <c r="K273" t="n">
        <v>0</v>
      </c>
      <c r="L273" t="n">
        <v>0</v>
      </c>
      <c r="M273" t="n">
        <v>0</v>
      </c>
      <c r="N273" t="n">
        <v>0</v>
      </c>
      <c r="O273" t="n">
        <v>0</v>
      </c>
      <c r="P273" t="n">
        <v>0</v>
      </c>
      <c r="Q273" t="n">
        <v>1</v>
      </c>
      <c r="R273" s="2" t="inlineStr">
        <is>
          <t>Skinnlav</t>
        </is>
      </c>
      <c r="S273">
        <f>HYPERLINK("https://klasma.github.io/Logging_1983/artfynd/A 69022-2021 artfynd.xlsx", "A 69022-2021")</f>
        <v/>
      </c>
      <c r="T273">
        <f>HYPERLINK("https://klasma.github.io/Logging_1983/kartor/A 69022-2021 karta.png", "A 69022-2021")</f>
        <v/>
      </c>
      <c r="V273">
        <f>HYPERLINK("https://klasma.github.io/Logging_1983/klagomål/A 69022-2021 FSC-klagomål.docx", "A 69022-2021")</f>
        <v/>
      </c>
      <c r="W273">
        <f>HYPERLINK("https://klasma.github.io/Logging_1983/klagomålsmail/A 69022-2021 FSC-klagomål mail.docx", "A 69022-2021")</f>
        <v/>
      </c>
      <c r="X273">
        <f>HYPERLINK("https://klasma.github.io/Logging_1983/tillsyn/A 69022-2021 tillsynsbegäran.docx", "A 69022-2021")</f>
        <v/>
      </c>
      <c r="Y273">
        <f>HYPERLINK("https://klasma.github.io/Logging_1983/tillsynsmail/A 69022-2021 tillsynsbegäran mail.docx", "A 69022-2021")</f>
        <v/>
      </c>
    </row>
    <row r="274" ht="15" customHeight="1">
      <c r="A274" t="inlineStr">
        <is>
          <t>A 69777-2021</t>
        </is>
      </c>
      <c r="B274" s="1" t="n">
        <v>44532</v>
      </c>
      <c r="C274" s="1" t="n">
        <v>45637</v>
      </c>
      <c r="D274" t="inlineStr">
        <is>
          <t>VÄSTMANLANDS LÄN</t>
        </is>
      </c>
      <c r="E274" t="inlineStr">
        <is>
          <t>SURAHAMMAR</t>
        </is>
      </c>
      <c r="G274" t="n">
        <v>2.3</v>
      </c>
      <c r="H274" t="n">
        <v>1</v>
      </c>
      <c r="I274" t="n">
        <v>0</v>
      </c>
      <c r="J274" t="n">
        <v>0</v>
      </c>
      <c r="K274" t="n">
        <v>1</v>
      </c>
      <c r="L274" t="n">
        <v>0</v>
      </c>
      <c r="M274" t="n">
        <v>0</v>
      </c>
      <c r="N274" t="n">
        <v>0</v>
      </c>
      <c r="O274" t="n">
        <v>1</v>
      </c>
      <c r="P274" t="n">
        <v>1</v>
      </c>
      <c r="Q274" t="n">
        <v>1</v>
      </c>
      <c r="R274" s="2" t="inlineStr">
        <is>
          <t>Bombmurkla</t>
        </is>
      </c>
      <c r="S274">
        <f>HYPERLINK("https://klasma.github.io/Logging_1907/artfynd/A 69777-2021 artfynd.xlsx", "A 69777-2021")</f>
        <v/>
      </c>
      <c r="T274">
        <f>HYPERLINK("https://klasma.github.io/Logging_1907/kartor/A 69777-2021 karta.png", "A 69777-2021")</f>
        <v/>
      </c>
      <c r="V274">
        <f>HYPERLINK("https://klasma.github.io/Logging_1907/klagomål/A 69777-2021 FSC-klagomål.docx", "A 69777-2021")</f>
        <v/>
      </c>
      <c r="W274">
        <f>HYPERLINK("https://klasma.github.io/Logging_1907/klagomålsmail/A 69777-2021 FSC-klagomål mail.docx", "A 69777-2021")</f>
        <v/>
      </c>
      <c r="X274">
        <f>HYPERLINK("https://klasma.github.io/Logging_1907/tillsyn/A 69777-2021 tillsynsbegäran.docx", "A 69777-2021")</f>
        <v/>
      </c>
      <c r="Y274">
        <f>HYPERLINK("https://klasma.github.io/Logging_1907/tillsynsmail/A 69777-2021 tillsynsbegäran mail.docx", "A 69777-2021")</f>
        <v/>
      </c>
    </row>
    <row r="275" ht="15" customHeight="1">
      <c r="A275" t="inlineStr">
        <is>
          <t>A 7655-2022</t>
        </is>
      </c>
      <c r="B275" s="1" t="n">
        <v>44607</v>
      </c>
      <c r="C275" s="1" t="n">
        <v>45637</v>
      </c>
      <c r="D275" t="inlineStr">
        <is>
          <t>VÄSTMANLANDS LÄN</t>
        </is>
      </c>
      <c r="E275" t="inlineStr">
        <is>
          <t>SURAHAMMAR</t>
        </is>
      </c>
      <c r="G275" t="n">
        <v>1.1</v>
      </c>
      <c r="H275" t="n">
        <v>1</v>
      </c>
      <c r="I275" t="n">
        <v>0</v>
      </c>
      <c r="J275" t="n">
        <v>0</v>
      </c>
      <c r="K275" t="n">
        <v>1</v>
      </c>
      <c r="L275" t="n">
        <v>0</v>
      </c>
      <c r="M275" t="n">
        <v>0</v>
      </c>
      <c r="N275" t="n">
        <v>0</v>
      </c>
      <c r="O275" t="n">
        <v>1</v>
      </c>
      <c r="P275" t="n">
        <v>1</v>
      </c>
      <c r="Q275" t="n">
        <v>1</v>
      </c>
      <c r="R275" s="2" t="inlineStr">
        <is>
          <t>Bombmurkla</t>
        </is>
      </c>
      <c r="S275">
        <f>HYPERLINK("https://klasma.github.io/Logging_1907/artfynd/A 7655-2022 artfynd.xlsx", "A 7655-2022")</f>
        <v/>
      </c>
      <c r="T275">
        <f>HYPERLINK("https://klasma.github.io/Logging_1907/kartor/A 7655-2022 karta.png", "A 7655-2022")</f>
        <v/>
      </c>
      <c r="V275">
        <f>HYPERLINK("https://klasma.github.io/Logging_1907/klagomål/A 7655-2022 FSC-klagomål.docx", "A 7655-2022")</f>
        <v/>
      </c>
      <c r="W275">
        <f>HYPERLINK("https://klasma.github.io/Logging_1907/klagomålsmail/A 7655-2022 FSC-klagomål mail.docx", "A 7655-2022")</f>
        <v/>
      </c>
      <c r="X275">
        <f>HYPERLINK("https://klasma.github.io/Logging_1907/tillsyn/A 7655-2022 tillsynsbegäran.docx", "A 7655-2022")</f>
        <v/>
      </c>
      <c r="Y275">
        <f>HYPERLINK("https://klasma.github.io/Logging_1907/tillsynsmail/A 7655-2022 tillsynsbegäran mail.docx", "A 7655-2022")</f>
        <v/>
      </c>
    </row>
    <row r="276" ht="15" customHeight="1">
      <c r="A276" t="inlineStr">
        <is>
          <t>A 7919-2022</t>
        </is>
      </c>
      <c r="B276" s="1" t="n">
        <v>44608</v>
      </c>
      <c r="C276" s="1" t="n">
        <v>45637</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9872-2022</t>
        </is>
      </c>
      <c r="B277" s="1" t="n">
        <v>44620</v>
      </c>
      <c r="C277" s="1" t="n">
        <v>45637</v>
      </c>
      <c r="D277" t="inlineStr">
        <is>
          <t>VÄSTMANLANDS LÄN</t>
        </is>
      </c>
      <c r="E277" t="inlineStr">
        <is>
          <t>NORBERG</t>
        </is>
      </c>
      <c r="G277" t="n">
        <v>0.7</v>
      </c>
      <c r="H277" t="n">
        <v>1</v>
      </c>
      <c r="I277" t="n">
        <v>0</v>
      </c>
      <c r="J277" t="n">
        <v>0</v>
      </c>
      <c r="K277" t="n">
        <v>0</v>
      </c>
      <c r="L277" t="n">
        <v>0</v>
      </c>
      <c r="M277" t="n">
        <v>0</v>
      </c>
      <c r="N277" t="n">
        <v>0</v>
      </c>
      <c r="O277" t="n">
        <v>0</v>
      </c>
      <c r="P277" t="n">
        <v>0</v>
      </c>
      <c r="Q277" t="n">
        <v>1</v>
      </c>
      <c r="R277" s="2" t="inlineStr">
        <is>
          <t>Mindre vattensalamander</t>
        </is>
      </c>
      <c r="S277">
        <f>HYPERLINK("https://klasma.github.io/Logging_1962/artfynd/A 9872-2022 artfynd.xlsx", "A 9872-2022")</f>
        <v/>
      </c>
      <c r="T277">
        <f>HYPERLINK("https://klasma.github.io/Logging_1962/kartor/A 9872-2022 karta.png", "A 9872-2022")</f>
        <v/>
      </c>
      <c r="V277">
        <f>HYPERLINK("https://klasma.github.io/Logging_1962/klagomål/A 9872-2022 FSC-klagomål.docx", "A 9872-2022")</f>
        <v/>
      </c>
      <c r="W277">
        <f>HYPERLINK("https://klasma.github.io/Logging_1962/klagomålsmail/A 9872-2022 FSC-klagomål mail.docx", "A 9872-2022")</f>
        <v/>
      </c>
      <c r="X277">
        <f>HYPERLINK("https://klasma.github.io/Logging_1962/tillsyn/A 9872-2022 tillsynsbegäran.docx", "A 9872-2022")</f>
        <v/>
      </c>
      <c r="Y277">
        <f>HYPERLINK("https://klasma.github.io/Logging_1962/tillsynsmail/A 9872-2022 tillsynsbegäran mail.docx", "A 9872-2022")</f>
        <v/>
      </c>
    </row>
    <row r="278" ht="15" customHeight="1">
      <c r="A278" t="inlineStr">
        <is>
          <t>A 10900-2022</t>
        </is>
      </c>
      <c r="B278" s="1" t="n">
        <v>44627</v>
      </c>
      <c r="C278" s="1" t="n">
        <v>45637</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12905-2022</t>
        </is>
      </c>
      <c r="B279" s="1" t="n">
        <v>44641</v>
      </c>
      <c r="C279" s="1" t="n">
        <v>45637</v>
      </c>
      <c r="D279" t="inlineStr">
        <is>
          <t>VÄSTMANLANDS LÄN</t>
        </is>
      </c>
      <c r="E279" t="inlineStr">
        <is>
          <t>VÄSTERÅS</t>
        </is>
      </c>
      <c r="F279" t="inlineStr">
        <is>
          <t>Övriga Aktiebolag</t>
        </is>
      </c>
      <c r="G279" t="n">
        <v>23.9</v>
      </c>
      <c r="H279" t="n">
        <v>0</v>
      </c>
      <c r="I279" t="n">
        <v>0</v>
      </c>
      <c r="J279" t="n">
        <v>0</v>
      </c>
      <c r="K279" t="n">
        <v>0</v>
      </c>
      <c r="L279" t="n">
        <v>1</v>
      </c>
      <c r="M279" t="n">
        <v>0</v>
      </c>
      <c r="N279" t="n">
        <v>0</v>
      </c>
      <c r="O279" t="n">
        <v>1</v>
      </c>
      <c r="P279" t="n">
        <v>1</v>
      </c>
      <c r="Q279" t="n">
        <v>1</v>
      </c>
      <c r="R279" s="2" t="inlineStr">
        <is>
          <t>Ask</t>
        </is>
      </c>
      <c r="S279">
        <f>HYPERLINK("https://klasma.github.io/Logging_1980/artfynd/A 12905-2022 artfynd.xlsx", "A 12905-2022")</f>
        <v/>
      </c>
      <c r="T279">
        <f>HYPERLINK("https://klasma.github.io/Logging_1980/kartor/A 12905-2022 karta.png", "A 12905-2022")</f>
        <v/>
      </c>
      <c r="V279">
        <f>HYPERLINK("https://klasma.github.io/Logging_1980/klagomål/A 12905-2022 FSC-klagomål.docx", "A 12905-2022")</f>
        <v/>
      </c>
      <c r="W279">
        <f>HYPERLINK("https://klasma.github.io/Logging_1980/klagomålsmail/A 12905-2022 FSC-klagomål mail.docx", "A 12905-2022")</f>
        <v/>
      </c>
      <c r="X279">
        <f>HYPERLINK("https://klasma.github.io/Logging_1980/tillsyn/A 12905-2022 tillsynsbegäran.docx", "A 12905-2022")</f>
        <v/>
      </c>
      <c r="Y279">
        <f>HYPERLINK("https://klasma.github.io/Logging_1980/tillsynsmail/A 12905-2022 tillsynsbegäran mail.docx", "A 12905-2022")</f>
        <v/>
      </c>
    </row>
    <row r="280" ht="15" customHeight="1">
      <c r="A280" t="inlineStr">
        <is>
          <t>A 15988-2022</t>
        </is>
      </c>
      <c r="B280" s="1" t="n">
        <v>44664</v>
      </c>
      <c r="C280" s="1" t="n">
        <v>45637</v>
      </c>
      <c r="D280" t="inlineStr">
        <is>
          <t>VÄSTMANLANDS LÄN</t>
        </is>
      </c>
      <c r="E280" t="inlineStr">
        <is>
          <t>SALA</t>
        </is>
      </c>
      <c r="G280" t="n">
        <v>5</v>
      </c>
      <c r="H280" t="n">
        <v>1</v>
      </c>
      <c r="I280" t="n">
        <v>0</v>
      </c>
      <c r="J280" t="n">
        <v>0</v>
      </c>
      <c r="K280" t="n">
        <v>1</v>
      </c>
      <c r="L280" t="n">
        <v>0</v>
      </c>
      <c r="M280" t="n">
        <v>0</v>
      </c>
      <c r="N280" t="n">
        <v>0</v>
      </c>
      <c r="O280" t="n">
        <v>1</v>
      </c>
      <c r="P280" t="n">
        <v>1</v>
      </c>
      <c r="Q280" t="n">
        <v>1</v>
      </c>
      <c r="R280" s="2" t="inlineStr">
        <is>
          <t>Knärot</t>
        </is>
      </c>
      <c r="S280">
        <f>HYPERLINK("https://klasma.github.io/Logging_1981/artfynd/A 15988-2022 artfynd.xlsx", "A 15988-2022")</f>
        <v/>
      </c>
      <c r="T280">
        <f>HYPERLINK("https://klasma.github.io/Logging_1981/kartor/A 15988-2022 karta.png", "A 15988-2022")</f>
        <v/>
      </c>
      <c r="U280">
        <f>HYPERLINK("https://klasma.github.io/Logging_1981/knärot/A 15988-2022 karta knärot.png", "A 15988-2022")</f>
        <v/>
      </c>
      <c r="V280">
        <f>HYPERLINK("https://klasma.github.io/Logging_1981/klagomål/A 15988-2022 FSC-klagomål.docx", "A 15988-2022")</f>
        <v/>
      </c>
      <c r="W280">
        <f>HYPERLINK("https://klasma.github.io/Logging_1981/klagomålsmail/A 15988-2022 FSC-klagomål mail.docx", "A 15988-2022")</f>
        <v/>
      </c>
      <c r="X280">
        <f>HYPERLINK("https://klasma.github.io/Logging_1981/tillsyn/A 15988-2022 tillsynsbegäran.docx", "A 15988-2022")</f>
        <v/>
      </c>
      <c r="Y280">
        <f>HYPERLINK("https://klasma.github.io/Logging_1981/tillsynsmail/A 15988-2022 tillsynsbegäran mail.docx", "A 15988-2022")</f>
        <v/>
      </c>
    </row>
    <row r="281" ht="15" customHeight="1">
      <c r="A281" t="inlineStr">
        <is>
          <t>A 17632-2022</t>
        </is>
      </c>
      <c r="B281" s="1" t="n">
        <v>44680</v>
      </c>
      <c r="C281" s="1" t="n">
        <v>45637</v>
      </c>
      <c r="D281" t="inlineStr">
        <is>
          <t>VÄSTMANLANDS LÄN</t>
        </is>
      </c>
      <c r="E281" t="inlineStr">
        <is>
          <t>SURAHAMMAR</t>
        </is>
      </c>
      <c r="G281" t="n">
        <v>5.2</v>
      </c>
      <c r="H281" t="n">
        <v>0</v>
      </c>
      <c r="I281" t="n">
        <v>1</v>
      </c>
      <c r="J281" t="n">
        <v>0</v>
      </c>
      <c r="K281" t="n">
        <v>0</v>
      </c>
      <c r="L281" t="n">
        <v>0</v>
      </c>
      <c r="M281" t="n">
        <v>0</v>
      </c>
      <c r="N281" t="n">
        <v>0</v>
      </c>
      <c r="O281" t="n">
        <v>0</v>
      </c>
      <c r="P281" t="n">
        <v>0</v>
      </c>
      <c r="Q281" t="n">
        <v>1</v>
      </c>
      <c r="R281" s="2" t="inlineStr">
        <is>
          <t>Blodticka</t>
        </is>
      </c>
      <c r="S281">
        <f>HYPERLINK("https://klasma.github.io/Logging_1907/artfynd/A 17632-2022 artfynd.xlsx", "A 17632-2022")</f>
        <v/>
      </c>
      <c r="T281">
        <f>HYPERLINK("https://klasma.github.io/Logging_1907/kartor/A 17632-2022 karta.png", "A 17632-2022")</f>
        <v/>
      </c>
      <c r="V281">
        <f>HYPERLINK("https://klasma.github.io/Logging_1907/klagomål/A 17632-2022 FSC-klagomål.docx", "A 17632-2022")</f>
        <v/>
      </c>
      <c r="W281">
        <f>HYPERLINK("https://klasma.github.io/Logging_1907/klagomålsmail/A 17632-2022 FSC-klagomål mail.docx", "A 17632-2022")</f>
        <v/>
      </c>
      <c r="X281">
        <f>HYPERLINK("https://klasma.github.io/Logging_1907/tillsyn/A 17632-2022 tillsynsbegäran.docx", "A 17632-2022")</f>
        <v/>
      </c>
      <c r="Y281">
        <f>HYPERLINK("https://klasma.github.io/Logging_1907/tillsynsmail/A 17632-2022 tillsynsbegäran mail.docx", "A 17632-2022")</f>
        <v/>
      </c>
    </row>
    <row r="282" ht="15" customHeight="1">
      <c r="A282" t="inlineStr">
        <is>
          <t>A 18282-2022</t>
        </is>
      </c>
      <c r="B282" s="1" t="n">
        <v>44685</v>
      </c>
      <c r="C282" s="1" t="n">
        <v>45637</v>
      </c>
      <c r="D282" t="inlineStr">
        <is>
          <t>VÄSTMANLANDS LÄN</t>
        </is>
      </c>
      <c r="E282" t="inlineStr">
        <is>
          <t>VÄSTERÅS</t>
        </is>
      </c>
      <c r="G282" t="n">
        <v>3.7</v>
      </c>
      <c r="H282" t="n">
        <v>1</v>
      </c>
      <c r="I282" t="n">
        <v>0</v>
      </c>
      <c r="J282" t="n">
        <v>1</v>
      </c>
      <c r="K282" t="n">
        <v>0</v>
      </c>
      <c r="L282" t="n">
        <v>0</v>
      </c>
      <c r="M282" t="n">
        <v>0</v>
      </c>
      <c r="N282" t="n">
        <v>0</v>
      </c>
      <c r="O282" t="n">
        <v>1</v>
      </c>
      <c r="P282" t="n">
        <v>0</v>
      </c>
      <c r="Q282" t="n">
        <v>1</v>
      </c>
      <c r="R282" s="2" t="inlineStr">
        <is>
          <t>Spillkråka</t>
        </is>
      </c>
      <c r="S282">
        <f>HYPERLINK("https://klasma.github.io/Logging_1980/artfynd/A 18282-2022 artfynd.xlsx", "A 18282-2022")</f>
        <v/>
      </c>
      <c r="T282">
        <f>HYPERLINK("https://klasma.github.io/Logging_1980/kartor/A 18282-2022 karta.png", "A 18282-2022")</f>
        <v/>
      </c>
      <c r="V282">
        <f>HYPERLINK("https://klasma.github.io/Logging_1980/klagomål/A 18282-2022 FSC-klagomål.docx", "A 18282-2022")</f>
        <v/>
      </c>
      <c r="W282">
        <f>HYPERLINK("https://klasma.github.io/Logging_1980/klagomålsmail/A 18282-2022 FSC-klagomål mail.docx", "A 18282-2022")</f>
        <v/>
      </c>
      <c r="X282">
        <f>HYPERLINK("https://klasma.github.io/Logging_1980/tillsyn/A 18282-2022 tillsynsbegäran.docx", "A 18282-2022")</f>
        <v/>
      </c>
      <c r="Y282">
        <f>HYPERLINK("https://klasma.github.io/Logging_1980/tillsynsmail/A 18282-2022 tillsynsbegäran mail.docx", "A 18282-2022")</f>
        <v/>
      </c>
      <c r="Z282">
        <f>HYPERLINK("https://klasma.github.io/Logging_1980/fåglar/A 18282-2022 prioriterade fågelarter.docx", "A 18282-2022")</f>
        <v/>
      </c>
    </row>
    <row r="283" ht="15" customHeight="1">
      <c r="A283" t="inlineStr">
        <is>
          <t>A 25789-2022</t>
        </is>
      </c>
      <c r="B283" s="1" t="n">
        <v>44733</v>
      </c>
      <c r="C283" s="1" t="n">
        <v>45637</v>
      </c>
      <c r="D283" t="inlineStr">
        <is>
          <t>VÄSTMANLANDS LÄN</t>
        </is>
      </c>
      <c r="E283" t="inlineStr">
        <is>
          <t>KÖPING</t>
        </is>
      </c>
      <c r="G283" t="n">
        <v>1.3</v>
      </c>
      <c r="H283" t="n">
        <v>1</v>
      </c>
      <c r="I283" t="n">
        <v>0</v>
      </c>
      <c r="J283" t="n">
        <v>1</v>
      </c>
      <c r="K283" t="n">
        <v>0</v>
      </c>
      <c r="L283" t="n">
        <v>0</v>
      </c>
      <c r="M283" t="n">
        <v>0</v>
      </c>
      <c r="N283" t="n">
        <v>0</v>
      </c>
      <c r="O283" t="n">
        <v>1</v>
      </c>
      <c r="P283" t="n">
        <v>0</v>
      </c>
      <c r="Q283" t="n">
        <v>1</v>
      </c>
      <c r="R283" s="2" t="inlineStr">
        <is>
          <t>Fjällvråk</t>
        </is>
      </c>
      <c r="S283">
        <f>HYPERLINK("https://klasma.github.io/Logging_1983/artfynd/A 25789-2022 artfynd.xlsx", "A 25789-2022")</f>
        <v/>
      </c>
      <c r="T283">
        <f>HYPERLINK("https://klasma.github.io/Logging_1983/kartor/A 25789-2022 karta.png", "A 25789-2022")</f>
        <v/>
      </c>
      <c r="V283">
        <f>HYPERLINK("https://klasma.github.io/Logging_1983/klagomål/A 25789-2022 FSC-klagomål.docx", "A 25789-2022")</f>
        <v/>
      </c>
      <c r="W283">
        <f>HYPERLINK("https://klasma.github.io/Logging_1983/klagomålsmail/A 25789-2022 FSC-klagomål mail.docx", "A 25789-2022")</f>
        <v/>
      </c>
      <c r="X283">
        <f>HYPERLINK("https://klasma.github.io/Logging_1983/tillsyn/A 25789-2022 tillsynsbegäran.docx", "A 25789-2022")</f>
        <v/>
      </c>
      <c r="Y283">
        <f>HYPERLINK("https://klasma.github.io/Logging_1983/tillsynsmail/A 25789-2022 tillsynsbegäran mail.docx", "A 25789-2022")</f>
        <v/>
      </c>
      <c r="Z283">
        <f>HYPERLINK("https://klasma.github.io/Logging_1983/fåglar/A 25789-2022 prioriterade fågelarter.docx", "A 25789-2022")</f>
        <v/>
      </c>
    </row>
    <row r="284" ht="15" customHeight="1">
      <c r="A284" t="inlineStr">
        <is>
          <t>A 28435-2022</t>
        </is>
      </c>
      <c r="B284" s="1" t="n">
        <v>44747</v>
      </c>
      <c r="C284" s="1" t="n">
        <v>45637</v>
      </c>
      <c r="D284" t="inlineStr">
        <is>
          <t>VÄSTMANLANDS LÄN</t>
        </is>
      </c>
      <c r="E284" t="inlineStr">
        <is>
          <t>FAGERSTA</t>
        </is>
      </c>
      <c r="F284" t="inlineStr">
        <is>
          <t>Sveaskog</t>
        </is>
      </c>
      <c r="G284" t="n">
        <v>0.9</v>
      </c>
      <c r="H284" t="n">
        <v>0</v>
      </c>
      <c r="I284" t="n">
        <v>0</v>
      </c>
      <c r="J284" t="n">
        <v>1</v>
      </c>
      <c r="K284" t="n">
        <v>0</v>
      </c>
      <c r="L284" t="n">
        <v>0</v>
      </c>
      <c r="M284" t="n">
        <v>0</v>
      </c>
      <c r="N284" t="n">
        <v>0</v>
      </c>
      <c r="O284" t="n">
        <v>1</v>
      </c>
      <c r="P284" t="n">
        <v>0</v>
      </c>
      <c r="Q284" t="n">
        <v>1</v>
      </c>
      <c r="R284" s="2" t="inlineStr">
        <is>
          <t>Stjärntagging</t>
        </is>
      </c>
      <c r="S284">
        <f>HYPERLINK("https://klasma.github.io/Logging_1982/artfynd/A 28435-2022 artfynd.xlsx", "A 28435-2022")</f>
        <v/>
      </c>
      <c r="T284">
        <f>HYPERLINK("https://klasma.github.io/Logging_1982/kartor/A 28435-2022 karta.png", "A 28435-2022")</f>
        <v/>
      </c>
      <c r="V284">
        <f>HYPERLINK("https://klasma.github.io/Logging_1982/klagomål/A 28435-2022 FSC-klagomål.docx", "A 28435-2022")</f>
        <v/>
      </c>
      <c r="W284">
        <f>HYPERLINK("https://klasma.github.io/Logging_1982/klagomålsmail/A 28435-2022 FSC-klagomål mail.docx", "A 28435-2022")</f>
        <v/>
      </c>
      <c r="X284">
        <f>HYPERLINK("https://klasma.github.io/Logging_1982/tillsyn/A 28435-2022 tillsynsbegäran.docx", "A 28435-2022")</f>
        <v/>
      </c>
      <c r="Y284">
        <f>HYPERLINK("https://klasma.github.io/Logging_1982/tillsynsmail/A 28435-2022 tillsynsbegäran mail.docx", "A 28435-2022")</f>
        <v/>
      </c>
    </row>
    <row r="285" ht="15" customHeight="1">
      <c r="A285" t="inlineStr">
        <is>
          <t>A 29532-2022</t>
        </is>
      </c>
      <c r="B285" s="1" t="n">
        <v>44753</v>
      </c>
      <c r="C285" s="1" t="n">
        <v>45637</v>
      </c>
      <c r="D285" t="inlineStr">
        <is>
          <t>VÄSTMANLANDS LÄN</t>
        </is>
      </c>
      <c r="E285" t="inlineStr">
        <is>
          <t>FAGERSTA</t>
        </is>
      </c>
      <c r="G285" t="n">
        <v>4.7</v>
      </c>
      <c r="H285" t="n">
        <v>0</v>
      </c>
      <c r="I285" t="n">
        <v>1</v>
      </c>
      <c r="J285" t="n">
        <v>0</v>
      </c>
      <c r="K285" t="n">
        <v>0</v>
      </c>
      <c r="L285" t="n">
        <v>0</v>
      </c>
      <c r="M285" t="n">
        <v>0</v>
      </c>
      <c r="N285" t="n">
        <v>0</v>
      </c>
      <c r="O285" t="n">
        <v>0</v>
      </c>
      <c r="P285" t="n">
        <v>0</v>
      </c>
      <c r="Q285" t="n">
        <v>1</v>
      </c>
      <c r="R285" s="2" t="inlineStr">
        <is>
          <t>Hagfingersvamp</t>
        </is>
      </c>
      <c r="S285">
        <f>HYPERLINK("https://klasma.github.io/Logging_1982/artfynd/A 29532-2022 artfynd.xlsx", "A 29532-2022")</f>
        <v/>
      </c>
      <c r="T285">
        <f>HYPERLINK("https://klasma.github.io/Logging_1982/kartor/A 29532-2022 karta.png", "A 29532-2022")</f>
        <v/>
      </c>
      <c r="V285">
        <f>HYPERLINK("https://klasma.github.io/Logging_1982/klagomål/A 29532-2022 FSC-klagomål.docx", "A 29532-2022")</f>
        <v/>
      </c>
      <c r="W285">
        <f>HYPERLINK("https://klasma.github.io/Logging_1982/klagomålsmail/A 29532-2022 FSC-klagomål mail.docx", "A 29532-2022")</f>
        <v/>
      </c>
      <c r="X285">
        <f>HYPERLINK("https://klasma.github.io/Logging_1982/tillsyn/A 29532-2022 tillsynsbegäran.docx", "A 29532-2022")</f>
        <v/>
      </c>
      <c r="Y285">
        <f>HYPERLINK("https://klasma.github.io/Logging_1982/tillsynsmail/A 29532-2022 tillsynsbegäran mail.docx", "A 29532-2022")</f>
        <v/>
      </c>
    </row>
    <row r="286" ht="15" customHeight="1">
      <c r="A286" t="inlineStr">
        <is>
          <t>A 29985-2022</t>
        </is>
      </c>
      <c r="B286" s="1" t="n">
        <v>44756</v>
      </c>
      <c r="C286" s="1" t="n">
        <v>45637</v>
      </c>
      <c r="D286" t="inlineStr">
        <is>
          <t>VÄSTMANLANDS LÄN</t>
        </is>
      </c>
      <c r="E286" t="inlineStr">
        <is>
          <t>SALA</t>
        </is>
      </c>
      <c r="F286" t="inlineStr">
        <is>
          <t>Kommuner</t>
        </is>
      </c>
      <c r="G286" t="n">
        <v>1</v>
      </c>
      <c r="H286" t="n">
        <v>1</v>
      </c>
      <c r="I286" t="n">
        <v>1</v>
      </c>
      <c r="J286" t="n">
        <v>0</v>
      </c>
      <c r="K286" t="n">
        <v>0</v>
      </c>
      <c r="L286" t="n">
        <v>0</v>
      </c>
      <c r="M286" t="n">
        <v>0</v>
      </c>
      <c r="N286" t="n">
        <v>0</v>
      </c>
      <c r="O286" t="n">
        <v>0</v>
      </c>
      <c r="P286" t="n">
        <v>0</v>
      </c>
      <c r="Q286" t="n">
        <v>1</v>
      </c>
      <c r="R286" s="2" t="inlineStr">
        <is>
          <t>Skogsknipprot</t>
        </is>
      </c>
      <c r="S286">
        <f>HYPERLINK("https://klasma.github.io/Logging_1981/artfynd/A 29985-2022 artfynd.xlsx", "A 29985-2022")</f>
        <v/>
      </c>
      <c r="T286">
        <f>HYPERLINK("https://klasma.github.io/Logging_1981/kartor/A 29985-2022 karta.png", "A 29985-2022")</f>
        <v/>
      </c>
      <c r="V286">
        <f>HYPERLINK("https://klasma.github.io/Logging_1981/klagomål/A 29985-2022 FSC-klagomål.docx", "A 29985-2022")</f>
        <v/>
      </c>
      <c r="W286">
        <f>HYPERLINK("https://klasma.github.io/Logging_1981/klagomålsmail/A 29985-2022 FSC-klagomål mail.docx", "A 29985-2022")</f>
        <v/>
      </c>
      <c r="X286">
        <f>HYPERLINK("https://klasma.github.io/Logging_1981/tillsyn/A 29985-2022 tillsynsbegäran.docx", "A 29985-2022")</f>
        <v/>
      </c>
      <c r="Y286">
        <f>HYPERLINK("https://klasma.github.io/Logging_1981/tillsynsmail/A 29985-2022 tillsynsbegäran mail.docx", "A 29985-2022")</f>
        <v/>
      </c>
    </row>
    <row r="287" ht="15" customHeight="1">
      <c r="A287" t="inlineStr">
        <is>
          <t>A 30319-2022</t>
        </is>
      </c>
      <c r="B287" s="1" t="n">
        <v>44760</v>
      </c>
      <c r="C287" s="1" t="n">
        <v>45637</v>
      </c>
      <c r="D287" t="inlineStr">
        <is>
          <t>VÄSTMANLANDS LÄN</t>
        </is>
      </c>
      <c r="E287" t="inlineStr">
        <is>
          <t>VÄSTERÅS</t>
        </is>
      </c>
      <c r="G287" t="n">
        <v>4.3</v>
      </c>
      <c r="H287" t="n">
        <v>1</v>
      </c>
      <c r="I287" t="n">
        <v>0</v>
      </c>
      <c r="J287" t="n">
        <v>0</v>
      </c>
      <c r="K287" t="n">
        <v>1</v>
      </c>
      <c r="L287" t="n">
        <v>0</v>
      </c>
      <c r="M287" t="n">
        <v>0</v>
      </c>
      <c r="N287" t="n">
        <v>0</v>
      </c>
      <c r="O287" t="n">
        <v>1</v>
      </c>
      <c r="P287" t="n">
        <v>1</v>
      </c>
      <c r="Q287" t="n">
        <v>1</v>
      </c>
      <c r="R287" s="2" t="inlineStr">
        <is>
          <t>Backsippa</t>
        </is>
      </c>
      <c r="S287">
        <f>HYPERLINK("https://klasma.github.io/Logging_1980/artfynd/A 30319-2022 artfynd.xlsx", "A 30319-2022")</f>
        <v/>
      </c>
      <c r="T287">
        <f>HYPERLINK("https://klasma.github.io/Logging_1980/kartor/A 30319-2022 karta.png", "A 30319-2022")</f>
        <v/>
      </c>
      <c r="V287">
        <f>HYPERLINK("https://klasma.github.io/Logging_1980/klagomål/A 30319-2022 FSC-klagomål.docx", "A 30319-2022")</f>
        <v/>
      </c>
      <c r="W287">
        <f>HYPERLINK("https://klasma.github.io/Logging_1980/klagomålsmail/A 30319-2022 FSC-klagomål mail.docx", "A 30319-2022")</f>
        <v/>
      </c>
      <c r="X287">
        <f>HYPERLINK("https://klasma.github.io/Logging_1980/tillsyn/A 30319-2022 tillsynsbegäran.docx", "A 30319-2022")</f>
        <v/>
      </c>
      <c r="Y287">
        <f>HYPERLINK("https://klasma.github.io/Logging_1980/tillsynsmail/A 30319-2022 tillsynsbegäran mail.docx", "A 30319-2022")</f>
        <v/>
      </c>
    </row>
    <row r="288" ht="15" customHeight="1">
      <c r="A288" t="inlineStr">
        <is>
          <t>A 31568-2022</t>
        </is>
      </c>
      <c r="B288" s="1" t="n">
        <v>44775</v>
      </c>
      <c r="C288" s="1" t="n">
        <v>45637</v>
      </c>
      <c r="D288" t="inlineStr">
        <is>
          <t>VÄSTMANLANDS LÄN</t>
        </is>
      </c>
      <c r="E288" t="inlineStr">
        <is>
          <t>VÄSTERÅS</t>
        </is>
      </c>
      <c r="F288" t="inlineStr">
        <is>
          <t>Kommuner</t>
        </is>
      </c>
      <c r="G288" t="n">
        <v>6.2</v>
      </c>
      <c r="H288" t="n">
        <v>0</v>
      </c>
      <c r="I288" t="n">
        <v>0</v>
      </c>
      <c r="J288" t="n">
        <v>1</v>
      </c>
      <c r="K288" t="n">
        <v>0</v>
      </c>
      <c r="L288" t="n">
        <v>0</v>
      </c>
      <c r="M288" t="n">
        <v>0</v>
      </c>
      <c r="N288" t="n">
        <v>0</v>
      </c>
      <c r="O288" t="n">
        <v>1</v>
      </c>
      <c r="P288" t="n">
        <v>0</v>
      </c>
      <c r="Q288" t="n">
        <v>1</v>
      </c>
      <c r="R288" s="2" t="inlineStr">
        <is>
          <t>Ekticka</t>
        </is>
      </c>
      <c r="S288">
        <f>HYPERLINK("https://klasma.github.io/Logging_1980/artfynd/A 31568-2022 artfynd.xlsx", "A 31568-2022")</f>
        <v/>
      </c>
      <c r="T288">
        <f>HYPERLINK("https://klasma.github.io/Logging_1980/kartor/A 31568-2022 karta.png", "A 31568-2022")</f>
        <v/>
      </c>
      <c r="V288">
        <f>HYPERLINK("https://klasma.github.io/Logging_1980/klagomål/A 31568-2022 FSC-klagomål.docx", "A 31568-2022")</f>
        <v/>
      </c>
      <c r="W288">
        <f>HYPERLINK("https://klasma.github.io/Logging_1980/klagomålsmail/A 31568-2022 FSC-klagomål mail.docx", "A 31568-2022")</f>
        <v/>
      </c>
      <c r="X288">
        <f>HYPERLINK("https://klasma.github.io/Logging_1980/tillsyn/A 31568-2022 tillsynsbegäran.docx", "A 31568-2022")</f>
        <v/>
      </c>
      <c r="Y288">
        <f>HYPERLINK("https://klasma.github.io/Logging_1980/tillsynsmail/A 31568-2022 tillsynsbegäran mail.docx", "A 31568-2022")</f>
        <v/>
      </c>
    </row>
    <row r="289" ht="15" customHeight="1">
      <c r="A289" t="inlineStr">
        <is>
          <t>A 39099-2022</t>
        </is>
      </c>
      <c r="B289" s="1" t="n">
        <v>44817</v>
      </c>
      <c r="C289" s="1" t="n">
        <v>45637</v>
      </c>
      <c r="D289" t="inlineStr">
        <is>
          <t>VÄSTMANLANDS LÄN</t>
        </is>
      </c>
      <c r="E289" t="inlineStr">
        <is>
          <t>SURAHAMMAR</t>
        </is>
      </c>
      <c r="F289" t="inlineStr">
        <is>
          <t>Bergvik skog väst AB</t>
        </is>
      </c>
      <c r="G289" t="n">
        <v>7.4</v>
      </c>
      <c r="H289" t="n">
        <v>0</v>
      </c>
      <c r="I289" t="n">
        <v>1</v>
      </c>
      <c r="J289" t="n">
        <v>0</v>
      </c>
      <c r="K289" t="n">
        <v>0</v>
      </c>
      <c r="L289" t="n">
        <v>0</v>
      </c>
      <c r="M289" t="n">
        <v>0</v>
      </c>
      <c r="N289" t="n">
        <v>0</v>
      </c>
      <c r="O289" t="n">
        <v>0</v>
      </c>
      <c r="P289" t="n">
        <v>0</v>
      </c>
      <c r="Q289" t="n">
        <v>1</v>
      </c>
      <c r="R289" s="2" t="inlineStr">
        <is>
          <t>Stekelbock</t>
        </is>
      </c>
      <c r="S289">
        <f>HYPERLINK("https://klasma.github.io/Logging_1907/artfynd/A 39099-2022 artfynd.xlsx", "A 39099-2022")</f>
        <v/>
      </c>
      <c r="T289">
        <f>HYPERLINK("https://klasma.github.io/Logging_1907/kartor/A 39099-2022 karta.png", "A 39099-2022")</f>
        <v/>
      </c>
      <c r="V289">
        <f>HYPERLINK("https://klasma.github.io/Logging_1907/klagomål/A 39099-2022 FSC-klagomål.docx", "A 39099-2022")</f>
        <v/>
      </c>
      <c r="W289">
        <f>HYPERLINK("https://klasma.github.io/Logging_1907/klagomålsmail/A 39099-2022 FSC-klagomål mail.docx", "A 39099-2022")</f>
        <v/>
      </c>
      <c r="X289">
        <f>HYPERLINK("https://klasma.github.io/Logging_1907/tillsyn/A 39099-2022 tillsynsbegäran.docx", "A 39099-2022")</f>
        <v/>
      </c>
      <c r="Y289">
        <f>HYPERLINK("https://klasma.github.io/Logging_1907/tillsynsmail/A 39099-2022 tillsynsbegäran mail.docx", "A 39099-2022")</f>
        <v/>
      </c>
    </row>
    <row r="290" ht="15" customHeight="1">
      <c r="A290" t="inlineStr">
        <is>
          <t>A 41745-2022</t>
        </is>
      </c>
      <c r="B290" s="1" t="n">
        <v>44827</v>
      </c>
      <c r="C290" s="1" t="n">
        <v>45637</v>
      </c>
      <c r="D290" t="inlineStr">
        <is>
          <t>VÄSTMANLANDS LÄN</t>
        </is>
      </c>
      <c r="E290" t="inlineStr">
        <is>
          <t>NORBERG</t>
        </is>
      </c>
      <c r="G290" t="n">
        <v>12.7</v>
      </c>
      <c r="H290" t="n">
        <v>1</v>
      </c>
      <c r="I290" t="n">
        <v>0</v>
      </c>
      <c r="J290" t="n">
        <v>1</v>
      </c>
      <c r="K290" t="n">
        <v>0</v>
      </c>
      <c r="L290" t="n">
        <v>0</v>
      </c>
      <c r="M290" t="n">
        <v>0</v>
      </c>
      <c r="N290" t="n">
        <v>0</v>
      </c>
      <c r="O290" t="n">
        <v>1</v>
      </c>
      <c r="P290" t="n">
        <v>0</v>
      </c>
      <c r="Q290" t="n">
        <v>1</v>
      </c>
      <c r="R290" s="2" t="inlineStr">
        <is>
          <t>Järpe</t>
        </is>
      </c>
      <c r="S290">
        <f>HYPERLINK("https://klasma.github.io/Logging_1962/artfynd/A 41745-2022 artfynd.xlsx", "A 41745-2022")</f>
        <v/>
      </c>
      <c r="T290">
        <f>HYPERLINK("https://klasma.github.io/Logging_1962/kartor/A 41745-2022 karta.png", "A 41745-2022")</f>
        <v/>
      </c>
      <c r="V290">
        <f>HYPERLINK("https://klasma.github.io/Logging_1962/klagomål/A 41745-2022 FSC-klagomål.docx", "A 41745-2022")</f>
        <v/>
      </c>
      <c r="W290">
        <f>HYPERLINK("https://klasma.github.io/Logging_1962/klagomålsmail/A 41745-2022 FSC-klagomål mail.docx", "A 41745-2022")</f>
        <v/>
      </c>
      <c r="X290">
        <f>HYPERLINK("https://klasma.github.io/Logging_1962/tillsyn/A 41745-2022 tillsynsbegäran.docx", "A 41745-2022")</f>
        <v/>
      </c>
      <c r="Y290">
        <f>HYPERLINK("https://klasma.github.io/Logging_1962/tillsynsmail/A 41745-2022 tillsynsbegäran mail.docx", "A 41745-2022")</f>
        <v/>
      </c>
      <c r="Z290">
        <f>HYPERLINK("https://klasma.github.io/Logging_1962/fåglar/A 41745-2022 prioriterade fågelarter.docx", "A 41745-2022")</f>
        <v/>
      </c>
    </row>
    <row r="291" ht="15" customHeight="1">
      <c r="A291" t="inlineStr">
        <is>
          <t>A 42765-2022</t>
        </is>
      </c>
      <c r="B291" s="1" t="n">
        <v>44832</v>
      </c>
      <c r="C291" s="1" t="n">
        <v>45637</v>
      </c>
      <c r="D291" t="inlineStr">
        <is>
          <t>VÄSTMANLANDS LÄN</t>
        </is>
      </c>
      <c r="E291" t="inlineStr">
        <is>
          <t>SURAHAMMAR</t>
        </is>
      </c>
      <c r="G291" t="n">
        <v>1.8</v>
      </c>
      <c r="H291" t="n">
        <v>1</v>
      </c>
      <c r="I291" t="n">
        <v>0</v>
      </c>
      <c r="J291" t="n">
        <v>0</v>
      </c>
      <c r="K291" t="n">
        <v>0</v>
      </c>
      <c r="L291" t="n">
        <v>0</v>
      </c>
      <c r="M291" t="n">
        <v>0</v>
      </c>
      <c r="N291" t="n">
        <v>0</v>
      </c>
      <c r="O291" t="n">
        <v>0</v>
      </c>
      <c r="P291" t="n">
        <v>0</v>
      </c>
      <c r="Q291" t="n">
        <v>1</v>
      </c>
      <c r="R291" s="2" t="inlineStr">
        <is>
          <t>Blåsippa</t>
        </is>
      </c>
      <c r="S291">
        <f>HYPERLINK("https://klasma.github.io/Logging_1907/artfynd/A 42765-2022 artfynd.xlsx", "A 42765-2022")</f>
        <v/>
      </c>
      <c r="T291">
        <f>HYPERLINK("https://klasma.github.io/Logging_1907/kartor/A 42765-2022 karta.png", "A 42765-2022")</f>
        <v/>
      </c>
      <c r="V291">
        <f>HYPERLINK("https://klasma.github.io/Logging_1907/klagomål/A 42765-2022 FSC-klagomål.docx", "A 42765-2022")</f>
        <v/>
      </c>
      <c r="W291">
        <f>HYPERLINK("https://klasma.github.io/Logging_1907/klagomålsmail/A 42765-2022 FSC-klagomål mail.docx", "A 42765-2022")</f>
        <v/>
      </c>
      <c r="X291">
        <f>HYPERLINK("https://klasma.github.io/Logging_1907/tillsyn/A 42765-2022 tillsynsbegäran.docx", "A 42765-2022")</f>
        <v/>
      </c>
      <c r="Y291">
        <f>HYPERLINK("https://klasma.github.io/Logging_1907/tillsynsmail/A 42765-2022 tillsynsbegäran mail.docx", "A 42765-2022")</f>
        <v/>
      </c>
    </row>
    <row r="292" ht="15" customHeight="1">
      <c r="A292" t="inlineStr">
        <is>
          <t>A 43705-2022</t>
        </is>
      </c>
      <c r="B292" s="1" t="n">
        <v>44837</v>
      </c>
      <c r="C292" s="1" t="n">
        <v>45637</v>
      </c>
      <c r="D292" t="inlineStr">
        <is>
          <t>VÄSTMANLANDS LÄN</t>
        </is>
      </c>
      <c r="E292" t="inlineStr">
        <is>
          <t>SALA</t>
        </is>
      </c>
      <c r="G292" t="n">
        <v>2.9</v>
      </c>
      <c r="H292" t="n">
        <v>1</v>
      </c>
      <c r="I292" t="n">
        <v>0</v>
      </c>
      <c r="J292" t="n">
        <v>0</v>
      </c>
      <c r="K292" t="n">
        <v>1</v>
      </c>
      <c r="L292" t="n">
        <v>0</v>
      </c>
      <c r="M292" t="n">
        <v>0</v>
      </c>
      <c r="N292" t="n">
        <v>0</v>
      </c>
      <c r="O292" t="n">
        <v>1</v>
      </c>
      <c r="P292" t="n">
        <v>1</v>
      </c>
      <c r="Q292" t="n">
        <v>1</v>
      </c>
      <c r="R292" s="2" t="inlineStr">
        <is>
          <t>Knärot</t>
        </is>
      </c>
      <c r="S292">
        <f>HYPERLINK("https://klasma.github.io/Logging_1981/artfynd/A 43705-2022 artfynd.xlsx", "A 43705-2022")</f>
        <v/>
      </c>
      <c r="T292">
        <f>HYPERLINK("https://klasma.github.io/Logging_1981/kartor/A 43705-2022 karta.png", "A 43705-2022")</f>
        <v/>
      </c>
      <c r="U292">
        <f>HYPERLINK("https://klasma.github.io/Logging_1981/knärot/A 43705-2022 karta knärot.png", "A 43705-2022")</f>
        <v/>
      </c>
      <c r="V292">
        <f>HYPERLINK("https://klasma.github.io/Logging_1981/klagomål/A 43705-2022 FSC-klagomål.docx", "A 43705-2022")</f>
        <v/>
      </c>
      <c r="W292">
        <f>HYPERLINK("https://klasma.github.io/Logging_1981/klagomålsmail/A 43705-2022 FSC-klagomål mail.docx", "A 43705-2022")</f>
        <v/>
      </c>
      <c r="X292">
        <f>HYPERLINK("https://klasma.github.io/Logging_1981/tillsyn/A 43705-2022 tillsynsbegäran.docx", "A 43705-2022")</f>
        <v/>
      </c>
      <c r="Y292">
        <f>HYPERLINK("https://klasma.github.io/Logging_1981/tillsynsmail/A 43705-2022 tillsynsbegäran mail.docx", "A 43705-2022")</f>
        <v/>
      </c>
    </row>
    <row r="293" ht="15" customHeight="1">
      <c r="A293" t="inlineStr">
        <is>
          <t>A 46098-2022</t>
        </is>
      </c>
      <c r="B293" s="1" t="n">
        <v>44847</v>
      </c>
      <c r="C293" s="1" t="n">
        <v>45637</v>
      </c>
      <c r="D293" t="inlineStr">
        <is>
          <t>VÄSTMANLANDS LÄN</t>
        </is>
      </c>
      <c r="E293" t="inlineStr">
        <is>
          <t>VÄSTERÅS</t>
        </is>
      </c>
      <c r="G293" t="n">
        <v>5.5</v>
      </c>
      <c r="H293" t="n">
        <v>0</v>
      </c>
      <c r="I293" t="n">
        <v>0</v>
      </c>
      <c r="J293" t="n">
        <v>1</v>
      </c>
      <c r="K293" t="n">
        <v>0</v>
      </c>
      <c r="L293" t="n">
        <v>0</v>
      </c>
      <c r="M293" t="n">
        <v>0</v>
      </c>
      <c r="N293" t="n">
        <v>0</v>
      </c>
      <c r="O293" t="n">
        <v>1</v>
      </c>
      <c r="P293" t="n">
        <v>0</v>
      </c>
      <c r="Q293" t="n">
        <v>1</v>
      </c>
      <c r="R293" s="2" t="inlineStr">
        <is>
          <t>Flattoppad klubbsvamp</t>
        </is>
      </c>
      <c r="S293">
        <f>HYPERLINK("https://klasma.github.io/Logging_1980/artfynd/A 46098-2022 artfynd.xlsx", "A 46098-2022")</f>
        <v/>
      </c>
      <c r="T293">
        <f>HYPERLINK("https://klasma.github.io/Logging_1980/kartor/A 46098-2022 karta.png", "A 46098-2022")</f>
        <v/>
      </c>
      <c r="V293">
        <f>HYPERLINK("https://klasma.github.io/Logging_1980/klagomål/A 46098-2022 FSC-klagomål.docx", "A 46098-2022")</f>
        <v/>
      </c>
      <c r="W293">
        <f>HYPERLINK("https://klasma.github.io/Logging_1980/klagomålsmail/A 46098-2022 FSC-klagomål mail.docx", "A 46098-2022")</f>
        <v/>
      </c>
      <c r="X293">
        <f>HYPERLINK("https://klasma.github.io/Logging_1980/tillsyn/A 46098-2022 tillsynsbegäran.docx", "A 46098-2022")</f>
        <v/>
      </c>
      <c r="Y293">
        <f>HYPERLINK("https://klasma.github.io/Logging_1980/tillsynsmail/A 46098-2022 tillsynsbegäran mail.docx", "A 46098-2022")</f>
        <v/>
      </c>
    </row>
    <row r="294" ht="15" customHeight="1">
      <c r="A294" t="inlineStr">
        <is>
          <t>A 47207-2022</t>
        </is>
      </c>
      <c r="B294" s="1" t="n">
        <v>44852</v>
      </c>
      <c r="C294" s="1" t="n">
        <v>45637</v>
      </c>
      <c r="D294" t="inlineStr">
        <is>
          <t>VÄSTMANLANDS LÄN</t>
        </is>
      </c>
      <c r="E294" t="inlineStr">
        <is>
          <t>SURAHAMMAR</t>
        </is>
      </c>
      <c r="G294" t="n">
        <v>3.2</v>
      </c>
      <c r="H294" t="n">
        <v>0</v>
      </c>
      <c r="I294" t="n">
        <v>0</v>
      </c>
      <c r="J294" t="n">
        <v>1</v>
      </c>
      <c r="K294" t="n">
        <v>0</v>
      </c>
      <c r="L294" t="n">
        <v>0</v>
      </c>
      <c r="M294" t="n">
        <v>0</v>
      </c>
      <c r="N294" t="n">
        <v>0</v>
      </c>
      <c r="O294" t="n">
        <v>1</v>
      </c>
      <c r="P294" t="n">
        <v>0</v>
      </c>
      <c r="Q294" t="n">
        <v>1</v>
      </c>
      <c r="R294" s="2" t="inlineStr">
        <is>
          <t>Veckticka</t>
        </is>
      </c>
      <c r="S294">
        <f>HYPERLINK("https://klasma.github.io/Logging_1907/artfynd/A 47207-2022 artfynd.xlsx", "A 47207-2022")</f>
        <v/>
      </c>
      <c r="T294">
        <f>HYPERLINK("https://klasma.github.io/Logging_1907/kartor/A 47207-2022 karta.png", "A 47207-2022")</f>
        <v/>
      </c>
      <c r="V294">
        <f>HYPERLINK("https://klasma.github.io/Logging_1907/klagomål/A 47207-2022 FSC-klagomål.docx", "A 47207-2022")</f>
        <v/>
      </c>
      <c r="W294">
        <f>HYPERLINK("https://klasma.github.io/Logging_1907/klagomålsmail/A 47207-2022 FSC-klagomål mail.docx", "A 47207-2022")</f>
        <v/>
      </c>
      <c r="X294">
        <f>HYPERLINK("https://klasma.github.io/Logging_1907/tillsyn/A 47207-2022 tillsynsbegäran.docx", "A 47207-2022")</f>
        <v/>
      </c>
      <c r="Y294">
        <f>HYPERLINK("https://klasma.github.io/Logging_1907/tillsynsmail/A 47207-2022 tillsynsbegäran mail.docx", "A 47207-2022")</f>
        <v/>
      </c>
    </row>
    <row r="295" ht="15" customHeight="1">
      <c r="A295" t="inlineStr">
        <is>
          <t>A 48234-2022</t>
        </is>
      </c>
      <c r="B295" s="1" t="n">
        <v>44858</v>
      </c>
      <c r="C295" s="1" t="n">
        <v>45637</v>
      </c>
      <c r="D295" t="inlineStr">
        <is>
          <t>VÄSTMANLANDS LÄN</t>
        </is>
      </c>
      <c r="E295" t="inlineStr">
        <is>
          <t>ARBOGA</t>
        </is>
      </c>
      <c r="F295" t="inlineStr">
        <is>
          <t>Sveaskog</t>
        </is>
      </c>
      <c r="G295" t="n">
        <v>21.4</v>
      </c>
      <c r="H295" t="n">
        <v>0</v>
      </c>
      <c r="I295" t="n">
        <v>1</v>
      </c>
      <c r="J295" t="n">
        <v>0</v>
      </c>
      <c r="K295" t="n">
        <v>0</v>
      </c>
      <c r="L295" t="n">
        <v>0</v>
      </c>
      <c r="M295" t="n">
        <v>0</v>
      </c>
      <c r="N295" t="n">
        <v>0</v>
      </c>
      <c r="O295" t="n">
        <v>0</v>
      </c>
      <c r="P295" t="n">
        <v>0</v>
      </c>
      <c r="Q295" t="n">
        <v>1</v>
      </c>
      <c r="R295" s="2" t="inlineStr">
        <is>
          <t>Tibast</t>
        </is>
      </c>
      <c r="S295">
        <f>HYPERLINK("https://klasma.github.io/Logging_1984/artfynd/A 48234-2022 artfynd.xlsx", "A 48234-2022")</f>
        <v/>
      </c>
      <c r="T295">
        <f>HYPERLINK("https://klasma.github.io/Logging_1984/kartor/A 48234-2022 karta.png", "A 48234-2022")</f>
        <v/>
      </c>
      <c r="V295">
        <f>HYPERLINK("https://klasma.github.io/Logging_1984/klagomål/A 48234-2022 FSC-klagomål.docx", "A 48234-2022")</f>
        <v/>
      </c>
      <c r="W295">
        <f>HYPERLINK("https://klasma.github.io/Logging_1984/klagomålsmail/A 48234-2022 FSC-klagomål mail.docx", "A 48234-2022")</f>
        <v/>
      </c>
      <c r="X295">
        <f>HYPERLINK("https://klasma.github.io/Logging_1984/tillsyn/A 48234-2022 tillsynsbegäran.docx", "A 48234-2022")</f>
        <v/>
      </c>
      <c r="Y295">
        <f>HYPERLINK("https://klasma.github.io/Logging_1984/tillsynsmail/A 48234-2022 tillsynsbegäran mail.docx", "A 48234-2022")</f>
        <v/>
      </c>
    </row>
    <row r="296" ht="15" customHeight="1">
      <c r="A296" t="inlineStr">
        <is>
          <t>A 48269-2022</t>
        </is>
      </c>
      <c r="B296" s="1" t="n">
        <v>44858</v>
      </c>
      <c r="C296" s="1" t="n">
        <v>45637</v>
      </c>
      <c r="D296" t="inlineStr">
        <is>
          <t>VÄSTMANLANDS LÄN</t>
        </is>
      </c>
      <c r="E296" t="inlineStr">
        <is>
          <t>KÖPING</t>
        </is>
      </c>
      <c r="G296" t="n">
        <v>8.699999999999999</v>
      </c>
      <c r="H296" t="n">
        <v>0</v>
      </c>
      <c r="I296" t="n">
        <v>0</v>
      </c>
      <c r="J296" t="n">
        <v>1</v>
      </c>
      <c r="K296" t="n">
        <v>0</v>
      </c>
      <c r="L296" t="n">
        <v>0</v>
      </c>
      <c r="M296" t="n">
        <v>0</v>
      </c>
      <c r="N296" t="n">
        <v>0</v>
      </c>
      <c r="O296" t="n">
        <v>1</v>
      </c>
      <c r="P296" t="n">
        <v>0</v>
      </c>
      <c r="Q296" t="n">
        <v>1</v>
      </c>
      <c r="R296" s="2" t="inlineStr">
        <is>
          <t>Motaggsvamp</t>
        </is>
      </c>
      <c r="S296">
        <f>HYPERLINK("https://klasma.github.io/Logging_1983/artfynd/A 48269-2022 artfynd.xlsx", "A 48269-2022")</f>
        <v/>
      </c>
      <c r="T296">
        <f>HYPERLINK("https://klasma.github.io/Logging_1983/kartor/A 48269-2022 karta.png", "A 48269-2022")</f>
        <v/>
      </c>
      <c r="V296">
        <f>HYPERLINK("https://klasma.github.io/Logging_1983/klagomål/A 48269-2022 FSC-klagomål.docx", "A 48269-2022")</f>
        <v/>
      </c>
      <c r="W296">
        <f>HYPERLINK("https://klasma.github.io/Logging_1983/klagomålsmail/A 48269-2022 FSC-klagomål mail.docx", "A 48269-2022")</f>
        <v/>
      </c>
      <c r="X296">
        <f>HYPERLINK("https://klasma.github.io/Logging_1983/tillsyn/A 48269-2022 tillsynsbegäran.docx", "A 48269-2022")</f>
        <v/>
      </c>
      <c r="Y296">
        <f>HYPERLINK("https://klasma.github.io/Logging_1983/tillsynsmail/A 48269-2022 tillsynsbegäran mail.docx", "A 48269-2022")</f>
        <v/>
      </c>
    </row>
    <row r="297" ht="15" customHeight="1">
      <c r="A297" t="inlineStr">
        <is>
          <t>A 52304-2022</t>
        </is>
      </c>
      <c r="B297" s="1" t="n">
        <v>44869</v>
      </c>
      <c r="C297" s="1" t="n">
        <v>45637</v>
      </c>
      <c r="D297" t="inlineStr">
        <is>
          <t>VÄSTMANLANDS LÄN</t>
        </is>
      </c>
      <c r="E297" t="inlineStr">
        <is>
          <t>NORBERG</t>
        </is>
      </c>
      <c r="G297" t="n">
        <v>14.5</v>
      </c>
      <c r="H297" t="n">
        <v>0</v>
      </c>
      <c r="I297" t="n">
        <v>1</v>
      </c>
      <c r="J297" t="n">
        <v>0</v>
      </c>
      <c r="K297" t="n">
        <v>0</v>
      </c>
      <c r="L297" t="n">
        <v>0</v>
      </c>
      <c r="M297" t="n">
        <v>0</v>
      </c>
      <c r="N297" t="n">
        <v>0</v>
      </c>
      <c r="O297" t="n">
        <v>0</v>
      </c>
      <c r="P297" t="n">
        <v>0</v>
      </c>
      <c r="Q297" t="n">
        <v>1</v>
      </c>
      <c r="R297" s="2" t="inlineStr">
        <is>
          <t>Skarp dropptaggsvamp</t>
        </is>
      </c>
      <c r="S297">
        <f>HYPERLINK("https://klasma.github.io/Logging_1962/artfynd/A 52304-2022 artfynd.xlsx", "A 52304-2022")</f>
        <v/>
      </c>
      <c r="T297">
        <f>HYPERLINK("https://klasma.github.io/Logging_1962/kartor/A 52304-2022 karta.png", "A 52304-2022")</f>
        <v/>
      </c>
      <c r="V297">
        <f>HYPERLINK("https://klasma.github.io/Logging_1962/klagomål/A 52304-2022 FSC-klagomål.docx", "A 52304-2022")</f>
        <v/>
      </c>
      <c r="W297">
        <f>HYPERLINK("https://klasma.github.io/Logging_1962/klagomålsmail/A 52304-2022 FSC-klagomål mail.docx", "A 52304-2022")</f>
        <v/>
      </c>
      <c r="X297">
        <f>HYPERLINK("https://klasma.github.io/Logging_1962/tillsyn/A 52304-2022 tillsynsbegäran.docx", "A 52304-2022")</f>
        <v/>
      </c>
      <c r="Y297">
        <f>HYPERLINK("https://klasma.github.io/Logging_1962/tillsynsmail/A 52304-2022 tillsynsbegäran mail.docx", "A 52304-2022")</f>
        <v/>
      </c>
    </row>
    <row r="298" ht="15" customHeight="1">
      <c r="A298" t="inlineStr">
        <is>
          <t>A 53870-2022</t>
        </is>
      </c>
      <c r="B298" s="1" t="n">
        <v>44880</v>
      </c>
      <c r="C298" s="1" t="n">
        <v>45637</v>
      </c>
      <c r="D298" t="inlineStr">
        <is>
          <t>VÄSTMANLANDS LÄN</t>
        </is>
      </c>
      <c r="E298" t="inlineStr">
        <is>
          <t>KUNGSÖR</t>
        </is>
      </c>
      <c r="F298" t="inlineStr">
        <is>
          <t>Allmännings- och besparingsskogar</t>
        </is>
      </c>
      <c r="G298" t="n">
        <v>2.3</v>
      </c>
      <c r="H298" t="n">
        <v>1</v>
      </c>
      <c r="I298" t="n">
        <v>0</v>
      </c>
      <c r="J298" t="n">
        <v>0</v>
      </c>
      <c r="K298" t="n">
        <v>0</v>
      </c>
      <c r="L298" t="n">
        <v>0</v>
      </c>
      <c r="M298" t="n">
        <v>0</v>
      </c>
      <c r="N298" t="n">
        <v>0</v>
      </c>
      <c r="O298" t="n">
        <v>0</v>
      </c>
      <c r="P298" t="n">
        <v>0</v>
      </c>
      <c r="Q298" t="n">
        <v>1</v>
      </c>
      <c r="R298" s="2" t="inlineStr">
        <is>
          <t>Blåsippa</t>
        </is>
      </c>
      <c r="S298">
        <f>HYPERLINK("https://klasma.github.io/Logging_1960/artfynd/A 53870-2022 artfynd.xlsx", "A 53870-2022")</f>
        <v/>
      </c>
      <c r="T298">
        <f>HYPERLINK("https://klasma.github.io/Logging_1960/kartor/A 53870-2022 karta.png", "A 53870-2022")</f>
        <v/>
      </c>
      <c r="V298">
        <f>HYPERLINK("https://klasma.github.io/Logging_1960/klagomål/A 53870-2022 FSC-klagomål.docx", "A 53870-2022")</f>
        <v/>
      </c>
      <c r="W298">
        <f>HYPERLINK("https://klasma.github.io/Logging_1960/klagomålsmail/A 53870-2022 FSC-klagomål mail.docx", "A 53870-2022")</f>
        <v/>
      </c>
      <c r="X298">
        <f>HYPERLINK("https://klasma.github.io/Logging_1960/tillsyn/A 53870-2022 tillsynsbegäran.docx", "A 53870-2022")</f>
        <v/>
      </c>
      <c r="Y298">
        <f>HYPERLINK("https://klasma.github.io/Logging_1960/tillsynsmail/A 53870-2022 tillsynsbegäran mail.docx", "A 53870-2022")</f>
        <v/>
      </c>
    </row>
    <row r="299" ht="15" customHeight="1">
      <c r="A299" t="inlineStr">
        <is>
          <t>A 56704-2022</t>
        </is>
      </c>
      <c r="B299" s="1" t="n">
        <v>44893</v>
      </c>
      <c r="C299" s="1" t="n">
        <v>45637</v>
      </c>
      <c r="D299" t="inlineStr">
        <is>
          <t>VÄSTMANLANDS LÄN</t>
        </is>
      </c>
      <c r="E299" t="inlineStr">
        <is>
          <t>SALA</t>
        </is>
      </c>
      <c r="G299" t="n">
        <v>3.2</v>
      </c>
      <c r="H299" t="n">
        <v>1</v>
      </c>
      <c r="I299" t="n">
        <v>0</v>
      </c>
      <c r="J299" t="n">
        <v>0</v>
      </c>
      <c r="K299" t="n">
        <v>1</v>
      </c>
      <c r="L299" t="n">
        <v>0</v>
      </c>
      <c r="M299" t="n">
        <v>0</v>
      </c>
      <c r="N299" t="n">
        <v>0</v>
      </c>
      <c r="O299" t="n">
        <v>1</v>
      </c>
      <c r="P299" t="n">
        <v>1</v>
      </c>
      <c r="Q299" t="n">
        <v>1</v>
      </c>
      <c r="R299" s="2" t="inlineStr">
        <is>
          <t>Knärot</t>
        </is>
      </c>
      <c r="S299">
        <f>HYPERLINK("https://klasma.github.io/Logging_1981/artfynd/A 56704-2022 artfynd.xlsx", "A 56704-2022")</f>
        <v/>
      </c>
      <c r="T299">
        <f>HYPERLINK("https://klasma.github.io/Logging_1981/kartor/A 56704-2022 karta.png", "A 56704-2022")</f>
        <v/>
      </c>
      <c r="U299">
        <f>HYPERLINK("https://klasma.github.io/Logging_1981/knärot/A 56704-2022 karta knärot.png", "A 56704-2022")</f>
        <v/>
      </c>
      <c r="V299">
        <f>HYPERLINK("https://klasma.github.io/Logging_1981/klagomål/A 56704-2022 FSC-klagomål.docx", "A 56704-2022")</f>
        <v/>
      </c>
      <c r="W299">
        <f>HYPERLINK("https://klasma.github.io/Logging_1981/klagomålsmail/A 56704-2022 FSC-klagomål mail.docx", "A 56704-2022")</f>
        <v/>
      </c>
      <c r="X299">
        <f>HYPERLINK("https://klasma.github.io/Logging_1981/tillsyn/A 56704-2022 tillsynsbegäran.docx", "A 56704-2022")</f>
        <v/>
      </c>
      <c r="Y299">
        <f>HYPERLINK("https://klasma.github.io/Logging_1981/tillsynsmail/A 56704-2022 tillsynsbegäran mail.docx", "A 56704-2022")</f>
        <v/>
      </c>
    </row>
    <row r="300" ht="15" customHeight="1">
      <c r="A300" t="inlineStr">
        <is>
          <t>A 56823-2022</t>
        </is>
      </c>
      <c r="B300" s="1" t="n">
        <v>44894</v>
      </c>
      <c r="C300" s="1" t="n">
        <v>45637</v>
      </c>
      <c r="D300" t="inlineStr">
        <is>
          <t>VÄSTMANLANDS LÄN</t>
        </is>
      </c>
      <c r="E300" t="inlineStr">
        <is>
          <t>KÖPING</t>
        </is>
      </c>
      <c r="G300" t="n">
        <v>1.7</v>
      </c>
      <c r="H300" t="n">
        <v>1</v>
      </c>
      <c r="I300" t="n">
        <v>0</v>
      </c>
      <c r="J300" t="n">
        <v>1</v>
      </c>
      <c r="K300" t="n">
        <v>0</v>
      </c>
      <c r="L300" t="n">
        <v>0</v>
      </c>
      <c r="M300" t="n">
        <v>0</v>
      </c>
      <c r="N300" t="n">
        <v>0</v>
      </c>
      <c r="O300" t="n">
        <v>1</v>
      </c>
      <c r="P300" t="n">
        <v>0</v>
      </c>
      <c r="Q300" t="n">
        <v>1</v>
      </c>
      <c r="R300" s="2" t="inlineStr">
        <is>
          <t>Talltita</t>
        </is>
      </c>
      <c r="S300">
        <f>HYPERLINK("https://klasma.github.io/Logging_1983/artfynd/A 56823-2022 artfynd.xlsx", "A 56823-2022")</f>
        <v/>
      </c>
      <c r="T300">
        <f>HYPERLINK("https://klasma.github.io/Logging_1983/kartor/A 56823-2022 karta.png", "A 56823-2022")</f>
        <v/>
      </c>
      <c r="V300">
        <f>HYPERLINK("https://klasma.github.io/Logging_1983/klagomål/A 56823-2022 FSC-klagomål.docx", "A 56823-2022")</f>
        <v/>
      </c>
      <c r="W300">
        <f>HYPERLINK("https://klasma.github.io/Logging_1983/klagomålsmail/A 56823-2022 FSC-klagomål mail.docx", "A 56823-2022")</f>
        <v/>
      </c>
      <c r="X300">
        <f>HYPERLINK("https://klasma.github.io/Logging_1983/tillsyn/A 56823-2022 tillsynsbegäran.docx", "A 56823-2022")</f>
        <v/>
      </c>
      <c r="Y300">
        <f>HYPERLINK("https://klasma.github.io/Logging_1983/tillsynsmail/A 56823-2022 tillsynsbegäran mail.docx", "A 56823-2022")</f>
        <v/>
      </c>
      <c r="Z300">
        <f>HYPERLINK("https://klasma.github.io/Logging_1983/fåglar/A 56823-2022 prioriterade fågelarter.docx", "A 56823-2022")</f>
        <v/>
      </c>
    </row>
    <row r="301" ht="15" customHeight="1">
      <c r="A301" t="inlineStr">
        <is>
          <t>A 56915-2022</t>
        </is>
      </c>
      <c r="B301" s="1" t="n">
        <v>44894</v>
      </c>
      <c r="C301" s="1" t="n">
        <v>45637</v>
      </c>
      <c r="D301" t="inlineStr">
        <is>
          <t>VÄSTMANLANDS LÄN</t>
        </is>
      </c>
      <c r="E301" t="inlineStr">
        <is>
          <t>SKINNSKATTEBERG</t>
        </is>
      </c>
      <c r="F301" t="inlineStr">
        <is>
          <t>Sveaskog</t>
        </is>
      </c>
      <c r="G301" t="n">
        <v>7.7</v>
      </c>
      <c r="H301" t="n">
        <v>0</v>
      </c>
      <c r="I301" t="n">
        <v>0</v>
      </c>
      <c r="J301" t="n">
        <v>0</v>
      </c>
      <c r="K301" t="n">
        <v>0</v>
      </c>
      <c r="L301" t="n">
        <v>1</v>
      </c>
      <c r="M301" t="n">
        <v>0</v>
      </c>
      <c r="N301" t="n">
        <v>0</v>
      </c>
      <c r="O301" t="n">
        <v>1</v>
      </c>
      <c r="P301" t="n">
        <v>1</v>
      </c>
      <c r="Q301" t="n">
        <v>1</v>
      </c>
      <c r="R301" s="2" t="inlineStr">
        <is>
          <t>Ask</t>
        </is>
      </c>
      <c r="S301">
        <f>HYPERLINK("https://klasma.github.io/Logging_1904/artfynd/A 56915-2022 artfynd.xlsx", "A 56915-2022")</f>
        <v/>
      </c>
      <c r="T301">
        <f>HYPERLINK("https://klasma.github.io/Logging_1904/kartor/A 56915-2022 karta.png", "A 56915-2022")</f>
        <v/>
      </c>
      <c r="V301">
        <f>HYPERLINK("https://klasma.github.io/Logging_1904/klagomål/A 56915-2022 FSC-klagomål.docx", "A 56915-2022")</f>
        <v/>
      </c>
      <c r="W301">
        <f>HYPERLINK("https://klasma.github.io/Logging_1904/klagomålsmail/A 56915-2022 FSC-klagomål mail.docx", "A 56915-2022")</f>
        <v/>
      </c>
      <c r="X301">
        <f>HYPERLINK("https://klasma.github.io/Logging_1904/tillsyn/A 56915-2022 tillsynsbegäran.docx", "A 56915-2022")</f>
        <v/>
      </c>
      <c r="Y301">
        <f>HYPERLINK("https://klasma.github.io/Logging_1904/tillsynsmail/A 56915-2022 tillsynsbegäran mail.docx", "A 56915-2022")</f>
        <v/>
      </c>
    </row>
    <row r="302" ht="15" customHeight="1">
      <c r="A302" t="inlineStr">
        <is>
          <t>A 61212-2022</t>
        </is>
      </c>
      <c r="B302" s="1" t="n">
        <v>44908</v>
      </c>
      <c r="C302" s="1" t="n">
        <v>45637</v>
      </c>
      <c r="D302" t="inlineStr">
        <is>
          <t>VÄSTMANLANDS LÄN</t>
        </is>
      </c>
      <c r="E302" t="inlineStr">
        <is>
          <t>SKINNSKATTEBERG</t>
        </is>
      </c>
      <c r="G302" t="n">
        <v>17.4</v>
      </c>
      <c r="H302" t="n">
        <v>1</v>
      </c>
      <c r="I302" t="n">
        <v>0</v>
      </c>
      <c r="J302" t="n">
        <v>0</v>
      </c>
      <c r="K302" t="n">
        <v>0</v>
      </c>
      <c r="L302" t="n">
        <v>0</v>
      </c>
      <c r="M302" t="n">
        <v>0</v>
      </c>
      <c r="N302" t="n">
        <v>0</v>
      </c>
      <c r="O302" t="n">
        <v>0</v>
      </c>
      <c r="P302" t="n">
        <v>0</v>
      </c>
      <c r="Q302" t="n">
        <v>1</v>
      </c>
      <c r="R302" s="2" t="inlineStr">
        <is>
          <t>Blåsippa</t>
        </is>
      </c>
      <c r="S302">
        <f>HYPERLINK("https://klasma.github.io/Logging_1904/artfynd/A 61212-2022 artfynd.xlsx", "A 61212-2022")</f>
        <v/>
      </c>
      <c r="T302">
        <f>HYPERLINK("https://klasma.github.io/Logging_1904/kartor/A 61212-2022 karta.png", "A 61212-2022")</f>
        <v/>
      </c>
      <c r="V302">
        <f>HYPERLINK("https://klasma.github.io/Logging_1904/klagomål/A 61212-2022 FSC-klagomål.docx", "A 61212-2022")</f>
        <v/>
      </c>
      <c r="W302">
        <f>HYPERLINK("https://klasma.github.io/Logging_1904/klagomålsmail/A 61212-2022 FSC-klagomål mail.docx", "A 61212-2022")</f>
        <v/>
      </c>
      <c r="X302">
        <f>HYPERLINK("https://klasma.github.io/Logging_1904/tillsyn/A 61212-2022 tillsynsbegäran.docx", "A 61212-2022")</f>
        <v/>
      </c>
      <c r="Y302">
        <f>HYPERLINK("https://klasma.github.io/Logging_1904/tillsynsmail/A 61212-2022 tillsynsbegäran mail.docx", "A 61212-2022")</f>
        <v/>
      </c>
    </row>
    <row r="303" ht="15" customHeight="1">
      <c r="A303" t="inlineStr">
        <is>
          <t>A 61435-2022</t>
        </is>
      </c>
      <c r="B303" s="1" t="n">
        <v>44916</v>
      </c>
      <c r="C303" s="1" t="n">
        <v>45637</v>
      </c>
      <c r="D303" t="inlineStr">
        <is>
          <t>VÄSTMANLANDS LÄN</t>
        </is>
      </c>
      <c r="E303" t="inlineStr">
        <is>
          <t>ARBOGA</t>
        </is>
      </c>
      <c r="G303" t="n">
        <v>5.7</v>
      </c>
      <c r="H303" t="n">
        <v>0</v>
      </c>
      <c r="I303" t="n">
        <v>0</v>
      </c>
      <c r="J303" t="n">
        <v>0</v>
      </c>
      <c r="K303" t="n">
        <v>0</v>
      </c>
      <c r="L303" t="n">
        <v>1</v>
      </c>
      <c r="M303" t="n">
        <v>0</v>
      </c>
      <c r="N303" t="n">
        <v>0</v>
      </c>
      <c r="O303" t="n">
        <v>1</v>
      </c>
      <c r="P303" t="n">
        <v>1</v>
      </c>
      <c r="Q303" t="n">
        <v>1</v>
      </c>
      <c r="R303" s="2" t="inlineStr">
        <is>
          <t>Ask</t>
        </is>
      </c>
      <c r="S303">
        <f>HYPERLINK("https://klasma.github.io/Logging_1984/artfynd/A 61435-2022 artfynd.xlsx", "A 61435-2022")</f>
        <v/>
      </c>
      <c r="T303">
        <f>HYPERLINK("https://klasma.github.io/Logging_1984/kartor/A 61435-2022 karta.png", "A 61435-2022")</f>
        <v/>
      </c>
      <c r="V303">
        <f>HYPERLINK("https://klasma.github.io/Logging_1984/klagomål/A 61435-2022 FSC-klagomål.docx", "A 61435-2022")</f>
        <v/>
      </c>
      <c r="W303">
        <f>HYPERLINK("https://klasma.github.io/Logging_1984/klagomålsmail/A 61435-2022 FSC-klagomål mail.docx", "A 61435-2022")</f>
        <v/>
      </c>
      <c r="X303">
        <f>HYPERLINK("https://klasma.github.io/Logging_1984/tillsyn/A 61435-2022 tillsynsbegäran.docx", "A 61435-2022")</f>
        <v/>
      </c>
      <c r="Y303">
        <f>HYPERLINK("https://klasma.github.io/Logging_1984/tillsynsmail/A 61435-2022 tillsynsbegäran mail.docx", "A 61435-2022")</f>
        <v/>
      </c>
    </row>
    <row r="304" ht="15" customHeight="1">
      <c r="A304" t="inlineStr">
        <is>
          <t>A 7731-2023</t>
        </is>
      </c>
      <c r="B304" s="1" t="n">
        <v>44973</v>
      </c>
      <c r="C304" s="1" t="n">
        <v>45637</v>
      </c>
      <c r="D304" t="inlineStr">
        <is>
          <t>VÄSTMANLANDS LÄN</t>
        </is>
      </c>
      <c r="E304" t="inlineStr">
        <is>
          <t>SALA</t>
        </is>
      </c>
      <c r="F304" t="inlineStr">
        <is>
          <t>Bergvik skog öst AB</t>
        </is>
      </c>
      <c r="G304" t="n">
        <v>1.7</v>
      </c>
      <c r="H304" t="n">
        <v>1</v>
      </c>
      <c r="I304" t="n">
        <v>0</v>
      </c>
      <c r="J304" t="n">
        <v>1</v>
      </c>
      <c r="K304" t="n">
        <v>0</v>
      </c>
      <c r="L304" t="n">
        <v>0</v>
      </c>
      <c r="M304" t="n">
        <v>0</v>
      </c>
      <c r="N304" t="n">
        <v>0</v>
      </c>
      <c r="O304" t="n">
        <v>1</v>
      </c>
      <c r="P304" t="n">
        <v>0</v>
      </c>
      <c r="Q304" t="n">
        <v>1</v>
      </c>
      <c r="R304" s="2" t="inlineStr">
        <is>
          <t>Ävjepilört</t>
        </is>
      </c>
      <c r="S304">
        <f>HYPERLINK("https://klasma.github.io/Logging_1981/artfynd/A 7731-2023 artfynd.xlsx", "A 7731-2023")</f>
        <v/>
      </c>
      <c r="T304">
        <f>HYPERLINK("https://klasma.github.io/Logging_1981/kartor/A 7731-2023 karta.png", "A 7731-2023")</f>
        <v/>
      </c>
      <c r="V304">
        <f>HYPERLINK("https://klasma.github.io/Logging_1981/klagomål/A 7731-2023 FSC-klagomål.docx", "A 7731-2023")</f>
        <v/>
      </c>
      <c r="W304">
        <f>HYPERLINK("https://klasma.github.io/Logging_1981/klagomålsmail/A 7731-2023 FSC-klagomål mail.docx", "A 7731-2023")</f>
        <v/>
      </c>
      <c r="X304">
        <f>HYPERLINK("https://klasma.github.io/Logging_1981/tillsyn/A 7731-2023 tillsynsbegäran.docx", "A 7731-2023")</f>
        <v/>
      </c>
      <c r="Y304">
        <f>HYPERLINK("https://klasma.github.io/Logging_1981/tillsynsmail/A 7731-2023 tillsynsbegäran mail.docx", "A 7731-2023")</f>
        <v/>
      </c>
    </row>
    <row r="305" ht="15" customHeight="1">
      <c r="A305" t="inlineStr">
        <is>
          <t>A 7832-2023</t>
        </is>
      </c>
      <c r="B305" s="1" t="n">
        <v>44973</v>
      </c>
      <c r="C305" s="1" t="n">
        <v>45637</v>
      </c>
      <c r="D305" t="inlineStr">
        <is>
          <t>VÄSTMANLANDS LÄN</t>
        </is>
      </c>
      <c r="E305" t="inlineStr">
        <is>
          <t>VÄSTERÅS</t>
        </is>
      </c>
      <c r="G305" t="n">
        <v>3.1</v>
      </c>
      <c r="H305" t="n">
        <v>1</v>
      </c>
      <c r="I305" t="n">
        <v>0</v>
      </c>
      <c r="J305" t="n">
        <v>1</v>
      </c>
      <c r="K305" t="n">
        <v>0</v>
      </c>
      <c r="L305" t="n">
        <v>0</v>
      </c>
      <c r="M305" t="n">
        <v>0</v>
      </c>
      <c r="N305" t="n">
        <v>0</v>
      </c>
      <c r="O305" t="n">
        <v>1</v>
      </c>
      <c r="P305" t="n">
        <v>0</v>
      </c>
      <c r="Q305" t="n">
        <v>1</v>
      </c>
      <c r="R305" s="2" t="inlineStr">
        <is>
          <t>Talltita</t>
        </is>
      </c>
      <c r="S305">
        <f>HYPERLINK("https://klasma.github.io/Logging_1980/artfynd/A 7832-2023 artfynd.xlsx", "A 7832-2023")</f>
        <v/>
      </c>
      <c r="T305">
        <f>HYPERLINK("https://klasma.github.io/Logging_1980/kartor/A 7832-2023 karta.png", "A 7832-2023")</f>
        <v/>
      </c>
      <c r="V305">
        <f>HYPERLINK("https://klasma.github.io/Logging_1980/klagomål/A 7832-2023 FSC-klagomål.docx", "A 7832-2023")</f>
        <v/>
      </c>
      <c r="W305">
        <f>HYPERLINK("https://klasma.github.io/Logging_1980/klagomålsmail/A 7832-2023 FSC-klagomål mail.docx", "A 7832-2023")</f>
        <v/>
      </c>
      <c r="X305">
        <f>HYPERLINK("https://klasma.github.io/Logging_1980/tillsyn/A 7832-2023 tillsynsbegäran.docx", "A 7832-2023")</f>
        <v/>
      </c>
      <c r="Y305">
        <f>HYPERLINK("https://klasma.github.io/Logging_1980/tillsynsmail/A 7832-2023 tillsynsbegäran mail.docx", "A 7832-2023")</f>
        <v/>
      </c>
      <c r="Z305">
        <f>HYPERLINK("https://klasma.github.io/Logging_1980/fåglar/A 7832-2023 prioriterade fågelarter.docx", "A 7832-2023")</f>
        <v/>
      </c>
    </row>
    <row r="306" ht="15" customHeight="1">
      <c r="A306" t="inlineStr">
        <is>
          <t>A 11259-2023</t>
        </is>
      </c>
      <c r="B306" s="1" t="n">
        <v>44991</v>
      </c>
      <c r="C306" s="1" t="n">
        <v>45637</v>
      </c>
      <c r="D306" t="inlineStr">
        <is>
          <t>VÄSTMANLANDS LÄN</t>
        </is>
      </c>
      <c r="E306" t="inlineStr">
        <is>
          <t>SURAHAMMAR</t>
        </is>
      </c>
      <c r="G306" t="n">
        <v>2.4</v>
      </c>
      <c r="H306" t="n">
        <v>1</v>
      </c>
      <c r="I306" t="n">
        <v>0</v>
      </c>
      <c r="J306" t="n">
        <v>1</v>
      </c>
      <c r="K306" t="n">
        <v>0</v>
      </c>
      <c r="L306" t="n">
        <v>0</v>
      </c>
      <c r="M306" t="n">
        <v>0</v>
      </c>
      <c r="N306" t="n">
        <v>0</v>
      </c>
      <c r="O306" t="n">
        <v>1</v>
      </c>
      <c r="P306" t="n">
        <v>0</v>
      </c>
      <c r="Q306" t="n">
        <v>1</v>
      </c>
      <c r="R306" s="2" t="inlineStr">
        <is>
          <t>Spillkråka</t>
        </is>
      </c>
      <c r="S306">
        <f>HYPERLINK("https://klasma.github.io/Logging_1907/artfynd/A 11259-2023 artfynd.xlsx", "A 11259-2023")</f>
        <v/>
      </c>
      <c r="T306">
        <f>HYPERLINK("https://klasma.github.io/Logging_1907/kartor/A 11259-2023 karta.png", "A 11259-2023")</f>
        <v/>
      </c>
      <c r="V306">
        <f>HYPERLINK("https://klasma.github.io/Logging_1907/klagomål/A 11259-2023 FSC-klagomål.docx", "A 11259-2023")</f>
        <v/>
      </c>
      <c r="W306">
        <f>HYPERLINK("https://klasma.github.io/Logging_1907/klagomålsmail/A 11259-2023 FSC-klagomål mail.docx", "A 11259-2023")</f>
        <v/>
      </c>
      <c r="X306">
        <f>HYPERLINK("https://klasma.github.io/Logging_1907/tillsyn/A 11259-2023 tillsynsbegäran.docx", "A 11259-2023")</f>
        <v/>
      </c>
      <c r="Y306">
        <f>HYPERLINK("https://klasma.github.io/Logging_1907/tillsynsmail/A 11259-2023 tillsynsbegäran mail.docx", "A 11259-2023")</f>
        <v/>
      </c>
      <c r="Z306">
        <f>HYPERLINK("https://klasma.github.io/Logging_1907/fåglar/A 11259-2023 prioriterade fågelarter.docx", "A 11259-2023")</f>
        <v/>
      </c>
    </row>
    <row r="307" ht="15" customHeight="1">
      <c r="A307" t="inlineStr">
        <is>
          <t>A 13971-2023</t>
        </is>
      </c>
      <c r="B307" s="1" t="n">
        <v>45007</v>
      </c>
      <c r="C307" s="1" t="n">
        <v>45637</v>
      </c>
      <c r="D307" t="inlineStr">
        <is>
          <t>VÄSTMANLANDS LÄN</t>
        </is>
      </c>
      <c r="E307" t="inlineStr">
        <is>
          <t>SURAHAMMAR</t>
        </is>
      </c>
      <c r="F307" t="inlineStr">
        <is>
          <t>Bergvik skog väst AB</t>
        </is>
      </c>
      <c r="G307" t="n">
        <v>2.9</v>
      </c>
      <c r="H307" t="n">
        <v>1</v>
      </c>
      <c r="I307" t="n">
        <v>0</v>
      </c>
      <c r="J307" t="n">
        <v>0</v>
      </c>
      <c r="K307" t="n">
        <v>0</v>
      </c>
      <c r="L307" t="n">
        <v>0</v>
      </c>
      <c r="M307" t="n">
        <v>0</v>
      </c>
      <c r="N307" t="n">
        <v>0</v>
      </c>
      <c r="O307" t="n">
        <v>0</v>
      </c>
      <c r="P307" t="n">
        <v>0</v>
      </c>
      <c r="Q307" t="n">
        <v>1</v>
      </c>
      <c r="R307" s="2" t="inlineStr">
        <is>
          <t>Fläcknycklar</t>
        </is>
      </c>
      <c r="S307">
        <f>HYPERLINK("https://klasma.github.io/Logging_1907/artfynd/A 13971-2023 artfynd.xlsx", "A 13971-2023")</f>
        <v/>
      </c>
      <c r="T307">
        <f>HYPERLINK("https://klasma.github.io/Logging_1907/kartor/A 13971-2023 karta.png", "A 13971-2023")</f>
        <v/>
      </c>
      <c r="V307">
        <f>HYPERLINK("https://klasma.github.io/Logging_1907/klagomål/A 13971-2023 FSC-klagomål.docx", "A 13971-2023")</f>
        <v/>
      </c>
      <c r="W307">
        <f>HYPERLINK("https://klasma.github.io/Logging_1907/klagomålsmail/A 13971-2023 FSC-klagomål mail.docx", "A 13971-2023")</f>
        <v/>
      </c>
      <c r="X307">
        <f>HYPERLINK("https://klasma.github.io/Logging_1907/tillsyn/A 13971-2023 tillsynsbegäran.docx", "A 13971-2023")</f>
        <v/>
      </c>
      <c r="Y307">
        <f>HYPERLINK("https://klasma.github.io/Logging_1907/tillsynsmail/A 13971-2023 tillsynsbegäran mail.docx", "A 13971-2023")</f>
        <v/>
      </c>
    </row>
    <row r="308" ht="15" customHeight="1">
      <c r="A308" t="inlineStr">
        <is>
          <t>A 14001-2023</t>
        </is>
      </c>
      <c r="B308" s="1" t="n">
        <v>45007</v>
      </c>
      <c r="C308" s="1" t="n">
        <v>45637</v>
      </c>
      <c r="D308" t="inlineStr">
        <is>
          <t>VÄSTMANLANDS LÄN</t>
        </is>
      </c>
      <c r="E308" t="inlineStr">
        <is>
          <t>SURAHAMMAR</t>
        </is>
      </c>
      <c r="F308" t="inlineStr">
        <is>
          <t>Bergvik skog väst AB</t>
        </is>
      </c>
      <c r="G308" t="n">
        <v>1</v>
      </c>
      <c r="H308" t="n">
        <v>0</v>
      </c>
      <c r="I308" t="n">
        <v>0</v>
      </c>
      <c r="J308" t="n">
        <v>1</v>
      </c>
      <c r="K308" t="n">
        <v>0</v>
      </c>
      <c r="L308" t="n">
        <v>0</v>
      </c>
      <c r="M308" t="n">
        <v>0</v>
      </c>
      <c r="N308" t="n">
        <v>0</v>
      </c>
      <c r="O308" t="n">
        <v>1</v>
      </c>
      <c r="P308" t="n">
        <v>0</v>
      </c>
      <c r="Q308" t="n">
        <v>1</v>
      </c>
      <c r="R308" s="2" t="inlineStr">
        <is>
          <t>Motaggsvamp</t>
        </is>
      </c>
      <c r="S308">
        <f>HYPERLINK("https://klasma.github.io/Logging_1907/artfynd/A 14001-2023 artfynd.xlsx", "A 14001-2023")</f>
        <v/>
      </c>
      <c r="T308">
        <f>HYPERLINK("https://klasma.github.io/Logging_1907/kartor/A 14001-2023 karta.png", "A 14001-2023")</f>
        <v/>
      </c>
      <c r="V308">
        <f>HYPERLINK("https://klasma.github.io/Logging_1907/klagomål/A 14001-2023 FSC-klagomål.docx", "A 14001-2023")</f>
        <v/>
      </c>
      <c r="W308">
        <f>HYPERLINK("https://klasma.github.io/Logging_1907/klagomålsmail/A 14001-2023 FSC-klagomål mail.docx", "A 14001-2023")</f>
        <v/>
      </c>
      <c r="X308">
        <f>HYPERLINK("https://klasma.github.io/Logging_1907/tillsyn/A 14001-2023 tillsynsbegäran.docx", "A 14001-2023")</f>
        <v/>
      </c>
      <c r="Y308">
        <f>HYPERLINK("https://klasma.github.io/Logging_1907/tillsynsmail/A 14001-2023 tillsynsbegäran mail.docx", "A 14001-2023")</f>
        <v/>
      </c>
    </row>
    <row r="309" ht="15" customHeight="1">
      <c r="A309" t="inlineStr">
        <is>
          <t>A 14171-2023</t>
        </is>
      </c>
      <c r="B309" s="1" t="n">
        <v>45009</v>
      </c>
      <c r="C309" s="1" t="n">
        <v>45637</v>
      </c>
      <c r="D309" t="inlineStr">
        <is>
          <t>VÄSTMANLANDS LÄN</t>
        </is>
      </c>
      <c r="E309" t="inlineStr">
        <is>
          <t>SKINNSKATTEBERG</t>
        </is>
      </c>
      <c r="F309" t="inlineStr">
        <is>
          <t>Sveaskog</t>
        </is>
      </c>
      <c r="G309" t="n">
        <v>2.7</v>
      </c>
      <c r="H309" t="n">
        <v>1</v>
      </c>
      <c r="I309" t="n">
        <v>0</v>
      </c>
      <c r="J309" t="n">
        <v>0</v>
      </c>
      <c r="K309" t="n">
        <v>0</v>
      </c>
      <c r="L309" t="n">
        <v>0</v>
      </c>
      <c r="M309" t="n">
        <v>0</v>
      </c>
      <c r="N309" t="n">
        <v>0</v>
      </c>
      <c r="O309" t="n">
        <v>0</v>
      </c>
      <c r="P309" t="n">
        <v>0</v>
      </c>
      <c r="Q309" t="n">
        <v>1</v>
      </c>
      <c r="R309" s="2" t="inlineStr">
        <is>
          <t>Mattlummer</t>
        </is>
      </c>
      <c r="S309">
        <f>HYPERLINK("https://klasma.github.io/Logging_1904/artfynd/A 14171-2023 artfynd.xlsx", "A 14171-2023")</f>
        <v/>
      </c>
      <c r="T309">
        <f>HYPERLINK("https://klasma.github.io/Logging_1904/kartor/A 14171-2023 karta.png", "A 14171-2023")</f>
        <v/>
      </c>
      <c r="V309">
        <f>HYPERLINK("https://klasma.github.io/Logging_1904/klagomål/A 14171-2023 FSC-klagomål.docx", "A 14171-2023")</f>
        <v/>
      </c>
      <c r="W309">
        <f>HYPERLINK("https://klasma.github.io/Logging_1904/klagomålsmail/A 14171-2023 FSC-klagomål mail.docx", "A 14171-2023")</f>
        <v/>
      </c>
      <c r="X309">
        <f>HYPERLINK("https://klasma.github.io/Logging_1904/tillsyn/A 14171-2023 tillsynsbegäran.docx", "A 14171-2023")</f>
        <v/>
      </c>
      <c r="Y309">
        <f>HYPERLINK("https://klasma.github.io/Logging_1904/tillsynsmail/A 14171-2023 tillsynsbegäran mail.docx", "A 14171-2023")</f>
        <v/>
      </c>
    </row>
    <row r="310" ht="15" customHeight="1">
      <c r="A310" t="inlineStr">
        <is>
          <t>A 14775-2023</t>
        </is>
      </c>
      <c r="B310" s="1" t="n">
        <v>45014</v>
      </c>
      <c r="C310" s="1" t="n">
        <v>45637</v>
      </c>
      <c r="D310" t="inlineStr">
        <is>
          <t>VÄSTMANLANDS LÄN</t>
        </is>
      </c>
      <c r="E310" t="inlineStr">
        <is>
          <t>SALA</t>
        </is>
      </c>
      <c r="G310" t="n">
        <v>1.3</v>
      </c>
      <c r="H310" t="n">
        <v>1</v>
      </c>
      <c r="I310" t="n">
        <v>0</v>
      </c>
      <c r="J310" t="n">
        <v>0</v>
      </c>
      <c r="K310" t="n">
        <v>1</v>
      </c>
      <c r="L310" t="n">
        <v>0</v>
      </c>
      <c r="M310" t="n">
        <v>0</v>
      </c>
      <c r="N310" t="n">
        <v>0</v>
      </c>
      <c r="O310" t="n">
        <v>1</v>
      </c>
      <c r="P310" t="n">
        <v>1</v>
      </c>
      <c r="Q310" t="n">
        <v>1</v>
      </c>
      <c r="R310" s="2" t="inlineStr">
        <is>
          <t>Knärot</t>
        </is>
      </c>
      <c r="S310">
        <f>HYPERLINK("https://klasma.github.io/Logging_1981/artfynd/A 14775-2023 artfynd.xlsx", "A 14775-2023")</f>
        <v/>
      </c>
      <c r="T310">
        <f>HYPERLINK("https://klasma.github.io/Logging_1981/kartor/A 14775-2023 karta.png", "A 14775-2023")</f>
        <v/>
      </c>
      <c r="U310">
        <f>HYPERLINK("https://klasma.github.io/Logging_1981/knärot/A 14775-2023 karta knärot.png", "A 14775-2023")</f>
        <v/>
      </c>
      <c r="V310">
        <f>HYPERLINK("https://klasma.github.io/Logging_1981/klagomål/A 14775-2023 FSC-klagomål.docx", "A 14775-2023")</f>
        <v/>
      </c>
      <c r="W310">
        <f>HYPERLINK("https://klasma.github.io/Logging_1981/klagomålsmail/A 14775-2023 FSC-klagomål mail.docx", "A 14775-2023")</f>
        <v/>
      </c>
      <c r="X310">
        <f>HYPERLINK("https://klasma.github.io/Logging_1981/tillsyn/A 14775-2023 tillsynsbegäran.docx", "A 14775-2023")</f>
        <v/>
      </c>
      <c r="Y310">
        <f>HYPERLINK("https://klasma.github.io/Logging_1981/tillsynsmail/A 14775-2023 tillsynsbegäran mail.docx", "A 14775-2023")</f>
        <v/>
      </c>
    </row>
    <row r="311" ht="15" customHeight="1">
      <c r="A311" t="inlineStr">
        <is>
          <t>A 15334-2023</t>
        </is>
      </c>
      <c r="B311" s="1" t="n">
        <v>45019</v>
      </c>
      <c r="C311" s="1" t="n">
        <v>45637</v>
      </c>
      <c r="D311" t="inlineStr">
        <is>
          <t>VÄSTMANLANDS LÄN</t>
        </is>
      </c>
      <c r="E311" t="inlineStr">
        <is>
          <t>FAGERSTA</t>
        </is>
      </c>
      <c r="F311" t="inlineStr">
        <is>
          <t>Övriga Aktiebolag</t>
        </is>
      </c>
      <c r="G311" t="n">
        <v>27.3</v>
      </c>
      <c r="H311" t="n">
        <v>0</v>
      </c>
      <c r="I311" t="n">
        <v>1</v>
      </c>
      <c r="J311" t="n">
        <v>0</v>
      </c>
      <c r="K311" t="n">
        <v>0</v>
      </c>
      <c r="L311" t="n">
        <v>0</v>
      </c>
      <c r="M311" t="n">
        <v>0</v>
      </c>
      <c r="N311" t="n">
        <v>0</v>
      </c>
      <c r="O311" t="n">
        <v>0</v>
      </c>
      <c r="P311" t="n">
        <v>0</v>
      </c>
      <c r="Q311" t="n">
        <v>1</v>
      </c>
      <c r="R311" s="2" t="inlineStr">
        <is>
          <t>Grovticka</t>
        </is>
      </c>
      <c r="S311">
        <f>HYPERLINK("https://klasma.github.io/Logging_1982/artfynd/A 15334-2023 artfynd.xlsx", "A 15334-2023")</f>
        <v/>
      </c>
      <c r="T311">
        <f>HYPERLINK("https://klasma.github.io/Logging_1982/kartor/A 15334-2023 karta.png", "A 15334-2023")</f>
        <v/>
      </c>
      <c r="V311">
        <f>HYPERLINK("https://klasma.github.io/Logging_1982/klagomål/A 15334-2023 FSC-klagomål.docx", "A 15334-2023")</f>
        <v/>
      </c>
      <c r="W311">
        <f>HYPERLINK("https://klasma.github.io/Logging_1982/klagomålsmail/A 15334-2023 FSC-klagomål mail.docx", "A 15334-2023")</f>
        <v/>
      </c>
      <c r="X311">
        <f>HYPERLINK("https://klasma.github.io/Logging_1982/tillsyn/A 15334-2023 tillsynsbegäran.docx", "A 15334-2023")</f>
        <v/>
      </c>
      <c r="Y311">
        <f>HYPERLINK("https://klasma.github.io/Logging_1982/tillsynsmail/A 15334-2023 tillsynsbegäran mail.docx", "A 15334-2023")</f>
        <v/>
      </c>
    </row>
    <row r="312" ht="15" customHeight="1">
      <c r="A312" t="inlineStr">
        <is>
          <t>A 15631-2023</t>
        </is>
      </c>
      <c r="B312" s="1" t="n">
        <v>45021</v>
      </c>
      <c r="C312" s="1" t="n">
        <v>45637</v>
      </c>
      <c r="D312" t="inlineStr">
        <is>
          <t>VÄSTMANLANDS LÄN</t>
        </is>
      </c>
      <c r="E312" t="inlineStr">
        <is>
          <t>FAGERSTA</t>
        </is>
      </c>
      <c r="F312" t="inlineStr">
        <is>
          <t>Bergvik skog väst AB</t>
        </is>
      </c>
      <c r="G312" t="n">
        <v>33.1</v>
      </c>
      <c r="H312" t="n">
        <v>1</v>
      </c>
      <c r="I312" t="n">
        <v>0</v>
      </c>
      <c r="J312" t="n">
        <v>1</v>
      </c>
      <c r="K312" t="n">
        <v>0</v>
      </c>
      <c r="L312" t="n">
        <v>0</v>
      </c>
      <c r="M312" t="n">
        <v>0</v>
      </c>
      <c r="N312" t="n">
        <v>0</v>
      </c>
      <c r="O312" t="n">
        <v>1</v>
      </c>
      <c r="P312" t="n">
        <v>0</v>
      </c>
      <c r="Q312" t="n">
        <v>1</v>
      </c>
      <c r="R312" s="2" t="inlineStr">
        <is>
          <t>Kungsörn</t>
        </is>
      </c>
      <c r="S312">
        <f>HYPERLINK("https://klasma.github.io/Logging_1982/artfynd/A 15631-2023 artfynd.xlsx", "A 15631-2023")</f>
        <v/>
      </c>
      <c r="T312">
        <f>HYPERLINK("https://klasma.github.io/Logging_1982/kartor/A 15631-2023 karta.png", "A 15631-2023")</f>
        <v/>
      </c>
      <c r="V312">
        <f>HYPERLINK("https://klasma.github.io/Logging_1982/klagomål/A 15631-2023 FSC-klagomål.docx", "A 15631-2023")</f>
        <v/>
      </c>
      <c r="W312">
        <f>HYPERLINK("https://klasma.github.io/Logging_1982/klagomålsmail/A 15631-2023 FSC-klagomål mail.docx", "A 15631-2023")</f>
        <v/>
      </c>
      <c r="X312">
        <f>HYPERLINK("https://klasma.github.io/Logging_1982/tillsyn/A 15631-2023 tillsynsbegäran.docx", "A 15631-2023")</f>
        <v/>
      </c>
      <c r="Y312">
        <f>HYPERLINK("https://klasma.github.io/Logging_1982/tillsynsmail/A 15631-2023 tillsynsbegäran mail.docx", "A 15631-2023")</f>
        <v/>
      </c>
      <c r="Z312">
        <f>HYPERLINK("https://klasma.github.io/Logging_1982/fåglar/A 15631-2023 prioriterade fågelarter.docx", "A 15631-2023")</f>
        <v/>
      </c>
    </row>
    <row r="313" ht="15" customHeight="1">
      <c r="A313" t="inlineStr">
        <is>
          <t>A 16219-2023</t>
        </is>
      </c>
      <c r="B313" s="1" t="n">
        <v>45022</v>
      </c>
      <c r="C313" s="1" t="n">
        <v>45637</v>
      </c>
      <c r="D313" t="inlineStr">
        <is>
          <t>VÄSTMANLANDS LÄN</t>
        </is>
      </c>
      <c r="E313" t="inlineStr">
        <is>
          <t>SURAHAMMAR</t>
        </is>
      </c>
      <c r="G313" t="n">
        <v>5.9</v>
      </c>
      <c r="H313" t="n">
        <v>1</v>
      </c>
      <c r="I313" t="n">
        <v>0</v>
      </c>
      <c r="J313" t="n">
        <v>1</v>
      </c>
      <c r="K313" t="n">
        <v>0</v>
      </c>
      <c r="L313" t="n">
        <v>0</v>
      </c>
      <c r="M313" t="n">
        <v>0</v>
      </c>
      <c r="N313" t="n">
        <v>0</v>
      </c>
      <c r="O313" t="n">
        <v>1</v>
      </c>
      <c r="P313" t="n">
        <v>0</v>
      </c>
      <c r="Q313" t="n">
        <v>1</v>
      </c>
      <c r="R313" s="2" t="inlineStr">
        <is>
          <t>Talltita</t>
        </is>
      </c>
      <c r="S313">
        <f>HYPERLINK("https://klasma.github.io/Logging_1907/artfynd/A 16219-2023 artfynd.xlsx", "A 16219-2023")</f>
        <v/>
      </c>
      <c r="T313">
        <f>HYPERLINK("https://klasma.github.io/Logging_1907/kartor/A 16219-2023 karta.png", "A 16219-2023")</f>
        <v/>
      </c>
      <c r="V313">
        <f>HYPERLINK("https://klasma.github.io/Logging_1907/klagomål/A 16219-2023 FSC-klagomål.docx", "A 16219-2023")</f>
        <v/>
      </c>
      <c r="W313">
        <f>HYPERLINK("https://klasma.github.io/Logging_1907/klagomålsmail/A 16219-2023 FSC-klagomål mail.docx", "A 16219-2023")</f>
        <v/>
      </c>
      <c r="X313">
        <f>HYPERLINK("https://klasma.github.io/Logging_1907/tillsyn/A 16219-2023 tillsynsbegäran.docx", "A 16219-2023")</f>
        <v/>
      </c>
      <c r="Y313">
        <f>HYPERLINK("https://klasma.github.io/Logging_1907/tillsynsmail/A 16219-2023 tillsynsbegäran mail.docx", "A 16219-2023")</f>
        <v/>
      </c>
      <c r="Z313">
        <f>HYPERLINK("https://klasma.github.io/Logging_1907/fåglar/A 16219-2023 prioriterade fågelarter.docx", "A 16219-2023")</f>
        <v/>
      </c>
    </row>
    <row r="314" ht="15" customHeight="1">
      <c r="A314" t="inlineStr">
        <is>
          <t>A 18648-2023</t>
        </is>
      </c>
      <c r="B314" s="1" t="n">
        <v>45043</v>
      </c>
      <c r="C314" s="1" t="n">
        <v>45637</v>
      </c>
      <c r="D314" t="inlineStr">
        <is>
          <t>VÄSTMANLANDS LÄN</t>
        </is>
      </c>
      <c r="E314" t="inlineStr">
        <is>
          <t>SKINNSKATTEBERG</t>
        </is>
      </c>
      <c r="F314" t="inlineStr">
        <is>
          <t>Sveaskog</t>
        </is>
      </c>
      <c r="G314" t="n">
        <v>7.3</v>
      </c>
      <c r="H314" t="n">
        <v>0</v>
      </c>
      <c r="I314" t="n">
        <v>0</v>
      </c>
      <c r="J314" t="n">
        <v>1</v>
      </c>
      <c r="K314" t="n">
        <v>0</v>
      </c>
      <c r="L314" t="n">
        <v>0</v>
      </c>
      <c r="M314" t="n">
        <v>0</v>
      </c>
      <c r="N314" t="n">
        <v>0</v>
      </c>
      <c r="O314" t="n">
        <v>1</v>
      </c>
      <c r="P314" t="n">
        <v>0</v>
      </c>
      <c r="Q314" t="n">
        <v>1</v>
      </c>
      <c r="R314" s="2" t="inlineStr">
        <is>
          <t>Skogsklocka</t>
        </is>
      </c>
      <c r="S314">
        <f>HYPERLINK("https://klasma.github.io/Logging_1904/artfynd/A 18648-2023 artfynd.xlsx", "A 18648-2023")</f>
        <v/>
      </c>
      <c r="T314">
        <f>HYPERLINK("https://klasma.github.io/Logging_1904/kartor/A 18648-2023 karta.png", "A 18648-2023")</f>
        <v/>
      </c>
      <c r="V314">
        <f>HYPERLINK("https://klasma.github.io/Logging_1904/klagomål/A 18648-2023 FSC-klagomål.docx", "A 18648-2023")</f>
        <v/>
      </c>
      <c r="W314">
        <f>HYPERLINK("https://klasma.github.io/Logging_1904/klagomålsmail/A 18648-2023 FSC-klagomål mail.docx", "A 18648-2023")</f>
        <v/>
      </c>
      <c r="X314">
        <f>HYPERLINK("https://klasma.github.io/Logging_1904/tillsyn/A 18648-2023 tillsynsbegäran.docx", "A 18648-2023")</f>
        <v/>
      </c>
      <c r="Y314">
        <f>HYPERLINK("https://klasma.github.io/Logging_1904/tillsynsmail/A 18648-2023 tillsynsbegäran mail.docx", "A 18648-2023")</f>
        <v/>
      </c>
    </row>
    <row r="315" ht="15" customHeight="1">
      <c r="A315" t="inlineStr">
        <is>
          <t>A 19218-2023</t>
        </is>
      </c>
      <c r="B315" s="1" t="n">
        <v>45048</v>
      </c>
      <c r="C315" s="1" t="n">
        <v>45637</v>
      </c>
      <c r="D315" t="inlineStr">
        <is>
          <t>VÄSTMANLANDS LÄN</t>
        </is>
      </c>
      <c r="E315" t="inlineStr">
        <is>
          <t>FAGERSTA</t>
        </is>
      </c>
      <c r="F315" t="inlineStr">
        <is>
          <t>Sveaskog</t>
        </is>
      </c>
      <c r="G315" t="n">
        <v>9.5</v>
      </c>
      <c r="H315" t="n">
        <v>1</v>
      </c>
      <c r="I315" t="n">
        <v>0</v>
      </c>
      <c r="J315" t="n">
        <v>0</v>
      </c>
      <c r="K315" t="n">
        <v>0</v>
      </c>
      <c r="L315" t="n">
        <v>0</v>
      </c>
      <c r="M315" t="n">
        <v>0</v>
      </c>
      <c r="N315" t="n">
        <v>0</v>
      </c>
      <c r="O315" t="n">
        <v>0</v>
      </c>
      <c r="P315" t="n">
        <v>0</v>
      </c>
      <c r="Q315" t="n">
        <v>1</v>
      </c>
      <c r="R315" s="2" t="inlineStr">
        <is>
          <t>Fläcknycklar</t>
        </is>
      </c>
      <c r="S315">
        <f>HYPERLINK("https://klasma.github.io/Logging_1982/artfynd/A 19218-2023 artfynd.xlsx", "A 19218-2023")</f>
        <v/>
      </c>
      <c r="T315">
        <f>HYPERLINK("https://klasma.github.io/Logging_1982/kartor/A 19218-2023 karta.png", "A 19218-2023")</f>
        <v/>
      </c>
      <c r="V315">
        <f>HYPERLINK("https://klasma.github.io/Logging_1982/klagomål/A 19218-2023 FSC-klagomål.docx", "A 19218-2023")</f>
        <v/>
      </c>
      <c r="W315">
        <f>HYPERLINK("https://klasma.github.io/Logging_1982/klagomålsmail/A 19218-2023 FSC-klagomål mail.docx", "A 19218-2023")</f>
        <v/>
      </c>
      <c r="X315">
        <f>HYPERLINK("https://klasma.github.io/Logging_1982/tillsyn/A 19218-2023 tillsynsbegäran.docx", "A 19218-2023")</f>
        <v/>
      </c>
      <c r="Y315">
        <f>HYPERLINK("https://klasma.github.io/Logging_1982/tillsynsmail/A 19218-2023 tillsynsbegäran mail.docx", "A 19218-2023")</f>
        <v/>
      </c>
    </row>
    <row r="316" ht="15" customHeight="1">
      <c r="A316" t="inlineStr">
        <is>
          <t>A 22840-2023</t>
        </is>
      </c>
      <c r="B316" s="1" t="n">
        <v>45072</v>
      </c>
      <c r="C316" s="1" t="n">
        <v>45637</v>
      </c>
      <c r="D316" t="inlineStr">
        <is>
          <t>VÄSTMANLANDS LÄN</t>
        </is>
      </c>
      <c r="E316" t="inlineStr">
        <is>
          <t>SURAHAMMAR</t>
        </is>
      </c>
      <c r="G316" t="n">
        <v>4.3</v>
      </c>
      <c r="H316" t="n">
        <v>1</v>
      </c>
      <c r="I316" t="n">
        <v>0</v>
      </c>
      <c r="J316" t="n">
        <v>0</v>
      </c>
      <c r="K316" t="n">
        <v>0</v>
      </c>
      <c r="L316" t="n">
        <v>0</v>
      </c>
      <c r="M316" t="n">
        <v>0</v>
      </c>
      <c r="N316" t="n">
        <v>0</v>
      </c>
      <c r="O316" t="n">
        <v>0</v>
      </c>
      <c r="P316" t="n">
        <v>0</v>
      </c>
      <c r="Q316" t="n">
        <v>1</v>
      </c>
      <c r="R316" s="2" t="inlineStr">
        <is>
          <t>Fläcknycklar</t>
        </is>
      </c>
      <c r="S316">
        <f>HYPERLINK("https://klasma.github.io/Logging_1907/artfynd/A 22840-2023 artfynd.xlsx", "A 22840-2023")</f>
        <v/>
      </c>
      <c r="T316">
        <f>HYPERLINK("https://klasma.github.io/Logging_1907/kartor/A 22840-2023 karta.png", "A 22840-2023")</f>
        <v/>
      </c>
      <c r="V316">
        <f>HYPERLINK("https://klasma.github.io/Logging_1907/klagomål/A 22840-2023 FSC-klagomål.docx", "A 22840-2023")</f>
        <v/>
      </c>
      <c r="W316">
        <f>HYPERLINK("https://klasma.github.io/Logging_1907/klagomålsmail/A 22840-2023 FSC-klagomål mail.docx", "A 22840-2023")</f>
        <v/>
      </c>
      <c r="X316">
        <f>HYPERLINK("https://klasma.github.io/Logging_1907/tillsyn/A 22840-2023 tillsynsbegäran.docx", "A 22840-2023")</f>
        <v/>
      </c>
      <c r="Y316">
        <f>HYPERLINK("https://klasma.github.io/Logging_1907/tillsynsmail/A 22840-2023 tillsynsbegäran mail.docx", "A 22840-2023")</f>
        <v/>
      </c>
    </row>
    <row r="317" ht="15" customHeight="1">
      <c r="A317" t="inlineStr">
        <is>
          <t>A 23087-2023</t>
        </is>
      </c>
      <c r="B317" s="1" t="n">
        <v>45075</v>
      </c>
      <c r="C317" s="1" t="n">
        <v>45637</v>
      </c>
      <c r="D317" t="inlineStr">
        <is>
          <t>VÄSTMANLANDS LÄN</t>
        </is>
      </c>
      <c r="E317" t="inlineStr">
        <is>
          <t>NORBERG</t>
        </is>
      </c>
      <c r="F317" t="inlineStr">
        <is>
          <t>Bergvik skog väst AB</t>
        </is>
      </c>
      <c r="G317" t="n">
        <v>8.4</v>
      </c>
      <c r="H317" t="n">
        <v>1</v>
      </c>
      <c r="I317" t="n">
        <v>1</v>
      </c>
      <c r="J317" t="n">
        <v>0</v>
      </c>
      <c r="K317" t="n">
        <v>0</v>
      </c>
      <c r="L317" t="n">
        <v>0</v>
      </c>
      <c r="M317" t="n">
        <v>0</v>
      </c>
      <c r="N317" t="n">
        <v>0</v>
      </c>
      <c r="O317" t="n">
        <v>0</v>
      </c>
      <c r="P317" t="n">
        <v>0</v>
      </c>
      <c r="Q317" t="n">
        <v>1</v>
      </c>
      <c r="R317" s="2" t="inlineStr">
        <is>
          <t>Plattlummer</t>
        </is>
      </c>
      <c r="S317">
        <f>HYPERLINK("https://klasma.github.io/Logging_1962/artfynd/A 23087-2023 artfynd.xlsx", "A 23087-2023")</f>
        <v/>
      </c>
      <c r="T317">
        <f>HYPERLINK("https://klasma.github.io/Logging_1962/kartor/A 23087-2023 karta.png", "A 23087-2023")</f>
        <v/>
      </c>
      <c r="V317">
        <f>HYPERLINK("https://klasma.github.io/Logging_1962/klagomål/A 23087-2023 FSC-klagomål.docx", "A 23087-2023")</f>
        <v/>
      </c>
      <c r="W317">
        <f>HYPERLINK("https://klasma.github.io/Logging_1962/klagomålsmail/A 23087-2023 FSC-klagomål mail.docx", "A 23087-2023")</f>
        <v/>
      </c>
      <c r="X317">
        <f>HYPERLINK("https://klasma.github.io/Logging_1962/tillsyn/A 23087-2023 tillsynsbegäran.docx", "A 23087-2023")</f>
        <v/>
      </c>
      <c r="Y317">
        <f>HYPERLINK("https://klasma.github.io/Logging_1962/tillsynsmail/A 23087-2023 tillsynsbegäran mail.docx", "A 23087-2023")</f>
        <v/>
      </c>
    </row>
    <row r="318" ht="15" customHeight="1">
      <c r="A318" t="inlineStr">
        <is>
          <t>A 23690-2023</t>
        </is>
      </c>
      <c r="B318" s="1" t="n">
        <v>45077</v>
      </c>
      <c r="C318" s="1" t="n">
        <v>45637</v>
      </c>
      <c r="D318" t="inlineStr">
        <is>
          <t>VÄSTMANLANDS LÄN</t>
        </is>
      </c>
      <c r="E318" t="inlineStr">
        <is>
          <t>NORBERG</t>
        </is>
      </c>
      <c r="G318" t="n">
        <v>2.4</v>
      </c>
      <c r="H318" t="n">
        <v>0</v>
      </c>
      <c r="I318" t="n">
        <v>1</v>
      </c>
      <c r="J318" t="n">
        <v>0</v>
      </c>
      <c r="K318" t="n">
        <v>0</v>
      </c>
      <c r="L318" t="n">
        <v>0</v>
      </c>
      <c r="M318" t="n">
        <v>0</v>
      </c>
      <c r="N318" t="n">
        <v>0</v>
      </c>
      <c r="O318" t="n">
        <v>0</v>
      </c>
      <c r="P318" t="n">
        <v>0</v>
      </c>
      <c r="Q318" t="n">
        <v>1</v>
      </c>
      <c r="R318" s="2" t="inlineStr">
        <is>
          <t>Rödgul trumpetsvamp</t>
        </is>
      </c>
      <c r="S318">
        <f>HYPERLINK("https://klasma.github.io/Logging_1962/artfynd/A 23690-2023 artfynd.xlsx", "A 23690-2023")</f>
        <v/>
      </c>
      <c r="T318">
        <f>HYPERLINK("https://klasma.github.io/Logging_1962/kartor/A 23690-2023 karta.png", "A 23690-2023")</f>
        <v/>
      </c>
      <c r="U318">
        <f>HYPERLINK("https://klasma.github.io/Logging_1962/knärot/A 23690-2023 karta knärot.png", "A 23690-2023")</f>
        <v/>
      </c>
      <c r="V318">
        <f>HYPERLINK("https://klasma.github.io/Logging_1962/klagomål/A 23690-2023 FSC-klagomål.docx", "A 23690-2023")</f>
        <v/>
      </c>
      <c r="W318">
        <f>HYPERLINK("https://klasma.github.io/Logging_1962/klagomålsmail/A 23690-2023 FSC-klagomål mail.docx", "A 23690-2023")</f>
        <v/>
      </c>
      <c r="X318">
        <f>HYPERLINK("https://klasma.github.io/Logging_1962/tillsyn/A 23690-2023 tillsynsbegäran.docx", "A 23690-2023")</f>
        <v/>
      </c>
      <c r="Y318">
        <f>HYPERLINK("https://klasma.github.io/Logging_1962/tillsynsmail/A 23690-2023 tillsynsbegäran mail.docx", "A 23690-2023")</f>
        <v/>
      </c>
    </row>
    <row r="319" ht="15" customHeight="1">
      <c r="A319" t="inlineStr">
        <is>
          <t>A 23893-2023</t>
        </is>
      </c>
      <c r="B319" s="1" t="n">
        <v>45078</v>
      </c>
      <c r="C319" s="1" t="n">
        <v>45637</v>
      </c>
      <c r="D319" t="inlineStr">
        <is>
          <t>VÄSTMANLANDS LÄN</t>
        </is>
      </c>
      <c r="E319" t="inlineStr">
        <is>
          <t>SKINNSKATTEBERG</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HYPERLINK("https://klasma.github.io/Logging_1904/artfynd/A 23893-2023 artfynd.xlsx", "A 23893-2023")</f>
        <v/>
      </c>
      <c r="T319">
        <f>HYPERLINK("https://klasma.github.io/Logging_1904/kartor/A 23893-2023 karta.png", "A 23893-2023")</f>
        <v/>
      </c>
      <c r="U319">
        <f>HYPERLINK("https://klasma.github.io/Logging_1904/knärot/A 23893-2023 karta knärot.png", "A 23893-2023")</f>
        <v/>
      </c>
      <c r="V319">
        <f>HYPERLINK("https://klasma.github.io/Logging_1904/klagomål/A 23893-2023 FSC-klagomål.docx", "A 23893-2023")</f>
        <v/>
      </c>
      <c r="W319">
        <f>HYPERLINK("https://klasma.github.io/Logging_1904/klagomålsmail/A 23893-2023 FSC-klagomål mail.docx", "A 23893-2023")</f>
        <v/>
      </c>
      <c r="X319">
        <f>HYPERLINK("https://klasma.github.io/Logging_1904/tillsyn/A 23893-2023 tillsynsbegäran.docx", "A 23893-2023")</f>
        <v/>
      </c>
      <c r="Y319">
        <f>HYPERLINK("https://klasma.github.io/Logging_1904/tillsynsmail/A 23893-2023 tillsynsbegäran mail.docx", "A 23893-2023")</f>
        <v/>
      </c>
    </row>
    <row r="320" ht="15" customHeight="1">
      <c r="A320" t="inlineStr">
        <is>
          <t>A 24486-2023</t>
        </is>
      </c>
      <c r="B320" s="1" t="n">
        <v>45082</v>
      </c>
      <c r="C320" s="1" t="n">
        <v>45637</v>
      </c>
      <c r="D320" t="inlineStr">
        <is>
          <t>VÄSTMANLANDS LÄN</t>
        </is>
      </c>
      <c r="E320" t="inlineStr">
        <is>
          <t>VÄSTERÅS</t>
        </is>
      </c>
      <c r="G320" t="n">
        <v>12.8</v>
      </c>
      <c r="H320" t="n">
        <v>0</v>
      </c>
      <c r="I320" t="n">
        <v>1</v>
      </c>
      <c r="J320" t="n">
        <v>0</v>
      </c>
      <c r="K320" t="n">
        <v>0</v>
      </c>
      <c r="L320" t="n">
        <v>0</v>
      </c>
      <c r="M320" t="n">
        <v>0</v>
      </c>
      <c r="N320" t="n">
        <v>0</v>
      </c>
      <c r="O320" t="n">
        <v>0</v>
      </c>
      <c r="P320" t="n">
        <v>0</v>
      </c>
      <c r="Q320" t="n">
        <v>1</v>
      </c>
      <c r="R320" s="2" t="inlineStr">
        <is>
          <t>Vedticka</t>
        </is>
      </c>
      <c r="S320">
        <f>HYPERLINK("https://klasma.github.io/Logging_1980/artfynd/A 24486-2023 artfynd.xlsx", "A 24486-2023")</f>
        <v/>
      </c>
      <c r="T320">
        <f>HYPERLINK("https://klasma.github.io/Logging_1980/kartor/A 24486-2023 karta.png", "A 24486-2023")</f>
        <v/>
      </c>
      <c r="V320">
        <f>HYPERLINK("https://klasma.github.io/Logging_1980/klagomål/A 24486-2023 FSC-klagomål.docx", "A 24486-2023")</f>
        <v/>
      </c>
      <c r="W320">
        <f>HYPERLINK("https://klasma.github.io/Logging_1980/klagomålsmail/A 24486-2023 FSC-klagomål mail.docx", "A 24486-2023")</f>
        <v/>
      </c>
      <c r="X320">
        <f>HYPERLINK("https://klasma.github.io/Logging_1980/tillsyn/A 24486-2023 tillsynsbegäran.docx", "A 24486-2023")</f>
        <v/>
      </c>
      <c r="Y320">
        <f>HYPERLINK("https://klasma.github.io/Logging_1980/tillsynsmail/A 24486-2023 tillsynsbegäran mail.docx", "A 24486-2023")</f>
        <v/>
      </c>
    </row>
    <row r="321" ht="15" customHeight="1">
      <c r="A321" t="inlineStr">
        <is>
          <t>A 24920-2023</t>
        </is>
      </c>
      <c r="B321" s="1" t="n">
        <v>45085</v>
      </c>
      <c r="C321" s="1" t="n">
        <v>45637</v>
      </c>
      <c r="D321" t="inlineStr">
        <is>
          <t>VÄSTMANLANDS LÄN</t>
        </is>
      </c>
      <c r="E321" t="inlineStr">
        <is>
          <t>SURAHAMMAR</t>
        </is>
      </c>
      <c r="F321" t="inlineStr">
        <is>
          <t>Allmännings- och besparingsskogar</t>
        </is>
      </c>
      <c r="G321" t="n">
        <v>16.2</v>
      </c>
      <c r="H321" t="n">
        <v>1</v>
      </c>
      <c r="I321" t="n">
        <v>0</v>
      </c>
      <c r="J321" t="n">
        <v>1</v>
      </c>
      <c r="K321" t="n">
        <v>0</v>
      </c>
      <c r="L321" t="n">
        <v>0</v>
      </c>
      <c r="M321" t="n">
        <v>0</v>
      </c>
      <c r="N321" t="n">
        <v>0</v>
      </c>
      <c r="O321" t="n">
        <v>1</v>
      </c>
      <c r="P321" t="n">
        <v>0</v>
      </c>
      <c r="Q321" t="n">
        <v>1</v>
      </c>
      <c r="R321" s="2" t="inlineStr">
        <is>
          <t>Talltita</t>
        </is>
      </c>
      <c r="S321">
        <f>HYPERLINK("https://klasma.github.io/Logging_1907/artfynd/A 24920-2023 artfynd.xlsx", "A 24920-2023")</f>
        <v/>
      </c>
      <c r="T321">
        <f>HYPERLINK("https://klasma.github.io/Logging_1907/kartor/A 24920-2023 karta.png", "A 24920-2023")</f>
        <v/>
      </c>
      <c r="V321">
        <f>HYPERLINK("https://klasma.github.io/Logging_1907/klagomål/A 24920-2023 FSC-klagomål.docx", "A 24920-2023")</f>
        <v/>
      </c>
      <c r="W321">
        <f>HYPERLINK("https://klasma.github.io/Logging_1907/klagomålsmail/A 24920-2023 FSC-klagomål mail.docx", "A 24920-2023")</f>
        <v/>
      </c>
      <c r="X321">
        <f>HYPERLINK("https://klasma.github.io/Logging_1907/tillsyn/A 24920-2023 tillsynsbegäran.docx", "A 24920-2023")</f>
        <v/>
      </c>
      <c r="Y321">
        <f>HYPERLINK("https://klasma.github.io/Logging_1907/tillsynsmail/A 24920-2023 tillsynsbegäran mail.docx", "A 24920-2023")</f>
        <v/>
      </c>
      <c r="Z321">
        <f>HYPERLINK("https://klasma.github.io/Logging_1907/fåglar/A 24920-2023 prioriterade fågelarter.docx", "A 24920-2023")</f>
        <v/>
      </c>
    </row>
    <row r="322" ht="15" customHeight="1">
      <c r="A322" t="inlineStr">
        <is>
          <t>A 27170-2023</t>
        </is>
      </c>
      <c r="B322" s="1" t="n">
        <v>45096</v>
      </c>
      <c r="C322" s="1" t="n">
        <v>45637</v>
      </c>
      <c r="D322" t="inlineStr">
        <is>
          <t>VÄSTMANLANDS LÄN</t>
        </is>
      </c>
      <c r="E322" t="inlineStr">
        <is>
          <t>SURAHAMMAR</t>
        </is>
      </c>
      <c r="F322" t="inlineStr">
        <is>
          <t>Sveaskog</t>
        </is>
      </c>
      <c r="G322" t="n">
        <v>11.3</v>
      </c>
      <c r="H322" t="n">
        <v>0</v>
      </c>
      <c r="I322" t="n">
        <v>1</v>
      </c>
      <c r="J322" t="n">
        <v>0</v>
      </c>
      <c r="K322" t="n">
        <v>0</v>
      </c>
      <c r="L322" t="n">
        <v>0</v>
      </c>
      <c r="M322" t="n">
        <v>0</v>
      </c>
      <c r="N322" t="n">
        <v>0</v>
      </c>
      <c r="O322" t="n">
        <v>0</v>
      </c>
      <c r="P322" t="n">
        <v>0</v>
      </c>
      <c r="Q322" t="n">
        <v>1</v>
      </c>
      <c r="R322" s="2" t="inlineStr">
        <is>
          <t>Vedticka</t>
        </is>
      </c>
      <c r="S322">
        <f>HYPERLINK("https://klasma.github.io/Logging_1907/artfynd/A 27170-2023 artfynd.xlsx", "A 27170-2023")</f>
        <v/>
      </c>
      <c r="T322">
        <f>HYPERLINK("https://klasma.github.io/Logging_1907/kartor/A 27170-2023 karta.png", "A 27170-2023")</f>
        <v/>
      </c>
      <c r="V322">
        <f>HYPERLINK("https://klasma.github.io/Logging_1907/klagomål/A 27170-2023 FSC-klagomål.docx", "A 27170-2023")</f>
        <v/>
      </c>
      <c r="W322">
        <f>HYPERLINK("https://klasma.github.io/Logging_1907/klagomålsmail/A 27170-2023 FSC-klagomål mail.docx", "A 27170-2023")</f>
        <v/>
      </c>
      <c r="X322">
        <f>HYPERLINK("https://klasma.github.io/Logging_1907/tillsyn/A 27170-2023 tillsynsbegäran.docx", "A 27170-2023")</f>
        <v/>
      </c>
      <c r="Y322">
        <f>HYPERLINK("https://klasma.github.io/Logging_1907/tillsynsmail/A 27170-2023 tillsynsbegäran mail.docx", "A 27170-2023")</f>
        <v/>
      </c>
    </row>
    <row r="323" ht="15" customHeight="1">
      <c r="A323" t="inlineStr">
        <is>
          <t>A 28794-2023</t>
        </is>
      </c>
      <c r="B323" s="1" t="n">
        <v>45104</v>
      </c>
      <c r="C323" s="1" t="n">
        <v>45637</v>
      </c>
      <c r="D323" t="inlineStr">
        <is>
          <t>VÄSTMANLANDS LÄN</t>
        </is>
      </c>
      <c r="E323" t="inlineStr">
        <is>
          <t>FAGERSTA</t>
        </is>
      </c>
      <c r="G323" t="n">
        <v>12.2</v>
      </c>
      <c r="H323" t="n">
        <v>1</v>
      </c>
      <c r="I323" t="n">
        <v>0</v>
      </c>
      <c r="J323" t="n">
        <v>1</v>
      </c>
      <c r="K323" t="n">
        <v>0</v>
      </c>
      <c r="L323" t="n">
        <v>0</v>
      </c>
      <c r="M323" t="n">
        <v>0</v>
      </c>
      <c r="N323" t="n">
        <v>0</v>
      </c>
      <c r="O323" t="n">
        <v>1</v>
      </c>
      <c r="P323" t="n">
        <v>0</v>
      </c>
      <c r="Q323" t="n">
        <v>1</v>
      </c>
      <c r="R323" s="2" t="inlineStr">
        <is>
          <t>Spillkråka</t>
        </is>
      </c>
      <c r="S323">
        <f>HYPERLINK("https://klasma.github.io/Logging_1982/artfynd/A 28794-2023 artfynd.xlsx", "A 28794-2023")</f>
        <v/>
      </c>
      <c r="T323">
        <f>HYPERLINK("https://klasma.github.io/Logging_1982/kartor/A 28794-2023 karta.png", "A 28794-2023")</f>
        <v/>
      </c>
      <c r="V323">
        <f>HYPERLINK("https://klasma.github.io/Logging_1982/klagomål/A 28794-2023 FSC-klagomål.docx", "A 28794-2023")</f>
        <v/>
      </c>
      <c r="W323">
        <f>HYPERLINK("https://klasma.github.io/Logging_1982/klagomålsmail/A 28794-2023 FSC-klagomål mail.docx", "A 28794-2023")</f>
        <v/>
      </c>
      <c r="X323">
        <f>HYPERLINK("https://klasma.github.io/Logging_1982/tillsyn/A 28794-2023 tillsynsbegäran.docx", "A 28794-2023")</f>
        <v/>
      </c>
      <c r="Y323">
        <f>HYPERLINK("https://klasma.github.io/Logging_1982/tillsynsmail/A 28794-2023 tillsynsbegäran mail.docx", "A 28794-2023")</f>
        <v/>
      </c>
      <c r="Z323">
        <f>HYPERLINK("https://klasma.github.io/Logging_1982/fåglar/A 28794-2023 prioriterade fågelarter.docx", "A 28794-2023")</f>
        <v/>
      </c>
    </row>
    <row r="324" ht="15" customHeight="1">
      <c r="A324" t="inlineStr">
        <is>
          <t>A 29727-2023</t>
        </is>
      </c>
      <c r="B324" s="1" t="n">
        <v>45107</v>
      </c>
      <c r="C324" s="1" t="n">
        <v>45637</v>
      </c>
      <c r="D324" t="inlineStr">
        <is>
          <t>VÄSTMANLANDS LÄN</t>
        </is>
      </c>
      <c r="E324" t="inlineStr">
        <is>
          <t>SALA</t>
        </is>
      </c>
      <c r="G324" t="n">
        <v>1.9</v>
      </c>
      <c r="H324" t="n">
        <v>0</v>
      </c>
      <c r="I324" t="n">
        <v>0</v>
      </c>
      <c r="J324" t="n">
        <v>1</v>
      </c>
      <c r="K324" t="n">
        <v>0</v>
      </c>
      <c r="L324" t="n">
        <v>0</v>
      </c>
      <c r="M324" t="n">
        <v>0</v>
      </c>
      <c r="N324" t="n">
        <v>0</v>
      </c>
      <c r="O324" t="n">
        <v>1</v>
      </c>
      <c r="P324" t="n">
        <v>0</v>
      </c>
      <c r="Q324" t="n">
        <v>1</v>
      </c>
      <c r="R324" s="2" t="inlineStr">
        <is>
          <t>Vedtrappmossa</t>
        </is>
      </c>
      <c r="S324">
        <f>HYPERLINK("https://klasma.github.io/Logging_1981/artfynd/A 29727-2023 artfynd.xlsx", "A 29727-2023")</f>
        <v/>
      </c>
      <c r="T324">
        <f>HYPERLINK("https://klasma.github.io/Logging_1981/kartor/A 29727-2023 karta.png", "A 29727-2023")</f>
        <v/>
      </c>
      <c r="V324">
        <f>HYPERLINK("https://klasma.github.io/Logging_1981/klagomål/A 29727-2023 FSC-klagomål.docx", "A 29727-2023")</f>
        <v/>
      </c>
      <c r="W324">
        <f>HYPERLINK("https://klasma.github.io/Logging_1981/klagomålsmail/A 29727-2023 FSC-klagomål mail.docx", "A 29727-2023")</f>
        <v/>
      </c>
      <c r="X324">
        <f>HYPERLINK("https://klasma.github.io/Logging_1981/tillsyn/A 29727-2023 tillsynsbegäran.docx", "A 29727-2023")</f>
        <v/>
      </c>
      <c r="Y324">
        <f>HYPERLINK("https://klasma.github.io/Logging_1981/tillsynsmail/A 29727-2023 tillsynsbegäran mail.docx", "A 29727-2023")</f>
        <v/>
      </c>
    </row>
    <row r="325" ht="15" customHeight="1">
      <c r="A325" t="inlineStr">
        <is>
          <t>A 29787-2023</t>
        </is>
      </c>
      <c r="B325" s="1" t="n">
        <v>45107</v>
      </c>
      <c r="C325" s="1" t="n">
        <v>45637</v>
      </c>
      <c r="D325" t="inlineStr">
        <is>
          <t>VÄSTMANLANDS LÄN</t>
        </is>
      </c>
      <c r="E325" t="inlineStr">
        <is>
          <t>VÄSTERÅS</t>
        </is>
      </c>
      <c r="F325" t="inlineStr">
        <is>
          <t>Sveaskog</t>
        </is>
      </c>
      <c r="G325" t="n">
        <v>5.3</v>
      </c>
      <c r="H325" t="n">
        <v>1</v>
      </c>
      <c r="I325" t="n">
        <v>0</v>
      </c>
      <c r="J325" t="n">
        <v>0</v>
      </c>
      <c r="K325" t="n">
        <v>0</v>
      </c>
      <c r="L325" t="n">
        <v>0</v>
      </c>
      <c r="M325" t="n">
        <v>0</v>
      </c>
      <c r="N325" t="n">
        <v>0</v>
      </c>
      <c r="O325" t="n">
        <v>0</v>
      </c>
      <c r="P325" t="n">
        <v>0</v>
      </c>
      <c r="Q325" t="n">
        <v>1</v>
      </c>
      <c r="R325" s="2" t="inlineStr">
        <is>
          <t>Kopparödla</t>
        </is>
      </c>
      <c r="S325">
        <f>HYPERLINK("https://klasma.github.io/Logging_1980/artfynd/A 29787-2023 artfynd.xlsx", "A 29787-2023")</f>
        <v/>
      </c>
      <c r="T325">
        <f>HYPERLINK("https://klasma.github.io/Logging_1980/kartor/A 29787-2023 karta.png", "A 29787-2023")</f>
        <v/>
      </c>
      <c r="V325">
        <f>HYPERLINK("https://klasma.github.io/Logging_1980/klagomål/A 29787-2023 FSC-klagomål.docx", "A 29787-2023")</f>
        <v/>
      </c>
      <c r="W325">
        <f>HYPERLINK("https://klasma.github.io/Logging_1980/klagomålsmail/A 29787-2023 FSC-klagomål mail.docx", "A 29787-2023")</f>
        <v/>
      </c>
      <c r="X325">
        <f>HYPERLINK("https://klasma.github.io/Logging_1980/tillsyn/A 29787-2023 tillsynsbegäran.docx", "A 29787-2023")</f>
        <v/>
      </c>
      <c r="Y325">
        <f>HYPERLINK("https://klasma.github.io/Logging_1980/tillsynsmail/A 29787-2023 tillsynsbegäran mail.docx", "A 29787-2023")</f>
        <v/>
      </c>
    </row>
    <row r="326" ht="15" customHeight="1">
      <c r="A326" t="inlineStr">
        <is>
          <t>A 30074-2023</t>
        </is>
      </c>
      <c r="B326" s="1" t="n">
        <v>45110</v>
      </c>
      <c r="C326" s="1" t="n">
        <v>45637</v>
      </c>
      <c r="D326" t="inlineStr">
        <is>
          <t>VÄSTMANLANDS LÄN</t>
        </is>
      </c>
      <c r="E326" t="inlineStr">
        <is>
          <t>SURAHAMMAR</t>
        </is>
      </c>
      <c r="F326" t="inlineStr">
        <is>
          <t>Sveaskog</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HYPERLINK("https://klasma.github.io/Logging_1907/artfynd/A 30074-2023 artfynd.xlsx", "A 30074-2023")</f>
        <v/>
      </c>
      <c r="T326">
        <f>HYPERLINK("https://klasma.github.io/Logging_1907/kartor/A 30074-2023 karta.png", "A 30074-2023")</f>
        <v/>
      </c>
      <c r="V326">
        <f>HYPERLINK("https://klasma.github.io/Logging_1907/klagomål/A 30074-2023 FSC-klagomål.docx", "A 30074-2023")</f>
        <v/>
      </c>
      <c r="W326">
        <f>HYPERLINK("https://klasma.github.io/Logging_1907/klagomålsmail/A 30074-2023 FSC-klagomål mail.docx", "A 30074-2023")</f>
        <v/>
      </c>
      <c r="X326">
        <f>HYPERLINK("https://klasma.github.io/Logging_1907/tillsyn/A 30074-2023 tillsynsbegäran.docx", "A 30074-2023")</f>
        <v/>
      </c>
      <c r="Y326">
        <f>HYPERLINK("https://klasma.github.io/Logging_1907/tillsynsmail/A 30074-2023 tillsynsbegäran mail.docx", "A 30074-2023")</f>
        <v/>
      </c>
    </row>
    <row r="327" ht="15" customHeight="1">
      <c r="A327" t="inlineStr">
        <is>
          <t>A 30073-2023</t>
        </is>
      </c>
      <c r="B327" s="1" t="n">
        <v>45110</v>
      </c>
      <c r="C327" s="1" t="n">
        <v>45637</v>
      </c>
      <c r="D327" t="inlineStr">
        <is>
          <t>VÄSTMANLANDS LÄN</t>
        </is>
      </c>
      <c r="E327" t="inlineStr">
        <is>
          <t>SURAHAMMAR</t>
        </is>
      </c>
      <c r="F327" t="inlineStr">
        <is>
          <t>Sveaskog</t>
        </is>
      </c>
      <c r="G327" t="n">
        <v>4.7</v>
      </c>
      <c r="H327" t="n">
        <v>0</v>
      </c>
      <c r="I327" t="n">
        <v>1</v>
      </c>
      <c r="J327" t="n">
        <v>0</v>
      </c>
      <c r="K327" t="n">
        <v>0</v>
      </c>
      <c r="L327" t="n">
        <v>0</v>
      </c>
      <c r="M327" t="n">
        <v>0</v>
      </c>
      <c r="N327" t="n">
        <v>0</v>
      </c>
      <c r="O327" t="n">
        <v>0</v>
      </c>
      <c r="P327" t="n">
        <v>0</v>
      </c>
      <c r="Q327" t="n">
        <v>1</v>
      </c>
      <c r="R327" s="2" t="inlineStr">
        <is>
          <t>Grönpyrola</t>
        </is>
      </c>
      <c r="S327">
        <f>HYPERLINK("https://klasma.github.io/Logging_1907/artfynd/A 30073-2023 artfynd.xlsx", "A 30073-2023")</f>
        <v/>
      </c>
      <c r="T327">
        <f>HYPERLINK("https://klasma.github.io/Logging_1907/kartor/A 30073-2023 karta.png", "A 30073-2023")</f>
        <v/>
      </c>
      <c r="V327">
        <f>HYPERLINK("https://klasma.github.io/Logging_1907/klagomål/A 30073-2023 FSC-klagomål.docx", "A 30073-2023")</f>
        <v/>
      </c>
      <c r="W327">
        <f>HYPERLINK("https://klasma.github.io/Logging_1907/klagomålsmail/A 30073-2023 FSC-klagomål mail.docx", "A 30073-2023")</f>
        <v/>
      </c>
      <c r="X327">
        <f>HYPERLINK("https://klasma.github.io/Logging_1907/tillsyn/A 30073-2023 tillsynsbegäran.docx", "A 30073-2023")</f>
        <v/>
      </c>
      <c r="Y327">
        <f>HYPERLINK("https://klasma.github.io/Logging_1907/tillsynsmail/A 30073-2023 tillsynsbegäran mail.docx", "A 30073-2023")</f>
        <v/>
      </c>
    </row>
    <row r="328" ht="15" customHeight="1">
      <c r="A328" t="inlineStr">
        <is>
          <t>A 30084-2023</t>
        </is>
      </c>
      <c r="B328" s="1" t="n">
        <v>45110</v>
      </c>
      <c r="C328" s="1" t="n">
        <v>45637</v>
      </c>
      <c r="D328" t="inlineStr">
        <is>
          <t>VÄSTMANLANDS LÄN</t>
        </is>
      </c>
      <c r="E328" t="inlineStr">
        <is>
          <t>VÄSTERÅS</t>
        </is>
      </c>
      <c r="F328" t="inlineStr">
        <is>
          <t>Sveaskog</t>
        </is>
      </c>
      <c r="G328" t="n">
        <v>5.3</v>
      </c>
      <c r="H328" t="n">
        <v>1</v>
      </c>
      <c r="I328" t="n">
        <v>0</v>
      </c>
      <c r="J328" t="n">
        <v>0</v>
      </c>
      <c r="K328" t="n">
        <v>0</v>
      </c>
      <c r="L328" t="n">
        <v>0</v>
      </c>
      <c r="M328" t="n">
        <v>0</v>
      </c>
      <c r="N328" t="n">
        <v>0</v>
      </c>
      <c r="O328" t="n">
        <v>0</v>
      </c>
      <c r="P328" t="n">
        <v>0</v>
      </c>
      <c r="Q328" t="n">
        <v>1</v>
      </c>
      <c r="R328" s="2" t="inlineStr">
        <is>
          <t>Blåsippa</t>
        </is>
      </c>
      <c r="S328">
        <f>HYPERLINK("https://klasma.github.io/Logging_1980/artfynd/A 30084-2023 artfynd.xlsx", "A 30084-2023")</f>
        <v/>
      </c>
      <c r="T328">
        <f>HYPERLINK("https://klasma.github.io/Logging_1980/kartor/A 30084-2023 karta.png", "A 30084-2023")</f>
        <v/>
      </c>
      <c r="V328">
        <f>HYPERLINK("https://klasma.github.io/Logging_1980/klagomål/A 30084-2023 FSC-klagomål.docx", "A 30084-2023")</f>
        <v/>
      </c>
      <c r="W328">
        <f>HYPERLINK("https://klasma.github.io/Logging_1980/klagomålsmail/A 30084-2023 FSC-klagomål mail.docx", "A 30084-2023")</f>
        <v/>
      </c>
      <c r="X328">
        <f>HYPERLINK("https://klasma.github.io/Logging_1980/tillsyn/A 30084-2023 tillsynsbegäran.docx", "A 30084-2023")</f>
        <v/>
      </c>
      <c r="Y328">
        <f>HYPERLINK("https://klasma.github.io/Logging_1980/tillsynsmail/A 30084-2023 tillsynsbegäran mail.docx", "A 30084-2023")</f>
        <v/>
      </c>
    </row>
    <row r="329" ht="15" customHeight="1">
      <c r="A329" t="inlineStr">
        <is>
          <t>A 31354-2023</t>
        </is>
      </c>
      <c r="B329" s="1" t="n">
        <v>45114</v>
      </c>
      <c r="C329" s="1" t="n">
        <v>45637</v>
      </c>
      <c r="D329" t="inlineStr">
        <is>
          <t>VÄSTMANLANDS LÄN</t>
        </is>
      </c>
      <c r="E329" t="inlineStr">
        <is>
          <t>VÄSTERÅS</t>
        </is>
      </c>
      <c r="F329" t="inlineStr">
        <is>
          <t>Sveaskog</t>
        </is>
      </c>
      <c r="G329" t="n">
        <v>5.7</v>
      </c>
      <c r="H329" t="n">
        <v>1</v>
      </c>
      <c r="I329" t="n">
        <v>0</v>
      </c>
      <c r="J329" t="n">
        <v>1</v>
      </c>
      <c r="K329" t="n">
        <v>0</v>
      </c>
      <c r="L329" t="n">
        <v>0</v>
      </c>
      <c r="M329" t="n">
        <v>0</v>
      </c>
      <c r="N329" t="n">
        <v>0</v>
      </c>
      <c r="O329" t="n">
        <v>1</v>
      </c>
      <c r="P329" t="n">
        <v>0</v>
      </c>
      <c r="Q329" t="n">
        <v>1</v>
      </c>
      <c r="R329" s="2" t="inlineStr">
        <is>
          <t>Talltita</t>
        </is>
      </c>
      <c r="S329">
        <f>HYPERLINK("https://klasma.github.io/Logging_1980/artfynd/A 31354-2023 artfynd.xlsx", "A 31354-2023")</f>
        <v/>
      </c>
      <c r="T329">
        <f>HYPERLINK("https://klasma.github.io/Logging_1980/kartor/A 31354-2023 karta.png", "A 31354-2023")</f>
        <v/>
      </c>
      <c r="V329">
        <f>HYPERLINK("https://klasma.github.io/Logging_1980/klagomål/A 31354-2023 FSC-klagomål.docx", "A 31354-2023")</f>
        <v/>
      </c>
      <c r="W329">
        <f>HYPERLINK("https://klasma.github.io/Logging_1980/klagomålsmail/A 31354-2023 FSC-klagomål mail.docx", "A 31354-2023")</f>
        <v/>
      </c>
      <c r="X329">
        <f>HYPERLINK("https://klasma.github.io/Logging_1980/tillsyn/A 31354-2023 tillsynsbegäran.docx", "A 31354-2023")</f>
        <v/>
      </c>
      <c r="Y329">
        <f>HYPERLINK("https://klasma.github.io/Logging_1980/tillsynsmail/A 31354-2023 tillsynsbegäran mail.docx", "A 31354-2023")</f>
        <v/>
      </c>
      <c r="Z329">
        <f>HYPERLINK("https://klasma.github.io/Logging_1980/fåglar/A 31354-2023 prioriterade fågelarter.docx", "A 31354-2023")</f>
        <v/>
      </c>
    </row>
    <row r="330" ht="15" customHeight="1">
      <c r="A330" t="inlineStr">
        <is>
          <t>A 31535-2023</t>
        </is>
      </c>
      <c r="B330" s="1" t="n">
        <v>45116</v>
      </c>
      <c r="C330" s="1" t="n">
        <v>45637</v>
      </c>
      <c r="D330" t="inlineStr">
        <is>
          <t>VÄSTMANLANDS LÄN</t>
        </is>
      </c>
      <c r="E330" t="inlineStr">
        <is>
          <t>SALA</t>
        </is>
      </c>
      <c r="G330" t="n">
        <v>0.9</v>
      </c>
      <c r="H330" t="n">
        <v>0</v>
      </c>
      <c r="I330" t="n">
        <v>0</v>
      </c>
      <c r="J330" t="n">
        <v>1</v>
      </c>
      <c r="K330" t="n">
        <v>0</v>
      </c>
      <c r="L330" t="n">
        <v>0</v>
      </c>
      <c r="M330" t="n">
        <v>0</v>
      </c>
      <c r="N330" t="n">
        <v>0</v>
      </c>
      <c r="O330" t="n">
        <v>1</v>
      </c>
      <c r="P330" t="n">
        <v>0</v>
      </c>
      <c r="Q330" t="n">
        <v>1</v>
      </c>
      <c r="R330" s="2" t="inlineStr">
        <is>
          <t>Orange taggsvamp</t>
        </is>
      </c>
      <c r="S330">
        <f>HYPERLINK("https://klasma.github.io/Logging_1981/artfynd/A 31535-2023 artfynd.xlsx", "A 31535-2023")</f>
        <v/>
      </c>
      <c r="T330">
        <f>HYPERLINK("https://klasma.github.io/Logging_1981/kartor/A 31535-2023 karta.png", "A 31535-2023")</f>
        <v/>
      </c>
      <c r="V330">
        <f>HYPERLINK("https://klasma.github.io/Logging_1981/klagomål/A 31535-2023 FSC-klagomål.docx", "A 31535-2023")</f>
        <v/>
      </c>
      <c r="W330">
        <f>HYPERLINK("https://klasma.github.io/Logging_1981/klagomålsmail/A 31535-2023 FSC-klagomål mail.docx", "A 31535-2023")</f>
        <v/>
      </c>
      <c r="X330">
        <f>HYPERLINK("https://klasma.github.io/Logging_1981/tillsyn/A 31535-2023 tillsynsbegäran.docx", "A 31535-2023")</f>
        <v/>
      </c>
      <c r="Y330">
        <f>HYPERLINK("https://klasma.github.io/Logging_1981/tillsynsmail/A 31535-2023 tillsynsbegäran mail.docx", "A 31535-2023")</f>
        <v/>
      </c>
    </row>
    <row r="331" ht="15" customHeight="1">
      <c r="A331" t="inlineStr">
        <is>
          <t>A 37277-2023</t>
        </is>
      </c>
      <c r="B331" s="1" t="n">
        <v>45156</v>
      </c>
      <c r="C331" s="1" t="n">
        <v>45637</v>
      </c>
      <c r="D331" t="inlineStr">
        <is>
          <t>VÄSTMANLANDS LÄN</t>
        </is>
      </c>
      <c r="E331" t="inlineStr">
        <is>
          <t>SURAHAMMAR</t>
        </is>
      </c>
      <c r="G331" t="n">
        <v>4.3</v>
      </c>
      <c r="H331" t="n">
        <v>1</v>
      </c>
      <c r="I331" t="n">
        <v>0</v>
      </c>
      <c r="J331" t="n">
        <v>0</v>
      </c>
      <c r="K331" t="n">
        <v>1</v>
      </c>
      <c r="L331" t="n">
        <v>0</v>
      </c>
      <c r="M331" t="n">
        <v>0</v>
      </c>
      <c r="N331" t="n">
        <v>0</v>
      </c>
      <c r="O331" t="n">
        <v>1</v>
      </c>
      <c r="P331" t="n">
        <v>1</v>
      </c>
      <c r="Q331" t="n">
        <v>1</v>
      </c>
      <c r="R331" s="2" t="inlineStr">
        <is>
          <t>Bombmurkla</t>
        </is>
      </c>
      <c r="S331">
        <f>HYPERLINK("https://klasma.github.io/Logging_1907/artfynd/A 37277-2023 artfynd.xlsx", "A 37277-2023")</f>
        <v/>
      </c>
      <c r="T331">
        <f>HYPERLINK("https://klasma.github.io/Logging_1907/kartor/A 37277-2023 karta.png", "A 37277-2023")</f>
        <v/>
      </c>
      <c r="V331">
        <f>HYPERLINK("https://klasma.github.io/Logging_1907/klagomål/A 37277-2023 FSC-klagomål.docx", "A 37277-2023")</f>
        <v/>
      </c>
      <c r="W331">
        <f>HYPERLINK("https://klasma.github.io/Logging_1907/klagomålsmail/A 37277-2023 FSC-klagomål mail.docx", "A 37277-2023")</f>
        <v/>
      </c>
      <c r="X331">
        <f>HYPERLINK("https://klasma.github.io/Logging_1907/tillsyn/A 37277-2023 tillsynsbegäran.docx", "A 37277-2023")</f>
        <v/>
      </c>
      <c r="Y331">
        <f>HYPERLINK("https://klasma.github.io/Logging_1907/tillsynsmail/A 37277-2023 tillsynsbegäran mail.docx", "A 37277-2023")</f>
        <v/>
      </c>
    </row>
    <row r="332" ht="15" customHeight="1">
      <c r="A332" t="inlineStr">
        <is>
          <t>A 38849-2023</t>
        </is>
      </c>
      <c r="B332" s="1" t="n">
        <v>45163</v>
      </c>
      <c r="C332" s="1" t="n">
        <v>45637</v>
      </c>
      <c r="D332" t="inlineStr">
        <is>
          <t>VÄSTMANLANDS LÄN</t>
        </is>
      </c>
      <c r="E332" t="inlineStr">
        <is>
          <t>VÄSTERÅS</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HYPERLINK("https://klasma.github.io/Logging_1980/artfynd/A 38849-2023 artfynd.xlsx", "A 38849-2023")</f>
        <v/>
      </c>
      <c r="T332">
        <f>HYPERLINK("https://klasma.github.io/Logging_1980/kartor/A 38849-2023 karta.png", "A 38849-2023")</f>
        <v/>
      </c>
      <c r="V332">
        <f>HYPERLINK("https://klasma.github.io/Logging_1980/klagomål/A 38849-2023 FSC-klagomål.docx", "A 38849-2023")</f>
        <v/>
      </c>
      <c r="W332">
        <f>HYPERLINK("https://klasma.github.io/Logging_1980/klagomålsmail/A 38849-2023 FSC-klagomål mail.docx", "A 38849-2023")</f>
        <v/>
      </c>
      <c r="X332">
        <f>HYPERLINK("https://klasma.github.io/Logging_1980/tillsyn/A 38849-2023 tillsynsbegäran.docx", "A 38849-2023")</f>
        <v/>
      </c>
      <c r="Y332">
        <f>HYPERLINK("https://klasma.github.io/Logging_1980/tillsynsmail/A 38849-2023 tillsynsbegäran mail.docx", "A 38849-2023")</f>
        <v/>
      </c>
      <c r="Z332">
        <f>HYPERLINK("https://klasma.github.io/Logging_1980/fåglar/A 38849-2023 prioriterade fågelarter.docx", "A 38849-2023")</f>
        <v/>
      </c>
    </row>
    <row r="333" ht="15" customHeight="1">
      <c r="A333" t="inlineStr">
        <is>
          <t>A 38712-2023</t>
        </is>
      </c>
      <c r="B333" s="1" t="n">
        <v>45163</v>
      </c>
      <c r="C333" s="1" t="n">
        <v>45637</v>
      </c>
      <c r="D333" t="inlineStr">
        <is>
          <t>VÄSTMANLANDS LÄN</t>
        </is>
      </c>
      <c r="E333" t="inlineStr">
        <is>
          <t>SKINNSKATTEBERG</t>
        </is>
      </c>
      <c r="F333" t="inlineStr">
        <is>
          <t>Sveaskog</t>
        </is>
      </c>
      <c r="G333" t="n">
        <v>8</v>
      </c>
      <c r="H333" t="n">
        <v>1</v>
      </c>
      <c r="I333" t="n">
        <v>0</v>
      </c>
      <c r="J333" t="n">
        <v>0</v>
      </c>
      <c r="K333" t="n">
        <v>0</v>
      </c>
      <c r="L333" t="n">
        <v>0</v>
      </c>
      <c r="M333" t="n">
        <v>0</v>
      </c>
      <c r="N333" t="n">
        <v>0</v>
      </c>
      <c r="O333" t="n">
        <v>0</v>
      </c>
      <c r="P333" t="n">
        <v>0</v>
      </c>
      <c r="Q333" t="n">
        <v>1</v>
      </c>
      <c r="R333" s="2" t="inlineStr">
        <is>
          <t>Grönvit nattviol</t>
        </is>
      </c>
      <c r="S333">
        <f>HYPERLINK("https://klasma.github.io/Logging_1904/artfynd/A 38712-2023 artfynd.xlsx", "A 38712-2023")</f>
        <v/>
      </c>
      <c r="T333">
        <f>HYPERLINK("https://klasma.github.io/Logging_1904/kartor/A 38712-2023 karta.png", "A 38712-2023")</f>
        <v/>
      </c>
      <c r="V333">
        <f>HYPERLINK("https://klasma.github.io/Logging_1904/klagomål/A 38712-2023 FSC-klagomål.docx", "A 38712-2023")</f>
        <v/>
      </c>
      <c r="W333">
        <f>HYPERLINK("https://klasma.github.io/Logging_1904/klagomålsmail/A 38712-2023 FSC-klagomål mail.docx", "A 38712-2023")</f>
        <v/>
      </c>
      <c r="X333">
        <f>HYPERLINK("https://klasma.github.io/Logging_1904/tillsyn/A 38712-2023 tillsynsbegäran.docx", "A 38712-2023")</f>
        <v/>
      </c>
      <c r="Y333">
        <f>HYPERLINK("https://klasma.github.io/Logging_1904/tillsynsmail/A 38712-2023 tillsynsbegäran mail.docx", "A 38712-2023")</f>
        <v/>
      </c>
    </row>
    <row r="334" ht="15" customHeight="1">
      <c r="A334" t="inlineStr">
        <is>
          <t>A 40302-2023</t>
        </is>
      </c>
      <c r="B334" s="1" t="n">
        <v>45169</v>
      </c>
      <c r="C334" s="1" t="n">
        <v>45637</v>
      </c>
      <c r="D334" t="inlineStr">
        <is>
          <t>VÄSTMANLANDS LÄN</t>
        </is>
      </c>
      <c r="E334" t="inlineStr">
        <is>
          <t>VÄSTERÅS</t>
        </is>
      </c>
      <c r="F334" t="inlineStr">
        <is>
          <t>Sveaskog</t>
        </is>
      </c>
      <c r="G334" t="n">
        <v>4.9</v>
      </c>
      <c r="H334" t="n">
        <v>0</v>
      </c>
      <c r="I334" t="n">
        <v>0</v>
      </c>
      <c r="J334" t="n">
        <v>1</v>
      </c>
      <c r="K334" t="n">
        <v>0</v>
      </c>
      <c r="L334" t="n">
        <v>0</v>
      </c>
      <c r="M334" t="n">
        <v>0</v>
      </c>
      <c r="N334" t="n">
        <v>0</v>
      </c>
      <c r="O334" t="n">
        <v>1</v>
      </c>
      <c r="P334" t="n">
        <v>0</v>
      </c>
      <c r="Q334" t="n">
        <v>1</v>
      </c>
      <c r="R334" s="2" t="inlineStr">
        <is>
          <t>Vedskivlav</t>
        </is>
      </c>
      <c r="S334">
        <f>HYPERLINK("https://klasma.github.io/Logging_1980/artfynd/A 40302-2023 artfynd.xlsx", "A 40302-2023")</f>
        <v/>
      </c>
      <c r="T334">
        <f>HYPERLINK("https://klasma.github.io/Logging_1980/kartor/A 40302-2023 karta.png", "A 40302-2023")</f>
        <v/>
      </c>
      <c r="V334">
        <f>HYPERLINK("https://klasma.github.io/Logging_1980/klagomål/A 40302-2023 FSC-klagomål.docx", "A 40302-2023")</f>
        <v/>
      </c>
      <c r="W334">
        <f>HYPERLINK("https://klasma.github.io/Logging_1980/klagomålsmail/A 40302-2023 FSC-klagomål mail.docx", "A 40302-2023")</f>
        <v/>
      </c>
      <c r="X334">
        <f>HYPERLINK("https://klasma.github.io/Logging_1980/tillsyn/A 40302-2023 tillsynsbegäran.docx", "A 40302-2023")</f>
        <v/>
      </c>
      <c r="Y334">
        <f>HYPERLINK("https://klasma.github.io/Logging_1980/tillsynsmail/A 40302-2023 tillsynsbegäran mail.docx", "A 40302-2023")</f>
        <v/>
      </c>
    </row>
    <row r="335" ht="15" customHeight="1">
      <c r="A335" t="inlineStr">
        <is>
          <t>A 41622-2023</t>
        </is>
      </c>
      <c r="B335" s="1" t="n">
        <v>45175</v>
      </c>
      <c r="C335" s="1" t="n">
        <v>45637</v>
      </c>
      <c r="D335" t="inlineStr">
        <is>
          <t>VÄSTMANLANDS LÄN</t>
        </is>
      </c>
      <c r="E335" t="inlineStr">
        <is>
          <t>SURAHAMMAR</t>
        </is>
      </c>
      <c r="G335" t="n">
        <v>0.6</v>
      </c>
      <c r="H335" t="n">
        <v>1</v>
      </c>
      <c r="I335" t="n">
        <v>0</v>
      </c>
      <c r="J335" t="n">
        <v>0</v>
      </c>
      <c r="K335" t="n">
        <v>1</v>
      </c>
      <c r="L335" t="n">
        <v>0</v>
      </c>
      <c r="M335" t="n">
        <v>0</v>
      </c>
      <c r="N335" t="n">
        <v>0</v>
      </c>
      <c r="O335" t="n">
        <v>1</v>
      </c>
      <c r="P335" t="n">
        <v>1</v>
      </c>
      <c r="Q335" t="n">
        <v>1</v>
      </c>
      <c r="R335" s="2" t="inlineStr">
        <is>
          <t>Knärot</t>
        </is>
      </c>
      <c r="S335">
        <f>HYPERLINK("https://klasma.github.io/Logging_1907/artfynd/A 41622-2023 artfynd.xlsx", "A 41622-2023")</f>
        <v/>
      </c>
      <c r="T335">
        <f>HYPERLINK("https://klasma.github.io/Logging_1907/kartor/A 41622-2023 karta.png", "A 41622-2023")</f>
        <v/>
      </c>
      <c r="U335">
        <f>HYPERLINK("https://klasma.github.io/Logging_1907/knärot/A 41622-2023 karta knärot.png", "A 41622-2023")</f>
        <v/>
      </c>
      <c r="V335">
        <f>HYPERLINK("https://klasma.github.io/Logging_1907/klagomål/A 41622-2023 FSC-klagomål.docx", "A 41622-2023")</f>
        <v/>
      </c>
      <c r="W335">
        <f>HYPERLINK("https://klasma.github.io/Logging_1907/klagomålsmail/A 41622-2023 FSC-klagomål mail.docx", "A 41622-2023")</f>
        <v/>
      </c>
      <c r="X335">
        <f>HYPERLINK("https://klasma.github.io/Logging_1907/tillsyn/A 41622-2023 tillsynsbegäran.docx", "A 41622-2023")</f>
        <v/>
      </c>
      <c r="Y335">
        <f>HYPERLINK("https://klasma.github.io/Logging_1907/tillsynsmail/A 41622-2023 tillsynsbegäran mail.docx", "A 41622-2023")</f>
        <v/>
      </c>
    </row>
    <row r="336" ht="15" customHeight="1">
      <c r="A336" t="inlineStr">
        <is>
          <t>A 42194-2023</t>
        </is>
      </c>
      <c r="B336" s="1" t="n">
        <v>45179</v>
      </c>
      <c r="C336" s="1" t="n">
        <v>45637</v>
      </c>
      <c r="D336" t="inlineStr">
        <is>
          <t>VÄSTMANLANDS LÄN</t>
        </is>
      </c>
      <c r="E336" t="inlineStr">
        <is>
          <t>NORBERG</t>
        </is>
      </c>
      <c r="F336" t="inlineStr">
        <is>
          <t>Sveaskog</t>
        </is>
      </c>
      <c r="G336" t="n">
        <v>2.8</v>
      </c>
      <c r="H336" t="n">
        <v>1</v>
      </c>
      <c r="I336" t="n">
        <v>0</v>
      </c>
      <c r="J336" t="n">
        <v>0</v>
      </c>
      <c r="K336" t="n">
        <v>0</v>
      </c>
      <c r="L336" t="n">
        <v>0</v>
      </c>
      <c r="M336" t="n">
        <v>0</v>
      </c>
      <c r="N336" t="n">
        <v>0</v>
      </c>
      <c r="O336" t="n">
        <v>0</v>
      </c>
      <c r="P336" t="n">
        <v>0</v>
      </c>
      <c r="Q336" t="n">
        <v>1</v>
      </c>
      <c r="R336" s="2" t="inlineStr">
        <is>
          <t>Revlummer</t>
        </is>
      </c>
      <c r="S336">
        <f>HYPERLINK("https://klasma.github.io/Logging_1962/artfynd/A 42194-2023 artfynd.xlsx", "A 42194-2023")</f>
        <v/>
      </c>
      <c r="T336">
        <f>HYPERLINK("https://klasma.github.io/Logging_1962/kartor/A 42194-2023 karta.png", "A 42194-2023")</f>
        <v/>
      </c>
      <c r="V336">
        <f>HYPERLINK("https://klasma.github.io/Logging_1962/klagomål/A 42194-2023 FSC-klagomål.docx", "A 42194-2023")</f>
        <v/>
      </c>
      <c r="W336">
        <f>HYPERLINK("https://klasma.github.io/Logging_1962/klagomålsmail/A 42194-2023 FSC-klagomål mail.docx", "A 42194-2023")</f>
        <v/>
      </c>
      <c r="X336">
        <f>HYPERLINK("https://klasma.github.io/Logging_1962/tillsyn/A 42194-2023 tillsynsbegäran.docx", "A 42194-2023")</f>
        <v/>
      </c>
      <c r="Y336">
        <f>HYPERLINK("https://klasma.github.io/Logging_1962/tillsynsmail/A 42194-2023 tillsynsbegäran mail.docx", "A 42194-2023")</f>
        <v/>
      </c>
    </row>
    <row r="337" ht="15" customHeight="1">
      <c r="A337" t="inlineStr">
        <is>
          <t>A 43175-2023</t>
        </is>
      </c>
      <c r="B337" s="1" t="n">
        <v>45183</v>
      </c>
      <c r="C337" s="1" t="n">
        <v>45637</v>
      </c>
      <c r="D337" t="inlineStr">
        <is>
          <t>VÄSTMANLANDS LÄN</t>
        </is>
      </c>
      <c r="E337" t="inlineStr">
        <is>
          <t>SALA</t>
        </is>
      </c>
      <c r="G337" t="n">
        <v>5.6</v>
      </c>
      <c r="H337" t="n">
        <v>0</v>
      </c>
      <c r="I337" t="n">
        <v>1</v>
      </c>
      <c r="J337" t="n">
        <v>0</v>
      </c>
      <c r="K337" t="n">
        <v>0</v>
      </c>
      <c r="L337" t="n">
        <v>0</v>
      </c>
      <c r="M337" t="n">
        <v>0</v>
      </c>
      <c r="N337" t="n">
        <v>0</v>
      </c>
      <c r="O337" t="n">
        <v>0</v>
      </c>
      <c r="P337" t="n">
        <v>0</v>
      </c>
      <c r="Q337" t="n">
        <v>1</v>
      </c>
      <c r="R337" s="2" t="inlineStr">
        <is>
          <t>Grönpyrola</t>
        </is>
      </c>
      <c r="S337">
        <f>HYPERLINK("https://klasma.github.io/Logging_1981/artfynd/A 43175-2023 artfynd.xlsx", "A 43175-2023")</f>
        <v/>
      </c>
      <c r="T337">
        <f>HYPERLINK("https://klasma.github.io/Logging_1981/kartor/A 43175-2023 karta.png", "A 43175-2023")</f>
        <v/>
      </c>
      <c r="V337">
        <f>HYPERLINK("https://klasma.github.io/Logging_1981/klagomål/A 43175-2023 FSC-klagomål.docx", "A 43175-2023")</f>
        <v/>
      </c>
      <c r="W337">
        <f>HYPERLINK("https://klasma.github.io/Logging_1981/klagomålsmail/A 43175-2023 FSC-klagomål mail.docx", "A 43175-2023")</f>
        <v/>
      </c>
      <c r="X337">
        <f>HYPERLINK("https://klasma.github.io/Logging_1981/tillsyn/A 43175-2023 tillsynsbegäran.docx", "A 43175-2023")</f>
        <v/>
      </c>
      <c r="Y337">
        <f>HYPERLINK("https://klasma.github.io/Logging_1981/tillsynsmail/A 43175-2023 tillsynsbegäran mail.docx", "A 43175-2023")</f>
        <v/>
      </c>
    </row>
    <row r="338" ht="15" customHeight="1">
      <c r="A338" t="inlineStr">
        <is>
          <t>A 43802-2023</t>
        </is>
      </c>
      <c r="B338" s="1" t="n">
        <v>45187</v>
      </c>
      <c r="C338" s="1" t="n">
        <v>45637</v>
      </c>
      <c r="D338" t="inlineStr">
        <is>
          <t>VÄSTMANLANDS LÄN</t>
        </is>
      </c>
      <c r="E338" t="inlineStr">
        <is>
          <t>ARBOGA</t>
        </is>
      </c>
      <c r="F338" t="inlineStr">
        <is>
          <t>Sveaskog</t>
        </is>
      </c>
      <c r="G338" t="n">
        <v>1</v>
      </c>
      <c r="H338" t="n">
        <v>0</v>
      </c>
      <c r="I338" t="n">
        <v>0</v>
      </c>
      <c r="J338" t="n">
        <v>1</v>
      </c>
      <c r="K338" t="n">
        <v>0</v>
      </c>
      <c r="L338" t="n">
        <v>0</v>
      </c>
      <c r="M338" t="n">
        <v>0</v>
      </c>
      <c r="N338" t="n">
        <v>0</v>
      </c>
      <c r="O338" t="n">
        <v>1</v>
      </c>
      <c r="P338" t="n">
        <v>0</v>
      </c>
      <c r="Q338" t="n">
        <v>1</v>
      </c>
      <c r="R338" s="2" t="inlineStr">
        <is>
          <t>Ullticka</t>
        </is>
      </c>
      <c r="S338">
        <f>HYPERLINK("https://klasma.github.io/Logging_1984/artfynd/A 43802-2023 artfynd.xlsx", "A 43802-2023")</f>
        <v/>
      </c>
      <c r="T338">
        <f>HYPERLINK("https://klasma.github.io/Logging_1984/kartor/A 43802-2023 karta.png", "A 43802-2023")</f>
        <v/>
      </c>
      <c r="V338">
        <f>HYPERLINK("https://klasma.github.io/Logging_1984/klagomål/A 43802-2023 FSC-klagomål.docx", "A 43802-2023")</f>
        <v/>
      </c>
      <c r="W338">
        <f>HYPERLINK("https://klasma.github.io/Logging_1984/klagomålsmail/A 43802-2023 FSC-klagomål mail.docx", "A 43802-2023")</f>
        <v/>
      </c>
      <c r="X338">
        <f>HYPERLINK("https://klasma.github.io/Logging_1984/tillsyn/A 43802-2023 tillsynsbegäran.docx", "A 43802-2023")</f>
        <v/>
      </c>
      <c r="Y338">
        <f>HYPERLINK("https://klasma.github.io/Logging_1984/tillsynsmail/A 43802-2023 tillsynsbegäran mail.docx", "A 43802-2023")</f>
        <v/>
      </c>
    </row>
    <row r="339" ht="15" customHeight="1">
      <c r="A339" t="inlineStr">
        <is>
          <t>A 45374-2023</t>
        </is>
      </c>
      <c r="B339" s="1" t="n">
        <v>45193</v>
      </c>
      <c r="C339" s="1" t="n">
        <v>45637</v>
      </c>
      <c r="D339" t="inlineStr">
        <is>
          <t>VÄSTMANLANDS LÄN</t>
        </is>
      </c>
      <c r="E339" t="inlineStr">
        <is>
          <t>SKINNSKATTEBERG</t>
        </is>
      </c>
      <c r="F339" t="inlineStr">
        <is>
          <t>Sveaskog</t>
        </is>
      </c>
      <c r="G339" t="n">
        <v>3.5</v>
      </c>
      <c r="H339" t="n">
        <v>0</v>
      </c>
      <c r="I339" t="n">
        <v>1</v>
      </c>
      <c r="J339" t="n">
        <v>0</v>
      </c>
      <c r="K339" t="n">
        <v>0</v>
      </c>
      <c r="L339" t="n">
        <v>0</v>
      </c>
      <c r="M339" t="n">
        <v>0</v>
      </c>
      <c r="N339" t="n">
        <v>0</v>
      </c>
      <c r="O339" t="n">
        <v>0</v>
      </c>
      <c r="P339" t="n">
        <v>0</v>
      </c>
      <c r="Q339" t="n">
        <v>1</v>
      </c>
      <c r="R339" s="2" t="inlineStr">
        <is>
          <t>Purpurmylia</t>
        </is>
      </c>
      <c r="S339">
        <f>HYPERLINK("https://klasma.github.io/Logging_1904/artfynd/A 45374-2023 artfynd.xlsx", "A 45374-2023")</f>
        <v/>
      </c>
      <c r="T339">
        <f>HYPERLINK("https://klasma.github.io/Logging_1904/kartor/A 45374-2023 karta.png", "A 45374-2023")</f>
        <v/>
      </c>
      <c r="V339">
        <f>HYPERLINK("https://klasma.github.io/Logging_1904/klagomål/A 45374-2023 FSC-klagomål.docx", "A 45374-2023")</f>
        <v/>
      </c>
      <c r="W339">
        <f>HYPERLINK("https://klasma.github.io/Logging_1904/klagomålsmail/A 45374-2023 FSC-klagomål mail.docx", "A 45374-2023")</f>
        <v/>
      </c>
      <c r="X339">
        <f>HYPERLINK("https://klasma.github.io/Logging_1904/tillsyn/A 45374-2023 tillsynsbegäran.docx", "A 45374-2023")</f>
        <v/>
      </c>
      <c r="Y339">
        <f>HYPERLINK("https://klasma.github.io/Logging_1904/tillsynsmail/A 45374-2023 tillsynsbegäran mail.docx", "A 45374-2023")</f>
        <v/>
      </c>
    </row>
    <row r="340" ht="15" customHeight="1">
      <c r="A340" t="inlineStr">
        <is>
          <t>A 47695-2023</t>
        </is>
      </c>
      <c r="B340" s="1" t="n">
        <v>45203</v>
      </c>
      <c r="C340" s="1" t="n">
        <v>45637</v>
      </c>
      <c r="D340" t="inlineStr">
        <is>
          <t>VÄSTMANLANDS LÄN</t>
        </is>
      </c>
      <c r="E340" t="inlineStr">
        <is>
          <t>VÄSTERÅS</t>
        </is>
      </c>
      <c r="G340" t="n">
        <v>6</v>
      </c>
      <c r="H340" t="n">
        <v>0</v>
      </c>
      <c r="I340" t="n">
        <v>1</v>
      </c>
      <c r="J340" t="n">
        <v>0</v>
      </c>
      <c r="K340" t="n">
        <v>0</v>
      </c>
      <c r="L340" t="n">
        <v>0</v>
      </c>
      <c r="M340" t="n">
        <v>0</v>
      </c>
      <c r="N340" t="n">
        <v>0</v>
      </c>
      <c r="O340" t="n">
        <v>0</v>
      </c>
      <c r="P340" t="n">
        <v>0</v>
      </c>
      <c r="Q340" t="n">
        <v>1</v>
      </c>
      <c r="R340" s="2" t="inlineStr">
        <is>
          <t>Hasselticka</t>
        </is>
      </c>
      <c r="S340">
        <f>HYPERLINK("https://klasma.github.io/Logging_1980/artfynd/A 47695-2023 artfynd.xlsx", "A 47695-2023")</f>
        <v/>
      </c>
      <c r="T340">
        <f>HYPERLINK("https://klasma.github.io/Logging_1980/kartor/A 47695-2023 karta.png", "A 47695-2023")</f>
        <v/>
      </c>
      <c r="V340">
        <f>HYPERLINK("https://klasma.github.io/Logging_1980/klagomål/A 47695-2023 FSC-klagomål.docx", "A 47695-2023")</f>
        <v/>
      </c>
      <c r="W340">
        <f>HYPERLINK("https://klasma.github.io/Logging_1980/klagomålsmail/A 47695-2023 FSC-klagomål mail.docx", "A 47695-2023")</f>
        <v/>
      </c>
      <c r="X340">
        <f>HYPERLINK("https://klasma.github.io/Logging_1980/tillsyn/A 47695-2023 tillsynsbegäran.docx", "A 47695-2023")</f>
        <v/>
      </c>
      <c r="Y340">
        <f>HYPERLINK("https://klasma.github.io/Logging_1980/tillsynsmail/A 47695-2023 tillsynsbegäran mail.docx", "A 47695-2023")</f>
        <v/>
      </c>
    </row>
    <row r="341" ht="15" customHeight="1">
      <c r="A341" t="inlineStr">
        <is>
          <t>A 52476-2023</t>
        </is>
      </c>
      <c r="B341" s="1" t="n">
        <v>45225</v>
      </c>
      <c r="C341" s="1" t="n">
        <v>45637</v>
      </c>
      <c r="D341" t="inlineStr">
        <is>
          <t>VÄSTMANLANDS LÄN</t>
        </is>
      </c>
      <c r="E341" t="inlineStr">
        <is>
          <t>KÖPING</t>
        </is>
      </c>
      <c r="F341" t="inlineStr">
        <is>
          <t>Sveaskog</t>
        </is>
      </c>
      <c r="G341" t="n">
        <v>1.9</v>
      </c>
      <c r="H341" t="n">
        <v>0</v>
      </c>
      <c r="I341" t="n">
        <v>1</v>
      </c>
      <c r="J341" t="n">
        <v>0</v>
      </c>
      <c r="K341" t="n">
        <v>0</v>
      </c>
      <c r="L341" t="n">
        <v>0</v>
      </c>
      <c r="M341" t="n">
        <v>0</v>
      </c>
      <c r="N341" t="n">
        <v>0</v>
      </c>
      <c r="O341" t="n">
        <v>0</v>
      </c>
      <c r="P341" t="n">
        <v>0</v>
      </c>
      <c r="Q341" t="n">
        <v>1</v>
      </c>
      <c r="R341" s="2" t="inlineStr">
        <is>
          <t>Bårdlav</t>
        </is>
      </c>
      <c r="S341">
        <f>HYPERLINK("https://klasma.github.io/Logging_1983/artfynd/A 52476-2023 artfynd.xlsx", "A 52476-2023")</f>
        <v/>
      </c>
      <c r="T341">
        <f>HYPERLINK("https://klasma.github.io/Logging_1983/kartor/A 52476-2023 karta.png", "A 52476-2023")</f>
        <v/>
      </c>
      <c r="V341">
        <f>HYPERLINK("https://klasma.github.io/Logging_1983/klagomål/A 52476-2023 FSC-klagomål.docx", "A 52476-2023")</f>
        <v/>
      </c>
      <c r="W341">
        <f>HYPERLINK("https://klasma.github.io/Logging_1983/klagomålsmail/A 52476-2023 FSC-klagomål mail.docx", "A 52476-2023")</f>
        <v/>
      </c>
      <c r="X341">
        <f>HYPERLINK("https://klasma.github.io/Logging_1983/tillsyn/A 52476-2023 tillsynsbegäran.docx", "A 52476-2023")</f>
        <v/>
      </c>
      <c r="Y341">
        <f>HYPERLINK("https://klasma.github.io/Logging_1983/tillsynsmail/A 52476-2023 tillsynsbegäran mail.docx", "A 52476-2023")</f>
        <v/>
      </c>
    </row>
    <row r="342" ht="15" customHeight="1">
      <c r="A342" t="inlineStr">
        <is>
          <t>A 55550-2023</t>
        </is>
      </c>
      <c r="B342" s="1" t="n">
        <v>45232</v>
      </c>
      <c r="C342" s="1" t="n">
        <v>45637</v>
      </c>
      <c r="D342" t="inlineStr">
        <is>
          <t>VÄSTMANLANDS LÄN</t>
        </is>
      </c>
      <c r="E342" t="inlineStr">
        <is>
          <t>SALA</t>
        </is>
      </c>
      <c r="G342" t="n">
        <v>9.9</v>
      </c>
      <c r="H342" t="n">
        <v>1</v>
      </c>
      <c r="I342" t="n">
        <v>0</v>
      </c>
      <c r="J342" t="n">
        <v>0</v>
      </c>
      <c r="K342" t="n">
        <v>1</v>
      </c>
      <c r="L342" t="n">
        <v>0</v>
      </c>
      <c r="M342" t="n">
        <v>0</v>
      </c>
      <c r="N342" t="n">
        <v>0</v>
      </c>
      <c r="O342" t="n">
        <v>1</v>
      </c>
      <c r="P342" t="n">
        <v>1</v>
      </c>
      <c r="Q342" t="n">
        <v>1</v>
      </c>
      <c r="R342" s="2" t="inlineStr">
        <is>
          <t>Knärot</t>
        </is>
      </c>
      <c r="S342">
        <f>HYPERLINK("https://klasma.github.io/Logging_1981/artfynd/A 55550-2023 artfynd.xlsx", "A 55550-2023")</f>
        <v/>
      </c>
      <c r="T342">
        <f>HYPERLINK("https://klasma.github.io/Logging_1981/kartor/A 55550-2023 karta.png", "A 55550-2023")</f>
        <v/>
      </c>
      <c r="U342">
        <f>HYPERLINK("https://klasma.github.io/Logging_1981/knärot/A 55550-2023 karta knärot.png", "A 55550-2023")</f>
        <v/>
      </c>
      <c r="V342">
        <f>HYPERLINK("https://klasma.github.io/Logging_1981/klagomål/A 55550-2023 FSC-klagomål.docx", "A 55550-2023")</f>
        <v/>
      </c>
      <c r="W342">
        <f>HYPERLINK("https://klasma.github.io/Logging_1981/klagomålsmail/A 55550-2023 FSC-klagomål mail.docx", "A 55550-2023")</f>
        <v/>
      </c>
      <c r="X342">
        <f>HYPERLINK("https://klasma.github.io/Logging_1981/tillsyn/A 55550-2023 tillsynsbegäran.docx", "A 55550-2023")</f>
        <v/>
      </c>
      <c r="Y342">
        <f>HYPERLINK("https://klasma.github.io/Logging_1981/tillsynsmail/A 55550-2023 tillsynsbegäran mail.docx", "A 55550-2023")</f>
        <v/>
      </c>
    </row>
    <row r="343" ht="15" customHeight="1">
      <c r="A343" t="inlineStr">
        <is>
          <t>A 55684-2023</t>
        </is>
      </c>
      <c r="B343" s="1" t="n">
        <v>45232</v>
      </c>
      <c r="C343" s="1" t="n">
        <v>45637</v>
      </c>
      <c r="D343" t="inlineStr">
        <is>
          <t>VÄSTMANLANDS LÄN</t>
        </is>
      </c>
      <c r="E343" t="inlineStr">
        <is>
          <t>VÄSTERÅS</t>
        </is>
      </c>
      <c r="F343" t="inlineStr">
        <is>
          <t>Övriga Aktiebolag</t>
        </is>
      </c>
      <c r="G343" t="n">
        <v>29.4</v>
      </c>
      <c r="H343" t="n">
        <v>0</v>
      </c>
      <c r="I343" t="n">
        <v>0</v>
      </c>
      <c r="J343" t="n">
        <v>1</v>
      </c>
      <c r="K343" t="n">
        <v>0</v>
      </c>
      <c r="L343" t="n">
        <v>0</v>
      </c>
      <c r="M343" t="n">
        <v>0</v>
      </c>
      <c r="N343" t="n">
        <v>0</v>
      </c>
      <c r="O343" t="n">
        <v>1</v>
      </c>
      <c r="P343" t="n">
        <v>0</v>
      </c>
      <c r="Q343" t="n">
        <v>1</v>
      </c>
      <c r="R343" s="2" t="inlineStr">
        <is>
          <t>Mindre timmerman</t>
        </is>
      </c>
      <c r="S343">
        <f>HYPERLINK("https://klasma.github.io/Logging_1980/artfynd/A 55684-2023 artfynd.xlsx", "A 55684-2023")</f>
        <v/>
      </c>
      <c r="T343">
        <f>HYPERLINK("https://klasma.github.io/Logging_1980/kartor/A 55684-2023 karta.png", "A 55684-2023")</f>
        <v/>
      </c>
      <c r="V343">
        <f>HYPERLINK("https://klasma.github.io/Logging_1980/klagomål/A 55684-2023 FSC-klagomål.docx", "A 55684-2023")</f>
        <v/>
      </c>
      <c r="W343">
        <f>HYPERLINK("https://klasma.github.io/Logging_1980/klagomålsmail/A 55684-2023 FSC-klagomål mail.docx", "A 55684-2023")</f>
        <v/>
      </c>
      <c r="X343">
        <f>HYPERLINK("https://klasma.github.io/Logging_1980/tillsyn/A 55684-2023 tillsynsbegäran.docx", "A 55684-2023")</f>
        <v/>
      </c>
      <c r="Y343">
        <f>HYPERLINK("https://klasma.github.io/Logging_1980/tillsynsmail/A 55684-2023 tillsynsbegäran mail.docx", "A 55684-2023")</f>
        <v/>
      </c>
    </row>
    <row r="344" ht="15" customHeight="1">
      <c r="A344" t="inlineStr">
        <is>
          <t>A 56362-2023</t>
        </is>
      </c>
      <c r="B344" s="1" t="n">
        <v>45236</v>
      </c>
      <c r="C344" s="1" t="n">
        <v>45637</v>
      </c>
      <c r="D344" t="inlineStr">
        <is>
          <t>VÄSTMANLANDS LÄN</t>
        </is>
      </c>
      <c r="E344" t="inlineStr">
        <is>
          <t>SURAHAMMAR</t>
        </is>
      </c>
      <c r="F344" t="inlineStr">
        <is>
          <t>Bergvik skog väst AB</t>
        </is>
      </c>
      <c r="G344" t="n">
        <v>15.2</v>
      </c>
      <c r="H344" t="n">
        <v>0</v>
      </c>
      <c r="I344" t="n">
        <v>1</v>
      </c>
      <c r="J344" t="n">
        <v>0</v>
      </c>
      <c r="K344" t="n">
        <v>0</v>
      </c>
      <c r="L344" t="n">
        <v>0</v>
      </c>
      <c r="M344" t="n">
        <v>0</v>
      </c>
      <c r="N344" t="n">
        <v>0</v>
      </c>
      <c r="O344" t="n">
        <v>0</v>
      </c>
      <c r="P344" t="n">
        <v>0</v>
      </c>
      <c r="Q344" t="n">
        <v>1</v>
      </c>
      <c r="R344" s="2" t="inlineStr">
        <is>
          <t>Grönpyrola</t>
        </is>
      </c>
      <c r="S344">
        <f>HYPERLINK("https://klasma.github.io/Logging_1907/artfynd/A 56362-2023 artfynd.xlsx", "A 56362-2023")</f>
        <v/>
      </c>
      <c r="T344">
        <f>HYPERLINK("https://klasma.github.io/Logging_1907/kartor/A 56362-2023 karta.png", "A 56362-2023")</f>
        <v/>
      </c>
      <c r="V344">
        <f>HYPERLINK("https://klasma.github.io/Logging_1907/klagomål/A 56362-2023 FSC-klagomål.docx", "A 56362-2023")</f>
        <v/>
      </c>
      <c r="W344">
        <f>HYPERLINK("https://klasma.github.io/Logging_1907/klagomålsmail/A 56362-2023 FSC-klagomål mail.docx", "A 56362-2023")</f>
        <v/>
      </c>
      <c r="X344">
        <f>HYPERLINK("https://klasma.github.io/Logging_1907/tillsyn/A 56362-2023 tillsynsbegäran.docx", "A 56362-2023")</f>
        <v/>
      </c>
      <c r="Y344">
        <f>HYPERLINK("https://klasma.github.io/Logging_1907/tillsynsmail/A 56362-2023 tillsynsbegäran mail.docx", "A 56362-2023")</f>
        <v/>
      </c>
    </row>
    <row r="345" ht="15" customHeight="1">
      <c r="A345" t="inlineStr">
        <is>
          <t>A 55157-2023</t>
        </is>
      </c>
      <c r="B345" s="1" t="n">
        <v>45237</v>
      </c>
      <c r="C345" s="1" t="n">
        <v>45637</v>
      </c>
      <c r="D345" t="inlineStr">
        <is>
          <t>VÄSTMANLANDS LÄN</t>
        </is>
      </c>
      <c r="E345" t="inlineStr">
        <is>
          <t>KÖPING</t>
        </is>
      </c>
      <c r="G345" t="n">
        <v>6.7</v>
      </c>
      <c r="H345" t="n">
        <v>1</v>
      </c>
      <c r="I345" t="n">
        <v>0</v>
      </c>
      <c r="J345" t="n">
        <v>0</v>
      </c>
      <c r="K345" t="n">
        <v>0</v>
      </c>
      <c r="L345" t="n">
        <v>0</v>
      </c>
      <c r="M345" t="n">
        <v>0</v>
      </c>
      <c r="N345" t="n">
        <v>0</v>
      </c>
      <c r="O345" t="n">
        <v>0</v>
      </c>
      <c r="P345" t="n">
        <v>0</v>
      </c>
      <c r="Q345" t="n">
        <v>1</v>
      </c>
      <c r="R345" s="2" t="inlineStr">
        <is>
          <t>Nattviol</t>
        </is>
      </c>
      <c r="S345">
        <f>HYPERLINK("https://klasma.github.io/Logging_1983/artfynd/A 55157-2023 artfynd.xlsx", "A 55157-2023")</f>
        <v/>
      </c>
      <c r="T345">
        <f>HYPERLINK("https://klasma.github.io/Logging_1983/kartor/A 55157-2023 karta.png", "A 55157-2023")</f>
        <v/>
      </c>
      <c r="V345">
        <f>HYPERLINK("https://klasma.github.io/Logging_1983/klagomål/A 55157-2023 FSC-klagomål.docx", "A 55157-2023")</f>
        <v/>
      </c>
      <c r="W345">
        <f>HYPERLINK("https://klasma.github.io/Logging_1983/klagomålsmail/A 55157-2023 FSC-klagomål mail.docx", "A 55157-2023")</f>
        <v/>
      </c>
      <c r="X345">
        <f>HYPERLINK("https://klasma.github.io/Logging_1983/tillsyn/A 55157-2023 tillsynsbegäran.docx", "A 55157-2023")</f>
        <v/>
      </c>
      <c r="Y345">
        <f>HYPERLINK("https://klasma.github.io/Logging_1983/tillsynsmail/A 55157-2023 tillsynsbegäran mail.docx", "A 55157-2023")</f>
        <v/>
      </c>
    </row>
    <row r="346" ht="15" customHeight="1">
      <c r="A346" t="inlineStr">
        <is>
          <t>A 58244-2023</t>
        </is>
      </c>
      <c r="B346" s="1" t="n">
        <v>45250</v>
      </c>
      <c r="C346" s="1" t="n">
        <v>45637</v>
      </c>
      <c r="D346" t="inlineStr">
        <is>
          <t>VÄSTMANLANDS LÄN</t>
        </is>
      </c>
      <c r="E346" t="inlineStr">
        <is>
          <t>SKINNSKATTEBERG</t>
        </is>
      </c>
      <c r="F346" t="inlineStr">
        <is>
          <t>Sveaskog</t>
        </is>
      </c>
      <c r="G346" t="n">
        <v>7.6</v>
      </c>
      <c r="H346" t="n">
        <v>0</v>
      </c>
      <c r="I346" t="n">
        <v>0</v>
      </c>
      <c r="J346" t="n">
        <v>1</v>
      </c>
      <c r="K346" t="n">
        <v>0</v>
      </c>
      <c r="L346" t="n">
        <v>0</v>
      </c>
      <c r="M346" t="n">
        <v>0</v>
      </c>
      <c r="N346" t="n">
        <v>0</v>
      </c>
      <c r="O346" t="n">
        <v>1</v>
      </c>
      <c r="P346" t="n">
        <v>0</v>
      </c>
      <c r="Q346" t="n">
        <v>1</v>
      </c>
      <c r="R346" s="2" t="inlineStr">
        <is>
          <t>Motaggsvamp</t>
        </is>
      </c>
      <c r="S346">
        <f>HYPERLINK("https://klasma.github.io/Logging_1904/artfynd/A 58244-2023 artfynd.xlsx", "A 58244-2023")</f>
        <v/>
      </c>
      <c r="T346">
        <f>HYPERLINK("https://klasma.github.io/Logging_1904/kartor/A 58244-2023 karta.png", "A 58244-2023")</f>
        <v/>
      </c>
      <c r="V346">
        <f>HYPERLINK("https://klasma.github.io/Logging_1904/klagomål/A 58244-2023 FSC-klagomål.docx", "A 58244-2023")</f>
        <v/>
      </c>
      <c r="W346">
        <f>HYPERLINK("https://klasma.github.io/Logging_1904/klagomålsmail/A 58244-2023 FSC-klagomål mail.docx", "A 58244-2023")</f>
        <v/>
      </c>
      <c r="X346">
        <f>HYPERLINK("https://klasma.github.io/Logging_1904/tillsyn/A 58244-2023 tillsynsbegäran.docx", "A 58244-2023")</f>
        <v/>
      </c>
      <c r="Y346">
        <f>HYPERLINK("https://klasma.github.io/Logging_1904/tillsynsmail/A 58244-2023 tillsynsbegäran mail.docx", "A 58244-2023")</f>
        <v/>
      </c>
    </row>
    <row r="347" ht="15" customHeight="1">
      <c r="A347" t="inlineStr">
        <is>
          <t>A 61254-2023</t>
        </is>
      </c>
      <c r="B347" s="1" t="n">
        <v>45264</v>
      </c>
      <c r="C347" s="1" t="n">
        <v>45637</v>
      </c>
      <c r="D347" t="inlineStr">
        <is>
          <t>VÄSTMANLANDS LÄN</t>
        </is>
      </c>
      <c r="E347" t="inlineStr">
        <is>
          <t>VÄSTERÅS</t>
        </is>
      </c>
      <c r="G347" t="n">
        <v>0.8</v>
      </c>
      <c r="H347" t="n">
        <v>1</v>
      </c>
      <c r="I347" t="n">
        <v>0</v>
      </c>
      <c r="J347" t="n">
        <v>0</v>
      </c>
      <c r="K347" t="n">
        <v>0</v>
      </c>
      <c r="L347" t="n">
        <v>0</v>
      </c>
      <c r="M347" t="n">
        <v>0</v>
      </c>
      <c r="N347" t="n">
        <v>0</v>
      </c>
      <c r="O347" t="n">
        <v>0</v>
      </c>
      <c r="P347" t="n">
        <v>0</v>
      </c>
      <c r="Q347" t="n">
        <v>1</v>
      </c>
      <c r="R347" s="2" t="inlineStr">
        <is>
          <t>Mistel</t>
        </is>
      </c>
      <c r="S347">
        <f>HYPERLINK("https://klasma.github.io/Logging_1980/artfynd/A 61254-2023 artfynd.xlsx", "A 61254-2023")</f>
        <v/>
      </c>
      <c r="T347">
        <f>HYPERLINK("https://klasma.github.io/Logging_1980/kartor/A 61254-2023 karta.png", "A 61254-2023")</f>
        <v/>
      </c>
      <c r="V347">
        <f>HYPERLINK("https://klasma.github.io/Logging_1980/klagomål/A 61254-2023 FSC-klagomål.docx", "A 61254-2023")</f>
        <v/>
      </c>
      <c r="W347">
        <f>HYPERLINK("https://klasma.github.io/Logging_1980/klagomålsmail/A 61254-2023 FSC-klagomål mail.docx", "A 61254-2023")</f>
        <v/>
      </c>
      <c r="X347">
        <f>HYPERLINK("https://klasma.github.io/Logging_1980/tillsyn/A 61254-2023 tillsynsbegäran.docx", "A 61254-2023")</f>
        <v/>
      </c>
      <c r="Y347">
        <f>HYPERLINK("https://klasma.github.io/Logging_1980/tillsynsmail/A 61254-2023 tillsynsbegäran mail.docx", "A 61254-2023")</f>
        <v/>
      </c>
    </row>
    <row r="348" ht="15" customHeight="1">
      <c r="A348" t="inlineStr">
        <is>
          <t>A 3534-2024</t>
        </is>
      </c>
      <c r="B348" s="1" t="n">
        <v>45320</v>
      </c>
      <c r="C348" s="1" t="n">
        <v>45637</v>
      </c>
      <c r="D348" t="inlineStr">
        <is>
          <t>VÄSTMANLANDS LÄN</t>
        </is>
      </c>
      <c r="E348" t="inlineStr">
        <is>
          <t>SALA</t>
        </is>
      </c>
      <c r="G348" t="n">
        <v>1.9</v>
      </c>
      <c r="H348" t="n">
        <v>1</v>
      </c>
      <c r="I348" t="n">
        <v>0</v>
      </c>
      <c r="J348" t="n">
        <v>0</v>
      </c>
      <c r="K348" t="n">
        <v>0</v>
      </c>
      <c r="L348" t="n">
        <v>1</v>
      </c>
      <c r="M348" t="n">
        <v>0</v>
      </c>
      <c r="N348" t="n">
        <v>0</v>
      </c>
      <c r="O348" t="n">
        <v>1</v>
      </c>
      <c r="P348" t="n">
        <v>1</v>
      </c>
      <c r="Q348" t="n">
        <v>1</v>
      </c>
      <c r="R348" s="2" t="inlineStr">
        <is>
          <t>Mosippa</t>
        </is>
      </c>
      <c r="S348">
        <f>HYPERLINK("https://klasma.github.io/Logging_1981/artfynd/A 3534-2024 artfynd.xlsx", "A 3534-2024")</f>
        <v/>
      </c>
      <c r="T348">
        <f>HYPERLINK("https://klasma.github.io/Logging_1981/kartor/A 3534-2024 karta.png", "A 3534-2024")</f>
        <v/>
      </c>
      <c r="V348">
        <f>HYPERLINK("https://klasma.github.io/Logging_1981/klagomål/A 3534-2024 FSC-klagomål.docx", "A 3534-2024")</f>
        <v/>
      </c>
      <c r="W348">
        <f>HYPERLINK("https://klasma.github.io/Logging_1981/klagomålsmail/A 3534-2024 FSC-klagomål mail.docx", "A 3534-2024")</f>
        <v/>
      </c>
      <c r="X348">
        <f>HYPERLINK("https://klasma.github.io/Logging_1981/tillsyn/A 3534-2024 tillsynsbegäran.docx", "A 3534-2024")</f>
        <v/>
      </c>
      <c r="Y348">
        <f>HYPERLINK("https://klasma.github.io/Logging_1981/tillsynsmail/A 3534-2024 tillsynsbegäran mail.docx", "A 3534-2024")</f>
        <v/>
      </c>
    </row>
    <row r="349" ht="15" customHeight="1">
      <c r="A349" t="inlineStr">
        <is>
          <t>A 3649-2024</t>
        </is>
      </c>
      <c r="B349" s="1" t="n">
        <v>45321</v>
      </c>
      <c r="C349" s="1" t="n">
        <v>45637</v>
      </c>
      <c r="D349" t="inlineStr">
        <is>
          <t>VÄSTMANLANDS LÄN</t>
        </is>
      </c>
      <c r="E349" t="inlineStr">
        <is>
          <t>SURAHAMMAR</t>
        </is>
      </c>
      <c r="F349" t="inlineStr">
        <is>
          <t>Övriga Aktiebolag</t>
        </is>
      </c>
      <c r="G349" t="n">
        <v>9.300000000000001</v>
      </c>
      <c r="H349" t="n">
        <v>1</v>
      </c>
      <c r="I349" t="n">
        <v>0</v>
      </c>
      <c r="J349" t="n">
        <v>0</v>
      </c>
      <c r="K349" t="n">
        <v>1</v>
      </c>
      <c r="L349" t="n">
        <v>0</v>
      </c>
      <c r="M349" t="n">
        <v>0</v>
      </c>
      <c r="N349" t="n">
        <v>0</v>
      </c>
      <c r="O349" t="n">
        <v>1</v>
      </c>
      <c r="P349" t="n">
        <v>1</v>
      </c>
      <c r="Q349" t="n">
        <v>1</v>
      </c>
      <c r="R349" s="2" t="inlineStr">
        <is>
          <t>Väddnätfjäril</t>
        </is>
      </c>
      <c r="S349">
        <f>HYPERLINK("https://klasma.github.io/Logging_1907/artfynd/A 3649-2024 artfynd.xlsx", "A 3649-2024")</f>
        <v/>
      </c>
      <c r="T349">
        <f>HYPERLINK("https://klasma.github.io/Logging_1907/kartor/A 3649-2024 karta.png", "A 3649-2024")</f>
        <v/>
      </c>
      <c r="V349">
        <f>HYPERLINK("https://klasma.github.io/Logging_1907/klagomål/A 3649-2024 FSC-klagomål.docx", "A 3649-2024")</f>
        <v/>
      </c>
      <c r="W349">
        <f>HYPERLINK("https://klasma.github.io/Logging_1907/klagomålsmail/A 3649-2024 FSC-klagomål mail.docx", "A 3649-2024")</f>
        <v/>
      </c>
      <c r="X349">
        <f>HYPERLINK("https://klasma.github.io/Logging_1907/tillsyn/A 3649-2024 tillsynsbegäran.docx", "A 3649-2024")</f>
        <v/>
      </c>
      <c r="Y349">
        <f>HYPERLINK("https://klasma.github.io/Logging_1907/tillsynsmail/A 3649-2024 tillsynsbegäran mail.docx", "A 3649-2024")</f>
        <v/>
      </c>
    </row>
    <row r="350" ht="15" customHeight="1">
      <c r="A350" t="inlineStr">
        <is>
          <t>A 3927-2024</t>
        </is>
      </c>
      <c r="B350" s="1" t="n">
        <v>45322</v>
      </c>
      <c r="C350" s="1" t="n">
        <v>45637</v>
      </c>
      <c r="D350" t="inlineStr">
        <is>
          <t>VÄSTMANLANDS LÄN</t>
        </is>
      </c>
      <c r="E350" t="inlineStr">
        <is>
          <t>KÖPING</t>
        </is>
      </c>
      <c r="G350" t="n">
        <v>4.8</v>
      </c>
      <c r="H350" t="n">
        <v>0</v>
      </c>
      <c r="I350" t="n">
        <v>0</v>
      </c>
      <c r="J350" t="n">
        <v>1</v>
      </c>
      <c r="K350" t="n">
        <v>0</v>
      </c>
      <c r="L350" t="n">
        <v>0</v>
      </c>
      <c r="M350" t="n">
        <v>0</v>
      </c>
      <c r="N350" t="n">
        <v>0</v>
      </c>
      <c r="O350" t="n">
        <v>1</v>
      </c>
      <c r="P350" t="n">
        <v>0</v>
      </c>
      <c r="Q350" t="n">
        <v>1</v>
      </c>
      <c r="R350" s="2" t="inlineStr">
        <is>
          <t>Druvfingersvamp</t>
        </is>
      </c>
      <c r="S350">
        <f>HYPERLINK("https://klasma.github.io/Logging_1983/artfynd/A 3927-2024 artfynd.xlsx", "A 3927-2024")</f>
        <v/>
      </c>
      <c r="T350">
        <f>HYPERLINK("https://klasma.github.io/Logging_1983/kartor/A 3927-2024 karta.png", "A 3927-2024")</f>
        <v/>
      </c>
      <c r="V350">
        <f>HYPERLINK("https://klasma.github.io/Logging_1983/klagomål/A 3927-2024 FSC-klagomål.docx", "A 3927-2024")</f>
        <v/>
      </c>
      <c r="W350">
        <f>HYPERLINK("https://klasma.github.io/Logging_1983/klagomålsmail/A 3927-2024 FSC-klagomål mail.docx", "A 3927-2024")</f>
        <v/>
      </c>
      <c r="X350">
        <f>HYPERLINK("https://klasma.github.io/Logging_1983/tillsyn/A 3927-2024 tillsynsbegäran.docx", "A 3927-2024")</f>
        <v/>
      </c>
      <c r="Y350">
        <f>HYPERLINK("https://klasma.github.io/Logging_1983/tillsynsmail/A 3927-2024 tillsynsbegäran mail.docx", "A 3927-2024")</f>
        <v/>
      </c>
    </row>
    <row r="351" ht="15" customHeight="1">
      <c r="A351" t="inlineStr">
        <is>
          <t>A 6249-2024</t>
        </is>
      </c>
      <c r="B351" s="1" t="n">
        <v>45337</v>
      </c>
      <c r="C351" s="1" t="n">
        <v>45637</v>
      </c>
      <c r="D351" t="inlineStr">
        <is>
          <t>VÄSTMANLANDS LÄN</t>
        </is>
      </c>
      <c r="E351" t="inlineStr">
        <is>
          <t>VÄSTERÅS</t>
        </is>
      </c>
      <c r="G351" t="n">
        <v>6.5</v>
      </c>
      <c r="H351" t="n">
        <v>1</v>
      </c>
      <c r="I351" t="n">
        <v>0</v>
      </c>
      <c r="J351" t="n">
        <v>0</v>
      </c>
      <c r="K351" t="n">
        <v>0</v>
      </c>
      <c r="L351" t="n">
        <v>1</v>
      </c>
      <c r="M351" t="n">
        <v>0</v>
      </c>
      <c r="N351" t="n">
        <v>0</v>
      </c>
      <c r="O351" t="n">
        <v>1</v>
      </c>
      <c r="P351" t="n">
        <v>1</v>
      </c>
      <c r="Q351" t="n">
        <v>1</v>
      </c>
      <c r="R351" s="2" t="inlineStr">
        <is>
          <t>Grönfink</t>
        </is>
      </c>
      <c r="S351">
        <f>HYPERLINK("https://klasma.github.io/Logging_1980/artfynd/A 6249-2024 artfynd.xlsx", "A 6249-2024")</f>
        <v/>
      </c>
      <c r="T351">
        <f>HYPERLINK("https://klasma.github.io/Logging_1980/kartor/A 6249-2024 karta.png", "A 6249-2024")</f>
        <v/>
      </c>
      <c r="V351">
        <f>HYPERLINK("https://klasma.github.io/Logging_1980/klagomål/A 6249-2024 FSC-klagomål.docx", "A 6249-2024")</f>
        <v/>
      </c>
      <c r="W351">
        <f>HYPERLINK("https://klasma.github.io/Logging_1980/klagomålsmail/A 6249-2024 FSC-klagomål mail.docx", "A 6249-2024")</f>
        <v/>
      </c>
      <c r="X351">
        <f>HYPERLINK("https://klasma.github.io/Logging_1980/tillsyn/A 6249-2024 tillsynsbegäran.docx", "A 6249-2024")</f>
        <v/>
      </c>
      <c r="Y351">
        <f>HYPERLINK("https://klasma.github.io/Logging_1980/tillsynsmail/A 6249-2024 tillsynsbegäran mail.docx", "A 6249-2024")</f>
        <v/>
      </c>
      <c r="Z351">
        <f>HYPERLINK("https://klasma.github.io/Logging_1980/fåglar/A 6249-2024 prioriterade fågelarter.docx", "A 6249-2024")</f>
        <v/>
      </c>
    </row>
    <row r="352" ht="15" customHeight="1">
      <c r="A352" t="inlineStr">
        <is>
          <t>A 9510-2024</t>
        </is>
      </c>
      <c r="B352" s="1" t="n">
        <v>45359</v>
      </c>
      <c r="C352" s="1" t="n">
        <v>45637</v>
      </c>
      <c r="D352" t="inlineStr">
        <is>
          <t>VÄSTMANLANDS LÄN</t>
        </is>
      </c>
      <c r="E352" t="inlineStr">
        <is>
          <t>KÖPING</t>
        </is>
      </c>
      <c r="F352" t="inlineStr">
        <is>
          <t>Sveaskog</t>
        </is>
      </c>
      <c r="G352" t="n">
        <v>3</v>
      </c>
      <c r="H352" t="n">
        <v>0</v>
      </c>
      <c r="I352" t="n">
        <v>0</v>
      </c>
      <c r="J352" t="n">
        <v>1</v>
      </c>
      <c r="K352" t="n">
        <v>0</v>
      </c>
      <c r="L352" t="n">
        <v>0</v>
      </c>
      <c r="M352" t="n">
        <v>0</v>
      </c>
      <c r="N352" t="n">
        <v>0</v>
      </c>
      <c r="O352" t="n">
        <v>1</v>
      </c>
      <c r="P352" t="n">
        <v>0</v>
      </c>
      <c r="Q352" t="n">
        <v>1</v>
      </c>
      <c r="R352" s="2" t="inlineStr">
        <is>
          <t>Storgröe</t>
        </is>
      </c>
      <c r="S352">
        <f>HYPERLINK("https://klasma.github.io/Logging_1983/artfynd/A 9510-2024 artfynd.xlsx", "A 9510-2024")</f>
        <v/>
      </c>
      <c r="T352">
        <f>HYPERLINK("https://klasma.github.io/Logging_1983/kartor/A 9510-2024 karta.png", "A 9510-2024")</f>
        <v/>
      </c>
      <c r="V352">
        <f>HYPERLINK("https://klasma.github.io/Logging_1983/klagomål/A 9510-2024 FSC-klagomål.docx", "A 9510-2024")</f>
        <v/>
      </c>
      <c r="W352">
        <f>HYPERLINK("https://klasma.github.io/Logging_1983/klagomålsmail/A 9510-2024 FSC-klagomål mail.docx", "A 9510-2024")</f>
        <v/>
      </c>
      <c r="X352">
        <f>HYPERLINK("https://klasma.github.io/Logging_1983/tillsyn/A 9510-2024 tillsynsbegäran.docx", "A 9510-2024")</f>
        <v/>
      </c>
      <c r="Y352">
        <f>HYPERLINK("https://klasma.github.io/Logging_1983/tillsynsmail/A 9510-2024 tillsynsbegäran mail.docx", "A 9510-2024")</f>
        <v/>
      </c>
    </row>
    <row r="353" ht="15" customHeight="1">
      <c r="A353" t="inlineStr">
        <is>
          <t>A 10819-2024</t>
        </is>
      </c>
      <c r="B353" s="1" t="n">
        <v>45369</v>
      </c>
      <c r="C353" s="1" t="n">
        <v>45637</v>
      </c>
      <c r="D353" t="inlineStr">
        <is>
          <t>VÄSTMANLANDS LÄN</t>
        </is>
      </c>
      <c r="E353" t="inlineStr">
        <is>
          <t>SURAHAMMAR</t>
        </is>
      </c>
      <c r="G353" t="n">
        <v>2</v>
      </c>
      <c r="H353" t="n">
        <v>0</v>
      </c>
      <c r="I353" t="n">
        <v>1</v>
      </c>
      <c r="J353" t="n">
        <v>0</v>
      </c>
      <c r="K353" t="n">
        <v>0</v>
      </c>
      <c r="L353" t="n">
        <v>0</v>
      </c>
      <c r="M353" t="n">
        <v>0</v>
      </c>
      <c r="N353" t="n">
        <v>0</v>
      </c>
      <c r="O353" t="n">
        <v>0</v>
      </c>
      <c r="P353" t="n">
        <v>0</v>
      </c>
      <c r="Q353" t="n">
        <v>1</v>
      </c>
      <c r="R353" s="2" t="inlineStr">
        <is>
          <t>Tibast</t>
        </is>
      </c>
      <c r="S353">
        <f>HYPERLINK("https://klasma.github.io/Logging_1907/artfynd/A 10819-2024 artfynd.xlsx", "A 10819-2024")</f>
        <v/>
      </c>
      <c r="T353">
        <f>HYPERLINK("https://klasma.github.io/Logging_1907/kartor/A 10819-2024 karta.png", "A 10819-2024")</f>
        <v/>
      </c>
      <c r="V353">
        <f>HYPERLINK("https://klasma.github.io/Logging_1907/klagomål/A 10819-2024 FSC-klagomål.docx", "A 10819-2024")</f>
        <v/>
      </c>
      <c r="W353">
        <f>HYPERLINK("https://klasma.github.io/Logging_1907/klagomålsmail/A 10819-2024 FSC-klagomål mail.docx", "A 10819-2024")</f>
        <v/>
      </c>
      <c r="X353">
        <f>HYPERLINK("https://klasma.github.io/Logging_1907/tillsyn/A 10819-2024 tillsynsbegäran.docx", "A 10819-2024")</f>
        <v/>
      </c>
      <c r="Y353">
        <f>HYPERLINK("https://klasma.github.io/Logging_1907/tillsynsmail/A 10819-2024 tillsynsbegäran mail.docx", "A 10819-2024")</f>
        <v/>
      </c>
    </row>
    <row r="354" ht="15" customHeight="1">
      <c r="A354" t="inlineStr">
        <is>
          <t>A 12179-2024</t>
        </is>
      </c>
      <c r="B354" s="1" t="n">
        <v>45377</v>
      </c>
      <c r="C354" s="1" t="n">
        <v>45637</v>
      </c>
      <c r="D354" t="inlineStr">
        <is>
          <t>VÄSTMANLANDS LÄN</t>
        </is>
      </c>
      <c r="E354" t="inlineStr">
        <is>
          <t>KÖPING</t>
        </is>
      </c>
      <c r="F354" t="inlineStr">
        <is>
          <t>Allmännings- och besparingsskogar</t>
        </is>
      </c>
      <c r="G354" t="n">
        <v>11.4</v>
      </c>
      <c r="H354" t="n">
        <v>1</v>
      </c>
      <c r="I354" t="n">
        <v>0</v>
      </c>
      <c r="J354" t="n">
        <v>0</v>
      </c>
      <c r="K354" t="n">
        <v>0</v>
      </c>
      <c r="L354" t="n">
        <v>0</v>
      </c>
      <c r="M354" t="n">
        <v>0</v>
      </c>
      <c r="N354" t="n">
        <v>0</v>
      </c>
      <c r="O354" t="n">
        <v>0</v>
      </c>
      <c r="P354" t="n">
        <v>0</v>
      </c>
      <c r="Q354" t="n">
        <v>1</v>
      </c>
      <c r="R354" s="2" t="inlineStr">
        <is>
          <t>Orre</t>
        </is>
      </c>
      <c r="S354">
        <f>HYPERLINK("https://klasma.github.io/Logging_1983/artfynd/A 12179-2024 artfynd.xlsx", "A 12179-2024")</f>
        <v/>
      </c>
      <c r="T354">
        <f>HYPERLINK("https://klasma.github.io/Logging_1983/kartor/A 12179-2024 karta.png", "A 12179-2024")</f>
        <v/>
      </c>
      <c r="V354">
        <f>HYPERLINK("https://klasma.github.io/Logging_1983/klagomål/A 12179-2024 FSC-klagomål.docx", "A 12179-2024")</f>
        <v/>
      </c>
      <c r="W354">
        <f>HYPERLINK("https://klasma.github.io/Logging_1983/klagomålsmail/A 12179-2024 FSC-klagomål mail.docx", "A 12179-2024")</f>
        <v/>
      </c>
      <c r="X354">
        <f>HYPERLINK("https://klasma.github.io/Logging_1983/tillsyn/A 12179-2024 tillsynsbegäran.docx", "A 12179-2024")</f>
        <v/>
      </c>
      <c r="Y354">
        <f>HYPERLINK("https://klasma.github.io/Logging_1983/tillsynsmail/A 12179-2024 tillsynsbegäran mail.docx", "A 12179-2024")</f>
        <v/>
      </c>
      <c r="Z354">
        <f>HYPERLINK("https://klasma.github.io/Logging_1983/fåglar/A 12179-2024 prioriterade fågelarter.docx", "A 12179-2024")</f>
        <v/>
      </c>
    </row>
    <row r="355" ht="15" customHeight="1">
      <c r="A355" t="inlineStr">
        <is>
          <t>A 12434-2024</t>
        </is>
      </c>
      <c r="B355" s="1" t="n">
        <v>45379</v>
      </c>
      <c r="C355" s="1" t="n">
        <v>45637</v>
      </c>
      <c r="D355" t="inlineStr">
        <is>
          <t>VÄSTMANLANDS LÄN</t>
        </is>
      </c>
      <c r="E355" t="inlineStr">
        <is>
          <t>SALA</t>
        </is>
      </c>
      <c r="G355" t="n">
        <v>7.8</v>
      </c>
      <c r="H355" t="n">
        <v>1</v>
      </c>
      <c r="I355" t="n">
        <v>0</v>
      </c>
      <c r="J355" t="n">
        <v>0</v>
      </c>
      <c r="K355" t="n">
        <v>1</v>
      </c>
      <c r="L355" t="n">
        <v>0</v>
      </c>
      <c r="M355" t="n">
        <v>0</v>
      </c>
      <c r="N355" t="n">
        <v>0</v>
      </c>
      <c r="O355" t="n">
        <v>1</v>
      </c>
      <c r="P355" t="n">
        <v>1</v>
      </c>
      <c r="Q355" t="n">
        <v>1</v>
      </c>
      <c r="R355" s="2" t="inlineStr">
        <is>
          <t>Knärot</t>
        </is>
      </c>
      <c r="S355">
        <f>HYPERLINK("https://klasma.github.io/Logging_1981/artfynd/A 12434-2024 artfynd.xlsx", "A 12434-2024")</f>
        <v/>
      </c>
      <c r="T355">
        <f>HYPERLINK("https://klasma.github.io/Logging_1981/kartor/A 12434-2024 karta.png", "A 12434-2024")</f>
        <v/>
      </c>
      <c r="U355">
        <f>HYPERLINK("https://klasma.github.io/Logging_1981/knärot/A 12434-2024 karta knärot.png", "A 12434-2024")</f>
        <v/>
      </c>
      <c r="V355">
        <f>HYPERLINK("https://klasma.github.io/Logging_1981/klagomål/A 12434-2024 FSC-klagomål.docx", "A 12434-2024")</f>
        <v/>
      </c>
      <c r="W355">
        <f>HYPERLINK("https://klasma.github.io/Logging_1981/klagomålsmail/A 12434-2024 FSC-klagomål mail.docx", "A 12434-2024")</f>
        <v/>
      </c>
      <c r="X355">
        <f>HYPERLINK("https://klasma.github.io/Logging_1981/tillsyn/A 12434-2024 tillsynsbegäran.docx", "A 12434-2024")</f>
        <v/>
      </c>
      <c r="Y355">
        <f>HYPERLINK("https://klasma.github.io/Logging_1981/tillsynsmail/A 12434-2024 tillsynsbegäran mail.docx", "A 12434-2024")</f>
        <v/>
      </c>
    </row>
    <row r="356" ht="15" customHeight="1">
      <c r="A356" t="inlineStr">
        <is>
          <t>A 16015-2024</t>
        </is>
      </c>
      <c r="B356" s="1" t="n">
        <v>45405</v>
      </c>
      <c r="C356" s="1" t="n">
        <v>45637</v>
      </c>
      <c r="D356" t="inlineStr">
        <is>
          <t>VÄSTMANLANDS LÄN</t>
        </is>
      </c>
      <c r="E356" t="inlineStr">
        <is>
          <t>VÄSTERÅS</t>
        </is>
      </c>
      <c r="G356" t="n">
        <v>6.8</v>
      </c>
      <c r="H356" t="n">
        <v>0</v>
      </c>
      <c r="I356" t="n">
        <v>0</v>
      </c>
      <c r="J356" t="n">
        <v>1</v>
      </c>
      <c r="K356" t="n">
        <v>0</v>
      </c>
      <c r="L356" t="n">
        <v>0</v>
      </c>
      <c r="M356" t="n">
        <v>0</v>
      </c>
      <c r="N356" t="n">
        <v>0</v>
      </c>
      <c r="O356" t="n">
        <v>1</v>
      </c>
      <c r="P356" t="n">
        <v>0</v>
      </c>
      <c r="Q356" t="n">
        <v>1</v>
      </c>
      <c r="R356" s="2" t="inlineStr">
        <is>
          <t>Orange taggsvamp</t>
        </is>
      </c>
      <c r="S356">
        <f>HYPERLINK("https://klasma.github.io/Logging_1980/artfynd/A 16015-2024 artfynd.xlsx", "A 16015-2024")</f>
        <v/>
      </c>
      <c r="T356">
        <f>HYPERLINK("https://klasma.github.io/Logging_1980/kartor/A 16015-2024 karta.png", "A 16015-2024")</f>
        <v/>
      </c>
      <c r="V356">
        <f>HYPERLINK("https://klasma.github.io/Logging_1980/klagomål/A 16015-2024 FSC-klagomål.docx", "A 16015-2024")</f>
        <v/>
      </c>
      <c r="W356">
        <f>HYPERLINK("https://klasma.github.io/Logging_1980/klagomålsmail/A 16015-2024 FSC-klagomål mail.docx", "A 16015-2024")</f>
        <v/>
      </c>
      <c r="X356">
        <f>HYPERLINK("https://klasma.github.io/Logging_1980/tillsyn/A 16015-2024 tillsynsbegäran.docx", "A 16015-2024")</f>
        <v/>
      </c>
      <c r="Y356">
        <f>HYPERLINK("https://klasma.github.io/Logging_1980/tillsynsmail/A 16015-2024 tillsynsbegäran mail.docx", "A 16015-2024")</f>
        <v/>
      </c>
    </row>
    <row r="357" ht="15" customHeight="1">
      <c r="A357" t="inlineStr">
        <is>
          <t>A 17381-2024</t>
        </is>
      </c>
      <c r="B357" s="1" t="n">
        <v>45414</v>
      </c>
      <c r="C357" s="1" t="n">
        <v>45637</v>
      </c>
      <c r="D357" t="inlineStr">
        <is>
          <t>VÄSTMANLANDS LÄN</t>
        </is>
      </c>
      <c r="E357" t="inlineStr">
        <is>
          <t>SKINNSKATTEBERG</t>
        </is>
      </c>
      <c r="G357" t="n">
        <v>4.4</v>
      </c>
      <c r="H357" t="n">
        <v>0</v>
      </c>
      <c r="I357" t="n">
        <v>0</v>
      </c>
      <c r="J357" t="n">
        <v>1</v>
      </c>
      <c r="K357" t="n">
        <v>0</v>
      </c>
      <c r="L357" t="n">
        <v>0</v>
      </c>
      <c r="M357" t="n">
        <v>0</v>
      </c>
      <c r="N357" t="n">
        <v>0</v>
      </c>
      <c r="O357" t="n">
        <v>1</v>
      </c>
      <c r="P357" t="n">
        <v>0</v>
      </c>
      <c r="Q357" t="n">
        <v>1</v>
      </c>
      <c r="R357" s="2" t="inlineStr">
        <is>
          <t>Skogsklocka</t>
        </is>
      </c>
      <c r="S357">
        <f>HYPERLINK("https://klasma.github.io/Logging_1904/artfynd/A 17381-2024 artfynd.xlsx", "A 17381-2024")</f>
        <v/>
      </c>
      <c r="T357">
        <f>HYPERLINK("https://klasma.github.io/Logging_1904/kartor/A 17381-2024 karta.png", "A 17381-2024")</f>
        <v/>
      </c>
      <c r="V357">
        <f>HYPERLINK("https://klasma.github.io/Logging_1904/klagomål/A 17381-2024 FSC-klagomål.docx", "A 17381-2024")</f>
        <v/>
      </c>
      <c r="W357">
        <f>HYPERLINK("https://klasma.github.io/Logging_1904/klagomålsmail/A 17381-2024 FSC-klagomål mail.docx", "A 17381-2024")</f>
        <v/>
      </c>
      <c r="X357">
        <f>HYPERLINK("https://klasma.github.io/Logging_1904/tillsyn/A 17381-2024 tillsynsbegäran.docx", "A 17381-2024")</f>
        <v/>
      </c>
      <c r="Y357">
        <f>HYPERLINK("https://klasma.github.io/Logging_1904/tillsynsmail/A 17381-2024 tillsynsbegäran mail.docx", "A 17381-2024")</f>
        <v/>
      </c>
    </row>
    <row r="358" ht="15" customHeight="1">
      <c r="A358" t="inlineStr">
        <is>
          <t>A 18148-2024</t>
        </is>
      </c>
      <c r="B358" s="1" t="n">
        <v>45420</v>
      </c>
      <c r="C358" s="1" t="n">
        <v>45637</v>
      </c>
      <c r="D358" t="inlineStr">
        <is>
          <t>VÄSTMANLANDS LÄN</t>
        </is>
      </c>
      <c r="E358" t="inlineStr">
        <is>
          <t>VÄSTERÅS</t>
        </is>
      </c>
      <c r="G358" t="n">
        <v>11.2</v>
      </c>
      <c r="H358" t="n">
        <v>1</v>
      </c>
      <c r="I358" t="n">
        <v>0</v>
      </c>
      <c r="J358" t="n">
        <v>0</v>
      </c>
      <c r="K358" t="n">
        <v>0</v>
      </c>
      <c r="L358" t="n">
        <v>0</v>
      </c>
      <c r="M358" t="n">
        <v>0</v>
      </c>
      <c r="N358" t="n">
        <v>0</v>
      </c>
      <c r="O358" t="n">
        <v>0</v>
      </c>
      <c r="P358" t="n">
        <v>0</v>
      </c>
      <c r="Q358" t="n">
        <v>1</v>
      </c>
      <c r="R358" s="2" t="inlineStr">
        <is>
          <t>Vanlig padda</t>
        </is>
      </c>
      <c r="S358">
        <f>HYPERLINK("https://klasma.github.io/Logging_1980/artfynd/A 18148-2024 artfynd.xlsx", "A 18148-2024")</f>
        <v/>
      </c>
      <c r="T358">
        <f>HYPERLINK("https://klasma.github.io/Logging_1980/kartor/A 18148-2024 karta.png", "A 18148-2024")</f>
        <v/>
      </c>
      <c r="V358">
        <f>HYPERLINK("https://klasma.github.io/Logging_1980/klagomål/A 18148-2024 FSC-klagomål.docx", "A 18148-2024")</f>
        <v/>
      </c>
      <c r="W358">
        <f>HYPERLINK("https://klasma.github.io/Logging_1980/klagomålsmail/A 18148-2024 FSC-klagomål mail.docx", "A 18148-2024")</f>
        <v/>
      </c>
      <c r="X358">
        <f>HYPERLINK("https://klasma.github.io/Logging_1980/tillsyn/A 18148-2024 tillsynsbegäran.docx", "A 18148-2024")</f>
        <v/>
      </c>
      <c r="Y358">
        <f>HYPERLINK("https://klasma.github.io/Logging_1980/tillsynsmail/A 18148-2024 tillsynsbegäran mail.docx", "A 18148-2024")</f>
        <v/>
      </c>
    </row>
    <row r="359" ht="15" customHeight="1">
      <c r="A359" t="inlineStr">
        <is>
          <t>A 18495-2024</t>
        </is>
      </c>
      <c r="B359" s="1" t="n">
        <v>45425</v>
      </c>
      <c r="C359" s="1" t="n">
        <v>45637</v>
      </c>
      <c r="D359" t="inlineStr">
        <is>
          <t>VÄSTMANLANDS LÄN</t>
        </is>
      </c>
      <c r="E359" t="inlineStr">
        <is>
          <t>ARBOGA</t>
        </is>
      </c>
      <c r="F359" t="inlineStr">
        <is>
          <t>Sveaskog</t>
        </is>
      </c>
      <c r="G359" t="n">
        <v>1.6</v>
      </c>
      <c r="H359" t="n">
        <v>1</v>
      </c>
      <c r="I359" t="n">
        <v>0</v>
      </c>
      <c r="J359" t="n">
        <v>0</v>
      </c>
      <c r="K359" t="n">
        <v>0</v>
      </c>
      <c r="L359" t="n">
        <v>0</v>
      </c>
      <c r="M359" t="n">
        <v>0</v>
      </c>
      <c r="N359" t="n">
        <v>0</v>
      </c>
      <c r="O359" t="n">
        <v>0</v>
      </c>
      <c r="P359" t="n">
        <v>0</v>
      </c>
      <c r="Q359" t="n">
        <v>1</v>
      </c>
      <c r="R359" s="2" t="inlineStr">
        <is>
          <t>Blåsippa</t>
        </is>
      </c>
      <c r="S359">
        <f>HYPERLINK("https://klasma.github.io/Logging_1984/artfynd/A 18495-2024 artfynd.xlsx", "A 18495-2024")</f>
        <v/>
      </c>
      <c r="T359">
        <f>HYPERLINK("https://klasma.github.io/Logging_1984/kartor/A 18495-2024 karta.png", "A 18495-2024")</f>
        <v/>
      </c>
      <c r="V359">
        <f>HYPERLINK("https://klasma.github.io/Logging_1984/klagomål/A 18495-2024 FSC-klagomål.docx", "A 18495-2024")</f>
        <v/>
      </c>
      <c r="W359">
        <f>HYPERLINK("https://klasma.github.io/Logging_1984/klagomålsmail/A 18495-2024 FSC-klagomål mail.docx", "A 18495-2024")</f>
        <v/>
      </c>
      <c r="X359">
        <f>HYPERLINK("https://klasma.github.io/Logging_1984/tillsyn/A 18495-2024 tillsynsbegäran.docx", "A 18495-2024")</f>
        <v/>
      </c>
      <c r="Y359">
        <f>HYPERLINK("https://klasma.github.io/Logging_1984/tillsynsmail/A 18495-2024 tillsynsbegäran mail.docx", "A 18495-2024")</f>
        <v/>
      </c>
    </row>
    <row r="360" ht="15" customHeight="1">
      <c r="A360" t="inlineStr">
        <is>
          <t>A 19201-2024</t>
        </is>
      </c>
      <c r="B360" s="1" t="n">
        <v>45428</v>
      </c>
      <c r="C360" s="1" t="n">
        <v>45637</v>
      </c>
      <c r="D360" t="inlineStr">
        <is>
          <t>VÄSTMANLANDS LÄN</t>
        </is>
      </c>
      <c r="E360" t="inlineStr">
        <is>
          <t>SKINNSKATTEBERG</t>
        </is>
      </c>
      <c r="F360" t="inlineStr">
        <is>
          <t>Sveaskog</t>
        </is>
      </c>
      <c r="G360" t="n">
        <v>2.3</v>
      </c>
      <c r="H360" t="n">
        <v>1</v>
      </c>
      <c r="I360" t="n">
        <v>0</v>
      </c>
      <c r="J360" t="n">
        <v>1</v>
      </c>
      <c r="K360" t="n">
        <v>0</v>
      </c>
      <c r="L360" t="n">
        <v>0</v>
      </c>
      <c r="M360" t="n">
        <v>0</v>
      </c>
      <c r="N360" t="n">
        <v>0</v>
      </c>
      <c r="O360" t="n">
        <v>1</v>
      </c>
      <c r="P360" t="n">
        <v>0</v>
      </c>
      <c r="Q360" t="n">
        <v>1</v>
      </c>
      <c r="R360" s="2" t="inlineStr">
        <is>
          <t>Spillkråka</t>
        </is>
      </c>
      <c r="S360">
        <f>HYPERLINK("https://klasma.github.io/Logging_1904/artfynd/A 19201-2024 artfynd.xlsx", "A 19201-2024")</f>
        <v/>
      </c>
      <c r="T360">
        <f>HYPERLINK("https://klasma.github.io/Logging_1904/kartor/A 19201-2024 karta.png", "A 19201-2024")</f>
        <v/>
      </c>
      <c r="V360">
        <f>HYPERLINK("https://klasma.github.io/Logging_1904/klagomål/A 19201-2024 FSC-klagomål.docx", "A 19201-2024")</f>
        <v/>
      </c>
      <c r="W360">
        <f>HYPERLINK("https://klasma.github.io/Logging_1904/klagomålsmail/A 19201-2024 FSC-klagomål mail.docx", "A 19201-2024")</f>
        <v/>
      </c>
      <c r="X360">
        <f>HYPERLINK("https://klasma.github.io/Logging_1904/tillsyn/A 19201-2024 tillsynsbegäran.docx", "A 19201-2024")</f>
        <v/>
      </c>
      <c r="Y360">
        <f>HYPERLINK("https://klasma.github.io/Logging_1904/tillsynsmail/A 19201-2024 tillsynsbegäran mail.docx", "A 19201-2024")</f>
        <v/>
      </c>
      <c r="Z360">
        <f>HYPERLINK("https://klasma.github.io/Logging_1904/fåglar/A 19201-2024 prioriterade fågelarter.docx", "A 19201-2024")</f>
        <v/>
      </c>
    </row>
    <row r="361" ht="15" customHeight="1">
      <c r="A361" t="inlineStr">
        <is>
          <t>A 19716-2024</t>
        </is>
      </c>
      <c r="B361" s="1" t="n">
        <v>45432</v>
      </c>
      <c r="C361" s="1" t="n">
        <v>45637</v>
      </c>
      <c r="D361" t="inlineStr">
        <is>
          <t>VÄSTMANLANDS LÄN</t>
        </is>
      </c>
      <c r="E361" t="inlineStr">
        <is>
          <t>SALA</t>
        </is>
      </c>
      <c r="G361" t="n">
        <v>5.5</v>
      </c>
      <c r="H361" t="n">
        <v>1</v>
      </c>
      <c r="I361" t="n">
        <v>0</v>
      </c>
      <c r="J361" t="n">
        <v>0</v>
      </c>
      <c r="K361" t="n">
        <v>0</v>
      </c>
      <c r="L361" t="n">
        <v>0</v>
      </c>
      <c r="M361" t="n">
        <v>0</v>
      </c>
      <c r="N361" t="n">
        <v>0</v>
      </c>
      <c r="O361" t="n">
        <v>0</v>
      </c>
      <c r="P361" t="n">
        <v>0</v>
      </c>
      <c r="Q361" t="n">
        <v>1</v>
      </c>
      <c r="R361" s="2" t="inlineStr">
        <is>
          <t>Fläcknycklar</t>
        </is>
      </c>
      <c r="S361">
        <f>HYPERLINK("https://klasma.github.io/Logging_1981/artfynd/A 19716-2024 artfynd.xlsx", "A 19716-2024")</f>
        <v/>
      </c>
      <c r="T361">
        <f>HYPERLINK("https://klasma.github.io/Logging_1981/kartor/A 19716-2024 karta.png", "A 19716-2024")</f>
        <v/>
      </c>
      <c r="V361">
        <f>HYPERLINK("https://klasma.github.io/Logging_1981/klagomål/A 19716-2024 FSC-klagomål.docx", "A 19716-2024")</f>
        <v/>
      </c>
      <c r="W361">
        <f>HYPERLINK("https://klasma.github.io/Logging_1981/klagomålsmail/A 19716-2024 FSC-klagomål mail.docx", "A 19716-2024")</f>
        <v/>
      </c>
      <c r="X361">
        <f>HYPERLINK("https://klasma.github.io/Logging_1981/tillsyn/A 19716-2024 tillsynsbegäran.docx", "A 19716-2024")</f>
        <v/>
      </c>
      <c r="Y361">
        <f>HYPERLINK("https://klasma.github.io/Logging_1981/tillsynsmail/A 19716-2024 tillsynsbegäran mail.docx", "A 19716-2024")</f>
        <v/>
      </c>
    </row>
    <row r="362" ht="15" customHeight="1">
      <c r="A362" t="inlineStr">
        <is>
          <t>A 20064-2024</t>
        </is>
      </c>
      <c r="B362" s="1" t="n">
        <v>45434</v>
      </c>
      <c r="C362" s="1" t="n">
        <v>45637</v>
      </c>
      <c r="D362" t="inlineStr">
        <is>
          <t>VÄSTMANLANDS LÄN</t>
        </is>
      </c>
      <c r="E362" t="inlineStr">
        <is>
          <t>ARBOGA</t>
        </is>
      </c>
      <c r="G362" t="n">
        <v>7.1</v>
      </c>
      <c r="H362" t="n">
        <v>0</v>
      </c>
      <c r="I362" t="n">
        <v>0</v>
      </c>
      <c r="J362" t="n">
        <v>0</v>
      </c>
      <c r="K362" t="n">
        <v>0</v>
      </c>
      <c r="L362" t="n">
        <v>1</v>
      </c>
      <c r="M362" t="n">
        <v>0</v>
      </c>
      <c r="N362" t="n">
        <v>0</v>
      </c>
      <c r="O362" t="n">
        <v>1</v>
      </c>
      <c r="P362" t="n">
        <v>1</v>
      </c>
      <c r="Q362" t="n">
        <v>1</v>
      </c>
      <c r="R362" s="2" t="inlineStr">
        <is>
          <t>Ask</t>
        </is>
      </c>
      <c r="S362">
        <f>HYPERLINK("https://klasma.github.io/Logging_1984/artfynd/A 20064-2024 artfynd.xlsx", "A 20064-2024")</f>
        <v/>
      </c>
      <c r="T362">
        <f>HYPERLINK("https://klasma.github.io/Logging_1984/kartor/A 20064-2024 karta.png", "A 20064-2024")</f>
        <v/>
      </c>
      <c r="V362">
        <f>HYPERLINK("https://klasma.github.io/Logging_1984/klagomål/A 20064-2024 FSC-klagomål.docx", "A 20064-2024")</f>
        <v/>
      </c>
      <c r="W362">
        <f>HYPERLINK("https://klasma.github.io/Logging_1984/klagomålsmail/A 20064-2024 FSC-klagomål mail.docx", "A 20064-2024")</f>
        <v/>
      </c>
      <c r="X362">
        <f>HYPERLINK("https://klasma.github.io/Logging_1984/tillsyn/A 20064-2024 tillsynsbegäran.docx", "A 20064-2024")</f>
        <v/>
      </c>
      <c r="Y362">
        <f>HYPERLINK("https://klasma.github.io/Logging_1984/tillsynsmail/A 20064-2024 tillsynsbegäran mail.docx", "A 20064-2024")</f>
        <v/>
      </c>
    </row>
    <row r="363" ht="15" customHeight="1">
      <c r="A363" t="inlineStr">
        <is>
          <t>A 21576-2024</t>
        </is>
      </c>
      <c r="B363" s="1" t="n">
        <v>45441</v>
      </c>
      <c r="C363" s="1" t="n">
        <v>45637</v>
      </c>
      <c r="D363" t="inlineStr">
        <is>
          <t>VÄSTMANLANDS LÄN</t>
        </is>
      </c>
      <c r="E363" t="inlineStr">
        <is>
          <t>KÖPING</t>
        </is>
      </c>
      <c r="F363" t="inlineStr">
        <is>
          <t>Sveaskog</t>
        </is>
      </c>
      <c r="G363" t="n">
        <v>6.1</v>
      </c>
      <c r="H363" t="n">
        <v>0</v>
      </c>
      <c r="I363" t="n">
        <v>0</v>
      </c>
      <c r="J363" t="n">
        <v>1</v>
      </c>
      <c r="K363" t="n">
        <v>0</v>
      </c>
      <c r="L363" t="n">
        <v>0</v>
      </c>
      <c r="M363" t="n">
        <v>0</v>
      </c>
      <c r="N363" t="n">
        <v>0</v>
      </c>
      <c r="O363" t="n">
        <v>1</v>
      </c>
      <c r="P363" t="n">
        <v>0</v>
      </c>
      <c r="Q363" t="n">
        <v>1</v>
      </c>
      <c r="R363" s="2" t="inlineStr">
        <is>
          <t>Motaggsvamp</t>
        </is>
      </c>
      <c r="S363">
        <f>HYPERLINK("https://klasma.github.io/Logging_1983/artfynd/A 21576-2024 artfynd.xlsx", "A 21576-2024")</f>
        <v/>
      </c>
      <c r="T363">
        <f>HYPERLINK("https://klasma.github.io/Logging_1983/kartor/A 21576-2024 karta.png", "A 21576-2024")</f>
        <v/>
      </c>
      <c r="V363">
        <f>HYPERLINK("https://klasma.github.io/Logging_1983/klagomål/A 21576-2024 FSC-klagomål.docx", "A 21576-2024")</f>
        <v/>
      </c>
      <c r="W363">
        <f>HYPERLINK("https://klasma.github.io/Logging_1983/klagomålsmail/A 21576-2024 FSC-klagomål mail.docx", "A 21576-2024")</f>
        <v/>
      </c>
      <c r="X363">
        <f>HYPERLINK("https://klasma.github.io/Logging_1983/tillsyn/A 21576-2024 tillsynsbegäran.docx", "A 21576-2024")</f>
        <v/>
      </c>
      <c r="Y363">
        <f>HYPERLINK("https://klasma.github.io/Logging_1983/tillsynsmail/A 21576-2024 tillsynsbegäran mail.docx", "A 21576-2024")</f>
        <v/>
      </c>
    </row>
    <row r="364" ht="15" customHeight="1">
      <c r="A364" t="inlineStr">
        <is>
          <t>A 21574-2024</t>
        </is>
      </c>
      <c r="B364" s="1" t="n">
        <v>45441</v>
      </c>
      <c r="C364" s="1" t="n">
        <v>45637</v>
      </c>
      <c r="D364" t="inlineStr">
        <is>
          <t>VÄSTMANLANDS LÄN</t>
        </is>
      </c>
      <c r="E364" t="inlineStr">
        <is>
          <t>SKINNSKATTEBERG</t>
        </is>
      </c>
      <c r="F364" t="inlineStr">
        <is>
          <t>Sveaskog</t>
        </is>
      </c>
      <c r="G364" t="n">
        <v>2.2</v>
      </c>
      <c r="H364" t="n">
        <v>0</v>
      </c>
      <c r="I364" t="n">
        <v>0</v>
      </c>
      <c r="J364" t="n">
        <v>1</v>
      </c>
      <c r="K364" t="n">
        <v>0</v>
      </c>
      <c r="L364" t="n">
        <v>0</v>
      </c>
      <c r="M364" t="n">
        <v>0</v>
      </c>
      <c r="N364" t="n">
        <v>0</v>
      </c>
      <c r="O364" t="n">
        <v>1</v>
      </c>
      <c r="P364" t="n">
        <v>0</v>
      </c>
      <c r="Q364" t="n">
        <v>1</v>
      </c>
      <c r="R364" s="2" t="inlineStr">
        <is>
          <t>Vedskivlav</t>
        </is>
      </c>
      <c r="S364">
        <f>HYPERLINK("https://klasma.github.io/Logging_1904/artfynd/A 21574-2024 artfynd.xlsx", "A 21574-2024")</f>
        <v/>
      </c>
      <c r="T364">
        <f>HYPERLINK("https://klasma.github.io/Logging_1904/kartor/A 21574-2024 karta.png", "A 21574-2024")</f>
        <v/>
      </c>
      <c r="V364">
        <f>HYPERLINK("https://klasma.github.io/Logging_1904/klagomål/A 21574-2024 FSC-klagomål.docx", "A 21574-2024")</f>
        <v/>
      </c>
      <c r="W364">
        <f>HYPERLINK("https://klasma.github.io/Logging_1904/klagomålsmail/A 21574-2024 FSC-klagomål mail.docx", "A 21574-2024")</f>
        <v/>
      </c>
      <c r="X364">
        <f>HYPERLINK("https://klasma.github.io/Logging_1904/tillsyn/A 21574-2024 tillsynsbegäran.docx", "A 21574-2024")</f>
        <v/>
      </c>
      <c r="Y364">
        <f>HYPERLINK("https://klasma.github.io/Logging_1904/tillsynsmail/A 21574-2024 tillsynsbegäran mail.docx", "A 21574-2024")</f>
        <v/>
      </c>
    </row>
    <row r="365" ht="15" customHeight="1">
      <c r="A365" t="inlineStr">
        <is>
          <t>A 22350-2024</t>
        </is>
      </c>
      <c r="B365" s="1" t="n">
        <v>45446</v>
      </c>
      <c r="C365" s="1" t="n">
        <v>45637</v>
      </c>
      <c r="D365" t="inlineStr">
        <is>
          <t>VÄSTMANLANDS LÄN</t>
        </is>
      </c>
      <c r="E365" t="inlineStr">
        <is>
          <t>SALA</t>
        </is>
      </c>
      <c r="G365" t="n">
        <v>1.2</v>
      </c>
      <c r="H365" t="n">
        <v>1</v>
      </c>
      <c r="I365" t="n">
        <v>0</v>
      </c>
      <c r="J365" t="n">
        <v>0</v>
      </c>
      <c r="K365" t="n">
        <v>0</v>
      </c>
      <c r="L365" t="n">
        <v>0</v>
      </c>
      <c r="M365" t="n">
        <v>0</v>
      </c>
      <c r="N365" t="n">
        <v>0</v>
      </c>
      <c r="O365" t="n">
        <v>0</v>
      </c>
      <c r="P365" t="n">
        <v>0</v>
      </c>
      <c r="Q365" t="n">
        <v>1</v>
      </c>
      <c r="R365" s="2" t="inlineStr">
        <is>
          <t>Blåsippa</t>
        </is>
      </c>
      <c r="S365">
        <f>HYPERLINK("https://klasma.github.io/Logging_1981/artfynd/A 22350-2024 artfynd.xlsx", "A 22350-2024")</f>
        <v/>
      </c>
      <c r="T365">
        <f>HYPERLINK("https://klasma.github.io/Logging_1981/kartor/A 22350-2024 karta.png", "A 22350-2024")</f>
        <v/>
      </c>
      <c r="V365">
        <f>HYPERLINK("https://klasma.github.io/Logging_1981/klagomål/A 22350-2024 FSC-klagomål.docx", "A 22350-2024")</f>
        <v/>
      </c>
      <c r="W365">
        <f>HYPERLINK("https://klasma.github.io/Logging_1981/klagomålsmail/A 22350-2024 FSC-klagomål mail.docx", "A 22350-2024")</f>
        <v/>
      </c>
      <c r="X365">
        <f>HYPERLINK("https://klasma.github.io/Logging_1981/tillsyn/A 22350-2024 tillsynsbegäran.docx", "A 22350-2024")</f>
        <v/>
      </c>
      <c r="Y365">
        <f>HYPERLINK("https://klasma.github.io/Logging_1981/tillsynsmail/A 22350-2024 tillsynsbegäran mail.docx", "A 22350-2024")</f>
        <v/>
      </c>
    </row>
    <row r="366" ht="15" customHeight="1">
      <c r="A366" t="inlineStr">
        <is>
          <t>A 23444-2024</t>
        </is>
      </c>
      <c r="B366" s="1" t="n">
        <v>45453</v>
      </c>
      <c r="C366" s="1" t="n">
        <v>45637</v>
      </c>
      <c r="D366" t="inlineStr">
        <is>
          <t>VÄSTMANLANDS LÄN</t>
        </is>
      </c>
      <c r="E366" t="inlineStr">
        <is>
          <t>VÄSTERÅS</t>
        </is>
      </c>
      <c r="G366" t="n">
        <v>4.5</v>
      </c>
      <c r="H366" t="n">
        <v>0</v>
      </c>
      <c r="I366" t="n">
        <v>0</v>
      </c>
      <c r="J366" t="n">
        <v>1</v>
      </c>
      <c r="K366" t="n">
        <v>0</v>
      </c>
      <c r="L366" t="n">
        <v>0</v>
      </c>
      <c r="M366" t="n">
        <v>0</v>
      </c>
      <c r="N366" t="n">
        <v>0</v>
      </c>
      <c r="O366" t="n">
        <v>1</v>
      </c>
      <c r="P366" t="n">
        <v>0</v>
      </c>
      <c r="Q366" t="n">
        <v>1</v>
      </c>
      <c r="R366" s="2" t="inlineStr">
        <is>
          <t>Svart taggsvamp</t>
        </is>
      </c>
      <c r="S366">
        <f>HYPERLINK("https://klasma.github.io/Logging_1980/artfynd/A 23444-2024 artfynd.xlsx", "A 23444-2024")</f>
        <v/>
      </c>
      <c r="T366">
        <f>HYPERLINK("https://klasma.github.io/Logging_1980/kartor/A 23444-2024 karta.png", "A 23444-2024")</f>
        <v/>
      </c>
      <c r="V366">
        <f>HYPERLINK("https://klasma.github.io/Logging_1980/klagomål/A 23444-2024 FSC-klagomål.docx", "A 23444-2024")</f>
        <v/>
      </c>
      <c r="W366">
        <f>HYPERLINK("https://klasma.github.io/Logging_1980/klagomålsmail/A 23444-2024 FSC-klagomål mail.docx", "A 23444-2024")</f>
        <v/>
      </c>
      <c r="X366">
        <f>HYPERLINK("https://klasma.github.io/Logging_1980/tillsyn/A 23444-2024 tillsynsbegäran.docx", "A 23444-2024")</f>
        <v/>
      </c>
      <c r="Y366">
        <f>HYPERLINK("https://klasma.github.io/Logging_1980/tillsynsmail/A 23444-2024 tillsynsbegäran mail.docx", "A 23444-2024")</f>
        <v/>
      </c>
    </row>
    <row r="367" ht="15" customHeight="1">
      <c r="A367" t="inlineStr">
        <is>
          <t>A 25583-2024</t>
        </is>
      </c>
      <c r="B367" s="1" t="n">
        <v>45463</v>
      </c>
      <c r="C367" s="1" t="n">
        <v>45637</v>
      </c>
      <c r="D367" t="inlineStr">
        <is>
          <t>VÄSTMANLANDS LÄN</t>
        </is>
      </c>
      <c r="E367" t="inlineStr">
        <is>
          <t>SURAHAMMAR</t>
        </is>
      </c>
      <c r="F367" t="inlineStr">
        <is>
          <t>Bergvik skog väst AB</t>
        </is>
      </c>
      <c r="G367" t="n">
        <v>7.8</v>
      </c>
      <c r="H367" t="n">
        <v>1</v>
      </c>
      <c r="I367" t="n">
        <v>0</v>
      </c>
      <c r="J367" t="n">
        <v>0</v>
      </c>
      <c r="K367" t="n">
        <v>0</v>
      </c>
      <c r="L367" t="n">
        <v>0</v>
      </c>
      <c r="M367" t="n">
        <v>0</v>
      </c>
      <c r="N367" t="n">
        <v>0</v>
      </c>
      <c r="O367" t="n">
        <v>0</v>
      </c>
      <c r="P367" t="n">
        <v>0</v>
      </c>
      <c r="Q367" t="n">
        <v>1</v>
      </c>
      <c r="R367" s="2" t="inlineStr">
        <is>
          <t>Blåsippa</t>
        </is>
      </c>
      <c r="S367">
        <f>HYPERLINK("https://klasma.github.io/Logging_1907/artfynd/A 25583-2024 artfynd.xlsx", "A 25583-2024")</f>
        <v/>
      </c>
      <c r="T367">
        <f>HYPERLINK("https://klasma.github.io/Logging_1907/kartor/A 25583-2024 karta.png", "A 25583-2024")</f>
        <v/>
      </c>
      <c r="V367">
        <f>HYPERLINK("https://klasma.github.io/Logging_1907/klagomål/A 25583-2024 FSC-klagomål.docx", "A 25583-2024")</f>
        <v/>
      </c>
      <c r="W367">
        <f>HYPERLINK("https://klasma.github.io/Logging_1907/klagomålsmail/A 25583-2024 FSC-klagomål mail.docx", "A 25583-2024")</f>
        <v/>
      </c>
      <c r="X367">
        <f>HYPERLINK("https://klasma.github.io/Logging_1907/tillsyn/A 25583-2024 tillsynsbegäran.docx", "A 25583-2024")</f>
        <v/>
      </c>
      <c r="Y367">
        <f>HYPERLINK("https://klasma.github.io/Logging_1907/tillsynsmail/A 25583-2024 tillsynsbegäran mail.docx", "A 25583-2024")</f>
        <v/>
      </c>
    </row>
    <row r="368" ht="15" customHeight="1">
      <c r="A368" t="inlineStr">
        <is>
          <t>A 27591-2024</t>
        </is>
      </c>
      <c r="B368" s="1" t="n">
        <v>45474</v>
      </c>
      <c r="C368" s="1" t="n">
        <v>45637</v>
      </c>
      <c r="D368" t="inlineStr">
        <is>
          <t>VÄSTMANLANDS LÄN</t>
        </is>
      </c>
      <c r="E368" t="inlineStr">
        <is>
          <t>SALA</t>
        </is>
      </c>
      <c r="G368" t="n">
        <v>5.1</v>
      </c>
      <c r="H368" t="n">
        <v>1</v>
      </c>
      <c r="I368" t="n">
        <v>0</v>
      </c>
      <c r="J368" t="n">
        <v>1</v>
      </c>
      <c r="K368" t="n">
        <v>0</v>
      </c>
      <c r="L368" t="n">
        <v>0</v>
      </c>
      <c r="M368" t="n">
        <v>0</v>
      </c>
      <c r="N368" t="n">
        <v>0</v>
      </c>
      <c r="O368" t="n">
        <v>1</v>
      </c>
      <c r="P368" t="n">
        <v>0</v>
      </c>
      <c r="Q368" t="n">
        <v>1</v>
      </c>
      <c r="R368" s="2" t="inlineStr">
        <is>
          <t>Spillkråka</t>
        </is>
      </c>
      <c r="S368">
        <f>HYPERLINK("https://klasma.github.io/Logging_1981/artfynd/A 27591-2024 artfynd.xlsx", "A 27591-2024")</f>
        <v/>
      </c>
      <c r="T368">
        <f>HYPERLINK("https://klasma.github.io/Logging_1981/kartor/A 27591-2024 karta.png", "A 27591-2024")</f>
        <v/>
      </c>
      <c r="V368">
        <f>HYPERLINK("https://klasma.github.io/Logging_1981/klagomål/A 27591-2024 FSC-klagomål.docx", "A 27591-2024")</f>
        <v/>
      </c>
      <c r="W368">
        <f>HYPERLINK("https://klasma.github.io/Logging_1981/klagomålsmail/A 27591-2024 FSC-klagomål mail.docx", "A 27591-2024")</f>
        <v/>
      </c>
      <c r="X368">
        <f>HYPERLINK("https://klasma.github.io/Logging_1981/tillsyn/A 27591-2024 tillsynsbegäran.docx", "A 27591-2024")</f>
        <v/>
      </c>
      <c r="Y368">
        <f>HYPERLINK("https://klasma.github.io/Logging_1981/tillsynsmail/A 27591-2024 tillsynsbegäran mail.docx", "A 27591-2024")</f>
        <v/>
      </c>
      <c r="Z368">
        <f>HYPERLINK("https://klasma.github.io/Logging_1981/fåglar/A 27591-2024 prioriterade fågelarter.docx", "A 27591-2024")</f>
        <v/>
      </c>
    </row>
    <row r="369" ht="15" customHeight="1">
      <c r="A369" t="inlineStr">
        <is>
          <t>A 27957-2024</t>
        </is>
      </c>
      <c r="B369" s="1" t="n">
        <v>45476</v>
      </c>
      <c r="C369" s="1" t="n">
        <v>45637</v>
      </c>
      <c r="D369" t="inlineStr">
        <is>
          <t>VÄSTMANLANDS LÄN</t>
        </is>
      </c>
      <c r="E369" t="inlineStr">
        <is>
          <t>SURAHAMMAR</t>
        </is>
      </c>
      <c r="F369" t="inlineStr">
        <is>
          <t>Sveaskog</t>
        </is>
      </c>
      <c r="G369" t="n">
        <v>14.4</v>
      </c>
      <c r="H369" t="n">
        <v>1</v>
      </c>
      <c r="I369" t="n">
        <v>0</v>
      </c>
      <c r="J369" t="n">
        <v>0</v>
      </c>
      <c r="K369" t="n">
        <v>0</v>
      </c>
      <c r="L369" t="n">
        <v>0</v>
      </c>
      <c r="M369" t="n">
        <v>0</v>
      </c>
      <c r="N369" t="n">
        <v>0</v>
      </c>
      <c r="O369" t="n">
        <v>0</v>
      </c>
      <c r="P369" t="n">
        <v>0</v>
      </c>
      <c r="Q369" t="n">
        <v>1</v>
      </c>
      <c r="R369" s="2" t="inlineStr">
        <is>
          <t>Fläcknycklar</t>
        </is>
      </c>
      <c r="S369">
        <f>HYPERLINK("https://klasma.github.io/Logging_1907/artfynd/A 27957-2024 artfynd.xlsx", "A 27957-2024")</f>
        <v/>
      </c>
      <c r="T369">
        <f>HYPERLINK("https://klasma.github.io/Logging_1907/kartor/A 27957-2024 karta.png", "A 27957-2024")</f>
        <v/>
      </c>
      <c r="V369">
        <f>HYPERLINK("https://klasma.github.io/Logging_1907/klagomål/A 27957-2024 FSC-klagomål.docx", "A 27957-2024")</f>
        <v/>
      </c>
      <c r="W369">
        <f>HYPERLINK("https://klasma.github.io/Logging_1907/klagomålsmail/A 27957-2024 FSC-klagomål mail.docx", "A 27957-2024")</f>
        <v/>
      </c>
      <c r="X369">
        <f>HYPERLINK("https://klasma.github.io/Logging_1907/tillsyn/A 27957-2024 tillsynsbegäran.docx", "A 27957-2024")</f>
        <v/>
      </c>
      <c r="Y369">
        <f>HYPERLINK("https://klasma.github.io/Logging_1907/tillsynsmail/A 27957-2024 tillsynsbegäran mail.docx", "A 27957-2024")</f>
        <v/>
      </c>
    </row>
    <row r="370" ht="15" customHeight="1">
      <c r="A370" t="inlineStr">
        <is>
          <t>A 29156-2024</t>
        </is>
      </c>
      <c r="B370" s="1" t="n">
        <v>45482</v>
      </c>
      <c r="C370" s="1" t="n">
        <v>45637</v>
      </c>
      <c r="D370" t="inlineStr">
        <is>
          <t>VÄSTMANLANDS LÄN</t>
        </is>
      </c>
      <c r="E370" t="inlineStr">
        <is>
          <t>SURAHAMMAR</t>
        </is>
      </c>
      <c r="F370" t="inlineStr">
        <is>
          <t>Sveaskog</t>
        </is>
      </c>
      <c r="G370" t="n">
        <v>2.6</v>
      </c>
      <c r="H370" t="n">
        <v>0</v>
      </c>
      <c r="I370" t="n">
        <v>1</v>
      </c>
      <c r="J370" t="n">
        <v>0</v>
      </c>
      <c r="K370" t="n">
        <v>0</v>
      </c>
      <c r="L370" t="n">
        <v>0</v>
      </c>
      <c r="M370" t="n">
        <v>0</v>
      </c>
      <c r="N370" t="n">
        <v>0</v>
      </c>
      <c r="O370" t="n">
        <v>0</v>
      </c>
      <c r="P370" t="n">
        <v>0</v>
      </c>
      <c r="Q370" t="n">
        <v>1</v>
      </c>
      <c r="R370" s="2" t="inlineStr">
        <is>
          <t>Fjällig taggsvamp s.str.</t>
        </is>
      </c>
      <c r="S370">
        <f>HYPERLINK("https://klasma.github.io/Logging_1907/artfynd/A 29156-2024 artfynd.xlsx", "A 29156-2024")</f>
        <v/>
      </c>
      <c r="T370">
        <f>HYPERLINK("https://klasma.github.io/Logging_1907/kartor/A 29156-2024 karta.png", "A 29156-2024")</f>
        <v/>
      </c>
      <c r="V370">
        <f>HYPERLINK("https://klasma.github.io/Logging_1907/klagomål/A 29156-2024 FSC-klagomål.docx", "A 29156-2024")</f>
        <v/>
      </c>
      <c r="W370">
        <f>HYPERLINK("https://klasma.github.io/Logging_1907/klagomålsmail/A 29156-2024 FSC-klagomål mail.docx", "A 29156-2024")</f>
        <v/>
      </c>
      <c r="X370">
        <f>HYPERLINK("https://klasma.github.io/Logging_1907/tillsyn/A 29156-2024 tillsynsbegäran.docx", "A 29156-2024")</f>
        <v/>
      </c>
      <c r="Y370">
        <f>HYPERLINK("https://klasma.github.io/Logging_1907/tillsynsmail/A 29156-2024 tillsynsbegäran mail.docx", "A 29156-2024")</f>
        <v/>
      </c>
    </row>
    <row r="371" ht="15" customHeight="1">
      <c r="A371" t="inlineStr">
        <is>
          <t>A 31176-2024</t>
        </is>
      </c>
      <c r="B371" s="1" t="n">
        <v>45503</v>
      </c>
      <c r="C371" s="1" t="n">
        <v>45637</v>
      </c>
      <c r="D371" t="inlineStr">
        <is>
          <t>VÄSTMANLANDS LÄN</t>
        </is>
      </c>
      <c r="E371" t="inlineStr">
        <is>
          <t>SURAHAMMAR</t>
        </is>
      </c>
      <c r="F371" t="inlineStr">
        <is>
          <t>Allmännings- och besparingsskogar</t>
        </is>
      </c>
      <c r="G371" t="n">
        <v>10.7</v>
      </c>
      <c r="H371" t="n">
        <v>0</v>
      </c>
      <c r="I371" t="n">
        <v>0</v>
      </c>
      <c r="J371" t="n">
        <v>1</v>
      </c>
      <c r="K371" t="n">
        <v>0</v>
      </c>
      <c r="L371" t="n">
        <v>0</v>
      </c>
      <c r="M371" t="n">
        <v>0</v>
      </c>
      <c r="N371" t="n">
        <v>0</v>
      </c>
      <c r="O371" t="n">
        <v>1</v>
      </c>
      <c r="P371" t="n">
        <v>0</v>
      </c>
      <c r="Q371" t="n">
        <v>1</v>
      </c>
      <c r="R371" s="2" t="inlineStr">
        <is>
          <t>Doftskinn</t>
        </is>
      </c>
      <c r="S371">
        <f>HYPERLINK("https://klasma.github.io/Logging_1907/artfynd/A 31176-2024 artfynd.xlsx", "A 31176-2024")</f>
        <v/>
      </c>
      <c r="T371">
        <f>HYPERLINK("https://klasma.github.io/Logging_1907/kartor/A 31176-2024 karta.png", "A 31176-2024")</f>
        <v/>
      </c>
      <c r="V371">
        <f>HYPERLINK("https://klasma.github.io/Logging_1907/klagomål/A 31176-2024 FSC-klagomål.docx", "A 31176-2024")</f>
        <v/>
      </c>
      <c r="W371">
        <f>HYPERLINK("https://klasma.github.io/Logging_1907/klagomålsmail/A 31176-2024 FSC-klagomål mail.docx", "A 31176-2024")</f>
        <v/>
      </c>
      <c r="X371">
        <f>HYPERLINK("https://klasma.github.io/Logging_1907/tillsyn/A 31176-2024 tillsynsbegäran.docx", "A 31176-2024")</f>
        <v/>
      </c>
      <c r="Y371">
        <f>HYPERLINK("https://klasma.github.io/Logging_1907/tillsynsmail/A 31176-2024 tillsynsbegäran mail.docx", "A 31176-2024")</f>
        <v/>
      </c>
    </row>
    <row r="372" ht="15" customHeight="1">
      <c r="A372" t="inlineStr">
        <is>
          <t>A 31263-2024</t>
        </is>
      </c>
      <c r="B372" s="1" t="n">
        <v>45503</v>
      </c>
      <c r="C372" s="1" t="n">
        <v>45637</v>
      </c>
      <c r="D372" t="inlineStr">
        <is>
          <t>VÄSTMANLANDS LÄN</t>
        </is>
      </c>
      <c r="E372" t="inlineStr">
        <is>
          <t>KÖPING</t>
        </is>
      </c>
      <c r="G372" t="n">
        <v>12.4</v>
      </c>
      <c r="H372" t="n">
        <v>0</v>
      </c>
      <c r="I372" t="n">
        <v>0</v>
      </c>
      <c r="J372" t="n">
        <v>1</v>
      </c>
      <c r="K372" t="n">
        <v>0</v>
      </c>
      <c r="L372" t="n">
        <v>0</v>
      </c>
      <c r="M372" t="n">
        <v>0</v>
      </c>
      <c r="N372" t="n">
        <v>0</v>
      </c>
      <c r="O372" t="n">
        <v>1</v>
      </c>
      <c r="P372" t="n">
        <v>0</v>
      </c>
      <c r="Q372" t="n">
        <v>1</v>
      </c>
      <c r="R372" s="2" t="inlineStr">
        <is>
          <t>Mindre bastardsvärmare</t>
        </is>
      </c>
      <c r="S372">
        <f>HYPERLINK("https://klasma.github.io/Logging_1983/artfynd/A 31263-2024 artfynd.xlsx", "A 31263-2024")</f>
        <v/>
      </c>
      <c r="T372">
        <f>HYPERLINK("https://klasma.github.io/Logging_1983/kartor/A 31263-2024 karta.png", "A 31263-2024")</f>
        <v/>
      </c>
      <c r="V372">
        <f>HYPERLINK("https://klasma.github.io/Logging_1983/klagomål/A 31263-2024 FSC-klagomål.docx", "A 31263-2024")</f>
        <v/>
      </c>
      <c r="W372">
        <f>HYPERLINK("https://klasma.github.io/Logging_1983/klagomålsmail/A 31263-2024 FSC-klagomål mail.docx", "A 31263-2024")</f>
        <v/>
      </c>
      <c r="X372">
        <f>HYPERLINK("https://klasma.github.io/Logging_1983/tillsyn/A 31263-2024 tillsynsbegäran.docx", "A 31263-2024")</f>
        <v/>
      </c>
      <c r="Y372">
        <f>HYPERLINK("https://klasma.github.io/Logging_1983/tillsynsmail/A 31263-2024 tillsynsbegäran mail.docx", "A 31263-2024")</f>
        <v/>
      </c>
    </row>
    <row r="373" ht="15" customHeight="1">
      <c r="A373" t="inlineStr">
        <is>
          <t>A 39292-2024</t>
        </is>
      </c>
      <c r="B373" s="1" t="n">
        <v>45551</v>
      </c>
      <c r="C373" s="1" t="n">
        <v>45637</v>
      </c>
      <c r="D373" t="inlineStr">
        <is>
          <t>VÄSTMANLANDS LÄN</t>
        </is>
      </c>
      <c r="E373" t="inlineStr">
        <is>
          <t>KÖPING</t>
        </is>
      </c>
      <c r="G373" t="n">
        <v>4</v>
      </c>
      <c r="H373" t="n">
        <v>1</v>
      </c>
      <c r="I373" t="n">
        <v>0</v>
      </c>
      <c r="J373" t="n">
        <v>0</v>
      </c>
      <c r="K373" t="n">
        <v>1</v>
      </c>
      <c r="L373" t="n">
        <v>0</v>
      </c>
      <c r="M373" t="n">
        <v>0</v>
      </c>
      <c r="N373" t="n">
        <v>0</v>
      </c>
      <c r="O373" t="n">
        <v>1</v>
      </c>
      <c r="P373" t="n">
        <v>1</v>
      </c>
      <c r="Q373" t="n">
        <v>1</v>
      </c>
      <c r="R373" s="2" t="inlineStr">
        <is>
          <t>Knärot</t>
        </is>
      </c>
      <c r="S373">
        <f>HYPERLINK("https://klasma.github.io/Logging_1983/artfynd/A 39292-2024 artfynd.xlsx", "A 39292-2024")</f>
        <v/>
      </c>
      <c r="T373">
        <f>HYPERLINK("https://klasma.github.io/Logging_1983/kartor/A 39292-2024 karta.png", "A 39292-2024")</f>
        <v/>
      </c>
      <c r="U373">
        <f>HYPERLINK("https://klasma.github.io/Logging_1983/knärot/A 39292-2024 karta knärot.png", "A 39292-2024")</f>
        <v/>
      </c>
      <c r="V373">
        <f>HYPERLINK("https://klasma.github.io/Logging_1983/klagomål/A 39292-2024 FSC-klagomål.docx", "A 39292-2024")</f>
        <v/>
      </c>
      <c r="W373">
        <f>HYPERLINK("https://klasma.github.io/Logging_1983/klagomålsmail/A 39292-2024 FSC-klagomål mail.docx", "A 39292-2024")</f>
        <v/>
      </c>
      <c r="X373">
        <f>HYPERLINK("https://klasma.github.io/Logging_1983/tillsyn/A 39292-2024 tillsynsbegäran.docx", "A 39292-2024")</f>
        <v/>
      </c>
      <c r="Y373">
        <f>HYPERLINK("https://klasma.github.io/Logging_1983/tillsynsmail/A 39292-2024 tillsynsbegäran mail.docx", "A 39292-2024")</f>
        <v/>
      </c>
    </row>
    <row r="374" ht="15" customHeight="1">
      <c r="A374" t="inlineStr">
        <is>
          <t>A 41270-2024</t>
        </is>
      </c>
      <c r="B374" s="1" t="n">
        <v>45559</v>
      </c>
      <c r="C374" s="1" t="n">
        <v>45637</v>
      </c>
      <c r="D374" t="inlineStr">
        <is>
          <t>VÄSTMANLANDS LÄN</t>
        </is>
      </c>
      <c r="E374" t="inlineStr">
        <is>
          <t>SALA</t>
        </is>
      </c>
      <c r="G374" t="n">
        <v>15.2</v>
      </c>
      <c r="H374" t="n">
        <v>1</v>
      </c>
      <c r="I374" t="n">
        <v>0</v>
      </c>
      <c r="J374" t="n">
        <v>1</v>
      </c>
      <c r="K374" t="n">
        <v>0</v>
      </c>
      <c r="L374" t="n">
        <v>0</v>
      </c>
      <c r="M374" t="n">
        <v>0</v>
      </c>
      <c r="N374" t="n">
        <v>0</v>
      </c>
      <c r="O374" t="n">
        <v>1</v>
      </c>
      <c r="P374" t="n">
        <v>0</v>
      </c>
      <c r="Q374" t="n">
        <v>1</v>
      </c>
      <c r="R374" s="2" t="inlineStr">
        <is>
          <t>Havsörn</t>
        </is>
      </c>
      <c r="S374">
        <f>HYPERLINK("https://klasma.github.io/Logging_1981/artfynd/A 41270-2024 artfynd.xlsx", "A 41270-2024")</f>
        <v/>
      </c>
      <c r="T374">
        <f>HYPERLINK("https://klasma.github.io/Logging_1981/kartor/A 41270-2024 karta.png", "A 41270-2024")</f>
        <v/>
      </c>
      <c r="V374">
        <f>HYPERLINK("https://klasma.github.io/Logging_1981/klagomål/A 41270-2024 FSC-klagomål.docx", "A 41270-2024")</f>
        <v/>
      </c>
      <c r="W374">
        <f>HYPERLINK("https://klasma.github.io/Logging_1981/klagomålsmail/A 41270-2024 FSC-klagomål mail.docx", "A 41270-2024")</f>
        <v/>
      </c>
      <c r="X374">
        <f>HYPERLINK("https://klasma.github.io/Logging_1981/tillsyn/A 41270-2024 tillsynsbegäran.docx", "A 41270-2024")</f>
        <v/>
      </c>
      <c r="Y374">
        <f>HYPERLINK("https://klasma.github.io/Logging_1981/tillsynsmail/A 41270-2024 tillsynsbegäran mail.docx", "A 41270-2024")</f>
        <v/>
      </c>
      <c r="Z374">
        <f>HYPERLINK("https://klasma.github.io/Logging_1981/fåglar/A 41270-2024 prioriterade fågelarter.docx", "A 41270-2024")</f>
        <v/>
      </c>
    </row>
    <row r="375" ht="15" customHeight="1">
      <c r="A375" t="inlineStr">
        <is>
          <t>A 41468-2024</t>
        </is>
      </c>
      <c r="B375" s="1" t="n">
        <v>45560</v>
      </c>
      <c r="C375" s="1" t="n">
        <v>45637</v>
      </c>
      <c r="D375" t="inlineStr">
        <is>
          <t>VÄSTMANLANDS LÄN</t>
        </is>
      </c>
      <c r="E375" t="inlineStr">
        <is>
          <t>NORBERG</t>
        </is>
      </c>
      <c r="F375" t="inlineStr">
        <is>
          <t>Bergvik skog väst AB</t>
        </is>
      </c>
      <c r="G375" t="n">
        <v>14.2</v>
      </c>
      <c r="H375" t="n">
        <v>1</v>
      </c>
      <c r="I375" t="n">
        <v>0</v>
      </c>
      <c r="J375" t="n">
        <v>0</v>
      </c>
      <c r="K375" t="n">
        <v>1</v>
      </c>
      <c r="L375" t="n">
        <v>0</v>
      </c>
      <c r="M375" t="n">
        <v>0</v>
      </c>
      <c r="N375" t="n">
        <v>0</v>
      </c>
      <c r="O375" t="n">
        <v>1</v>
      </c>
      <c r="P375" t="n">
        <v>1</v>
      </c>
      <c r="Q375" t="n">
        <v>1</v>
      </c>
      <c r="R375" s="2" t="inlineStr">
        <is>
          <t>Knärot</t>
        </is>
      </c>
      <c r="S375">
        <f>HYPERLINK("https://klasma.github.io/Logging_1962/artfynd/A 41468-2024 artfynd.xlsx", "A 41468-2024")</f>
        <v/>
      </c>
      <c r="T375">
        <f>HYPERLINK("https://klasma.github.io/Logging_1962/kartor/A 41468-2024 karta.png", "A 41468-2024")</f>
        <v/>
      </c>
      <c r="U375">
        <f>HYPERLINK("https://klasma.github.io/Logging_1962/knärot/A 41468-2024 karta knärot.png", "A 41468-2024")</f>
        <v/>
      </c>
      <c r="V375">
        <f>HYPERLINK("https://klasma.github.io/Logging_1962/klagomål/A 41468-2024 FSC-klagomål.docx", "A 41468-2024")</f>
        <v/>
      </c>
      <c r="W375">
        <f>HYPERLINK("https://klasma.github.io/Logging_1962/klagomålsmail/A 41468-2024 FSC-klagomål mail.docx", "A 41468-2024")</f>
        <v/>
      </c>
      <c r="X375">
        <f>HYPERLINK("https://klasma.github.io/Logging_1962/tillsyn/A 41468-2024 tillsynsbegäran.docx", "A 41468-2024")</f>
        <v/>
      </c>
      <c r="Y375">
        <f>HYPERLINK("https://klasma.github.io/Logging_1962/tillsynsmail/A 41468-2024 tillsynsbegäran mail.docx", "A 41468-2024")</f>
        <v/>
      </c>
    </row>
    <row r="376" ht="15" customHeight="1">
      <c r="A376" t="inlineStr">
        <is>
          <t>A 43068-2024</t>
        </is>
      </c>
      <c r="B376" s="1" t="n">
        <v>45567</v>
      </c>
      <c r="C376" s="1" t="n">
        <v>45637</v>
      </c>
      <c r="D376" t="inlineStr">
        <is>
          <t>VÄSTMANLANDS LÄN</t>
        </is>
      </c>
      <c r="E376" t="inlineStr">
        <is>
          <t>SALA</t>
        </is>
      </c>
      <c r="G376" t="n">
        <v>1.1</v>
      </c>
      <c r="H376" t="n">
        <v>0</v>
      </c>
      <c r="I376" t="n">
        <v>1</v>
      </c>
      <c r="J376" t="n">
        <v>0</v>
      </c>
      <c r="K376" t="n">
        <v>0</v>
      </c>
      <c r="L376" t="n">
        <v>0</v>
      </c>
      <c r="M376" t="n">
        <v>0</v>
      </c>
      <c r="N376" t="n">
        <v>0</v>
      </c>
      <c r="O376" t="n">
        <v>0</v>
      </c>
      <c r="P376" t="n">
        <v>0</v>
      </c>
      <c r="Q376" t="n">
        <v>1</v>
      </c>
      <c r="R376" s="2" t="inlineStr">
        <is>
          <t>Vedticka</t>
        </is>
      </c>
      <c r="S376">
        <f>HYPERLINK("https://klasma.github.io/Logging_1981/artfynd/A 43068-2024 artfynd.xlsx", "A 43068-2024")</f>
        <v/>
      </c>
      <c r="T376">
        <f>HYPERLINK("https://klasma.github.io/Logging_1981/kartor/A 43068-2024 karta.png", "A 43068-2024")</f>
        <v/>
      </c>
      <c r="V376">
        <f>HYPERLINK("https://klasma.github.io/Logging_1981/klagomål/A 43068-2024 FSC-klagomål.docx", "A 43068-2024")</f>
        <v/>
      </c>
      <c r="W376">
        <f>HYPERLINK("https://klasma.github.io/Logging_1981/klagomålsmail/A 43068-2024 FSC-klagomål mail.docx", "A 43068-2024")</f>
        <v/>
      </c>
      <c r="X376">
        <f>HYPERLINK("https://klasma.github.io/Logging_1981/tillsyn/A 43068-2024 tillsynsbegäran.docx", "A 43068-2024")</f>
        <v/>
      </c>
      <c r="Y376">
        <f>HYPERLINK("https://klasma.github.io/Logging_1981/tillsynsmail/A 43068-2024 tillsynsbegäran mail.docx", "A 43068-2024")</f>
        <v/>
      </c>
    </row>
    <row r="377" ht="15" customHeight="1">
      <c r="A377" t="inlineStr">
        <is>
          <t>A 43451-2024</t>
        </is>
      </c>
      <c r="B377" s="1" t="n">
        <v>45568</v>
      </c>
      <c r="C377" s="1" t="n">
        <v>45637</v>
      </c>
      <c r="D377" t="inlineStr">
        <is>
          <t>VÄSTMANLANDS LÄN</t>
        </is>
      </c>
      <c r="E377" t="inlineStr">
        <is>
          <t>SURAHAMMAR</t>
        </is>
      </c>
      <c r="F377" t="inlineStr">
        <is>
          <t>Bergvik skog väst AB</t>
        </is>
      </c>
      <c r="G377" t="n">
        <v>2.9</v>
      </c>
      <c r="H377" t="n">
        <v>0</v>
      </c>
      <c r="I377" t="n">
        <v>0</v>
      </c>
      <c r="J377" t="n">
        <v>1</v>
      </c>
      <c r="K377" t="n">
        <v>0</v>
      </c>
      <c r="L377" t="n">
        <v>0</v>
      </c>
      <c r="M377" t="n">
        <v>0</v>
      </c>
      <c r="N377" t="n">
        <v>0</v>
      </c>
      <c r="O377" t="n">
        <v>1</v>
      </c>
      <c r="P377" t="n">
        <v>0</v>
      </c>
      <c r="Q377" t="n">
        <v>1</v>
      </c>
      <c r="R377" s="2" t="inlineStr">
        <is>
          <t>Ullticka</t>
        </is>
      </c>
      <c r="S377">
        <f>HYPERLINK("https://klasma.github.io/Logging_1907/artfynd/A 43451-2024 artfynd.xlsx", "A 43451-2024")</f>
        <v/>
      </c>
      <c r="T377">
        <f>HYPERLINK("https://klasma.github.io/Logging_1907/kartor/A 43451-2024 karta.png", "A 43451-2024")</f>
        <v/>
      </c>
      <c r="V377">
        <f>HYPERLINK("https://klasma.github.io/Logging_1907/klagomål/A 43451-2024 FSC-klagomål.docx", "A 43451-2024")</f>
        <v/>
      </c>
      <c r="W377">
        <f>HYPERLINK("https://klasma.github.io/Logging_1907/klagomålsmail/A 43451-2024 FSC-klagomål mail.docx", "A 43451-2024")</f>
        <v/>
      </c>
      <c r="X377">
        <f>HYPERLINK("https://klasma.github.io/Logging_1907/tillsyn/A 43451-2024 tillsynsbegäran.docx", "A 43451-2024")</f>
        <v/>
      </c>
      <c r="Y377">
        <f>HYPERLINK("https://klasma.github.io/Logging_1907/tillsynsmail/A 43451-2024 tillsynsbegäran mail.docx", "A 43451-2024")</f>
        <v/>
      </c>
    </row>
    <row r="378" ht="15" customHeight="1">
      <c r="A378" t="inlineStr">
        <is>
          <t>A 43413-2024</t>
        </is>
      </c>
      <c r="B378" s="1" t="n">
        <v>45568</v>
      </c>
      <c r="C378" s="1" t="n">
        <v>45637</v>
      </c>
      <c r="D378" t="inlineStr">
        <is>
          <t>VÄSTMANLANDS LÄN</t>
        </is>
      </c>
      <c r="E378" t="inlineStr">
        <is>
          <t>SKINNSKATTEBERG</t>
        </is>
      </c>
      <c r="F378" t="inlineStr">
        <is>
          <t>Sveaskog</t>
        </is>
      </c>
      <c r="G378" t="n">
        <v>1.9</v>
      </c>
      <c r="H378" t="n">
        <v>0</v>
      </c>
      <c r="I378" t="n">
        <v>0</v>
      </c>
      <c r="J378" t="n">
        <v>1</v>
      </c>
      <c r="K378" t="n">
        <v>0</v>
      </c>
      <c r="L378" t="n">
        <v>0</v>
      </c>
      <c r="M378" t="n">
        <v>0</v>
      </c>
      <c r="N378" t="n">
        <v>0</v>
      </c>
      <c r="O378" t="n">
        <v>1</v>
      </c>
      <c r="P378" t="n">
        <v>0</v>
      </c>
      <c r="Q378" t="n">
        <v>1</v>
      </c>
      <c r="R378" s="2" t="inlineStr">
        <is>
          <t>Orange taggsvamp</t>
        </is>
      </c>
      <c r="S378">
        <f>HYPERLINK("https://klasma.github.io/Logging_1904/artfynd/A 43413-2024 artfynd.xlsx", "A 43413-2024")</f>
        <v/>
      </c>
      <c r="T378">
        <f>HYPERLINK("https://klasma.github.io/Logging_1904/kartor/A 43413-2024 karta.png", "A 43413-2024")</f>
        <v/>
      </c>
      <c r="V378">
        <f>HYPERLINK("https://klasma.github.io/Logging_1904/klagomål/A 43413-2024 FSC-klagomål.docx", "A 43413-2024")</f>
        <v/>
      </c>
      <c r="W378">
        <f>HYPERLINK("https://klasma.github.io/Logging_1904/klagomålsmail/A 43413-2024 FSC-klagomål mail.docx", "A 43413-2024")</f>
        <v/>
      </c>
      <c r="X378">
        <f>HYPERLINK("https://klasma.github.io/Logging_1904/tillsyn/A 43413-2024 tillsynsbegäran.docx", "A 43413-2024")</f>
        <v/>
      </c>
      <c r="Y378">
        <f>HYPERLINK("https://klasma.github.io/Logging_1904/tillsynsmail/A 43413-2024 tillsynsbegäran mail.docx", "A 43413-2024")</f>
        <v/>
      </c>
    </row>
    <row r="379" ht="15" customHeight="1">
      <c r="A379" t="inlineStr">
        <is>
          <t>A 44356-2024</t>
        </is>
      </c>
      <c r="B379" s="1" t="n">
        <v>45573</v>
      </c>
      <c r="C379" s="1" t="n">
        <v>45637</v>
      </c>
      <c r="D379" t="inlineStr">
        <is>
          <t>VÄSTMANLANDS LÄN</t>
        </is>
      </c>
      <c r="E379" t="inlineStr">
        <is>
          <t>SURAHAMMAR</t>
        </is>
      </c>
      <c r="F379" t="inlineStr">
        <is>
          <t>Sveaskog</t>
        </is>
      </c>
      <c r="G379" t="n">
        <v>0.7</v>
      </c>
      <c r="H379" t="n">
        <v>1</v>
      </c>
      <c r="I379" t="n">
        <v>0</v>
      </c>
      <c r="J379" t="n">
        <v>0</v>
      </c>
      <c r="K379" t="n">
        <v>0</v>
      </c>
      <c r="L379" t="n">
        <v>0</v>
      </c>
      <c r="M379" t="n">
        <v>0</v>
      </c>
      <c r="N379" t="n">
        <v>0</v>
      </c>
      <c r="O379" t="n">
        <v>0</v>
      </c>
      <c r="P379" t="n">
        <v>0</v>
      </c>
      <c r="Q379" t="n">
        <v>1</v>
      </c>
      <c r="R379" s="2" t="inlineStr">
        <is>
          <t>Revlummer</t>
        </is>
      </c>
      <c r="S379">
        <f>HYPERLINK("https://klasma.github.io/Logging_1907/artfynd/A 44356-2024 artfynd.xlsx", "A 44356-2024")</f>
        <v/>
      </c>
      <c r="T379">
        <f>HYPERLINK("https://klasma.github.io/Logging_1907/kartor/A 44356-2024 karta.png", "A 44356-2024")</f>
        <v/>
      </c>
      <c r="V379">
        <f>HYPERLINK("https://klasma.github.io/Logging_1907/klagomål/A 44356-2024 FSC-klagomål.docx", "A 44356-2024")</f>
        <v/>
      </c>
      <c r="W379">
        <f>HYPERLINK("https://klasma.github.io/Logging_1907/klagomålsmail/A 44356-2024 FSC-klagomål mail.docx", "A 44356-2024")</f>
        <v/>
      </c>
      <c r="X379">
        <f>HYPERLINK("https://klasma.github.io/Logging_1907/tillsyn/A 44356-2024 tillsynsbegäran.docx", "A 44356-2024")</f>
        <v/>
      </c>
      <c r="Y379">
        <f>HYPERLINK("https://klasma.github.io/Logging_1907/tillsynsmail/A 44356-2024 tillsynsbegäran mail.docx", "A 44356-2024")</f>
        <v/>
      </c>
    </row>
    <row r="380" ht="15" customHeight="1">
      <c r="A380" t="inlineStr">
        <is>
          <t>A 44355-2024</t>
        </is>
      </c>
      <c r="B380" s="1" t="n">
        <v>45573</v>
      </c>
      <c r="C380" s="1" t="n">
        <v>45637</v>
      </c>
      <c r="D380" t="inlineStr">
        <is>
          <t>VÄSTMANLANDS LÄN</t>
        </is>
      </c>
      <c r="E380" t="inlineStr">
        <is>
          <t>SURAHAMMAR</t>
        </is>
      </c>
      <c r="F380" t="inlineStr">
        <is>
          <t>Sveaskog</t>
        </is>
      </c>
      <c r="G380" t="n">
        <v>3.5</v>
      </c>
      <c r="H380" t="n">
        <v>1</v>
      </c>
      <c r="I380" t="n">
        <v>0</v>
      </c>
      <c r="J380" t="n">
        <v>0</v>
      </c>
      <c r="K380" t="n">
        <v>0</v>
      </c>
      <c r="L380" t="n">
        <v>0</v>
      </c>
      <c r="M380" t="n">
        <v>0</v>
      </c>
      <c r="N380" t="n">
        <v>0</v>
      </c>
      <c r="O380" t="n">
        <v>0</v>
      </c>
      <c r="P380" t="n">
        <v>0</v>
      </c>
      <c r="Q380" t="n">
        <v>1</v>
      </c>
      <c r="R380" s="2" t="inlineStr">
        <is>
          <t>Revlummer</t>
        </is>
      </c>
      <c r="S380">
        <f>HYPERLINK("https://klasma.github.io/Logging_1907/artfynd/A 44355-2024 artfynd.xlsx", "A 44355-2024")</f>
        <v/>
      </c>
      <c r="T380">
        <f>HYPERLINK("https://klasma.github.io/Logging_1907/kartor/A 44355-2024 karta.png", "A 44355-2024")</f>
        <v/>
      </c>
      <c r="V380">
        <f>HYPERLINK("https://klasma.github.io/Logging_1907/klagomål/A 44355-2024 FSC-klagomål.docx", "A 44355-2024")</f>
        <v/>
      </c>
      <c r="W380">
        <f>HYPERLINK("https://klasma.github.io/Logging_1907/klagomålsmail/A 44355-2024 FSC-klagomål mail.docx", "A 44355-2024")</f>
        <v/>
      </c>
      <c r="X380">
        <f>HYPERLINK("https://klasma.github.io/Logging_1907/tillsyn/A 44355-2024 tillsynsbegäran.docx", "A 44355-2024")</f>
        <v/>
      </c>
      <c r="Y380">
        <f>HYPERLINK("https://klasma.github.io/Logging_1907/tillsynsmail/A 44355-2024 tillsynsbegäran mail.docx", "A 44355-2024")</f>
        <v/>
      </c>
    </row>
    <row r="381" ht="15" customHeight="1">
      <c r="A381" t="inlineStr">
        <is>
          <t>A 45735-2024</t>
        </is>
      </c>
      <c r="B381" s="1" t="n">
        <v>45579</v>
      </c>
      <c r="C381" s="1" t="n">
        <v>45637</v>
      </c>
      <c r="D381" t="inlineStr">
        <is>
          <t>VÄSTMANLANDS LÄN</t>
        </is>
      </c>
      <c r="E381" t="inlineStr">
        <is>
          <t>SURAHAMMAR</t>
        </is>
      </c>
      <c r="F381" t="inlineStr">
        <is>
          <t>Sveaskog</t>
        </is>
      </c>
      <c r="G381" t="n">
        <v>13.5</v>
      </c>
      <c r="H381" t="n">
        <v>1</v>
      </c>
      <c r="I381" t="n">
        <v>0</v>
      </c>
      <c r="J381" t="n">
        <v>0</v>
      </c>
      <c r="K381" t="n">
        <v>0</v>
      </c>
      <c r="L381" t="n">
        <v>0</v>
      </c>
      <c r="M381" t="n">
        <v>0</v>
      </c>
      <c r="N381" t="n">
        <v>0</v>
      </c>
      <c r="O381" t="n">
        <v>0</v>
      </c>
      <c r="P381" t="n">
        <v>0</v>
      </c>
      <c r="Q381" t="n">
        <v>1</v>
      </c>
      <c r="R381" s="2" t="inlineStr">
        <is>
          <t>Revlummer</t>
        </is>
      </c>
      <c r="S381">
        <f>HYPERLINK("https://klasma.github.io/Logging_1907/artfynd/A 45735-2024 artfynd.xlsx", "A 45735-2024")</f>
        <v/>
      </c>
      <c r="T381">
        <f>HYPERLINK("https://klasma.github.io/Logging_1907/kartor/A 45735-2024 karta.png", "A 45735-2024")</f>
        <v/>
      </c>
      <c r="V381">
        <f>HYPERLINK("https://klasma.github.io/Logging_1907/klagomål/A 45735-2024 FSC-klagomål.docx", "A 45735-2024")</f>
        <v/>
      </c>
      <c r="W381">
        <f>HYPERLINK("https://klasma.github.io/Logging_1907/klagomålsmail/A 45735-2024 FSC-klagomål mail.docx", "A 45735-2024")</f>
        <v/>
      </c>
      <c r="X381">
        <f>HYPERLINK("https://klasma.github.io/Logging_1907/tillsyn/A 45735-2024 tillsynsbegäran.docx", "A 45735-2024")</f>
        <v/>
      </c>
      <c r="Y381">
        <f>HYPERLINK("https://klasma.github.io/Logging_1907/tillsynsmail/A 45735-2024 tillsynsbegäran mail.docx", "A 45735-2024")</f>
        <v/>
      </c>
    </row>
    <row r="382" ht="15" customHeight="1">
      <c r="A382" t="inlineStr">
        <is>
          <t>A 47139-2024</t>
        </is>
      </c>
      <c r="B382" s="1" t="n">
        <v>45586</v>
      </c>
      <c r="C382" s="1" t="n">
        <v>45637</v>
      </c>
      <c r="D382" t="inlineStr">
        <is>
          <t>VÄSTMANLANDS LÄN</t>
        </is>
      </c>
      <c r="E382" t="inlineStr">
        <is>
          <t>NORBERG</t>
        </is>
      </c>
      <c r="F382" t="inlineStr">
        <is>
          <t>Sveaskog</t>
        </is>
      </c>
      <c r="G382" t="n">
        <v>5</v>
      </c>
      <c r="H382" t="n">
        <v>1</v>
      </c>
      <c r="I382" t="n">
        <v>1</v>
      </c>
      <c r="J382" t="n">
        <v>0</v>
      </c>
      <c r="K382" t="n">
        <v>0</v>
      </c>
      <c r="L382" t="n">
        <v>0</v>
      </c>
      <c r="M382" t="n">
        <v>0</v>
      </c>
      <c r="N382" t="n">
        <v>0</v>
      </c>
      <c r="O382" t="n">
        <v>0</v>
      </c>
      <c r="P382" t="n">
        <v>0</v>
      </c>
      <c r="Q382" t="n">
        <v>1</v>
      </c>
      <c r="R382" s="2" t="inlineStr">
        <is>
          <t>Skogsknipprot</t>
        </is>
      </c>
      <c r="S382">
        <f>HYPERLINK("https://klasma.github.io/Logging_1962/artfynd/A 47139-2024 artfynd.xlsx", "A 47139-2024")</f>
        <v/>
      </c>
      <c r="T382">
        <f>HYPERLINK("https://klasma.github.io/Logging_1962/kartor/A 47139-2024 karta.png", "A 47139-2024")</f>
        <v/>
      </c>
      <c r="V382">
        <f>HYPERLINK("https://klasma.github.io/Logging_1962/klagomål/A 47139-2024 FSC-klagomål.docx", "A 47139-2024")</f>
        <v/>
      </c>
      <c r="W382">
        <f>HYPERLINK("https://klasma.github.io/Logging_1962/klagomålsmail/A 47139-2024 FSC-klagomål mail.docx", "A 47139-2024")</f>
        <v/>
      </c>
      <c r="X382">
        <f>HYPERLINK("https://klasma.github.io/Logging_1962/tillsyn/A 47139-2024 tillsynsbegäran.docx", "A 47139-2024")</f>
        <v/>
      </c>
      <c r="Y382">
        <f>HYPERLINK("https://klasma.github.io/Logging_1962/tillsynsmail/A 47139-2024 tillsynsbegäran mail.docx", "A 47139-2024")</f>
        <v/>
      </c>
    </row>
    <row r="383" ht="15" customHeight="1">
      <c r="A383" t="inlineStr">
        <is>
          <t>A 47549-2024</t>
        </is>
      </c>
      <c r="B383" s="1" t="n">
        <v>45587</v>
      </c>
      <c r="C383" s="1" t="n">
        <v>45637</v>
      </c>
      <c r="D383" t="inlineStr">
        <is>
          <t>VÄSTMANLANDS LÄN</t>
        </is>
      </c>
      <c r="E383" t="inlineStr">
        <is>
          <t>KUNGSÖR</t>
        </is>
      </c>
      <c r="G383" t="n">
        <v>1.9</v>
      </c>
      <c r="H383" t="n">
        <v>0</v>
      </c>
      <c r="I383" t="n">
        <v>0</v>
      </c>
      <c r="J383" t="n">
        <v>1</v>
      </c>
      <c r="K383" t="n">
        <v>0</v>
      </c>
      <c r="L383" t="n">
        <v>0</v>
      </c>
      <c r="M383" t="n">
        <v>0</v>
      </c>
      <c r="N383" t="n">
        <v>0</v>
      </c>
      <c r="O383" t="n">
        <v>1</v>
      </c>
      <c r="P383" t="n">
        <v>0</v>
      </c>
      <c r="Q383" t="n">
        <v>1</v>
      </c>
      <c r="R383" s="2" t="inlineStr">
        <is>
          <t>Ullticka</t>
        </is>
      </c>
      <c r="S383">
        <f>HYPERLINK("https://klasma.github.io/Logging_1960/artfynd/A 47549-2024 artfynd.xlsx", "A 47549-2024")</f>
        <v/>
      </c>
      <c r="T383">
        <f>HYPERLINK("https://klasma.github.io/Logging_1960/kartor/A 47549-2024 karta.png", "A 47549-2024")</f>
        <v/>
      </c>
      <c r="V383">
        <f>HYPERLINK("https://klasma.github.io/Logging_1960/klagomål/A 47549-2024 FSC-klagomål.docx", "A 47549-2024")</f>
        <v/>
      </c>
      <c r="W383">
        <f>HYPERLINK("https://klasma.github.io/Logging_1960/klagomålsmail/A 47549-2024 FSC-klagomål mail.docx", "A 47549-2024")</f>
        <v/>
      </c>
      <c r="X383">
        <f>HYPERLINK("https://klasma.github.io/Logging_1960/tillsyn/A 47549-2024 tillsynsbegäran.docx", "A 47549-2024")</f>
        <v/>
      </c>
      <c r="Y383">
        <f>HYPERLINK("https://klasma.github.io/Logging_1960/tillsynsmail/A 47549-2024 tillsynsbegäran mail.docx", "A 47549-2024")</f>
        <v/>
      </c>
    </row>
    <row r="384" ht="15" customHeight="1">
      <c r="A384" t="inlineStr">
        <is>
          <t>A 49630-2024</t>
        </is>
      </c>
      <c r="B384" s="1" t="n">
        <v>45596</v>
      </c>
      <c r="C384" s="1" t="n">
        <v>45637</v>
      </c>
      <c r="D384" t="inlineStr">
        <is>
          <t>VÄSTMANLANDS LÄN</t>
        </is>
      </c>
      <c r="E384" t="inlineStr">
        <is>
          <t>SKINNSKATTEBERG</t>
        </is>
      </c>
      <c r="F384" t="inlineStr">
        <is>
          <t>Sveaskog</t>
        </is>
      </c>
      <c r="G384" t="n">
        <v>7.3</v>
      </c>
      <c r="H384" t="n">
        <v>1</v>
      </c>
      <c r="I384" t="n">
        <v>0</v>
      </c>
      <c r="J384" t="n">
        <v>0</v>
      </c>
      <c r="K384" t="n">
        <v>0</v>
      </c>
      <c r="L384" t="n">
        <v>0</v>
      </c>
      <c r="M384" t="n">
        <v>0</v>
      </c>
      <c r="N384" t="n">
        <v>0</v>
      </c>
      <c r="O384" t="n">
        <v>0</v>
      </c>
      <c r="P384" t="n">
        <v>0</v>
      </c>
      <c r="Q384" t="n">
        <v>1</v>
      </c>
      <c r="R384" s="2" t="inlineStr">
        <is>
          <t>Fläcknycklar</t>
        </is>
      </c>
      <c r="S384">
        <f>HYPERLINK("https://klasma.github.io/Logging_1904/artfynd/A 49630-2024 artfynd.xlsx", "A 49630-2024")</f>
        <v/>
      </c>
      <c r="T384">
        <f>HYPERLINK("https://klasma.github.io/Logging_1904/kartor/A 49630-2024 karta.png", "A 49630-2024")</f>
        <v/>
      </c>
      <c r="V384">
        <f>HYPERLINK("https://klasma.github.io/Logging_1904/klagomål/A 49630-2024 FSC-klagomål.docx", "A 49630-2024")</f>
        <v/>
      </c>
      <c r="W384">
        <f>HYPERLINK("https://klasma.github.io/Logging_1904/klagomålsmail/A 49630-2024 FSC-klagomål mail.docx", "A 49630-2024")</f>
        <v/>
      </c>
      <c r="X384">
        <f>HYPERLINK("https://klasma.github.io/Logging_1904/tillsyn/A 49630-2024 tillsynsbegäran.docx", "A 49630-2024")</f>
        <v/>
      </c>
      <c r="Y384">
        <f>HYPERLINK("https://klasma.github.io/Logging_1904/tillsynsmail/A 49630-2024 tillsynsbegäran mail.docx", "A 49630-2024")</f>
        <v/>
      </c>
    </row>
    <row r="385" ht="15" customHeight="1">
      <c r="A385" t="inlineStr">
        <is>
          <t>A 51122-2024</t>
        </is>
      </c>
      <c r="B385" s="1" t="n">
        <v>45603</v>
      </c>
      <c r="C385" s="1" t="n">
        <v>45637</v>
      </c>
      <c r="D385" t="inlineStr">
        <is>
          <t>VÄSTMANLANDS LÄN</t>
        </is>
      </c>
      <c r="E385" t="inlineStr">
        <is>
          <t>FAGERSTA</t>
        </is>
      </c>
      <c r="F385" t="inlineStr">
        <is>
          <t>Sveaskog</t>
        </is>
      </c>
      <c r="G385" t="n">
        <v>8</v>
      </c>
      <c r="H385" t="n">
        <v>0</v>
      </c>
      <c r="I385" t="n">
        <v>0</v>
      </c>
      <c r="J385" t="n">
        <v>1</v>
      </c>
      <c r="K385" t="n">
        <v>0</v>
      </c>
      <c r="L385" t="n">
        <v>0</v>
      </c>
      <c r="M385" t="n">
        <v>0</v>
      </c>
      <c r="N385" t="n">
        <v>0</v>
      </c>
      <c r="O385" t="n">
        <v>1</v>
      </c>
      <c r="P385" t="n">
        <v>0</v>
      </c>
      <c r="Q385" t="n">
        <v>1</v>
      </c>
      <c r="R385" s="2" t="inlineStr">
        <is>
          <t>Brunklöver</t>
        </is>
      </c>
      <c r="S385">
        <f>HYPERLINK("https://klasma.github.io/Logging_1982/artfynd/A 51122-2024 artfynd.xlsx", "A 51122-2024")</f>
        <v/>
      </c>
      <c r="T385">
        <f>HYPERLINK("https://klasma.github.io/Logging_1982/kartor/A 51122-2024 karta.png", "A 51122-2024")</f>
        <v/>
      </c>
      <c r="V385">
        <f>HYPERLINK("https://klasma.github.io/Logging_1982/klagomål/A 51122-2024 FSC-klagomål.docx", "A 51122-2024")</f>
        <v/>
      </c>
      <c r="W385">
        <f>HYPERLINK("https://klasma.github.io/Logging_1982/klagomålsmail/A 51122-2024 FSC-klagomål mail.docx", "A 51122-2024")</f>
        <v/>
      </c>
      <c r="X385">
        <f>HYPERLINK("https://klasma.github.io/Logging_1982/tillsyn/A 51122-2024 tillsynsbegäran.docx", "A 51122-2024")</f>
        <v/>
      </c>
      <c r="Y385">
        <f>HYPERLINK("https://klasma.github.io/Logging_1982/tillsynsmail/A 51122-2024 tillsynsbegäran mail.docx", "A 51122-2024")</f>
        <v/>
      </c>
    </row>
    <row r="386" ht="15" customHeight="1">
      <c r="A386" t="inlineStr">
        <is>
          <t>A 51912-2024</t>
        </is>
      </c>
      <c r="B386" s="1" t="n">
        <v>45607</v>
      </c>
      <c r="C386" s="1" t="n">
        <v>45637</v>
      </c>
      <c r="D386" t="inlineStr">
        <is>
          <t>VÄSTMANLANDS LÄN</t>
        </is>
      </c>
      <c r="E386" t="inlineStr">
        <is>
          <t>VÄSTERÅS</t>
        </is>
      </c>
      <c r="G386" t="n">
        <v>13.2</v>
      </c>
      <c r="H386" t="n">
        <v>0</v>
      </c>
      <c r="I386" t="n">
        <v>0</v>
      </c>
      <c r="J386" t="n">
        <v>1</v>
      </c>
      <c r="K386" t="n">
        <v>0</v>
      </c>
      <c r="L386" t="n">
        <v>0</v>
      </c>
      <c r="M386" t="n">
        <v>0</v>
      </c>
      <c r="N386" t="n">
        <v>0</v>
      </c>
      <c r="O386" t="n">
        <v>1</v>
      </c>
      <c r="P386" t="n">
        <v>0</v>
      </c>
      <c r="Q386" t="n">
        <v>1</v>
      </c>
      <c r="R386" s="2" t="inlineStr">
        <is>
          <t>Tallticka</t>
        </is>
      </c>
      <c r="S386">
        <f>HYPERLINK("https://klasma.github.io/Logging_1980/artfynd/A 51912-2024 artfynd.xlsx", "A 51912-2024")</f>
        <v/>
      </c>
      <c r="T386">
        <f>HYPERLINK("https://klasma.github.io/Logging_1980/kartor/A 51912-2024 karta.png", "A 51912-2024")</f>
        <v/>
      </c>
      <c r="V386">
        <f>HYPERLINK("https://klasma.github.io/Logging_1980/klagomål/A 51912-2024 FSC-klagomål.docx", "A 51912-2024")</f>
        <v/>
      </c>
      <c r="W386">
        <f>HYPERLINK("https://klasma.github.io/Logging_1980/klagomålsmail/A 51912-2024 FSC-klagomål mail.docx", "A 51912-2024")</f>
        <v/>
      </c>
      <c r="X386">
        <f>HYPERLINK("https://klasma.github.io/Logging_1980/tillsyn/A 51912-2024 tillsynsbegäran.docx", "A 51912-2024")</f>
        <v/>
      </c>
      <c r="Y386">
        <f>HYPERLINK("https://klasma.github.io/Logging_1980/tillsynsmail/A 51912-2024 tillsynsbegäran mail.docx", "A 51912-2024")</f>
        <v/>
      </c>
    </row>
    <row r="387" ht="15" customHeight="1">
      <c r="A387" t="inlineStr">
        <is>
          <t>A 54868-2024</t>
        </is>
      </c>
      <c r="B387" s="1" t="n">
        <v>45618</v>
      </c>
      <c r="C387" s="1" t="n">
        <v>45637</v>
      </c>
      <c r="D387" t="inlineStr">
        <is>
          <t>VÄSTMANLANDS LÄN</t>
        </is>
      </c>
      <c r="E387" t="inlineStr">
        <is>
          <t>KÖPING</t>
        </is>
      </c>
      <c r="F387" t="inlineStr">
        <is>
          <t>Sveaskog</t>
        </is>
      </c>
      <c r="G387" t="n">
        <v>6.4</v>
      </c>
      <c r="H387" t="n">
        <v>0</v>
      </c>
      <c r="I387" t="n">
        <v>0</v>
      </c>
      <c r="J387" t="n">
        <v>1</v>
      </c>
      <c r="K387" t="n">
        <v>0</v>
      </c>
      <c r="L387" t="n">
        <v>0</v>
      </c>
      <c r="M387" t="n">
        <v>0</v>
      </c>
      <c r="N387" t="n">
        <v>0</v>
      </c>
      <c r="O387" t="n">
        <v>1</v>
      </c>
      <c r="P387" t="n">
        <v>0</v>
      </c>
      <c r="Q387" t="n">
        <v>1</v>
      </c>
      <c r="R387" s="2" t="inlineStr">
        <is>
          <t>Skogsklocka</t>
        </is>
      </c>
      <c r="S387">
        <f>HYPERLINK("https://klasma.github.io/Logging_1983/artfynd/A 54868-2024 artfynd.xlsx", "A 54868-2024")</f>
        <v/>
      </c>
      <c r="T387">
        <f>HYPERLINK("https://klasma.github.io/Logging_1983/kartor/A 54868-2024 karta.png", "A 54868-2024")</f>
        <v/>
      </c>
      <c r="V387">
        <f>HYPERLINK("https://klasma.github.io/Logging_1983/klagomål/A 54868-2024 FSC-klagomål.docx", "A 54868-2024")</f>
        <v/>
      </c>
      <c r="W387">
        <f>HYPERLINK("https://klasma.github.io/Logging_1983/klagomålsmail/A 54868-2024 FSC-klagomål mail.docx", "A 54868-2024")</f>
        <v/>
      </c>
      <c r="X387">
        <f>HYPERLINK("https://klasma.github.io/Logging_1983/tillsyn/A 54868-2024 tillsynsbegäran.docx", "A 54868-2024")</f>
        <v/>
      </c>
      <c r="Y387">
        <f>HYPERLINK("https://klasma.github.io/Logging_1983/tillsynsmail/A 54868-2024 tillsynsbegäran mail.docx", "A 54868-2024")</f>
        <v/>
      </c>
    </row>
    <row r="388" ht="15" customHeight="1">
      <c r="A388" t="inlineStr">
        <is>
          <t>A 55711-2024</t>
        </is>
      </c>
      <c r="B388" s="1" t="n">
        <v>45622</v>
      </c>
      <c r="C388" s="1" t="n">
        <v>45637</v>
      </c>
      <c r="D388" t="inlineStr">
        <is>
          <t>VÄSTMANLANDS LÄN</t>
        </is>
      </c>
      <c r="E388" t="inlineStr">
        <is>
          <t>NORBERG</t>
        </is>
      </c>
      <c r="G388" t="n">
        <v>2.5</v>
      </c>
      <c r="H388" t="n">
        <v>1</v>
      </c>
      <c r="I388" t="n">
        <v>1</v>
      </c>
      <c r="J388" t="n">
        <v>0</v>
      </c>
      <c r="K388" t="n">
        <v>0</v>
      </c>
      <c r="L388" t="n">
        <v>0</v>
      </c>
      <c r="M388" t="n">
        <v>0</v>
      </c>
      <c r="N388" t="n">
        <v>0</v>
      </c>
      <c r="O388" t="n">
        <v>0</v>
      </c>
      <c r="P388" t="n">
        <v>0</v>
      </c>
      <c r="Q388" t="n">
        <v>1</v>
      </c>
      <c r="R388" s="2" t="inlineStr">
        <is>
          <t>Skogsknipprot</t>
        </is>
      </c>
      <c r="S388">
        <f>HYPERLINK("https://klasma.github.io/Logging_1962/artfynd/A 55711-2024 artfynd.xlsx", "A 55711-2024")</f>
        <v/>
      </c>
      <c r="T388">
        <f>HYPERLINK("https://klasma.github.io/Logging_1962/kartor/A 55711-2024 karta.png", "A 55711-2024")</f>
        <v/>
      </c>
      <c r="V388">
        <f>HYPERLINK("https://klasma.github.io/Logging_1962/klagomål/A 55711-2024 FSC-klagomål.docx", "A 55711-2024")</f>
        <v/>
      </c>
      <c r="W388">
        <f>HYPERLINK("https://klasma.github.io/Logging_1962/klagomålsmail/A 55711-2024 FSC-klagomål mail.docx", "A 55711-2024")</f>
        <v/>
      </c>
      <c r="X388">
        <f>HYPERLINK("https://klasma.github.io/Logging_1962/tillsyn/A 55711-2024 tillsynsbegäran.docx", "A 55711-2024")</f>
        <v/>
      </c>
      <c r="Y388">
        <f>HYPERLINK("https://klasma.github.io/Logging_1962/tillsynsmail/A 55711-2024 tillsynsbegäran mail.docx", "A 55711-2024")</f>
        <v/>
      </c>
    </row>
    <row r="389" ht="15" customHeight="1">
      <c r="A389" t="inlineStr">
        <is>
          <t>A 58307-2024</t>
        </is>
      </c>
      <c r="B389" s="1" t="n">
        <v>45632</v>
      </c>
      <c r="C389" s="1" t="n">
        <v>45637</v>
      </c>
      <c r="D389" t="inlineStr">
        <is>
          <t>VÄSTMANLANDS LÄN</t>
        </is>
      </c>
      <c r="E389" t="inlineStr">
        <is>
          <t>FAGERSTA</t>
        </is>
      </c>
      <c r="G389" t="n">
        <v>1</v>
      </c>
      <c r="H389" t="n">
        <v>0</v>
      </c>
      <c r="I389" t="n">
        <v>1</v>
      </c>
      <c r="J389" t="n">
        <v>0</v>
      </c>
      <c r="K389" t="n">
        <v>0</v>
      </c>
      <c r="L389" t="n">
        <v>0</v>
      </c>
      <c r="M389" t="n">
        <v>0</v>
      </c>
      <c r="N389" t="n">
        <v>0</v>
      </c>
      <c r="O389" t="n">
        <v>0</v>
      </c>
      <c r="P389" t="n">
        <v>0</v>
      </c>
      <c r="Q389" t="n">
        <v>1</v>
      </c>
      <c r="R389" s="2" t="inlineStr">
        <is>
          <t>Mindre märgborre</t>
        </is>
      </c>
      <c r="S389">
        <f>HYPERLINK("https://klasma.github.io/Logging_1982/artfynd/A 58307-2024 artfynd.xlsx", "A 58307-2024")</f>
        <v/>
      </c>
      <c r="T389">
        <f>HYPERLINK("https://klasma.github.io/Logging_1982/kartor/A 58307-2024 karta.png", "A 58307-2024")</f>
        <v/>
      </c>
      <c r="V389">
        <f>HYPERLINK("https://klasma.github.io/Logging_1982/klagomål/A 58307-2024 FSC-klagomål.docx", "A 58307-2024")</f>
        <v/>
      </c>
      <c r="W389">
        <f>HYPERLINK("https://klasma.github.io/Logging_1982/klagomålsmail/A 58307-2024 FSC-klagomål mail.docx", "A 58307-2024")</f>
        <v/>
      </c>
      <c r="X389">
        <f>HYPERLINK("https://klasma.github.io/Logging_1982/tillsyn/A 58307-2024 tillsynsbegäran.docx", "A 58307-2024")</f>
        <v/>
      </c>
      <c r="Y389">
        <f>HYPERLINK("https://klasma.github.io/Logging_1982/tillsynsmail/A 58307-2024 tillsynsbegäran mail.docx", "A 58307-2024")</f>
        <v/>
      </c>
    </row>
    <row r="390" ht="15" customHeight="1">
      <c r="A390" t="inlineStr">
        <is>
          <t>A 58122-2024</t>
        </is>
      </c>
      <c r="B390" s="1" t="n">
        <v>45632</v>
      </c>
      <c r="C390" s="1" t="n">
        <v>45637</v>
      </c>
      <c r="D390" t="inlineStr">
        <is>
          <t>VÄSTMANLANDS LÄN</t>
        </is>
      </c>
      <c r="E390" t="inlineStr">
        <is>
          <t>KÖPING</t>
        </is>
      </c>
      <c r="G390" t="n">
        <v>5.7</v>
      </c>
      <c r="H390" t="n">
        <v>1</v>
      </c>
      <c r="I390" t="n">
        <v>0</v>
      </c>
      <c r="J390" t="n">
        <v>0</v>
      </c>
      <c r="K390" t="n">
        <v>0</v>
      </c>
      <c r="L390" t="n">
        <v>0</v>
      </c>
      <c r="M390" t="n">
        <v>0</v>
      </c>
      <c r="N390" t="n">
        <v>0</v>
      </c>
      <c r="O390" t="n">
        <v>0</v>
      </c>
      <c r="P390" t="n">
        <v>0</v>
      </c>
      <c r="Q390" t="n">
        <v>1</v>
      </c>
      <c r="R390" s="2" t="inlineStr">
        <is>
          <t>Vanlig groda</t>
        </is>
      </c>
      <c r="S390">
        <f>HYPERLINK("https://klasma.github.io/Logging_1983/artfynd/A 58122-2024 artfynd.xlsx", "A 58122-2024")</f>
        <v/>
      </c>
      <c r="T390">
        <f>HYPERLINK("https://klasma.github.io/Logging_1983/kartor/A 58122-2024 karta.png", "A 58122-2024")</f>
        <v/>
      </c>
      <c r="V390">
        <f>HYPERLINK("https://klasma.github.io/Logging_1983/klagomål/A 58122-2024 FSC-klagomål.docx", "A 58122-2024")</f>
        <v/>
      </c>
      <c r="W390">
        <f>HYPERLINK("https://klasma.github.io/Logging_1983/klagomålsmail/A 58122-2024 FSC-klagomål mail.docx", "A 58122-2024")</f>
        <v/>
      </c>
      <c r="X390">
        <f>HYPERLINK("https://klasma.github.io/Logging_1983/tillsyn/A 58122-2024 tillsynsbegäran.docx", "A 58122-2024")</f>
        <v/>
      </c>
      <c r="Y390">
        <f>HYPERLINK("https://klasma.github.io/Logging_1983/tillsynsmail/A 58122-2024 tillsynsbegäran mail.docx", "A 58122-2024")</f>
        <v/>
      </c>
    </row>
    <row r="391" ht="15" customHeight="1">
      <c r="A391" t="inlineStr">
        <is>
          <t>A 17915-2019</t>
        </is>
      </c>
      <c r="B391" s="1" t="n">
        <v>43557</v>
      </c>
      <c r="C391" s="1" t="n">
        <v>45637</v>
      </c>
      <c r="D391" t="inlineStr">
        <is>
          <t>VÄSTMANLANDS LÄN</t>
        </is>
      </c>
      <c r="E391" t="inlineStr">
        <is>
          <t>KÖPING</t>
        </is>
      </c>
      <c r="G391" t="n">
        <v>2.7</v>
      </c>
      <c r="H391" t="n">
        <v>0</v>
      </c>
      <c r="I391" t="n">
        <v>0</v>
      </c>
      <c r="J391" t="n">
        <v>0</v>
      </c>
      <c r="K391" t="n">
        <v>0</v>
      </c>
      <c r="L391" t="n">
        <v>0</v>
      </c>
      <c r="M391" t="n">
        <v>0</v>
      </c>
      <c r="N391" t="n">
        <v>0</v>
      </c>
      <c r="O391" t="n">
        <v>0</v>
      </c>
      <c r="P391" t="n">
        <v>0</v>
      </c>
      <c r="Q391" t="n">
        <v>0</v>
      </c>
      <c r="R391" s="2" t="inlineStr"/>
    </row>
    <row r="392" ht="15" customHeight="1">
      <c r="A392" t="inlineStr">
        <is>
          <t>A 17946-2019</t>
        </is>
      </c>
      <c r="B392" s="1" t="n">
        <v>43557</v>
      </c>
      <c r="C392" s="1" t="n">
        <v>45637</v>
      </c>
      <c r="D392" t="inlineStr">
        <is>
          <t>VÄSTMANLANDS LÄN</t>
        </is>
      </c>
      <c r="E392" t="inlineStr">
        <is>
          <t>SURAHAMMAR</t>
        </is>
      </c>
      <c r="G392" t="n">
        <v>9.9</v>
      </c>
      <c r="H392" t="n">
        <v>0</v>
      </c>
      <c r="I392" t="n">
        <v>0</v>
      </c>
      <c r="J392" t="n">
        <v>0</v>
      </c>
      <c r="K392" t="n">
        <v>0</v>
      </c>
      <c r="L392" t="n">
        <v>0</v>
      </c>
      <c r="M392" t="n">
        <v>0</v>
      </c>
      <c r="N392" t="n">
        <v>0</v>
      </c>
      <c r="O392" t="n">
        <v>0</v>
      </c>
      <c r="P392" t="n">
        <v>0</v>
      </c>
      <c r="Q392" t="n">
        <v>0</v>
      </c>
      <c r="R392" s="2" t="inlineStr"/>
    </row>
    <row r="393" ht="15" customHeight="1">
      <c r="A393" t="inlineStr">
        <is>
          <t>A 18255-2019</t>
        </is>
      </c>
      <c r="B393" s="1" t="n">
        <v>43558</v>
      </c>
      <c r="C393" s="1" t="n">
        <v>45637</v>
      </c>
      <c r="D393" t="inlineStr">
        <is>
          <t>VÄSTMANLANDS LÄN</t>
        </is>
      </c>
      <c r="E393" t="inlineStr">
        <is>
          <t>SALA</t>
        </is>
      </c>
      <c r="F393" t="inlineStr">
        <is>
          <t>Kommuner</t>
        </is>
      </c>
      <c r="G393" t="n">
        <v>2.2</v>
      </c>
      <c r="H393" t="n">
        <v>0</v>
      </c>
      <c r="I393" t="n">
        <v>0</v>
      </c>
      <c r="J393" t="n">
        <v>0</v>
      </c>
      <c r="K393" t="n">
        <v>0</v>
      </c>
      <c r="L393" t="n">
        <v>0</v>
      </c>
      <c r="M393" t="n">
        <v>0</v>
      </c>
      <c r="N393" t="n">
        <v>0</v>
      </c>
      <c r="O393" t="n">
        <v>0</v>
      </c>
      <c r="P393" t="n">
        <v>0</v>
      </c>
      <c r="Q393" t="n">
        <v>0</v>
      </c>
      <c r="R393" s="2" t="inlineStr"/>
    </row>
    <row r="394" ht="15" customHeight="1">
      <c r="A394" t="inlineStr">
        <is>
          <t>A 18352-2019</t>
        </is>
      </c>
      <c r="B394" s="1" t="n">
        <v>43559</v>
      </c>
      <c r="C394" s="1" t="n">
        <v>45637</v>
      </c>
      <c r="D394" t="inlineStr">
        <is>
          <t>VÄSTMANLANDS LÄN</t>
        </is>
      </c>
      <c r="E394" t="inlineStr">
        <is>
          <t>SALA</t>
        </is>
      </c>
      <c r="F394" t="inlineStr">
        <is>
          <t>Kommuner</t>
        </is>
      </c>
      <c r="G394" t="n">
        <v>1.7</v>
      </c>
      <c r="H394" t="n">
        <v>0</v>
      </c>
      <c r="I394" t="n">
        <v>0</v>
      </c>
      <c r="J394" t="n">
        <v>0</v>
      </c>
      <c r="K394" t="n">
        <v>0</v>
      </c>
      <c r="L394" t="n">
        <v>0</v>
      </c>
      <c r="M394" t="n">
        <v>0</v>
      </c>
      <c r="N394" t="n">
        <v>0</v>
      </c>
      <c r="O394" t="n">
        <v>0</v>
      </c>
      <c r="P394" t="n">
        <v>0</v>
      </c>
      <c r="Q394" t="n">
        <v>0</v>
      </c>
      <c r="R394" s="2" t="inlineStr"/>
    </row>
    <row r="395" ht="15" customHeight="1">
      <c r="A395" t="inlineStr">
        <is>
          <t>A 18469-2019</t>
        </is>
      </c>
      <c r="B395" s="1" t="n">
        <v>43559</v>
      </c>
      <c r="C395" s="1" t="n">
        <v>45637</v>
      </c>
      <c r="D395" t="inlineStr">
        <is>
          <t>VÄSTMANLANDS LÄN</t>
        </is>
      </c>
      <c r="E395" t="inlineStr">
        <is>
          <t>HALLSTAHAMMAR</t>
        </is>
      </c>
      <c r="F395" t="inlineStr">
        <is>
          <t>Kyrkan</t>
        </is>
      </c>
      <c r="G395" t="n">
        <v>6.8</v>
      </c>
      <c r="H395" t="n">
        <v>0</v>
      </c>
      <c r="I395" t="n">
        <v>0</v>
      </c>
      <c r="J395" t="n">
        <v>0</v>
      </c>
      <c r="K395" t="n">
        <v>0</v>
      </c>
      <c r="L395" t="n">
        <v>0</v>
      </c>
      <c r="M395" t="n">
        <v>0</v>
      </c>
      <c r="N395" t="n">
        <v>0</v>
      </c>
      <c r="O395" t="n">
        <v>0</v>
      </c>
      <c r="P395" t="n">
        <v>0</v>
      </c>
      <c r="Q395" t="n">
        <v>0</v>
      </c>
      <c r="R395" s="2" t="inlineStr"/>
    </row>
    <row r="396" ht="15" customHeight="1">
      <c r="A396" t="inlineStr">
        <is>
          <t>A 18641-2019</t>
        </is>
      </c>
      <c r="B396" s="1" t="n">
        <v>43560</v>
      </c>
      <c r="C396" s="1" t="n">
        <v>45637</v>
      </c>
      <c r="D396" t="inlineStr">
        <is>
          <t>VÄSTMANLANDS LÄN</t>
        </is>
      </c>
      <c r="E396" t="inlineStr">
        <is>
          <t>VÄSTERÅS</t>
        </is>
      </c>
      <c r="G396" t="n">
        <v>1.4</v>
      </c>
      <c r="H396" t="n">
        <v>0</v>
      </c>
      <c r="I396" t="n">
        <v>0</v>
      </c>
      <c r="J396" t="n">
        <v>0</v>
      </c>
      <c r="K396" t="n">
        <v>0</v>
      </c>
      <c r="L396" t="n">
        <v>0</v>
      </c>
      <c r="M396" t="n">
        <v>0</v>
      </c>
      <c r="N396" t="n">
        <v>0</v>
      </c>
      <c r="O396" t="n">
        <v>0</v>
      </c>
      <c r="P396" t="n">
        <v>0</v>
      </c>
      <c r="Q396" t="n">
        <v>0</v>
      </c>
      <c r="R396" s="2" t="inlineStr"/>
    </row>
    <row r="397" ht="15" customHeight="1">
      <c r="A397" t="inlineStr">
        <is>
          <t>A 18765-2019</t>
        </is>
      </c>
      <c r="B397" s="1" t="n">
        <v>43560</v>
      </c>
      <c r="C397" s="1" t="n">
        <v>45637</v>
      </c>
      <c r="D397" t="inlineStr">
        <is>
          <t>VÄSTMANLANDS LÄN</t>
        </is>
      </c>
      <c r="E397" t="inlineStr">
        <is>
          <t>VÄSTERÅS</t>
        </is>
      </c>
      <c r="G397" t="n">
        <v>1</v>
      </c>
      <c r="H397" t="n">
        <v>0</v>
      </c>
      <c r="I397" t="n">
        <v>0</v>
      </c>
      <c r="J397" t="n">
        <v>0</v>
      </c>
      <c r="K397" t="n">
        <v>0</v>
      </c>
      <c r="L397" t="n">
        <v>0</v>
      </c>
      <c r="M397" t="n">
        <v>0</v>
      </c>
      <c r="N397" t="n">
        <v>0</v>
      </c>
      <c r="O397" t="n">
        <v>0</v>
      </c>
      <c r="P397" t="n">
        <v>0</v>
      </c>
      <c r="Q397" t="n">
        <v>0</v>
      </c>
      <c r="R397" s="2" t="inlineStr"/>
    </row>
    <row r="398" ht="15" customHeight="1">
      <c r="A398" t="inlineStr">
        <is>
          <t>A 18791-2019</t>
        </is>
      </c>
      <c r="B398" s="1" t="n">
        <v>43562</v>
      </c>
      <c r="C398" s="1" t="n">
        <v>45637</v>
      </c>
      <c r="D398" t="inlineStr">
        <is>
          <t>VÄSTMANLANDS LÄN</t>
        </is>
      </c>
      <c r="E398" t="inlineStr">
        <is>
          <t>SALA</t>
        </is>
      </c>
      <c r="G398" t="n">
        <v>3.4</v>
      </c>
      <c r="H398" t="n">
        <v>0</v>
      </c>
      <c r="I398" t="n">
        <v>0</v>
      </c>
      <c r="J398" t="n">
        <v>0</v>
      </c>
      <c r="K398" t="n">
        <v>0</v>
      </c>
      <c r="L398" t="n">
        <v>0</v>
      </c>
      <c r="M398" t="n">
        <v>0</v>
      </c>
      <c r="N398" t="n">
        <v>0</v>
      </c>
      <c r="O398" t="n">
        <v>0</v>
      </c>
      <c r="P398" t="n">
        <v>0</v>
      </c>
      <c r="Q398" t="n">
        <v>0</v>
      </c>
      <c r="R398" s="2" t="inlineStr"/>
    </row>
    <row r="399" ht="15" customHeight="1">
      <c r="A399" t="inlineStr">
        <is>
          <t>A 18953-2019</t>
        </is>
      </c>
      <c r="B399" s="1" t="n">
        <v>43563</v>
      </c>
      <c r="C399" s="1" t="n">
        <v>45637</v>
      </c>
      <c r="D399" t="inlineStr">
        <is>
          <t>VÄSTMANLANDS LÄN</t>
        </is>
      </c>
      <c r="E399" t="inlineStr">
        <is>
          <t>SURAHAMMAR</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18960-2019</t>
        </is>
      </c>
      <c r="B400" s="1" t="n">
        <v>43563</v>
      </c>
      <c r="C400" s="1" t="n">
        <v>45637</v>
      </c>
      <c r="D400" t="inlineStr">
        <is>
          <t>VÄSTMANLANDS LÄN</t>
        </is>
      </c>
      <c r="E400" t="inlineStr">
        <is>
          <t>SURAHAMMAR</t>
        </is>
      </c>
      <c r="F400" t="inlineStr">
        <is>
          <t>Övriga Aktiebolag</t>
        </is>
      </c>
      <c r="G400" t="n">
        <v>4.1</v>
      </c>
      <c r="H400" t="n">
        <v>0</v>
      </c>
      <c r="I400" t="n">
        <v>0</v>
      </c>
      <c r="J400" t="n">
        <v>0</v>
      </c>
      <c r="K400" t="n">
        <v>0</v>
      </c>
      <c r="L400" t="n">
        <v>0</v>
      </c>
      <c r="M400" t="n">
        <v>0</v>
      </c>
      <c r="N400" t="n">
        <v>0</v>
      </c>
      <c r="O400" t="n">
        <v>0</v>
      </c>
      <c r="P400" t="n">
        <v>0</v>
      </c>
      <c r="Q400" t="n">
        <v>0</v>
      </c>
      <c r="R400" s="2" t="inlineStr"/>
    </row>
    <row r="401" ht="15" customHeight="1">
      <c r="A401" t="inlineStr">
        <is>
          <t>A 18961-2019</t>
        </is>
      </c>
      <c r="B401" s="1" t="n">
        <v>43563</v>
      </c>
      <c r="C401" s="1" t="n">
        <v>45637</v>
      </c>
      <c r="D401" t="inlineStr">
        <is>
          <t>VÄSTMANLANDS LÄN</t>
        </is>
      </c>
      <c r="E401" t="inlineStr">
        <is>
          <t>SALA</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19127-2019</t>
        </is>
      </c>
      <c r="B402" s="1" t="n">
        <v>43564</v>
      </c>
      <c r="C402" s="1" t="n">
        <v>45637</v>
      </c>
      <c r="D402" t="inlineStr">
        <is>
          <t>VÄSTMANLANDS LÄN</t>
        </is>
      </c>
      <c r="E402" t="inlineStr">
        <is>
          <t>FAGERSTA</t>
        </is>
      </c>
      <c r="G402" t="n">
        <v>2</v>
      </c>
      <c r="H402" t="n">
        <v>0</v>
      </c>
      <c r="I402" t="n">
        <v>0</v>
      </c>
      <c r="J402" t="n">
        <v>0</v>
      </c>
      <c r="K402" t="n">
        <v>0</v>
      </c>
      <c r="L402" t="n">
        <v>0</v>
      </c>
      <c r="M402" t="n">
        <v>0</v>
      </c>
      <c r="N402" t="n">
        <v>0</v>
      </c>
      <c r="O402" t="n">
        <v>0</v>
      </c>
      <c r="P402" t="n">
        <v>0</v>
      </c>
      <c r="Q402" t="n">
        <v>0</v>
      </c>
      <c r="R402" s="2" t="inlineStr"/>
    </row>
    <row r="403" ht="15" customHeight="1">
      <c r="A403" t="inlineStr">
        <is>
          <t>A 19312-2019</t>
        </is>
      </c>
      <c r="B403" s="1" t="n">
        <v>43565</v>
      </c>
      <c r="C403" s="1" t="n">
        <v>45637</v>
      </c>
      <c r="D403" t="inlineStr">
        <is>
          <t>VÄSTMANLANDS LÄN</t>
        </is>
      </c>
      <c r="E403" t="inlineStr">
        <is>
          <t>VÄSTERÅS</t>
        </is>
      </c>
      <c r="G403" t="n">
        <v>5.3</v>
      </c>
      <c r="H403" t="n">
        <v>0</v>
      </c>
      <c r="I403" t="n">
        <v>0</v>
      </c>
      <c r="J403" t="n">
        <v>0</v>
      </c>
      <c r="K403" t="n">
        <v>0</v>
      </c>
      <c r="L403" t="n">
        <v>0</v>
      </c>
      <c r="M403" t="n">
        <v>0</v>
      </c>
      <c r="N403" t="n">
        <v>0</v>
      </c>
      <c r="O403" t="n">
        <v>0</v>
      </c>
      <c r="P403" t="n">
        <v>0</v>
      </c>
      <c r="Q403" t="n">
        <v>0</v>
      </c>
      <c r="R403" s="2" t="inlineStr"/>
    </row>
    <row r="404" ht="15" customHeight="1">
      <c r="A404" t="inlineStr">
        <is>
          <t>A 19318-2019</t>
        </is>
      </c>
      <c r="B404" s="1" t="n">
        <v>43565</v>
      </c>
      <c r="C404" s="1" t="n">
        <v>45637</v>
      </c>
      <c r="D404" t="inlineStr">
        <is>
          <t>VÄSTMANLANDS LÄN</t>
        </is>
      </c>
      <c r="E404" t="inlineStr">
        <is>
          <t>VÄSTERÅS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19659-2019</t>
        </is>
      </c>
      <c r="B405" s="1" t="n">
        <v>43566</v>
      </c>
      <c r="C405" s="1" t="n">
        <v>45637</v>
      </c>
      <c r="D405" t="inlineStr">
        <is>
          <t>VÄSTMANLANDS LÄN</t>
        </is>
      </c>
      <c r="E405" t="inlineStr">
        <is>
          <t>SURAHAMMAR</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19482-2019</t>
        </is>
      </c>
      <c r="B406" s="1" t="n">
        <v>43567</v>
      </c>
      <c r="C406" s="1" t="n">
        <v>45637</v>
      </c>
      <c r="D406" t="inlineStr">
        <is>
          <t>VÄSTMANLANDS LÄN</t>
        </is>
      </c>
      <c r="E406" t="inlineStr">
        <is>
          <t>HALLSTAHAMMAR</t>
        </is>
      </c>
      <c r="G406" t="n">
        <v>6</v>
      </c>
      <c r="H406" t="n">
        <v>0</v>
      </c>
      <c r="I406" t="n">
        <v>0</v>
      </c>
      <c r="J406" t="n">
        <v>0</v>
      </c>
      <c r="K406" t="n">
        <v>0</v>
      </c>
      <c r="L406" t="n">
        <v>0</v>
      </c>
      <c r="M406" t="n">
        <v>0</v>
      </c>
      <c r="N406" t="n">
        <v>0</v>
      </c>
      <c r="O406" t="n">
        <v>0</v>
      </c>
      <c r="P406" t="n">
        <v>0</v>
      </c>
      <c r="Q406" t="n">
        <v>0</v>
      </c>
      <c r="R406" s="2" t="inlineStr"/>
    </row>
    <row r="407" ht="15" customHeight="1">
      <c r="A407" t="inlineStr">
        <is>
          <t>A 19869-2019</t>
        </is>
      </c>
      <c r="B407" s="1" t="n">
        <v>43567</v>
      </c>
      <c r="C407" s="1" t="n">
        <v>45637</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19950-2019</t>
        </is>
      </c>
      <c r="B408" s="1" t="n">
        <v>43569</v>
      </c>
      <c r="C408" s="1" t="n">
        <v>45637</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20057-2019</t>
        </is>
      </c>
      <c r="B409" s="1" t="n">
        <v>43570</v>
      </c>
      <c r="C409" s="1" t="n">
        <v>45637</v>
      </c>
      <c r="D409" t="inlineStr">
        <is>
          <t>VÄSTMANLANDS LÄN</t>
        </is>
      </c>
      <c r="E409" t="inlineStr">
        <is>
          <t>ARBOGA</t>
        </is>
      </c>
      <c r="G409" t="n">
        <v>1.2</v>
      </c>
      <c r="H409" t="n">
        <v>0</v>
      </c>
      <c r="I409" t="n">
        <v>0</v>
      </c>
      <c r="J409" t="n">
        <v>0</v>
      </c>
      <c r="K409" t="n">
        <v>0</v>
      </c>
      <c r="L409" t="n">
        <v>0</v>
      </c>
      <c r="M409" t="n">
        <v>0</v>
      </c>
      <c r="N409" t="n">
        <v>0</v>
      </c>
      <c r="O409" t="n">
        <v>0</v>
      </c>
      <c r="P409" t="n">
        <v>0</v>
      </c>
      <c r="Q409" t="n">
        <v>0</v>
      </c>
      <c r="R409" s="2" t="inlineStr"/>
    </row>
    <row r="410" ht="15" customHeight="1">
      <c r="A410" t="inlineStr">
        <is>
          <t>A 20171-2019</t>
        </is>
      </c>
      <c r="B410" s="1" t="n">
        <v>43570</v>
      </c>
      <c r="C410" s="1" t="n">
        <v>45637</v>
      </c>
      <c r="D410" t="inlineStr">
        <is>
          <t>VÄSTMANLANDS LÄN</t>
        </is>
      </c>
      <c r="E410" t="inlineStr">
        <is>
          <t>ARBOGA</t>
        </is>
      </c>
      <c r="G410" t="n">
        <v>3.1</v>
      </c>
      <c r="H410" t="n">
        <v>0</v>
      </c>
      <c r="I410" t="n">
        <v>0</v>
      </c>
      <c r="J410" t="n">
        <v>0</v>
      </c>
      <c r="K410" t="n">
        <v>0</v>
      </c>
      <c r="L410" t="n">
        <v>0</v>
      </c>
      <c r="M410" t="n">
        <v>0</v>
      </c>
      <c r="N410" t="n">
        <v>0</v>
      </c>
      <c r="O410" t="n">
        <v>0</v>
      </c>
      <c r="P410" t="n">
        <v>0</v>
      </c>
      <c r="Q410" t="n">
        <v>0</v>
      </c>
      <c r="R410" s="2" t="inlineStr"/>
    </row>
    <row r="411" ht="15" customHeight="1">
      <c r="A411" t="inlineStr">
        <is>
          <t>A 20096-2019</t>
        </is>
      </c>
      <c r="B411" s="1" t="n">
        <v>43570</v>
      </c>
      <c r="C411" s="1" t="n">
        <v>45637</v>
      </c>
      <c r="D411" t="inlineStr">
        <is>
          <t>VÄSTMANLANDS LÄN</t>
        </is>
      </c>
      <c r="E411" t="inlineStr">
        <is>
          <t>NORBERG</t>
        </is>
      </c>
      <c r="G411" t="n">
        <v>0.9</v>
      </c>
      <c r="H411" t="n">
        <v>0</v>
      </c>
      <c r="I411" t="n">
        <v>0</v>
      </c>
      <c r="J411" t="n">
        <v>0</v>
      </c>
      <c r="K411" t="n">
        <v>0</v>
      </c>
      <c r="L411" t="n">
        <v>0</v>
      </c>
      <c r="M411" t="n">
        <v>0</v>
      </c>
      <c r="N411" t="n">
        <v>0</v>
      </c>
      <c r="O411" t="n">
        <v>0</v>
      </c>
      <c r="P411" t="n">
        <v>0</v>
      </c>
      <c r="Q411" t="n">
        <v>0</v>
      </c>
      <c r="R411" s="2" t="inlineStr"/>
    </row>
    <row r="412" ht="15" customHeight="1">
      <c r="A412" t="inlineStr">
        <is>
          <t>A 20127-2019</t>
        </is>
      </c>
      <c r="B412" s="1" t="n">
        <v>43570</v>
      </c>
      <c r="C412" s="1" t="n">
        <v>45637</v>
      </c>
      <c r="D412" t="inlineStr">
        <is>
          <t>VÄSTMANLANDS LÄN</t>
        </is>
      </c>
      <c r="E412" t="inlineStr">
        <is>
          <t>SURAHAMMAR</t>
        </is>
      </c>
      <c r="G412" t="n">
        <v>2.6</v>
      </c>
      <c r="H412" t="n">
        <v>0</v>
      </c>
      <c r="I412" t="n">
        <v>0</v>
      </c>
      <c r="J412" t="n">
        <v>0</v>
      </c>
      <c r="K412" t="n">
        <v>0</v>
      </c>
      <c r="L412" t="n">
        <v>0</v>
      </c>
      <c r="M412" t="n">
        <v>0</v>
      </c>
      <c r="N412" t="n">
        <v>0</v>
      </c>
      <c r="O412" t="n">
        <v>0</v>
      </c>
      <c r="P412" t="n">
        <v>0</v>
      </c>
      <c r="Q412" t="n">
        <v>0</v>
      </c>
      <c r="R412" s="2" t="inlineStr"/>
    </row>
    <row r="413" ht="15" customHeight="1">
      <c r="A413" t="inlineStr">
        <is>
          <t>A 20151-2019</t>
        </is>
      </c>
      <c r="B413" s="1" t="n">
        <v>43570</v>
      </c>
      <c r="C413" s="1" t="n">
        <v>45637</v>
      </c>
      <c r="D413" t="inlineStr">
        <is>
          <t>VÄSTMANLANDS LÄN</t>
        </is>
      </c>
      <c r="E413" t="inlineStr">
        <is>
          <t>ARBOGA</t>
        </is>
      </c>
      <c r="G413" t="n">
        <v>3.3</v>
      </c>
      <c r="H413" t="n">
        <v>0</v>
      </c>
      <c r="I413" t="n">
        <v>0</v>
      </c>
      <c r="J413" t="n">
        <v>0</v>
      </c>
      <c r="K413" t="n">
        <v>0</v>
      </c>
      <c r="L413" t="n">
        <v>0</v>
      </c>
      <c r="M413" t="n">
        <v>0</v>
      </c>
      <c r="N413" t="n">
        <v>0</v>
      </c>
      <c r="O413" t="n">
        <v>0</v>
      </c>
      <c r="P413" t="n">
        <v>0</v>
      </c>
      <c r="Q413" t="n">
        <v>0</v>
      </c>
      <c r="R413" s="2" t="inlineStr"/>
    </row>
    <row r="414" ht="15" customHeight="1">
      <c r="A414" t="inlineStr">
        <is>
          <t>A 20412-2019</t>
        </is>
      </c>
      <c r="B414" s="1" t="n">
        <v>43571</v>
      </c>
      <c r="C414" s="1" t="n">
        <v>45637</v>
      </c>
      <c r="D414" t="inlineStr">
        <is>
          <t>VÄSTMANLANDS LÄN</t>
        </is>
      </c>
      <c r="E414" t="inlineStr">
        <is>
          <t>FAGERSTA</t>
        </is>
      </c>
      <c r="G414" t="n">
        <v>6.8</v>
      </c>
      <c r="H414" t="n">
        <v>0</v>
      </c>
      <c r="I414" t="n">
        <v>0</v>
      </c>
      <c r="J414" t="n">
        <v>0</v>
      </c>
      <c r="K414" t="n">
        <v>0</v>
      </c>
      <c r="L414" t="n">
        <v>0</v>
      </c>
      <c r="M414" t="n">
        <v>0</v>
      </c>
      <c r="N414" t="n">
        <v>0</v>
      </c>
      <c r="O414" t="n">
        <v>0</v>
      </c>
      <c r="P414" t="n">
        <v>0</v>
      </c>
      <c r="Q414" t="n">
        <v>0</v>
      </c>
      <c r="R414" s="2" t="inlineStr"/>
    </row>
    <row r="415" ht="15" customHeight="1">
      <c r="A415" t="inlineStr">
        <is>
          <t>A 20254-2019</t>
        </is>
      </c>
      <c r="B415" s="1" t="n">
        <v>43571</v>
      </c>
      <c r="C415" s="1" t="n">
        <v>45637</v>
      </c>
      <c r="D415" t="inlineStr">
        <is>
          <t>VÄSTMANLANDS LÄN</t>
        </is>
      </c>
      <c r="E415" t="inlineStr">
        <is>
          <t>SKINNSKATTEBERG</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20474-2019</t>
        </is>
      </c>
      <c r="B416" s="1" t="n">
        <v>43572</v>
      </c>
      <c r="C416" s="1" t="n">
        <v>45637</v>
      </c>
      <c r="D416" t="inlineStr">
        <is>
          <t>VÄSTMANLANDS LÄN</t>
        </is>
      </c>
      <c r="E416" t="inlineStr">
        <is>
          <t>ARBOGA</t>
        </is>
      </c>
      <c r="F416" t="inlineStr">
        <is>
          <t>Sveaskog</t>
        </is>
      </c>
      <c r="G416" t="n">
        <v>7</v>
      </c>
      <c r="H416" t="n">
        <v>0</v>
      </c>
      <c r="I416" t="n">
        <v>0</v>
      </c>
      <c r="J416" t="n">
        <v>0</v>
      </c>
      <c r="K416" t="n">
        <v>0</v>
      </c>
      <c r="L416" t="n">
        <v>0</v>
      </c>
      <c r="M416" t="n">
        <v>0</v>
      </c>
      <c r="N416" t="n">
        <v>0</v>
      </c>
      <c r="O416" t="n">
        <v>0</v>
      </c>
      <c r="P416" t="n">
        <v>0</v>
      </c>
      <c r="Q416" t="n">
        <v>0</v>
      </c>
      <c r="R416" s="2" t="inlineStr"/>
    </row>
    <row r="417" ht="15" customHeight="1">
      <c r="A417" t="inlineStr">
        <is>
          <t>A 20627-2019</t>
        </is>
      </c>
      <c r="B417" s="1" t="n">
        <v>43572</v>
      </c>
      <c r="C417" s="1" t="n">
        <v>45637</v>
      </c>
      <c r="D417" t="inlineStr">
        <is>
          <t>VÄSTMANLANDS LÄN</t>
        </is>
      </c>
      <c r="E417" t="inlineStr">
        <is>
          <t>ARBOGA</t>
        </is>
      </c>
      <c r="G417" t="n">
        <v>9.9</v>
      </c>
      <c r="H417" t="n">
        <v>0</v>
      </c>
      <c r="I417" t="n">
        <v>0</v>
      </c>
      <c r="J417" t="n">
        <v>0</v>
      </c>
      <c r="K417" t="n">
        <v>0</v>
      </c>
      <c r="L417" t="n">
        <v>0</v>
      </c>
      <c r="M417" t="n">
        <v>0</v>
      </c>
      <c r="N417" t="n">
        <v>0</v>
      </c>
      <c r="O417" t="n">
        <v>0</v>
      </c>
      <c r="P417" t="n">
        <v>0</v>
      </c>
      <c r="Q417" t="n">
        <v>0</v>
      </c>
      <c r="R417" s="2" t="inlineStr"/>
    </row>
    <row r="418" ht="15" customHeight="1">
      <c r="A418" t="inlineStr">
        <is>
          <t>A 20721-2019</t>
        </is>
      </c>
      <c r="B418" s="1" t="n">
        <v>43573</v>
      </c>
      <c r="C418" s="1" t="n">
        <v>45637</v>
      </c>
      <c r="D418" t="inlineStr">
        <is>
          <t>VÄSTMANLANDS LÄN</t>
        </is>
      </c>
      <c r="E418" t="inlineStr">
        <is>
          <t>ARBOGA</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20834-2019</t>
        </is>
      </c>
      <c r="B419" s="1" t="n">
        <v>43575</v>
      </c>
      <c r="C419" s="1" t="n">
        <v>45637</v>
      </c>
      <c r="D419" t="inlineStr">
        <is>
          <t>VÄSTMANLANDS LÄN</t>
        </is>
      </c>
      <c r="E419" t="inlineStr">
        <is>
          <t>ARBOGA</t>
        </is>
      </c>
      <c r="F419" t="inlineStr">
        <is>
          <t>Allmännings- och besparingsskogar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20849-2019</t>
        </is>
      </c>
      <c r="B420" s="1" t="n">
        <v>43577</v>
      </c>
      <c r="C420" s="1" t="n">
        <v>45637</v>
      </c>
      <c r="D420" t="inlineStr">
        <is>
          <t>VÄSTMANLANDS LÄN</t>
        </is>
      </c>
      <c r="E420" t="inlineStr">
        <is>
          <t>ARBOGA</t>
        </is>
      </c>
      <c r="F420" t="inlineStr">
        <is>
          <t>Allmännings- och besparingsskogar</t>
        </is>
      </c>
      <c r="G420" t="n">
        <v>20.6</v>
      </c>
      <c r="H420" t="n">
        <v>0</v>
      </c>
      <c r="I420" t="n">
        <v>0</v>
      </c>
      <c r="J420" t="n">
        <v>0</v>
      </c>
      <c r="K420" t="n">
        <v>0</v>
      </c>
      <c r="L420" t="n">
        <v>0</v>
      </c>
      <c r="M420" t="n">
        <v>0</v>
      </c>
      <c r="N420" t="n">
        <v>0</v>
      </c>
      <c r="O420" t="n">
        <v>0</v>
      </c>
      <c r="P420" t="n">
        <v>0</v>
      </c>
      <c r="Q420" t="n">
        <v>0</v>
      </c>
      <c r="R420" s="2" t="inlineStr"/>
    </row>
    <row r="421" ht="15" customHeight="1">
      <c r="A421" t="inlineStr">
        <is>
          <t>A 20904-2019</t>
        </is>
      </c>
      <c r="B421" s="1" t="n">
        <v>43578</v>
      </c>
      <c r="C421" s="1" t="n">
        <v>45637</v>
      </c>
      <c r="D421" t="inlineStr">
        <is>
          <t>VÄSTMANLANDS LÄN</t>
        </is>
      </c>
      <c r="E421" t="inlineStr">
        <is>
          <t>SURAHAMMAR</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20879-2019</t>
        </is>
      </c>
      <c r="B422" s="1" t="n">
        <v>43578</v>
      </c>
      <c r="C422" s="1" t="n">
        <v>45637</v>
      </c>
      <c r="D422" t="inlineStr">
        <is>
          <t>VÄSTMANLANDS LÄN</t>
        </is>
      </c>
      <c r="E422" t="inlineStr">
        <is>
          <t>ARBOGA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21205-2019</t>
        </is>
      </c>
      <c r="B423" s="1" t="n">
        <v>43579</v>
      </c>
      <c r="C423" s="1" t="n">
        <v>45637</v>
      </c>
      <c r="D423" t="inlineStr">
        <is>
          <t>VÄSTMANLANDS LÄN</t>
        </is>
      </c>
      <c r="E423" t="inlineStr">
        <is>
          <t>ARBOGA</t>
        </is>
      </c>
      <c r="G423" t="n">
        <v>3.8</v>
      </c>
      <c r="H423" t="n">
        <v>0</v>
      </c>
      <c r="I423" t="n">
        <v>0</v>
      </c>
      <c r="J423" t="n">
        <v>0</v>
      </c>
      <c r="K423" t="n">
        <v>0</v>
      </c>
      <c r="L423" t="n">
        <v>0</v>
      </c>
      <c r="M423" t="n">
        <v>0</v>
      </c>
      <c r="N423" t="n">
        <v>0</v>
      </c>
      <c r="O423" t="n">
        <v>0</v>
      </c>
      <c r="P423" t="n">
        <v>0</v>
      </c>
      <c r="Q423" t="n">
        <v>0</v>
      </c>
      <c r="R423" s="2" t="inlineStr"/>
    </row>
    <row r="424" ht="15" customHeight="1">
      <c r="A424" t="inlineStr">
        <is>
          <t>A 21396-2019</t>
        </is>
      </c>
      <c r="B424" s="1" t="n">
        <v>43580</v>
      </c>
      <c r="C424" s="1" t="n">
        <v>45637</v>
      </c>
      <c r="D424" t="inlineStr">
        <is>
          <t>VÄSTMANLANDS LÄN</t>
        </is>
      </c>
      <c r="E424" t="inlineStr">
        <is>
          <t>NORBERG</t>
        </is>
      </c>
      <c r="F424" t="inlineStr">
        <is>
          <t>Övriga Aktiebolag</t>
        </is>
      </c>
      <c r="G424" t="n">
        <v>2.3</v>
      </c>
      <c r="H424" t="n">
        <v>0</v>
      </c>
      <c r="I424" t="n">
        <v>0</v>
      </c>
      <c r="J424" t="n">
        <v>0</v>
      </c>
      <c r="K424" t="n">
        <v>0</v>
      </c>
      <c r="L424" t="n">
        <v>0</v>
      </c>
      <c r="M424" t="n">
        <v>0</v>
      </c>
      <c r="N424" t="n">
        <v>0</v>
      </c>
      <c r="O424" t="n">
        <v>0</v>
      </c>
      <c r="P424" t="n">
        <v>0</v>
      </c>
      <c r="Q424" t="n">
        <v>0</v>
      </c>
      <c r="R424" s="2" t="inlineStr"/>
    </row>
    <row r="425" ht="15" customHeight="1">
      <c r="A425" t="inlineStr">
        <is>
          <t>A 21397-2019</t>
        </is>
      </c>
      <c r="B425" s="1" t="n">
        <v>43580</v>
      </c>
      <c r="C425" s="1" t="n">
        <v>45637</v>
      </c>
      <c r="D425" t="inlineStr">
        <is>
          <t>VÄSTMANLANDS LÄN</t>
        </is>
      </c>
      <c r="E425" t="inlineStr">
        <is>
          <t>VÄSTERÅS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21392-2019</t>
        </is>
      </c>
      <c r="B426" s="1" t="n">
        <v>43580</v>
      </c>
      <c r="C426" s="1" t="n">
        <v>45637</v>
      </c>
      <c r="D426" t="inlineStr">
        <is>
          <t>VÄSTMANLANDS LÄN</t>
        </is>
      </c>
      <c r="E426" t="inlineStr">
        <is>
          <t>NORBERG</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21768-2019</t>
        </is>
      </c>
      <c r="B427" s="1" t="n">
        <v>43581</v>
      </c>
      <c r="C427" s="1" t="n">
        <v>45637</v>
      </c>
      <c r="D427" t="inlineStr">
        <is>
          <t>VÄSTMANLANDS LÄN</t>
        </is>
      </c>
      <c r="E427" t="inlineStr">
        <is>
          <t>VÄSTERÅS</t>
        </is>
      </c>
      <c r="G427" t="n">
        <v>3.5</v>
      </c>
      <c r="H427" t="n">
        <v>0</v>
      </c>
      <c r="I427" t="n">
        <v>0</v>
      </c>
      <c r="J427" t="n">
        <v>0</v>
      </c>
      <c r="K427" t="n">
        <v>0</v>
      </c>
      <c r="L427" t="n">
        <v>0</v>
      </c>
      <c r="M427" t="n">
        <v>0</v>
      </c>
      <c r="N427" t="n">
        <v>0</v>
      </c>
      <c r="O427" t="n">
        <v>0</v>
      </c>
      <c r="P427" t="n">
        <v>0</v>
      </c>
      <c r="Q427" t="n">
        <v>0</v>
      </c>
      <c r="R427" s="2" t="inlineStr"/>
    </row>
    <row r="428" ht="15" customHeight="1">
      <c r="A428" t="inlineStr">
        <is>
          <t>A 21642-2019</t>
        </is>
      </c>
      <c r="B428" s="1" t="n">
        <v>43581</v>
      </c>
      <c r="C428" s="1" t="n">
        <v>45637</v>
      </c>
      <c r="D428" t="inlineStr">
        <is>
          <t>VÄSTMANLANDS LÄN</t>
        </is>
      </c>
      <c r="E428" t="inlineStr">
        <is>
          <t>KUNGSÖR</t>
        </is>
      </c>
      <c r="G428" t="n">
        <v>2.7</v>
      </c>
      <c r="H428" t="n">
        <v>0</v>
      </c>
      <c r="I428" t="n">
        <v>0</v>
      </c>
      <c r="J428" t="n">
        <v>0</v>
      </c>
      <c r="K428" t="n">
        <v>0</v>
      </c>
      <c r="L428" t="n">
        <v>0</v>
      </c>
      <c r="M428" t="n">
        <v>0</v>
      </c>
      <c r="N428" t="n">
        <v>0</v>
      </c>
      <c r="O428" t="n">
        <v>0</v>
      </c>
      <c r="P428" t="n">
        <v>0</v>
      </c>
      <c r="Q428" t="n">
        <v>0</v>
      </c>
      <c r="R428" s="2" t="inlineStr"/>
    </row>
    <row r="429" ht="15" customHeight="1">
      <c r="A429" t="inlineStr">
        <is>
          <t>A 21859-2019</t>
        </is>
      </c>
      <c r="B429" s="1" t="n">
        <v>43584</v>
      </c>
      <c r="C429" s="1" t="n">
        <v>45637</v>
      </c>
      <c r="D429" t="inlineStr">
        <is>
          <t>VÄSTMANLANDS LÄN</t>
        </is>
      </c>
      <c r="E429" t="inlineStr">
        <is>
          <t>NORBERG</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21985-2019</t>
        </is>
      </c>
      <c r="B430" s="1" t="n">
        <v>43584</v>
      </c>
      <c r="C430" s="1" t="n">
        <v>45637</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21997-2019</t>
        </is>
      </c>
      <c r="B431" s="1" t="n">
        <v>43584</v>
      </c>
      <c r="C431" s="1" t="n">
        <v>45637</v>
      </c>
      <c r="D431" t="inlineStr">
        <is>
          <t>VÄSTMANLANDS LÄN</t>
        </is>
      </c>
      <c r="E431" t="inlineStr">
        <is>
          <t>SKINNSKATTEBERG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22249-2019</t>
        </is>
      </c>
      <c r="B432" s="1" t="n">
        <v>43585</v>
      </c>
      <c r="C432" s="1" t="n">
        <v>45637</v>
      </c>
      <c r="D432" t="inlineStr">
        <is>
          <t>VÄSTMANLANDS LÄN</t>
        </is>
      </c>
      <c r="E432" t="inlineStr">
        <is>
          <t>SALA</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22221-2019</t>
        </is>
      </c>
      <c r="B433" s="1" t="n">
        <v>43585</v>
      </c>
      <c r="C433" s="1" t="n">
        <v>45637</v>
      </c>
      <c r="D433" t="inlineStr">
        <is>
          <t>VÄSTMANLANDS LÄN</t>
        </is>
      </c>
      <c r="E433" t="inlineStr">
        <is>
          <t>VÄSTERÅS</t>
        </is>
      </c>
      <c r="G433" t="n">
        <v>5.9</v>
      </c>
      <c r="H433" t="n">
        <v>0</v>
      </c>
      <c r="I433" t="n">
        <v>0</v>
      </c>
      <c r="J433" t="n">
        <v>0</v>
      </c>
      <c r="K433" t="n">
        <v>0</v>
      </c>
      <c r="L433" t="n">
        <v>0</v>
      </c>
      <c r="M433" t="n">
        <v>0</v>
      </c>
      <c r="N433" t="n">
        <v>0</v>
      </c>
      <c r="O433" t="n">
        <v>0</v>
      </c>
      <c r="P433" t="n">
        <v>0</v>
      </c>
      <c r="Q433" t="n">
        <v>0</v>
      </c>
      <c r="R433" s="2" t="inlineStr"/>
    </row>
    <row r="434" ht="15" customHeight="1">
      <c r="A434" t="inlineStr">
        <is>
          <t>A 23153-2019</t>
        </is>
      </c>
      <c r="B434" s="1" t="n">
        <v>43588</v>
      </c>
      <c r="C434" s="1" t="n">
        <v>45637</v>
      </c>
      <c r="D434" t="inlineStr">
        <is>
          <t>VÄSTMANLANDS LÄN</t>
        </is>
      </c>
      <c r="E434" t="inlineStr">
        <is>
          <t>NORBERG</t>
        </is>
      </c>
      <c r="G434" t="n">
        <v>1.1</v>
      </c>
      <c r="H434" t="n">
        <v>0</v>
      </c>
      <c r="I434" t="n">
        <v>0</v>
      </c>
      <c r="J434" t="n">
        <v>0</v>
      </c>
      <c r="K434" t="n">
        <v>0</v>
      </c>
      <c r="L434" t="n">
        <v>0</v>
      </c>
      <c r="M434" t="n">
        <v>0</v>
      </c>
      <c r="N434" t="n">
        <v>0</v>
      </c>
      <c r="O434" t="n">
        <v>0</v>
      </c>
      <c r="P434" t="n">
        <v>0</v>
      </c>
      <c r="Q434" t="n">
        <v>0</v>
      </c>
      <c r="R434" s="2" t="inlineStr"/>
    </row>
    <row r="435" ht="15" customHeight="1">
      <c r="A435" t="inlineStr">
        <is>
          <t>A 22947-2019</t>
        </is>
      </c>
      <c r="B435" s="1" t="n">
        <v>43591</v>
      </c>
      <c r="C435" s="1" t="n">
        <v>45637</v>
      </c>
      <c r="D435" t="inlineStr">
        <is>
          <t>VÄSTMANLANDS LÄN</t>
        </is>
      </c>
      <c r="E435" t="inlineStr">
        <is>
          <t>NORBERG</t>
        </is>
      </c>
      <c r="G435" t="n">
        <v>5.4</v>
      </c>
      <c r="H435" t="n">
        <v>0</v>
      </c>
      <c r="I435" t="n">
        <v>0</v>
      </c>
      <c r="J435" t="n">
        <v>0</v>
      </c>
      <c r="K435" t="n">
        <v>0</v>
      </c>
      <c r="L435" t="n">
        <v>0</v>
      </c>
      <c r="M435" t="n">
        <v>0</v>
      </c>
      <c r="N435" t="n">
        <v>0</v>
      </c>
      <c r="O435" t="n">
        <v>0</v>
      </c>
      <c r="P435" t="n">
        <v>0</v>
      </c>
      <c r="Q435" t="n">
        <v>0</v>
      </c>
      <c r="R435" s="2" t="inlineStr"/>
    </row>
    <row r="436" ht="15" customHeight="1">
      <c r="A436" t="inlineStr">
        <is>
          <t>A 22834-2019</t>
        </is>
      </c>
      <c r="B436" s="1" t="n">
        <v>43591</v>
      </c>
      <c r="C436" s="1" t="n">
        <v>45637</v>
      </c>
      <c r="D436" t="inlineStr">
        <is>
          <t>VÄSTMANLANDS LÄN</t>
        </is>
      </c>
      <c r="E436" t="inlineStr">
        <is>
          <t>SURAHAMMAR</t>
        </is>
      </c>
      <c r="F436" t="inlineStr">
        <is>
          <t>Sveaskog</t>
        </is>
      </c>
      <c r="G436" t="n">
        <v>0.2</v>
      </c>
      <c r="H436" t="n">
        <v>0</v>
      </c>
      <c r="I436" t="n">
        <v>0</v>
      </c>
      <c r="J436" t="n">
        <v>0</v>
      </c>
      <c r="K436" t="n">
        <v>0</v>
      </c>
      <c r="L436" t="n">
        <v>0</v>
      </c>
      <c r="M436" t="n">
        <v>0</v>
      </c>
      <c r="N436" t="n">
        <v>0</v>
      </c>
      <c r="O436" t="n">
        <v>0</v>
      </c>
      <c r="P436" t="n">
        <v>0</v>
      </c>
      <c r="Q436" t="n">
        <v>0</v>
      </c>
      <c r="R436" s="2" t="inlineStr"/>
    </row>
    <row r="437" ht="15" customHeight="1">
      <c r="A437" t="inlineStr">
        <is>
          <t>A 22953-2019</t>
        </is>
      </c>
      <c r="B437" s="1" t="n">
        <v>43591</v>
      </c>
      <c r="C437" s="1" t="n">
        <v>45637</v>
      </c>
      <c r="D437" t="inlineStr">
        <is>
          <t>VÄSTMANLANDS LÄN</t>
        </is>
      </c>
      <c r="E437" t="inlineStr">
        <is>
          <t>NORBERG</t>
        </is>
      </c>
      <c r="G437" t="n">
        <v>1.9</v>
      </c>
      <c r="H437" t="n">
        <v>0</v>
      </c>
      <c r="I437" t="n">
        <v>0</v>
      </c>
      <c r="J437" t="n">
        <v>0</v>
      </c>
      <c r="K437" t="n">
        <v>0</v>
      </c>
      <c r="L437" t="n">
        <v>0</v>
      </c>
      <c r="M437" t="n">
        <v>0</v>
      </c>
      <c r="N437" t="n">
        <v>0</v>
      </c>
      <c r="O437" t="n">
        <v>0</v>
      </c>
      <c r="P437" t="n">
        <v>0</v>
      </c>
      <c r="Q437" t="n">
        <v>0</v>
      </c>
      <c r="R437" s="2" t="inlineStr"/>
    </row>
    <row r="438" ht="15" customHeight="1">
      <c r="A438" t="inlineStr">
        <is>
          <t>A 22972-2019</t>
        </is>
      </c>
      <c r="B438" s="1" t="n">
        <v>43591</v>
      </c>
      <c r="C438" s="1" t="n">
        <v>45637</v>
      </c>
      <c r="D438" t="inlineStr">
        <is>
          <t>VÄSTMANLANDS LÄN</t>
        </is>
      </c>
      <c r="E438" t="inlineStr">
        <is>
          <t>ARBOGA</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22833-2019</t>
        </is>
      </c>
      <c r="B439" s="1" t="n">
        <v>43591</v>
      </c>
      <c r="C439" s="1" t="n">
        <v>45637</v>
      </c>
      <c r="D439" t="inlineStr">
        <is>
          <t>VÄSTMANLANDS LÄN</t>
        </is>
      </c>
      <c r="E439" t="inlineStr">
        <is>
          <t>SALA</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23090-2019</t>
        </is>
      </c>
      <c r="B440" s="1" t="n">
        <v>43592</v>
      </c>
      <c r="C440" s="1" t="n">
        <v>45637</v>
      </c>
      <c r="D440" t="inlineStr">
        <is>
          <t>VÄSTMANLANDS LÄN</t>
        </is>
      </c>
      <c r="E440" t="inlineStr">
        <is>
          <t>SKINNSKATTEBERG</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23433-2019</t>
        </is>
      </c>
      <c r="B441" s="1" t="n">
        <v>43593</v>
      </c>
      <c r="C441" s="1" t="n">
        <v>45637</v>
      </c>
      <c r="D441" t="inlineStr">
        <is>
          <t>VÄSTMANLANDS LÄN</t>
        </is>
      </c>
      <c r="E441" t="inlineStr">
        <is>
          <t>SKINNSKATTEBERG</t>
        </is>
      </c>
      <c r="G441" t="n">
        <v>1.2</v>
      </c>
      <c r="H441" t="n">
        <v>0</v>
      </c>
      <c r="I441" t="n">
        <v>0</v>
      </c>
      <c r="J441" t="n">
        <v>0</v>
      </c>
      <c r="K441" t="n">
        <v>0</v>
      </c>
      <c r="L441" t="n">
        <v>0</v>
      </c>
      <c r="M441" t="n">
        <v>0</v>
      </c>
      <c r="N441" t="n">
        <v>0</v>
      </c>
      <c r="O441" t="n">
        <v>0</v>
      </c>
      <c r="P441" t="n">
        <v>0</v>
      </c>
      <c r="Q441" t="n">
        <v>0</v>
      </c>
      <c r="R441" s="2" t="inlineStr"/>
    </row>
    <row r="442" ht="15" customHeight="1">
      <c r="A442" t="inlineStr">
        <is>
          <t>A 23592-2019</t>
        </is>
      </c>
      <c r="B442" s="1" t="n">
        <v>43593</v>
      </c>
      <c r="C442" s="1" t="n">
        <v>45637</v>
      </c>
      <c r="D442" t="inlineStr">
        <is>
          <t>VÄSTMANLANDS LÄN</t>
        </is>
      </c>
      <c r="E442" t="inlineStr">
        <is>
          <t>NORBERG</t>
        </is>
      </c>
      <c r="G442" t="n">
        <v>2.7</v>
      </c>
      <c r="H442" t="n">
        <v>0</v>
      </c>
      <c r="I442" t="n">
        <v>0</v>
      </c>
      <c r="J442" t="n">
        <v>0</v>
      </c>
      <c r="K442" t="n">
        <v>0</v>
      </c>
      <c r="L442" t="n">
        <v>0</v>
      </c>
      <c r="M442" t="n">
        <v>0</v>
      </c>
      <c r="N442" t="n">
        <v>0</v>
      </c>
      <c r="O442" t="n">
        <v>0</v>
      </c>
      <c r="P442" t="n">
        <v>0</v>
      </c>
      <c r="Q442" t="n">
        <v>0</v>
      </c>
      <c r="R442" s="2" t="inlineStr"/>
    </row>
    <row r="443" ht="15" customHeight="1">
      <c r="A443" t="inlineStr">
        <is>
          <t>A 24107-2019</t>
        </is>
      </c>
      <c r="B443" s="1" t="n">
        <v>43595</v>
      </c>
      <c r="C443" s="1" t="n">
        <v>45637</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23890-2019</t>
        </is>
      </c>
      <c r="B444" s="1" t="n">
        <v>43595</v>
      </c>
      <c r="C444" s="1" t="n">
        <v>45637</v>
      </c>
      <c r="D444" t="inlineStr">
        <is>
          <t>VÄSTMANLANDS LÄN</t>
        </is>
      </c>
      <c r="E444" t="inlineStr">
        <is>
          <t>FAGERSTA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24147-2019</t>
        </is>
      </c>
      <c r="B445" s="1" t="n">
        <v>43598</v>
      </c>
      <c r="C445" s="1" t="n">
        <v>45637</v>
      </c>
      <c r="D445" t="inlineStr">
        <is>
          <t>VÄSTMANLANDS LÄN</t>
        </is>
      </c>
      <c r="E445" t="inlineStr">
        <is>
          <t>KUNGSÖR</t>
        </is>
      </c>
      <c r="G445" t="n">
        <v>0.4</v>
      </c>
      <c r="H445" t="n">
        <v>0</v>
      </c>
      <c r="I445" t="n">
        <v>0</v>
      </c>
      <c r="J445" t="n">
        <v>0</v>
      </c>
      <c r="K445" t="n">
        <v>0</v>
      </c>
      <c r="L445" t="n">
        <v>0</v>
      </c>
      <c r="M445" t="n">
        <v>0</v>
      </c>
      <c r="N445" t="n">
        <v>0</v>
      </c>
      <c r="O445" t="n">
        <v>0</v>
      </c>
      <c r="P445" t="n">
        <v>0</v>
      </c>
      <c r="Q445" t="n">
        <v>0</v>
      </c>
      <c r="R445" s="2" t="inlineStr"/>
    </row>
    <row r="446" ht="15" customHeight="1">
      <c r="A446" t="inlineStr">
        <is>
          <t>A 24071-2019</t>
        </is>
      </c>
      <c r="B446" s="1" t="n">
        <v>43598</v>
      </c>
      <c r="C446" s="1" t="n">
        <v>45637</v>
      </c>
      <c r="D446" t="inlineStr">
        <is>
          <t>VÄSTMANLANDS LÄN</t>
        </is>
      </c>
      <c r="E446" t="inlineStr">
        <is>
          <t>ARBOGA</t>
        </is>
      </c>
      <c r="G446" t="n">
        <v>1.4</v>
      </c>
      <c r="H446" t="n">
        <v>0</v>
      </c>
      <c r="I446" t="n">
        <v>0</v>
      </c>
      <c r="J446" t="n">
        <v>0</v>
      </c>
      <c r="K446" t="n">
        <v>0</v>
      </c>
      <c r="L446" t="n">
        <v>0</v>
      </c>
      <c r="M446" t="n">
        <v>0</v>
      </c>
      <c r="N446" t="n">
        <v>0</v>
      </c>
      <c r="O446" t="n">
        <v>0</v>
      </c>
      <c r="P446" t="n">
        <v>0</v>
      </c>
      <c r="Q446" t="n">
        <v>0</v>
      </c>
      <c r="R446" s="2" t="inlineStr"/>
    </row>
    <row r="447" ht="15" customHeight="1">
      <c r="A447" t="inlineStr">
        <is>
          <t>A 24017-2019</t>
        </is>
      </c>
      <c r="B447" s="1" t="n">
        <v>43598</v>
      </c>
      <c r="C447" s="1" t="n">
        <v>45637</v>
      </c>
      <c r="D447" t="inlineStr">
        <is>
          <t>VÄSTMANLANDS LÄN</t>
        </is>
      </c>
      <c r="E447" t="inlineStr">
        <is>
          <t>KÖPING</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24383-2019</t>
        </is>
      </c>
      <c r="B448" s="1" t="n">
        <v>43599</v>
      </c>
      <c r="C448" s="1" t="n">
        <v>45637</v>
      </c>
      <c r="D448" t="inlineStr">
        <is>
          <t>VÄSTMANLANDS LÄN</t>
        </is>
      </c>
      <c r="E448" t="inlineStr">
        <is>
          <t>SKINNSKATTEBERG</t>
        </is>
      </c>
      <c r="G448" t="n">
        <v>3.7</v>
      </c>
      <c r="H448" t="n">
        <v>0</v>
      </c>
      <c r="I448" t="n">
        <v>0</v>
      </c>
      <c r="J448" t="n">
        <v>0</v>
      </c>
      <c r="K448" t="n">
        <v>0</v>
      </c>
      <c r="L448" t="n">
        <v>0</v>
      </c>
      <c r="M448" t="n">
        <v>0</v>
      </c>
      <c r="N448" t="n">
        <v>0</v>
      </c>
      <c r="O448" t="n">
        <v>0</v>
      </c>
      <c r="P448" t="n">
        <v>0</v>
      </c>
      <c r="Q448" t="n">
        <v>0</v>
      </c>
      <c r="R448" s="2" t="inlineStr"/>
    </row>
    <row r="449" ht="15" customHeight="1">
      <c r="A449" t="inlineStr">
        <is>
          <t>A 24417-2019</t>
        </is>
      </c>
      <c r="B449" s="1" t="n">
        <v>43600</v>
      </c>
      <c r="C449" s="1" t="n">
        <v>45637</v>
      </c>
      <c r="D449" t="inlineStr">
        <is>
          <t>VÄSTMANLANDS LÄN</t>
        </is>
      </c>
      <c r="E449" t="inlineStr">
        <is>
          <t>KÖPING</t>
        </is>
      </c>
      <c r="G449" t="n">
        <v>2.8</v>
      </c>
      <c r="H449" t="n">
        <v>0</v>
      </c>
      <c r="I449" t="n">
        <v>0</v>
      </c>
      <c r="J449" t="n">
        <v>0</v>
      </c>
      <c r="K449" t="n">
        <v>0</v>
      </c>
      <c r="L449" t="n">
        <v>0</v>
      </c>
      <c r="M449" t="n">
        <v>0</v>
      </c>
      <c r="N449" t="n">
        <v>0</v>
      </c>
      <c r="O449" t="n">
        <v>0</v>
      </c>
      <c r="P449" t="n">
        <v>0</v>
      </c>
      <c r="Q449" t="n">
        <v>0</v>
      </c>
      <c r="R449" s="2" t="inlineStr"/>
    </row>
    <row r="450" ht="15" customHeight="1">
      <c r="A450" t="inlineStr">
        <is>
          <t>A 24539-2019</t>
        </is>
      </c>
      <c r="B450" s="1" t="n">
        <v>43600</v>
      </c>
      <c r="C450" s="1" t="n">
        <v>45637</v>
      </c>
      <c r="D450" t="inlineStr">
        <is>
          <t>VÄSTMANLANDS LÄN</t>
        </is>
      </c>
      <c r="E450" t="inlineStr">
        <is>
          <t>SKINNSKATTEBERG</t>
        </is>
      </c>
      <c r="G450" t="n">
        <v>1.6</v>
      </c>
      <c r="H450" t="n">
        <v>0</v>
      </c>
      <c r="I450" t="n">
        <v>0</v>
      </c>
      <c r="J450" t="n">
        <v>0</v>
      </c>
      <c r="K450" t="n">
        <v>0</v>
      </c>
      <c r="L450" t="n">
        <v>0</v>
      </c>
      <c r="M450" t="n">
        <v>0</v>
      </c>
      <c r="N450" t="n">
        <v>0</v>
      </c>
      <c r="O450" t="n">
        <v>0</v>
      </c>
      <c r="P450" t="n">
        <v>0</v>
      </c>
      <c r="Q450" t="n">
        <v>0</v>
      </c>
      <c r="R450" s="2" t="inlineStr"/>
    </row>
    <row r="451" ht="15" customHeight="1">
      <c r="A451" t="inlineStr">
        <is>
          <t>A 24985-2019</t>
        </is>
      </c>
      <c r="B451" s="1" t="n">
        <v>43602</v>
      </c>
      <c r="C451" s="1" t="n">
        <v>45637</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24909-2019</t>
        </is>
      </c>
      <c r="B452" s="1" t="n">
        <v>43602</v>
      </c>
      <c r="C452" s="1" t="n">
        <v>45637</v>
      </c>
      <c r="D452" t="inlineStr">
        <is>
          <t>VÄSTMANLANDS LÄN</t>
        </is>
      </c>
      <c r="E452" t="inlineStr">
        <is>
          <t>KÖPING</t>
        </is>
      </c>
      <c r="G452" t="n">
        <v>6.2</v>
      </c>
      <c r="H452" t="n">
        <v>0</v>
      </c>
      <c r="I452" t="n">
        <v>0</v>
      </c>
      <c r="J452" t="n">
        <v>0</v>
      </c>
      <c r="K452" t="n">
        <v>0</v>
      </c>
      <c r="L452" t="n">
        <v>0</v>
      </c>
      <c r="M452" t="n">
        <v>0</v>
      </c>
      <c r="N452" t="n">
        <v>0</v>
      </c>
      <c r="O452" t="n">
        <v>0</v>
      </c>
      <c r="P452" t="n">
        <v>0</v>
      </c>
      <c r="Q452" t="n">
        <v>0</v>
      </c>
      <c r="R452" s="2" t="inlineStr"/>
    </row>
    <row r="453" ht="15" customHeight="1">
      <c r="A453" t="inlineStr">
        <is>
          <t>A 24978-2019</t>
        </is>
      </c>
      <c r="B453" s="1" t="n">
        <v>43602</v>
      </c>
      <c r="C453" s="1" t="n">
        <v>45637</v>
      </c>
      <c r="D453" t="inlineStr">
        <is>
          <t>VÄSTMANLANDS LÄN</t>
        </is>
      </c>
      <c r="E453" t="inlineStr">
        <is>
          <t>SKINNSKATTEBERG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24882-2019</t>
        </is>
      </c>
      <c r="B454" s="1" t="n">
        <v>43602</v>
      </c>
      <c r="C454" s="1" t="n">
        <v>45637</v>
      </c>
      <c r="D454" t="inlineStr">
        <is>
          <t>VÄSTMANLANDS LÄN</t>
        </is>
      </c>
      <c r="E454" t="inlineStr">
        <is>
          <t>SKINNSKATTEBERG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24892-2019</t>
        </is>
      </c>
      <c r="B455" s="1" t="n">
        <v>43602</v>
      </c>
      <c r="C455" s="1" t="n">
        <v>45637</v>
      </c>
      <c r="D455" t="inlineStr">
        <is>
          <t>VÄSTMANLANDS LÄN</t>
        </is>
      </c>
      <c r="E455" t="inlineStr">
        <is>
          <t>SKINNSKATTEBERG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25005-2019</t>
        </is>
      </c>
      <c r="B456" s="1" t="n">
        <v>43602</v>
      </c>
      <c r="C456" s="1" t="n">
        <v>45637</v>
      </c>
      <c r="D456" t="inlineStr">
        <is>
          <t>VÄSTMANLANDS LÄN</t>
        </is>
      </c>
      <c r="E456" t="inlineStr">
        <is>
          <t>SALA</t>
        </is>
      </c>
      <c r="F456" t="inlineStr">
        <is>
          <t>Kommuner</t>
        </is>
      </c>
      <c r="G456" t="n">
        <v>4.3</v>
      </c>
      <c r="H456" t="n">
        <v>0</v>
      </c>
      <c r="I456" t="n">
        <v>0</v>
      </c>
      <c r="J456" t="n">
        <v>0</v>
      </c>
      <c r="K456" t="n">
        <v>0</v>
      </c>
      <c r="L456" t="n">
        <v>0</v>
      </c>
      <c r="M456" t="n">
        <v>0</v>
      </c>
      <c r="N456" t="n">
        <v>0</v>
      </c>
      <c r="O456" t="n">
        <v>0</v>
      </c>
      <c r="P456" t="n">
        <v>0</v>
      </c>
      <c r="Q456" t="n">
        <v>0</v>
      </c>
      <c r="R456" s="2" t="inlineStr"/>
    </row>
    <row r="457" ht="15" customHeight="1">
      <c r="A457" t="inlineStr">
        <is>
          <t>A 25324-2019</t>
        </is>
      </c>
      <c r="B457" s="1" t="n">
        <v>43606</v>
      </c>
      <c r="C457" s="1" t="n">
        <v>45637</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25741-2019</t>
        </is>
      </c>
      <c r="B458" s="1" t="n">
        <v>43608</v>
      </c>
      <c r="C458" s="1" t="n">
        <v>45637</v>
      </c>
      <c r="D458" t="inlineStr">
        <is>
          <t>VÄSTMANLANDS LÄN</t>
        </is>
      </c>
      <c r="E458" t="inlineStr">
        <is>
          <t>KÖPING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25743-2019</t>
        </is>
      </c>
      <c r="B459" s="1" t="n">
        <v>43608</v>
      </c>
      <c r="C459" s="1" t="n">
        <v>45637</v>
      </c>
      <c r="D459" t="inlineStr">
        <is>
          <t>VÄSTMANLANDS LÄN</t>
        </is>
      </c>
      <c r="E459" t="inlineStr">
        <is>
          <t>SKINNSKATTEBERG</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25882-2019</t>
        </is>
      </c>
      <c r="B460" s="1" t="n">
        <v>43608</v>
      </c>
      <c r="C460" s="1" t="n">
        <v>45637</v>
      </c>
      <c r="D460" t="inlineStr">
        <is>
          <t>VÄSTMANLANDS LÄN</t>
        </is>
      </c>
      <c r="E460" t="inlineStr">
        <is>
          <t>ARBOGA</t>
        </is>
      </c>
      <c r="G460" t="n">
        <v>0.7</v>
      </c>
      <c r="H460" t="n">
        <v>0</v>
      </c>
      <c r="I460" t="n">
        <v>0</v>
      </c>
      <c r="J460" t="n">
        <v>0</v>
      </c>
      <c r="K460" t="n">
        <v>0</v>
      </c>
      <c r="L460" t="n">
        <v>0</v>
      </c>
      <c r="M460" t="n">
        <v>0</v>
      </c>
      <c r="N460" t="n">
        <v>0</v>
      </c>
      <c r="O460" t="n">
        <v>0</v>
      </c>
      <c r="P460" t="n">
        <v>0</v>
      </c>
      <c r="Q460" t="n">
        <v>0</v>
      </c>
      <c r="R460" s="2" t="inlineStr"/>
    </row>
    <row r="461" ht="15" customHeight="1">
      <c r="A461" t="inlineStr">
        <is>
          <t>A 25814-2019</t>
        </is>
      </c>
      <c r="B461" s="1" t="n">
        <v>43608</v>
      </c>
      <c r="C461" s="1" t="n">
        <v>45637</v>
      </c>
      <c r="D461" t="inlineStr">
        <is>
          <t>VÄSTMANLANDS LÄN</t>
        </is>
      </c>
      <c r="E461" t="inlineStr">
        <is>
          <t>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26467-2019</t>
        </is>
      </c>
      <c r="B462" s="1" t="n">
        <v>43612</v>
      </c>
      <c r="C462" s="1" t="n">
        <v>45637</v>
      </c>
      <c r="D462" t="inlineStr">
        <is>
          <t>VÄSTMANLANDS LÄN</t>
        </is>
      </c>
      <c r="E462" t="inlineStr">
        <is>
          <t>SKINNSKATTEBERG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26472-2019</t>
        </is>
      </c>
      <c r="B463" s="1" t="n">
        <v>43612</v>
      </c>
      <c r="C463" s="1" t="n">
        <v>45637</v>
      </c>
      <c r="D463" t="inlineStr">
        <is>
          <t>VÄSTMANLANDS LÄN</t>
        </is>
      </c>
      <c r="E463" t="inlineStr">
        <is>
          <t>SKINNSKATTEBERG</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26614-2019</t>
        </is>
      </c>
      <c r="B464" s="1" t="n">
        <v>43612</v>
      </c>
      <c r="C464" s="1" t="n">
        <v>45637</v>
      </c>
      <c r="D464" t="inlineStr">
        <is>
          <t>VÄSTMANLANDS LÄN</t>
        </is>
      </c>
      <c r="E464" t="inlineStr">
        <is>
          <t>VÄSTERÅS</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26414-2019</t>
        </is>
      </c>
      <c r="B465" s="1" t="n">
        <v>43612</v>
      </c>
      <c r="C465" s="1" t="n">
        <v>45637</v>
      </c>
      <c r="D465" t="inlineStr">
        <is>
          <t>VÄSTMANLANDS LÄN</t>
        </is>
      </c>
      <c r="E465" t="inlineStr">
        <is>
          <t>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26593-2019</t>
        </is>
      </c>
      <c r="B466" s="1" t="n">
        <v>43612</v>
      </c>
      <c r="C466" s="1" t="n">
        <v>45637</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26861-2019</t>
        </is>
      </c>
      <c r="B467" s="1" t="n">
        <v>43613</v>
      </c>
      <c r="C467" s="1" t="n">
        <v>45637</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26656-2019</t>
        </is>
      </c>
      <c r="B468" s="1" t="n">
        <v>43613</v>
      </c>
      <c r="C468" s="1" t="n">
        <v>45637</v>
      </c>
      <c r="D468" t="inlineStr">
        <is>
          <t>VÄSTMANLANDS LÄN</t>
        </is>
      </c>
      <c r="E468" t="inlineStr">
        <is>
          <t>ARBOGA</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27164-2019</t>
        </is>
      </c>
      <c r="B469" s="1" t="n">
        <v>43614</v>
      </c>
      <c r="C469" s="1" t="n">
        <v>45637</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27182-2019</t>
        </is>
      </c>
      <c r="B470" s="1" t="n">
        <v>43614</v>
      </c>
      <c r="C470" s="1" t="n">
        <v>45637</v>
      </c>
      <c r="D470" t="inlineStr">
        <is>
          <t>VÄSTMANLANDS LÄN</t>
        </is>
      </c>
      <c r="E470" t="inlineStr">
        <is>
          <t>KÖPING</t>
        </is>
      </c>
      <c r="G470" t="n">
        <v>6</v>
      </c>
      <c r="H470" t="n">
        <v>0</v>
      </c>
      <c r="I470" t="n">
        <v>0</v>
      </c>
      <c r="J470" t="n">
        <v>0</v>
      </c>
      <c r="K470" t="n">
        <v>0</v>
      </c>
      <c r="L470" t="n">
        <v>0</v>
      </c>
      <c r="M470" t="n">
        <v>0</v>
      </c>
      <c r="N470" t="n">
        <v>0</v>
      </c>
      <c r="O470" t="n">
        <v>0</v>
      </c>
      <c r="P470" t="n">
        <v>0</v>
      </c>
      <c r="Q470" t="n">
        <v>0</v>
      </c>
      <c r="R470" s="2" t="inlineStr"/>
    </row>
    <row r="471" ht="15" customHeight="1">
      <c r="A471" t="inlineStr">
        <is>
          <t>A 27040-2019</t>
        </is>
      </c>
      <c r="B471" s="1" t="n">
        <v>43614</v>
      </c>
      <c r="C471" s="1" t="n">
        <v>45637</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27181-2019</t>
        </is>
      </c>
      <c r="B472" s="1" t="n">
        <v>43614</v>
      </c>
      <c r="C472" s="1" t="n">
        <v>45637</v>
      </c>
      <c r="D472" t="inlineStr">
        <is>
          <t>VÄSTMANLANDS LÄN</t>
        </is>
      </c>
      <c r="E472" t="inlineStr">
        <is>
          <t>VÄSTERÅS</t>
        </is>
      </c>
      <c r="G472" t="n">
        <v>12.5</v>
      </c>
      <c r="H472" t="n">
        <v>0</v>
      </c>
      <c r="I472" t="n">
        <v>0</v>
      </c>
      <c r="J472" t="n">
        <v>0</v>
      </c>
      <c r="K472" t="n">
        <v>0</v>
      </c>
      <c r="L472" t="n">
        <v>0</v>
      </c>
      <c r="M472" t="n">
        <v>0</v>
      </c>
      <c r="N472" t="n">
        <v>0</v>
      </c>
      <c r="O472" t="n">
        <v>0</v>
      </c>
      <c r="P472" t="n">
        <v>0</v>
      </c>
      <c r="Q472" t="n">
        <v>0</v>
      </c>
      <c r="R472" s="2" t="inlineStr"/>
    </row>
    <row r="473" ht="15" customHeight="1">
      <c r="A473" t="inlineStr">
        <is>
          <t>A 27093-2019</t>
        </is>
      </c>
      <c r="B473" s="1" t="n">
        <v>43614</v>
      </c>
      <c r="C473" s="1" t="n">
        <v>45637</v>
      </c>
      <c r="D473" t="inlineStr">
        <is>
          <t>VÄSTMANLANDS LÄN</t>
        </is>
      </c>
      <c r="E473" t="inlineStr">
        <is>
          <t>SKINNSKATTEBERG</t>
        </is>
      </c>
      <c r="G473" t="n">
        <v>5.6</v>
      </c>
      <c r="H473" t="n">
        <v>0</v>
      </c>
      <c r="I473" t="n">
        <v>0</v>
      </c>
      <c r="J473" t="n">
        <v>0</v>
      </c>
      <c r="K473" t="n">
        <v>0</v>
      </c>
      <c r="L473" t="n">
        <v>0</v>
      </c>
      <c r="M473" t="n">
        <v>0</v>
      </c>
      <c r="N473" t="n">
        <v>0</v>
      </c>
      <c r="O473" t="n">
        <v>0</v>
      </c>
      <c r="P473" t="n">
        <v>0</v>
      </c>
      <c r="Q473" t="n">
        <v>0</v>
      </c>
      <c r="R473" s="2" t="inlineStr"/>
    </row>
    <row r="474" ht="15" customHeight="1">
      <c r="A474" t="inlineStr">
        <is>
          <t>A 27381-2019</t>
        </is>
      </c>
      <c r="B474" s="1" t="n">
        <v>43616</v>
      </c>
      <c r="C474" s="1" t="n">
        <v>45637</v>
      </c>
      <c r="D474" t="inlineStr">
        <is>
          <t>VÄSTMANLANDS LÄN</t>
        </is>
      </c>
      <c r="E474" t="inlineStr">
        <is>
          <t>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27391-2019</t>
        </is>
      </c>
      <c r="B475" s="1" t="n">
        <v>43616</v>
      </c>
      <c r="C475" s="1" t="n">
        <v>45637</v>
      </c>
      <c r="D475" t="inlineStr">
        <is>
          <t>VÄSTMANLANDS LÄN</t>
        </is>
      </c>
      <c r="E475" t="inlineStr">
        <is>
          <t>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27472-2019</t>
        </is>
      </c>
      <c r="B476" s="1" t="n">
        <v>43619</v>
      </c>
      <c r="C476" s="1" t="n">
        <v>45637</v>
      </c>
      <c r="D476" t="inlineStr">
        <is>
          <t>VÄSTMANLANDS LÄN</t>
        </is>
      </c>
      <c r="E476" t="inlineStr">
        <is>
          <t>SKINNSKATTEBERG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27914-2019</t>
        </is>
      </c>
      <c r="B477" s="1" t="n">
        <v>43620</v>
      </c>
      <c r="C477" s="1" t="n">
        <v>45637</v>
      </c>
      <c r="D477" t="inlineStr">
        <is>
          <t>VÄSTMANLANDS LÄN</t>
        </is>
      </c>
      <c r="E477" t="inlineStr">
        <is>
          <t>KÖPING</t>
        </is>
      </c>
      <c r="G477" t="n">
        <v>7.6</v>
      </c>
      <c r="H477" t="n">
        <v>0</v>
      </c>
      <c r="I477" t="n">
        <v>0</v>
      </c>
      <c r="J477" t="n">
        <v>0</v>
      </c>
      <c r="K477" t="n">
        <v>0</v>
      </c>
      <c r="L477" t="n">
        <v>0</v>
      </c>
      <c r="M477" t="n">
        <v>0</v>
      </c>
      <c r="N477" t="n">
        <v>0</v>
      </c>
      <c r="O477" t="n">
        <v>0</v>
      </c>
      <c r="P477" t="n">
        <v>0</v>
      </c>
      <c r="Q477" t="n">
        <v>0</v>
      </c>
      <c r="R477" s="2" t="inlineStr"/>
    </row>
    <row r="478" ht="15" customHeight="1">
      <c r="A478" t="inlineStr">
        <is>
          <t>A 27947-2019</t>
        </is>
      </c>
      <c r="B478" s="1" t="n">
        <v>43620</v>
      </c>
      <c r="C478" s="1" t="n">
        <v>45637</v>
      </c>
      <c r="D478" t="inlineStr">
        <is>
          <t>VÄSTMANLANDS LÄN</t>
        </is>
      </c>
      <c r="E478" t="inlineStr">
        <is>
          <t>HALLSTAHAMMAR</t>
        </is>
      </c>
      <c r="G478" t="n">
        <v>5.1</v>
      </c>
      <c r="H478" t="n">
        <v>0</v>
      </c>
      <c r="I478" t="n">
        <v>0</v>
      </c>
      <c r="J478" t="n">
        <v>0</v>
      </c>
      <c r="K478" t="n">
        <v>0</v>
      </c>
      <c r="L478" t="n">
        <v>0</v>
      </c>
      <c r="M478" t="n">
        <v>0</v>
      </c>
      <c r="N478" t="n">
        <v>0</v>
      </c>
      <c r="O478" t="n">
        <v>0</v>
      </c>
      <c r="P478" t="n">
        <v>0</v>
      </c>
      <c r="Q478" t="n">
        <v>0</v>
      </c>
      <c r="R478" s="2" t="inlineStr"/>
    </row>
    <row r="479" ht="15" customHeight="1">
      <c r="A479" t="inlineStr">
        <is>
          <t>A 27832-2019</t>
        </is>
      </c>
      <c r="B479" s="1" t="n">
        <v>43620</v>
      </c>
      <c r="C479" s="1" t="n">
        <v>45637</v>
      </c>
      <c r="D479" t="inlineStr">
        <is>
          <t>VÄSTMANLANDS LÄN</t>
        </is>
      </c>
      <c r="E479" t="inlineStr">
        <is>
          <t>SKINNSKATTEBERG</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28148-2019</t>
        </is>
      </c>
      <c r="B480" s="1" t="n">
        <v>43621</v>
      </c>
      <c r="C480" s="1" t="n">
        <v>45637</v>
      </c>
      <c r="D480" t="inlineStr">
        <is>
          <t>VÄSTMANLANDS LÄN</t>
        </is>
      </c>
      <c r="E480" t="inlineStr">
        <is>
          <t>HALLSTAHAMMAR</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28170-2019</t>
        </is>
      </c>
      <c r="B481" s="1" t="n">
        <v>43621</v>
      </c>
      <c r="C481" s="1" t="n">
        <v>45637</v>
      </c>
      <c r="D481" t="inlineStr">
        <is>
          <t>VÄSTMANLANDS LÄN</t>
        </is>
      </c>
      <c r="E481" t="inlineStr">
        <is>
          <t>NORBERG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28132-2019</t>
        </is>
      </c>
      <c r="B482" s="1" t="n">
        <v>43621</v>
      </c>
      <c r="C482" s="1" t="n">
        <v>45637</v>
      </c>
      <c r="D482" t="inlineStr">
        <is>
          <t>VÄSTMANLANDS LÄN</t>
        </is>
      </c>
      <c r="E482" t="inlineStr">
        <is>
          <t>SALA</t>
        </is>
      </c>
      <c r="G482" t="n">
        <v>2.4</v>
      </c>
      <c r="H482" t="n">
        <v>0</v>
      </c>
      <c r="I482" t="n">
        <v>0</v>
      </c>
      <c r="J482" t="n">
        <v>0</v>
      </c>
      <c r="K482" t="n">
        <v>0</v>
      </c>
      <c r="L482" t="n">
        <v>0</v>
      </c>
      <c r="M482" t="n">
        <v>0</v>
      </c>
      <c r="N482" t="n">
        <v>0</v>
      </c>
      <c r="O482" t="n">
        <v>0</v>
      </c>
      <c r="P482" t="n">
        <v>0</v>
      </c>
      <c r="Q482" t="n">
        <v>0</v>
      </c>
      <c r="R482" s="2" t="inlineStr"/>
    </row>
    <row r="483" ht="15" customHeight="1">
      <c r="A483" t="inlineStr">
        <is>
          <t>A 28143-2019</t>
        </is>
      </c>
      <c r="B483" s="1" t="n">
        <v>43621</v>
      </c>
      <c r="C483" s="1" t="n">
        <v>45637</v>
      </c>
      <c r="D483" t="inlineStr">
        <is>
          <t>VÄSTMANLANDS LÄN</t>
        </is>
      </c>
      <c r="E483" t="inlineStr">
        <is>
          <t>SALA</t>
        </is>
      </c>
      <c r="G483" t="n">
        <v>2.3</v>
      </c>
      <c r="H483" t="n">
        <v>0</v>
      </c>
      <c r="I483" t="n">
        <v>0</v>
      </c>
      <c r="J483" t="n">
        <v>0</v>
      </c>
      <c r="K483" t="n">
        <v>0</v>
      </c>
      <c r="L483" t="n">
        <v>0</v>
      </c>
      <c r="M483" t="n">
        <v>0</v>
      </c>
      <c r="N483" t="n">
        <v>0</v>
      </c>
      <c r="O483" t="n">
        <v>0</v>
      </c>
      <c r="P483" t="n">
        <v>0</v>
      </c>
      <c r="Q483" t="n">
        <v>0</v>
      </c>
      <c r="R483" s="2" t="inlineStr"/>
    </row>
    <row r="484" ht="15" customHeight="1">
      <c r="A484" t="inlineStr">
        <is>
          <t>A 28162-2019</t>
        </is>
      </c>
      <c r="B484" s="1" t="n">
        <v>43621</v>
      </c>
      <c r="C484" s="1" t="n">
        <v>45637</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28189-2019</t>
        </is>
      </c>
      <c r="B485" s="1" t="n">
        <v>43621</v>
      </c>
      <c r="C485" s="1" t="n">
        <v>45637</v>
      </c>
      <c r="D485" t="inlineStr">
        <is>
          <t>VÄSTMANLANDS LÄN</t>
        </is>
      </c>
      <c r="E485" t="inlineStr">
        <is>
          <t>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28136-2019</t>
        </is>
      </c>
      <c r="B486" s="1" t="n">
        <v>43621</v>
      </c>
      <c r="C486" s="1" t="n">
        <v>45637</v>
      </c>
      <c r="D486" t="inlineStr">
        <is>
          <t>VÄSTMANLANDS LÄN</t>
        </is>
      </c>
      <c r="E486" t="inlineStr">
        <is>
          <t>NORBERG</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28297-2019</t>
        </is>
      </c>
      <c r="B487" s="1" t="n">
        <v>43623</v>
      </c>
      <c r="C487" s="1" t="n">
        <v>45637</v>
      </c>
      <c r="D487" t="inlineStr">
        <is>
          <t>VÄSTMANLANDS LÄN</t>
        </is>
      </c>
      <c r="E487" t="inlineStr">
        <is>
          <t>HALLSTAHAMMAR</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28274-2019</t>
        </is>
      </c>
      <c r="B488" s="1" t="n">
        <v>43623</v>
      </c>
      <c r="C488" s="1" t="n">
        <v>45637</v>
      </c>
      <c r="D488" t="inlineStr">
        <is>
          <t>VÄSTMANLANDS LÄN</t>
        </is>
      </c>
      <c r="E488" t="inlineStr">
        <is>
          <t>SURAHAMMAR</t>
        </is>
      </c>
      <c r="F488" t="inlineStr">
        <is>
          <t>Allmännings- och besparingsskogar</t>
        </is>
      </c>
      <c r="G488" t="n">
        <v>0.7</v>
      </c>
      <c r="H488" t="n">
        <v>0</v>
      </c>
      <c r="I488" t="n">
        <v>0</v>
      </c>
      <c r="J488" t="n">
        <v>0</v>
      </c>
      <c r="K488" t="n">
        <v>0</v>
      </c>
      <c r="L488" t="n">
        <v>0</v>
      </c>
      <c r="M488" t="n">
        <v>0</v>
      </c>
      <c r="N488" t="n">
        <v>0</v>
      </c>
      <c r="O488" t="n">
        <v>0</v>
      </c>
      <c r="P488" t="n">
        <v>0</v>
      </c>
      <c r="Q488" t="n">
        <v>0</v>
      </c>
      <c r="R488" s="2" t="inlineStr"/>
    </row>
    <row r="489" ht="15" customHeight="1">
      <c r="A489" t="inlineStr">
        <is>
          <t>A 28365-2019</t>
        </is>
      </c>
      <c r="B489" s="1" t="n">
        <v>43625</v>
      </c>
      <c r="C489" s="1" t="n">
        <v>45637</v>
      </c>
      <c r="D489" t="inlineStr">
        <is>
          <t>VÄSTMANLANDS LÄN</t>
        </is>
      </c>
      <c r="E489" t="inlineStr">
        <is>
          <t>ARBOGA</t>
        </is>
      </c>
      <c r="G489" t="n">
        <v>2.7</v>
      </c>
      <c r="H489" t="n">
        <v>0</v>
      </c>
      <c r="I489" t="n">
        <v>0</v>
      </c>
      <c r="J489" t="n">
        <v>0</v>
      </c>
      <c r="K489" t="n">
        <v>0</v>
      </c>
      <c r="L489" t="n">
        <v>0</v>
      </c>
      <c r="M489" t="n">
        <v>0</v>
      </c>
      <c r="N489" t="n">
        <v>0</v>
      </c>
      <c r="O489" t="n">
        <v>0</v>
      </c>
      <c r="P489" t="n">
        <v>0</v>
      </c>
      <c r="Q489" t="n">
        <v>0</v>
      </c>
      <c r="R489" s="2" t="inlineStr"/>
    </row>
    <row r="490" ht="15" customHeight="1">
      <c r="A490" t="inlineStr">
        <is>
          <t>A 28359-2019</t>
        </is>
      </c>
      <c r="B490" s="1" t="n">
        <v>43625</v>
      </c>
      <c r="C490" s="1" t="n">
        <v>45637</v>
      </c>
      <c r="D490" t="inlineStr">
        <is>
          <t>VÄSTMANLANDS LÄN</t>
        </is>
      </c>
      <c r="E490" t="inlineStr">
        <is>
          <t>KÖPING</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29023-2019</t>
        </is>
      </c>
      <c r="B491" s="1" t="n">
        <v>43628</v>
      </c>
      <c r="C491" s="1" t="n">
        <v>45637</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29402-2019</t>
        </is>
      </c>
      <c r="B492" s="1" t="n">
        <v>43629</v>
      </c>
      <c r="C492" s="1" t="n">
        <v>45637</v>
      </c>
      <c r="D492" t="inlineStr">
        <is>
          <t>VÄSTMANLANDS LÄN</t>
        </is>
      </c>
      <c r="E492" t="inlineStr">
        <is>
          <t>HALLSTAHAMMAR</t>
        </is>
      </c>
      <c r="F492" t="inlineStr">
        <is>
          <t>Kommuner</t>
        </is>
      </c>
      <c r="G492" t="n">
        <v>4.6</v>
      </c>
      <c r="H492" t="n">
        <v>0</v>
      </c>
      <c r="I492" t="n">
        <v>0</v>
      </c>
      <c r="J492" t="n">
        <v>0</v>
      </c>
      <c r="K492" t="n">
        <v>0</v>
      </c>
      <c r="L492" t="n">
        <v>0</v>
      </c>
      <c r="M492" t="n">
        <v>0</v>
      </c>
      <c r="N492" t="n">
        <v>0</v>
      </c>
      <c r="O492" t="n">
        <v>0</v>
      </c>
      <c r="P492" t="n">
        <v>0</v>
      </c>
      <c r="Q492" t="n">
        <v>0</v>
      </c>
      <c r="R492" s="2" t="inlineStr"/>
    </row>
    <row r="493" ht="15" customHeight="1">
      <c r="A493" t="inlineStr">
        <is>
          <t>A 29418-2019</t>
        </is>
      </c>
      <c r="B493" s="1" t="n">
        <v>43629</v>
      </c>
      <c r="C493" s="1" t="n">
        <v>45637</v>
      </c>
      <c r="D493" t="inlineStr">
        <is>
          <t>VÄSTMANLANDS LÄN</t>
        </is>
      </c>
      <c r="E493" t="inlineStr">
        <is>
          <t>SKINNSKATTEBERG</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29832-2019</t>
        </is>
      </c>
      <c r="B494" s="1" t="n">
        <v>43629</v>
      </c>
      <c r="C494" s="1" t="n">
        <v>45637</v>
      </c>
      <c r="D494" t="inlineStr">
        <is>
          <t>VÄSTMANLANDS LÄN</t>
        </is>
      </c>
      <c r="E494" t="inlineStr">
        <is>
          <t>NORBERG</t>
        </is>
      </c>
      <c r="G494" t="n">
        <v>1.5</v>
      </c>
      <c r="H494" t="n">
        <v>0</v>
      </c>
      <c r="I494" t="n">
        <v>0</v>
      </c>
      <c r="J494" t="n">
        <v>0</v>
      </c>
      <c r="K494" t="n">
        <v>0</v>
      </c>
      <c r="L494" t="n">
        <v>0</v>
      </c>
      <c r="M494" t="n">
        <v>0</v>
      </c>
      <c r="N494" t="n">
        <v>0</v>
      </c>
      <c r="O494" t="n">
        <v>0</v>
      </c>
      <c r="P494" t="n">
        <v>0</v>
      </c>
      <c r="Q494" t="n">
        <v>0</v>
      </c>
      <c r="R494" s="2" t="inlineStr"/>
    </row>
    <row r="495" ht="15" customHeight="1">
      <c r="A495" t="inlineStr">
        <is>
          <t>A 29331-2019</t>
        </is>
      </c>
      <c r="B495" s="1" t="n">
        <v>43629</v>
      </c>
      <c r="C495" s="1" t="n">
        <v>45637</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29523-2019</t>
        </is>
      </c>
      <c r="B496" s="1" t="n">
        <v>43630</v>
      </c>
      <c r="C496" s="1" t="n">
        <v>45637</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29961-2019</t>
        </is>
      </c>
      <c r="B497" s="1" t="n">
        <v>43633</v>
      </c>
      <c r="C497" s="1" t="n">
        <v>45637</v>
      </c>
      <c r="D497" t="inlineStr">
        <is>
          <t>VÄSTMANLANDS LÄN</t>
        </is>
      </c>
      <c r="E497" t="inlineStr">
        <is>
          <t>NORBERG</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30161-2019</t>
        </is>
      </c>
      <c r="B498" s="1" t="n">
        <v>43634</v>
      </c>
      <c r="C498" s="1" t="n">
        <v>45637</v>
      </c>
      <c r="D498" t="inlineStr">
        <is>
          <t>VÄSTMANLANDS LÄN</t>
        </is>
      </c>
      <c r="E498" t="inlineStr">
        <is>
          <t>SKINNSKATTEBERG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31225-2019</t>
        </is>
      </c>
      <c r="B499" s="1" t="n">
        <v>43635</v>
      </c>
      <c r="C499" s="1" t="n">
        <v>45637</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31029-2019</t>
        </is>
      </c>
      <c r="B500" s="1" t="n">
        <v>43635</v>
      </c>
      <c r="C500" s="1" t="n">
        <v>45637</v>
      </c>
      <c r="D500" t="inlineStr">
        <is>
          <t>VÄSTMANLANDS LÄN</t>
        </is>
      </c>
      <c r="E500" t="inlineStr">
        <is>
          <t>NORBERG</t>
        </is>
      </c>
      <c r="G500" t="n">
        <v>0.5</v>
      </c>
      <c r="H500" t="n">
        <v>0</v>
      </c>
      <c r="I500" t="n">
        <v>0</v>
      </c>
      <c r="J500" t="n">
        <v>0</v>
      </c>
      <c r="K500" t="n">
        <v>0</v>
      </c>
      <c r="L500" t="n">
        <v>0</v>
      </c>
      <c r="M500" t="n">
        <v>0</v>
      </c>
      <c r="N500" t="n">
        <v>0</v>
      </c>
      <c r="O500" t="n">
        <v>0</v>
      </c>
      <c r="P500" t="n">
        <v>0</v>
      </c>
      <c r="Q500" t="n">
        <v>0</v>
      </c>
      <c r="R500" s="2" t="inlineStr"/>
    </row>
    <row r="501" ht="15" customHeight="1">
      <c r="A501" t="inlineStr">
        <is>
          <t>A 30745-2019</t>
        </is>
      </c>
      <c r="B501" s="1" t="n">
        <v>43636</v>
      </c>
      <c r="C501" s="1" t="n">
        <v>45637</v>
      </c>
      <c r="D501" t="inlineStr">
        <is>
          <t>VÄSTMANLANDS LÄN</t>
        </is>
      </c>
      <c r="E501" t="inlineStr">
        <is>
          <t>VÄSTERÅS</t>
        </is>
      </c>
      <c r="G501" t="n">
        <v>13.6</v>
      </c>
      <c r="H501" t="n">
        <v>0</v>
      </c>
      <c r="I501" t="n">
        <v>0</v>
      </c>
      <c r="J501" t="n">
        <v>0</v>
      </c>
      <c r="K501" t="n">
        <v>0</v>
      </c>
      <c r="L501" t="n">
        <v>0</v>
      </c>
      <c r="M501" t="n">
        <v>0</v>
      </c>
      <c r="N501" t="n">
        <v>0</v>
      </c>
      <c r="O501" t="n">
        <v>0</v>
      </c>
      <c r="P501" t="n">
        <v>0</v>
      </c>
      <c r="Q501" t="n">
        <v>0</v>
      </c>
      <c r="R501" s="2" t="inlineStr"/>
    </row>
    <row r="502" ht="15" customHeight="1">
      <c r="A502" t="inlineStr">
        <is>
          <t>A 30826-2019</t>
        </is>
      </c>
      <c r="B502" s="1" t="n">
        <v>43636</v>
      </c>
      <c r="C502" s="1" t="n">
        <v>45637</v>
      </c>
      <c r="D502" t="inlineStr">
        <is>
          <t>VÄSTMANLANDS LÄN</t>
        </is>
      </c>
      <c r="E502" t="inlineStr">
        <is>
          <t>VÄSTERÅS</t>
        </is>
      </c>
      <c r="G502" t="n">
        <v>1.8</v>
      </c>
      <c r="H502" t="n">
        <v>0</v>
      </c>
      <c r="I502" t="n">
        <v>0</v>
      </c>
      <c r="J502" t="n">
        <v>0</v>
      </c>
      <c r="K502" t="n">
        <v>0</v>
      </c>
      <c r="L502" t="n">
        <v>0</v>
      </c>
      <c r="M502" t="n">
        <v>0</v>
      </c>
      <c r="N502" t="n">
        <v>0</v>
      </c>
      <c r="O502" t="n">
        <v>0</v>
      </c>
      <c r="P502" t="n">
        <v>0</v>
      </c>
      <c r="Q502" t="n">
        <v>0</v>
      </c>
      <c r="R502" s="2" t="inlineStr"/>
    </row>
    <row r="503" ht="15" customHeight="1">
      <c r="A503" t="inlineStr">
        <is>
          <t>A 30974-2019</t>
        </is>
      </c>
      <c r="B503" s="1" t="n">
        <v>43639</v>
      </c>
      <c r="C503" s="1" t="n">
        <v>45637</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31008-2019</t>
        </is>
      </c>
      <c r="B504" s="1" t="n">
        <v>43640</v>
      </c>
      <c r="C504" s="1" t="n">
        <v>45637</v>
      </c>
      <c r="D504" t="inlineStr">
        <is>
          <t>VÄSTMANLANDS LÄN</t>
        </is>
      </c>
      <c r="E504" t="inlineStr">
        <is>
          <t>SURAHAMMAR</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31641-2019</t>
        </is>
      </c>
      <c r="B505" s="1" t="n">
        <v>43640</v>
      </c>
      <c r="C505" s="1" t="n">
        <v>45637</v>
      </c>
      <c r="D505" t="inlineStr">
        <is>
          <t>VÄSTMANLANDS LÄN</t>
        </is>
      </c>
      <c r="E505" t="inlineStr">
        <is>
          <t>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31725-2019</t>
        </is>
      </c>
      <c r="B506" s="1" t="n">
        <v>43642</v>
      </c>
      <c r="C506" s="1" t="n">
        <v>45637</v>
      </c>
      <c r="D506" t="inlineStr">
        <is>
          <t>VÄSTMANLANDS LÄN</t>
        </is>
      </c>
      <c r="E506" t="inlineStr">
        <is>
          <t>SKINNSKATTEBERG</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31721-2019</t>
        </is>
      </c>
      <c r="B507" s="1" t="n">
        <v>43642</v>
      </c>
      <c r="C507" s="1" t="n">
        <v>45637</v>
      </c>
      <c r="D507" t="inlineStr">
        <is>
          <t>VÄSTMANLANDS LÄN</t>
        </is>
      </c>
      <c r="E507" t="inlineStr">
        <is>
          <t>SKINNSKATTEBERG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31748-2019</t>
        </is>
      </c>
      <c r="B508" s="1" t="n">
        <v>43642</v>
      </c>
      <c r="C508" s="1" t="n">
        <v>45637</v>
      </c>
      <c r="D508" t="inlineStr">
        <is>
          <t>VÄSTMANLANDS LÄN</t>
        </is>
      </c>
      <c r="E508" t="inlineStr">
        <is>
          <t>NORBERG</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31643-2019</t>
        </is>
      </c>
      <c r="B509" s="1" t="n">
        <v>43642</v>
      </c>
      <c r="C509" s="1" t="n">
        <v>45637</v>
      </c>
      <c r="D509" t="inlineStr">
        <is>
          <t>VÄSTMANLANDS LÄN</t>
        </is>
      </c>
      <c r="E509" t="inlineStr">
        <is>
          <t>SKINNSKATTEBERG</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32245-2019</t>
        </is>
      </c>
      <c r="B510" s="1" t="n">
        <v>43643</v>
      </c>
      <c r="C510" s="1" t="n">
        <v>45637</v>
      </c>
      <c r="D510" t="inlineStr">
        <is>
          <t>VÄSTMANLANDS LÄN</t>
        </is>
      </c>
      <c r="E510" t="inlineStr">
        <is>
          <t>NORBERG</t>
        </is>
      </c>
      <c r="G510" t="n">
        <v>2.6</v>
      </c>
      <c r="H510" t="n">
        <v>0</v>
      </c>
      <c r="I510" t="n">
        <v>0</v>
      </c>
      <c r="J510" t="n">
        <v>0</v>
      </c>
      <c r="K510" t="n">
        <v>0</v>
      </c>
      <c r="L510" t="n">
        <v>0</v>
      </c>
      <c r="M510" t="n">
        <v>0</v>
      </c>
      <c r="N510" t="n">
        <v>0</v>
      </c>
      <c r="O510" t="n">
        <v>0</v>
      </c>
      <c r="P510" t="n">
        <v>0</v>
      </c>
      <c r="Q510" t="n">
        <v>0</v>
      </c>
      <c r="R510" s="2" t="inlineStr"/>
    </row>
    <row r="511" ht="15" customHeight="1">
      <c r="A511" t="inlineStr">
        <is>
          <t>A 32448-2019</t>
        </is>
      </c>
      <c r="B511" s="1" t="n">
        <v>43644</v>
      </c>
      <c r="C511" s="1" t="n">
        <v>45637</v>
      </c>
      <c r="D511" t="inlineStr">
        <is>
          <t>VÄSTMANLANDS LÄN</t>
        </is>
      </c>
      <c r="E511" t="inlineStr">
        <is>
          <t>KÖPING</t>
        </is>
      </c>
      <c r="G511" t="n">
        <v>5.6</v>
      </c>
      <c r="H511" t="n">
        <v>0</v>
      </c>
      <c r="I511" t="n">
        <v>0</v>
      </c>
      <c r="J511" t="n">
        <v>0</v>
      </c>
      <c r="K511" t="n">
        <v>0</v>
      </c>
      <c r="L511" t="n">
        <v>0</v>
      </c>
      <c r="M511" t="n">
        <v>0</v>
      </c>
      <c r="N511" t="n">
        <v>0</v>
      </c>
      <c r="O511" t="n">
        <v>0</v>
      </c>
      <c r="P511" t="n">
        <v>0</v>
      </c>
      <c r="Q511" t="n">
        <v>0</v>
      </c>
      <c r="R511" s="2" t="inlineStr"/>
    </row>
    <row r="512" ht="15" customHeight="1">
      <c r="A512" t="inlineStr">
        <is>
          <t>A 32430-2019</t>
        </is>
      </c>
      <c r="B512" s="1" t="n">
        <v>43644</v>
      </c>
      <c r="C512" s="1" t="n">
        <v>45637</v>
      </c>
      <c r="D512" t="inlineStr">
        <is>
          <t>VÄSTMANLANDS LÄN</t>
        </is>
      </c>
      <c r="E512" t="inlineStr">
        <is>
          <t>SKINNSKATTEBERG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34565-2019</t>
        </is>
      </c>
      <c r="B513" s="1" t="n">
        <v>43647</v>
      </c>
      <c r="C513" s="1" t="n">
        <v>45637</v>
      </c>
      <c r="D513" t="inlineStr">
        <is>
          <t>VÄSTMANLANDS LÄN</t>
        </is>
      </c>
      <c r="E513" t="inlineStr">
        <is>
          <t>SKINNSKATTEBERG</t>
        </is>
      </c>
      <c r="G513" t="n">
        <v>5.3</v>
      </c>
      <c r="H513" t="n">
        <v>0</v>
      </c>
      <c r="I513" t="n">
        <v>0</v>
      </c>
      <c r="J513" t="n">
        <v>0</v>
      </c>
      <c r="K513" t="n">
        <v>0</v>
      </c>
      <c r="L513" t="n">
        <v>0</v>
      </c>
      <c r="M513" t="n">
        <v>0</v>
      </c>
      <c r="N513" t="n">
        <v>0</v>
      </c>
      <c r="O513" t="n">
        <v>0</v>
      </c>
      <c r="P513" t="n">
        <v>0</v>
      </c>
      <c r="Q513" t="n">
        <v>0</v>
      </c>
      <c r="R513" s="2" t="inlineStr"/>
    </row>
    <row r="514" ht="15" customHeight="1">
      <c r="A514" t="inlineStr">
        <is>
          <t>A 32850-2019</t>
        </is>
      </c>
      <c r="B514" s="1" t="n">
        <v>43648</v>
      </c>
      <c r="C514" s="1" t="n">
        <v>45637</v>
      </c>
      <c r="D514" t="inlineStr">
        <is>
          <t>VÄSTMANLANDS LÄN</t>
        </is>
      </c>
      <c r="E514" t="inlineStr">
        <is>
          <t>SKINNSKATTEBERG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32856-2019</t>
        </is>
      </c>
      <c r="B515" s="1" t="n">
        <v>43648</v>
      </c>
      <c r="C515" s="1" t="n">
        <v>45637</v>
      </c>
      <c r="D515" t="inlineStr">
        <is>
          <t>VÄSTMANLANDS LÄN</t>
        </is>
      </c>
      <c r="E515" t="inlineStr">
        <is>
          <t>SKINNSKATTEBERG</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34709-2019</t>
        </is>
      </c>
      <c r="B516" s="1" t="n">
        <v>43648</v>
      </c>
      <c r="C516" s="1" t="n">
        <v>45637</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33440-2019</t>
        </is>
      </c>
      <c r="B517" s="1" t="n">
        <v>43650</v>
      </c>
      <c r="C517" s="1" t="n">
        <v>45637</v>
      </c>
      <c r="D517" t="inlineStr">
        <is>
          <t>VÄSTMANLANDS LÄN</t>
        </is>
      </c>
      <c r="E517" t="inlineStr">
        <is>
          <t>FAGERSTA</t>
        </is>
      </c>
      <c r="G517" t="n">
        <v>4.4</v>
      </c>
      <c r="H517" t="n">
        <v>0</v>
      </c>
      <c r="I517" t="n">
        <v>0</v>
      </c>
      <c r="J517" t="n">
        <v>0</v>
      </c>
      <c r="K517" t="n">
        <v>0</v>
      </c>
      <c r="L517" t="n">
        <v>0</v>
      </c>
      <c r="M517" t="n">
        <v>0</v>
      </c>
      <c r="N517" t="n">
        <v>0</v>
      </c>
      <c r="O517" t="n">
        <v>0</v>
      </c>
      <c r="P517" t="n">
        <v>0</v>
      </c>
      <c r="Q517" t="n">
        <v>0</v>
      </c>
      <c r="R517" s="2" t="inlineStr"/>
    </row>
    <row r="518" ht="15" customHeight="1">
      <c r="A518" t="inlineStr">
        <is>
          <t>A 33647-2019</t>
        </is>
      </c>
      <c r="B518" s="1" t="n">
        <v>43651</v>
      </c>
      <c r="C518" s="1" t="n">
        <v>45637</v>
      </c>
      <c r="D518" t="inlineStr">
        <is>
          <t>VÄSTMANLANDS LÄN</t>
        </is>
      </c>
      <c r="E518" t="inlineStr">
        <is>
          <t>SKINNSKATTEBERG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33758-2019</t>
        </is>
      </c>
      <c r="B519" s="1" t="n">
        <v>43651</v>
      </c>
      <c r="C519" s="1" t="n">
        <v>45637</v>
      </c>
      <c r="D519" t="inlineStr">
        <is>
          <t>VÄSTMANLANDS LÄN</t>
        </is>
      </c>
      <c r="E519" t="inlineStr">
        <is>
          <t>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33782-2019</t>
        </is>
      </c>
      <c r="B520" s="1" t="n">
        <v>43651</v>
      </c>
      <c r="C520" s="1" t="n">
        <v>45637</v>
      </c>
      <c r="D520" t="inlineStr">
        <is>
          <t>VÄSTMANLANDS LÄN</t>
        </is>
      </c>
      <c r="E520" t="inlineStr">
        <is>
          <t>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33581-2019</t>
        </is>
      </c>
      <c r="B521" s="1" t="n">
        <v>43651</v>
      </c>
      <c r="C521" s="1" t="n">
        <v>45637</v>
      </c>
      <c r="D521" t="inlineStr">
        <is>
          <t>VÄSTMANLANDS LÄN</t>
        </is>
      </c>
      <c r="E521" t="inlineStr">
        <is>
          <t>SKINNSKATTEBERG</t>
        </is>
      </c>
      <c r="G521" t="n">
        <v>5.4</v>
      </c>
      <c r="H521" t="n">
        <v>0</v>
      </c>
      <c r="I521" t="n">
        <v>0</v>
      </c>
      <c r="J521" t="n">
        <v>0</v>
      </c>
      <c r="K521" t="n">
        <v>0</v>
      </c>
      <c r="L521" t="n">
        <v>0</v>
      </c>
      <c r="M521" t="n">
        <v>0</v>
      </c>
      <c r="N521" t="n">
        <v>0</v>
      </c>
      <c r="O521" t="n">
        <v>0</v>
      </c>
      <c r="P521" t="n">
        <v>0</v>
      </c>
      <c r="Q521" t="n">
        <v>0</v>
      </c>
      <c r="R521" s="2" t="inlineStr"/>
    </row>
    <row r="522" ht="15" customHeight="1">
      <c r="A522" t="inlineStr">
        <is>
          <t>A 34010-2019</t>
        </is>
      </c>
      <c r="B522" s="1" t="n">
        <v>43654</v>
      </c>
      <c r="C522" s="1" t="n">
        <v>45637</v>
      </c>
      <c r="D522" t="inlineStr">
        <is>
          <t>VÄSTMANLANDS LÄN</t>
        </is>
      </c>
      <c r="E522" t="inlineStr">
        <is>
          <t>KÖPING</t>
        </is>
      </c>
      <c r="G522" t="n">
        <v>0.4</v>
      </c>
      <c r="H522" t="n">
        <v>0</v>
      </c>
      <c r="I522" t="n">
        <v>0</v>
      </c>
      <c r="J522" t="n">
        <v>0</v>
      </c>
      <c r="K522" t="n">
        <v>0</v>
      </c>
      <c r="L522" t="n">
        <v>0</v>
      </c>
      <c r="M522" t="n">
        <v>0</v>
      </c>
      <c r="N522" t="n">
        <v>0</v>
      </c>
      <c r="O522" t="n">
        <v>0</v>
      </c>
      <c r="P522" t="n">
        <v>0</v>
      </c>
      <c r="Q522" t="n">
        <v>0</v>
      </c>
      <c r="R522" s="2" t="inlineStr"/>
    </row>
    <row r="523" ht="15" customHeight="1">
      <c r="A523" t="inlineStr">
        <is>
          <t>A 35787-2019</t>
        </is>
      </c>
      <c r="B523" s="1" t="n">
        <v>43656</v>
      </c>
      <c r="C523" s="1" t="n">
        <v>45637</v>
      </c>
      <c r="D523" t="inlineStr">
        <is>
          <t>VÄSTMANLANDS LÄN</t>
        </is>
      </c>
      <c r="E523" t="inlineStr">
        <is>
          <t>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35779-2019</t>
        </is>
      </c>
      <c r="B524" s="1" t="n">
        <v>43656</v>
      </c>
      <c r="C524" s="1" t="n">
        <v>45637</v>
      </c>
      <c r="D524" t="inlineStr">
        <is>
          <t>VÄSTMANLANDS LÄN</t>
        </is>
      </c>
      <c r="E524" t="inlineStr">
        <is>
          <t>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35074-2019</t>
        </is>
      </c>
      <c r="B525" s="1" t="n">
        <v>43661</v>
      </c>
      <c r="C525" s="1" t="n">
        <v>45637</v>
      </c>
      <c r="D525" t="inlineStr">
        <is>
          <t>VÄSTMANLANDS LÄN</t>
        </is>
      </c>
      <c r="E525" t="inlineStr">
        <is>
          <t>NORBERG</t>
        </is>
      </c>
      <c r="F525" t="inlineStr">
        <is>
          <t>Sveaskog</t>
        </is>
      </c>
      <c r="G525" t="n">
        <v>2.5</v>
      </c>
      <c r="H525" t="n">
        <v>0</v>
      </c>
      <c r="I525" t="n">
        <v>0</v>
      </c>
      <c r="J525" t="n">
        <v>0</v>
      </c>
      <c r="K525" t="n">
        <v>0</v>
      </c>
      <c r="L525" t="n">
        <v>0</v>
      </c>
      <c r="M525" t="n">
        <v>0</v>
      </c>
      <c r="N525" t="n">
        <v>0</v>
      </c>
      <c r="O525" t="n">
        <v>0</v>
      </c>
      <c r="P525" t="n">
        <v>0</v>
      </c>
      <c r="Q525" t="n">
        <v>0</v>
      </c>
      <c r="R525" s="2" t="inlineStr"/>
    </row>
    <row r="526" ht="15" customHeight="1">
      <c r="A526" t="inlineStr">
        <is>
          <t>A 35690-2019</t>
        </is>
      </c>
      <c r="B526" s="1" t="n">
        <v>43664</v>
      </c>
      <c r="C526" s="1" t="n">
        <v>45637</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35939-2019</t>
        </is>
      </c>
      <c r="B527" s="1" t="n">
        <v>43665</v>
      </c>
      <c r="C527" s="1" t="n">
        <v>45637</v>
      </c>
      <c r="D527" t="inlineStr">
        <is>
          <t>VÄSTMANLANDS LÄN</t>
        </is>
      </c>
      <c r="E527" t="inlineStr">
        <is>
          <t>KÖPING</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35801-2019</t>
        </is>
      </c>
      <c r="B528" s="1" t="n">
        <v>43665</v>
      </c>
      <c r="C528" s="1" t="n">
        <v>45637</v>
      </c>
      <c r="D528" t="inlineStr">
        <is>
          <t>VÄSTMANLANDS LÄN</t>
        </is>
      </c>
      <c r="E528" t="inlineStr">
        <is>
          <t>VÄSTERÅS</t>
        </is>
      </c>
      <c r="G528" t="n">
        <v>1.1</v>
      </c>
      <c r="H528" t="n">
        <v>0</v>
      </c>
      <c r="I528" t="n">
        <v>0</v>
      </c>
      <c r="J528" t="n">
        <v>0</v>
      </c>
      <c r="K528" t="n">
        <v>0</v>
      </c>
      <c r="L528" t="n">
        <v>0</v>
      </c>
      <c r="M528" t="n">
        <v>0</v>
      </c>
      <c r="N528" t="n">
        <v>0</v>
      </c>
      <c r="O528" t="n">
        <v>0</v>
      </c>
      <c r="P528" t="n">
        <v>0</v>
      </c>
      <c r="Q528" t="n">
        <v>0</v>
      </c>
      <c r="R528" s="2" t="inlineStr"/>
    </row>
    <row r="529" ht="15" customHeight="1">
      <c r="A529" t="inlineStr">
        <is>
          <t>A 36142-2019</t>
        </is>
      </c>
      <c r="B529" s="1" t="n">
        <v>43668</v>
      </c>
      <c r="C529" s="1" t="n">
        <v>45637</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36069-2019</t>
        </is>
      </c>
      <c r="B530" s="1" t="n">
        <v>43668</v>
      </c>
      <c r="C530" s="1" t="n">
        <v>45637</v>
      </c>
      <c r="D530" t="inlineStr">
        <is>
          <t>VÄSTMANLANDS LÄN</t>
        </is>
      </c>
      <c r="E530" t="inlineStr">
        <is>
          <t>FAGERSTA</t>
        </is>
      </c>
      <c r="G530" t="n">
        <v>3.6</v>
      </c>
      <c r="H530" t="n">
        <v>0</v>
      </c>
      <c r="I530" t="n">
        <v>0</v>
      </c>
      <c r="J530" t="n">
        <v>0</v>
      </c>
      <c r="K530" t="n">
        <v>0</v>
      </c>
      <c r="L530" t="n">
        <v>0</v>
      </c>
      <c r="M530" t="n">
        <v>0</v>
      </c>
      <c r="N530" t="n">
        <v>0</v>
      </c>
      <c r="O530" t="n">
        <v>0</v>
      </c>
      <c r="P530" t="n">
        <v>0</v>
      </c>
      <c r="Q530" t="n">
        <v>0</v>
      </c>
      <c r="R530" s="2" t="inlineStr"/>
    </row>
    <row r="531" ht="15" customHeight="1">
      <c r="A531" t="inlineStr">
        <is>
          <t>A 36429-2019</t>
        </is>
      </c>
      <c r="B531" s="1" t="n">
        <v>43670</v>
      </c>
      <c r="C531" s="1" t="n">
        <v>45637</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36437-2019</t>
        </is>
      </c>
      <c r="B532" s="1" t="n">
        <v>43670</v>
      </c>
      <c r="C532" s="1" t="n">
        <v>45637</v>
      </c>
      <c r="D532" t="inlineStr">
        <is>
          <t>VÄSTMANLANDS LÄN</t>
        </is>
      </c>
      <c r="E532" t="inlineStr">
        <is>
          <t>VÄSTERÅS</t>
        </is>
      </c>
      <c r="G532" t="n">
        <v>2.7</v>
      </c>
      <c r="H532" t="n">
        <v>0</v>
      </c>
      <c r="I532" t="n">
        <v>0</v>
      </c>
      <c r="J532" t="n">
        <v>0</v>
      </c>
      <c r="K532" t="n">
        <v>0</v>
      </c>
      <c r="L532" t="n">
        <v>0</v>
      </c>
      <c r="M532" t="n">
        <v>0</v>
      </c>
      <c r="N532" t="n">
        <v>0</v>
      </c>
      <c r="O532" t="n">
        <v>0</v>
      </c>
      <c r="P532" t="n">
        <v>0</v>
      </c>
      <c r="Q532" t="n">
        <v>0</v>
      </c>
      <c r="R532" s="2" t="inlineStr"/>
    </row>
    <row r="533" ht="15" customHeight="1">
      <c r="A533" t="inlineStr">
        <is>
          <t>A 36600-2019</t>
        </is>
      </c>
      <c r="B533" s="1" t="n">
        <v>43671</v>
      </c>
      <c r="C533" s="1" t="n">
        <v>45637</v>
      </c>
      <c r="D533" t="inlineStr">
        <is>
          <t>VÄSTMANLANDS LÄN</t>
        </is>
      </c>
      <c r="E533" t="inlineStr">
        <is>
          <t>SALA</t>
        </is>
      </c>
      <c r="F533" t="inlineStr">
        <is>
          <t>Kyrkan</t>
        </is>
      </c>
      <c r="G533" t="n">
        <v>4.3</v>
      </c>
      <c r="H533" t="n">
        <v>0</v>
      </c>
      <c r="I533" t="n">
        <v>0</v>
      </c>
      <c r="J533" t="n">
        <v>0</v>
      </c>
      <c r="K533" t="n">
        <v>0</v>
      </c>
      <c r="L533" t="n">
        <v>0</v>
      </c>
      <c r="M533" t="n">
        <v>0</v>
      </c>
      <c r="N533" t="n">
        <v>0</v>
      </c>
      <c r="O533" t="n">
        <v>0</v>
      </c>
      <c r="P533" t="n">
        <v>0</v>
      </c>
      <c r="Q533" t="n">
        <v>0</v>
      </c>
      <c r="R533" s="2" t="inlineStr"/>
    </row>
    <row r="534" ht="15" customHeight="1">
      <c r="A534" t="inlineStr">
        <is>
          <t>A 36695-2019</t>
        </is>
      </c>
      <c r="B534" s="1" t="n">
        <v>43671</v>
      </c>
      <c r="C534" s="1" t="n">
        <v>45637</v>
      </c>
      <c r="D534" t="inlineStr">
        <is>
          <t>VÄSTMANLANDS LÄN</t>
        </is>
      </c>
      <c r="E534" t="inlineStr">
        <is>
          <t>VÄSTERÅS</t>
        </is>
      </c>
      <c r="G534" t="n">
        <v>1.1</v>
      </c>
      <c r="H534" t="n">
        <v>0</v>
      </c>
      <c r="I534" t="n">
        <v>0</v>
      </c>
      <c r="J534" t="n">
        <v>0</v>
      </c>
      <c r="K534" t="n">
        <v>0</v>
      </c>
      <c r="L534" t="n">
        <v>0</v>
      </c>
      <c r="M534" t="n">
        <v>0</v>
      </c>
      <c r="N534" t="n">
        <v>0</v>
      </c>
      <c r="O534" t="n">
        <v>0</v>
      </c>
      <c r="P534" t="n">
        <v>0</v>
      </c>
      <c r="Q534" t="n">
        <v>0</v>
      </c>
      <c r="R534" s="2" t="inlineStr"/>
    </row>
    <row r="535" ht="15" customHeight="1">
      <c r="A535" t="inlineStr">
        <is>
          <t>A 36802-2019</t>
        </is>
      </c>
      <c r="B535" s="1" t="n">
        <v>43672</v>
      </c>
      <c r="C535" s="1" t="n">
        <v>45637</v>
      </c>
      <c r="D535" t="inlineStr">
        <is>
          <t>VÄSTMANLANDS LÄN</t>
        </is>
      </c>
      <c r="E535" t="inlineStr">
        <is>
          <t>VÄSTERÅS</t>
        </is>
      </c>
      <c r="G535" t="n">
        <v>3.5</v>
      </c>
      <c r="H535" t="n">
        <v>0</v>
      </c>
      <c r="I535" t="n">
        <v>0</v>
      </c>
      <c r="J535" t="n">
        <v>0</v>
      </c>
      <c r="K535" t="n">
        <v>0</v>
      </c>
      <c r="L535" t="n">
        <v>0</v>
      </c>
      <c r="M535" t="n">
        <v>0</v>
      </c>
      <c r="N535" t="n">
        <v>0</v>
      </c>
      <c r="O535" t="n">
        <v>0</v>
      </c>
      <c r="P535" t="n">
        <v>0</v>
      </c>
      <c r="Q535" t="n">
        <v>0</v>
      </c>
      <c r="R535" s="2" t="inlineStr"/>
    </row>
    <row r="536" ht="15" customHeight="1">
      <c r="A536" t="inlineStr">
        <is>
          <t>A 37186-2019</t>
        </is>
      </c>
      <c r="B536" s="1" t="n">
        <v>43677</v>
      </c>
      <c r="C536" s="1" t="n">
        <v>45637</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37533-2019</t>
        </is>
      </c>
      <c r="B537" s="1" t="n">
        <v>43679</v>
      </c>
      <c r="C537" s="1" t="n">
        <v>45637</v>
      </c>
      <c r="D537" t="inlineStr">
        <is>
          <t>VÄSTMANLANDS LÄN</t>
        </is>
      </c>
      <c r="E537" t="inlineStr">
        <is>
          <t>SALA</t>
        </is>
      </c>
      <c r="G537" t="n">
        <v>7.9</v>
      </c>
      <c r="H537" t="n">
        <v>0</v>
      </c>
      <c r="I537" t="n">
        <v>0</v>
      </c>
      <c r="J537" t="n">
        <v>0</v>
      </c>
      <c r="K537" t="n">
        <v>0</v>
      </c>
      <c r="L537" t="n">
        <v>0</v>
      </c>
      <c r="M537" t="n">
        <v>0</v>
      </c>
      <c r="N537" t="n">
        <v>0</v>
      </c>
      <c r="O537" t="n">
        <v>0</v>
      </c>
      <c r="P537" t="n">
        <v>0</v>
      </c>
      <c r="Q537" t="n">
        <v>0</v>
      </c>
      <c r="R537" s="2" t="inlineStr"/>
    </row>
    <row r="538" ht="15" customHeight="1">
      <c r="A538" t="inlineStr">
        <is>
          <t>A 37524-2019</t>
        </is>
      </c>
      <c r="B538" s="1" t="n">
        <v>43679</v>
      </c>
      <c r="C538" s="1" t="n">
        <v>45637</v>
      </c>
      <c r="D538" t="inlineStr">
        <is>
          <t>VÄSTMANLANDS LÄN</t>
        </is>
      </c>
      <c r="E538" t="inlineStr">
        <is>
          <t>NORBERG</t>
        </is>
      </c>
      <c r="G538" t="n">
        <v>2.4</v>
      </c>
      <c r="H538" t="n">
        <v>0</v>
      </c>
      <c r="I538" t="n">
        <v>0</v>
      </c>
      <c r="J538" t="n">
        <v>0</v>
      </c>
      <c r="K538" t="n">
        <v>0</v>
      </c>
      <c r="L538" t="n">
        <v>0</v>
      </c>
      <c r="M538" t="n">
        <v>0</v>
      </c>
      <c r="N538" t="n">
        <v>0</v>
      </c>
      <c r="O538" t="n">
        <v>0</v>
      </c>
      <c r="P538" t="n">
        <v>0</v>
      </c>
      <c r="Q538" t="n">
        <v>0</v>
      </c>
      <c r="R538" s="2" t="inlineStr"/>
    </row>
    <row r="539" ht="15" customHeight="1">
      <c r="A539" t="inlineStr">
        <is>
          <t>A 38084-2019</t>
        </is>
      </c>
      <c r="B539" s="1" t="n">
        <v>43683</v>
      </c>
      <c r="C539" s="1" t="n">
        <v>45637</v>
      </c>
      <c r="D539" t="inlineStr">
        <is>
          <t>VÄSTMANLANDS LÄN</t>
        </is>
      </c>
      <c r="E539" t="inlineStr">
        <is>
          <t>VÄSTERÅS</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38158-2019</t>
        </is>
      </c>
      <c r="B540" s="1" t="n">
        <v>43683</v>
      </c>
      <c r="C540" s="1" t="n">
        <v>45637</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38087-2019</t>
        </is>
      </c>
      <c r="B541" s="1" t="n">
        <v>43683</v>
      </c>
      <c r="C541" s="1" t="n">
        <v>45637</v>
      </c>
      <c r="D541" t="inlineStr">
        <is>
          <t>VÄSTMANLANDS LÄN</t>
        </is>
      </c>
      <c r="E541" t="inlineStr">
        <is>
          <t>SKINNSKATTEBERG</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38489-2019</t>
        </is>
      </c>
      <c r="B542" s="1" t="n">
        <v>43685</v>
      </c>
      <c r="C542" s="1" t="n">
        <v>45637</v>
      </c>
      <c r="D542" t="inlineStr">
        <is>
          <t>VÄSTMANLANDS LÄN</t>
        </is>
      </c>
      <c r="E542" t="inlineStr">
        <is>
          <t>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38487-2019</t>
        </is>
      </c>
      <c r="B543" s="1" t="n">
        <v>43685</v>
      </c>
      <c r="C543" s="1" t="n">
        <v>45637</v>
      </c>
      <c r="D543" t="inlineStr">
        <is>
          <t>VÄSTMANLANDS LÄN</t>
        </is>
      </c>
      <c r="E543" t="inlineStr">
        <is>
          <t>KÖPING</t>
        </is>
      </c>
      <c r="G543" t="n">
        <v>4.6</v>
      </c>
      <c r="H543" t="n">
        <v>0</v>
      </c>
      <c r="I543" t="n">
        <v>0</v>
      </c>
      <c r="J543" t="n">
        <v>0</v>
      </c>
      <c r="K543" t="n">
        <v>0</v>
      </c>
      <c r="L543" t="n">
        <v>0</v>
      </c>
      <c r="M543" t="n">
        <v>0</v>
      </c>
      <c r="N543" t="n">
        <v>0</v>
      </c>
      <c r="O543" t="n">
        <v>0</v>
      </c>
      <c r="P543" t="n">
        <v>0</v>
      </c>
      <c r="Q543" t="n">
        <v>0</v>
      </c>
      <c r="R543" s="2" t="inlineStr"/>
    </row>
    <row r="544" ht="15" customHeight="1">
      <c r="A544" t="inlineStr">
        <is>
          <t>A 38387-2019</t>
        </is>
      </c>
      <c r="B544" s="1" t="n">
        <v>43685</v>
      </c>
      <c r="C544" s="1" t="n">
        <v>45637</v>
      </c>
      <c r="D544" t="inlineStr">
        <is>
          <t>VÄSTMANLANDS LÄN</t>
        </is>
      </c>
      <c r="E544" t="inlineStr">
        <is>
          <t>FAGERSTA</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38479-2019</t>
        </is>
      </c>
      <c r="B545" s="1" t="n">
        <v>43685</v>
      </c>
      <c r="C545" s="1" t="n">
        <v>45637</v>
      </c>
      <c r="D545" t="inlineStr">
        <is>
          <t>VÄSTMANLANDS LÄN</t>
        </is>
      </c>
      <c r="E545" t="inlineStr">
        <is>
          <t>ARBOGA</t>
        </is>
      </c>
      <c r="G545" t="n">
        <v>5.6</v>
      </c>
      <c r="H545" t="n">
        <v>0</v>
      </c>
      <c r="I545" t="n">
        <v>0</v>
      </c>
      <c r="J545" t="n">
        <v>0</v>
      </c>
      <c r="K545" t="n">
        <v>0</v>
      </c>
      <c r="L545" t="n">
        <v>0</v>
      </c>
      <c r="M545" t="n">
        <v>0</v>
      </c>
      <c r="N545" t="n">
        <v>0</v>
      </c>
      <c r="O545" t="n">
        <v>0</v>
      </c>
      <c r="P545" t="n">
        <v>0</v>
      </c>
      <c r="Q545" t="n">
        <v>0</v>
      </c>
      <c r="R545" s="2" t="inlineStr"/>
    </row>
    <row r="546" ht="15" customHeight="1">
      <c r="A546" t="inlineStr">
        <is>
          <t>A 39177-2019</t>
        </is>
      </c>
      <c r="B546" s="1" t="n">
        <v>43685</v>
      </c>
      <c r="C546" s="1" t="n">
        <v>45637</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39198-2019</t>
        </is>
      </c>
      <c r="B547" s="1" t="n">
        <v>43685</v>
      </c>
      <c r="C547" s="1" t="n">
        <v>45637</v>
      </c>
      <c r="D547" t="inlineStr">
        <is>
          <t>VÄSTMANLANDS LÄN</t>
        </is>
      </c>
      <c r="E547" t="inlineStr">
        <is>
          <t>NORBERG</t>
        </is>
      </c>
      <c r="G547" t="n">
        <v>1.4</v>
      </c>
      <c r="H547" t="n">
        <v>0</v>
      </c>
      <c r="I547" t="n">
        <v>0</v>
      </c>
      <c r="J547" t="n">
        <v>0</v>
      </c>
      <c r="K547" t="n">
        <v>0</v>
      </c>
      <c r="L547" t="n">
        <v>0</v>
      </c>
      <c r="M547" t="n">
        <v>0</v>
      </c>
      <c r="N547" t="n">
        <v>0</v>
      </c>
      <c r="O547" t="n">
        <v>0</v>
      </c>
      <c r="P547" t="n">
        <v>0</v>
      </c>
      <c r="Q547" t="n">
        <v>0</v>
      </c>
      <c r="R547" s="2" t="inlineStr"/>
    </row>
    <row r="548" ht="15" customHeight="1">
      <c r="A548" t="inlineStr">
        <is>
          <t>A 39178-2019</t>
        </is>
      </c>
      <c r="B548" s="1" t="n">
        <v>43685</v>
      </c>
      <c r="C548" s="1" t="n">
        <v>45637</v>
      </c>
      <c r="D548" t="inlineStr">
        <is>
          <t>VÄSTMANLANDS LÄN</t>
        </is>
      </c>
      <c r="E548" t="inlineStr">
        <is>
          <t>VÄSTERÅS</t>
        </is>
      </c>
      <c r="G548" t="n">
        <v>4.5</v>
      </c>
      <c r="H548" t="n">
        <v>0</v>
      </c>
      <c r="I548" t="n">
        <v>0</v>
      </c>
      <c r="J548" t="n">
        <v>0</v>
      </c>
      <c r="K548" t="n">
        <v>0</v>
      </c>
      <c r="L548" t="n">
        <v>0</v>
      </c>
      <c r="M548" t="n">
        <v>0</v>
      </c>
      <c r="N548" t="n">
        <v>0</v>
      </c>
      <c r="O548" t="n">
        <v>0</v>
      </c>
      <c r="P548" t="n">
        <v>0</v>
      </c>
      <c r="Q548" t="n">
        <v>0</v>
      </c>
      <c r="R548" s="2" t="inlineStr"/>
    </row>
    <row r="549" ht="15" customHeight="1">
      <c r="A549" t="inlineStr">
        <is>
          <t>A 38645-2019</t>
        </is>
      </c>
      <c r="B549" s="1" t="n">
        <v>43686</v>
      </c>
      <c r="C549" s="1" t="n">
        <v>45637</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38922-2019</t>
        </is>
      </c>
      <c r="B550" s="1" t="n">
        <v>43689</v>
      </c>
      <c r="C550" s="1" t="n">
        <v>45637</v>
      </c>
      <c r="D550" t="inlineStr">
        <is>
          <t>VÄSTMANLANDS LÄN</t>
        </is>
      </c>
      <c r="E550" t="inlineStr">
        <is>
          <t>VÄSTERÅS</t>
        </is>
      </c>
      <c r="G550" t="n">
        <v>6.4</v>
      </c>
      <c r="H550" t="n">
        <v>0</v>
      </c>
      <c r="I550" t="n">
        <v>0</v>
      </c>
      <c r="J550" t="n">
        <v>0</v>
      </c>
      <c r="K550" t="n">
        <v>0</v>
      </c>
      <c r="L550" t="n">
        <v>0</v>
      </c>
      <c r="M550" t="n">
        <v>0</v>
      </c>
      <c r="N550" t="n">
        <v>0</v>
      </c>
      <c r="O550" t="n">
        <v>0</v>
      </c>
      <c r="P550" t="n">
        <v>0</v>
      </c>
      <c r="Q550" t="n">
        <v>0</v>
      </c>
      <c r="R550" s="2" t="inlineStr"/>
    </row>
    <row r="551" ht="15" customHeight="1">
      <c r="A551" t="inlineStr">
        <is>
          <t>A 38986-2019</t>
        </is>
      </c>
      <c r="B551" s="1" t="n">
        <v>43689</v>
      </c>
      <c r="C551" s="1" t="n">
        <v>45637</v>
      </c>
      <c r="D551" t="inlineStr">
        <is>
          <t>VÄSTMANLANDS LÄN</t>
        </is>
      </c>
      <c r="E551" t="inlineStr">
        <is>
          <t>VÄSTERÅS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38981-2019</t>
        </is>
      </c>
      <c r="B552" s="1" t="n">
        <v>43689</v>
      </c>
      <c r="C552" s="1" t="n">
        <v>45637</v>
      </c>
      <c r="D552" t="inlineStr">
        <is>
          <t>VÄSTMANLANDS LÄN</t>
        </is>
      </c>
      <c r="E552" t="inlineStr">
        <is>
          <t>VÄSTERÅS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39088-2019</t>
        </is>
      </c>
      <c r="B553" s="1" t="n">
        <v>43689</v>
      </c>
      <c r="C553" s="1" t="n">
        <v>45637</v>
      </c>
      <c r="D553" t="inlineStr">
        <is>
          <t>VÄSTMANLANDS LÄN</t>
        </is>
      </c>
      <c r="E553" t="inlineStr">
        <is>
          <t>ARBOGA</t>
        </is>
      </c>
      <c r="G553" t="n">
        <v>2</v>
      </c>
      <c r="H553" t="n">
        <v>0</v>
      </c>
      <c r="I553" t="n">
        <v>0</v>
      </c>
      <c r="J553" t="n">
        <v>0</v>
      </c>
      <c r="K553" t="n">
        <v>0</v>
      </c>
      <c r="L553" t="n">
        <v>0</v>
      </c>
      <c r="M553" t="n">
        <v>0</v>
      </c>
      <c r="N553" t="n">
        <v>0</v>
      </c>
      <c r="O553" t="n">
        <v>0</v>
      </c>
      <c r="P553" t="n">
        <v>0</v>
      </c>
      <c r="Q553" t="n">
        <v>0</v>
      </c>
      <c r="R553" s="2" t="inlineStr"/>
    </row>
    <row r="554" ht="15" customHeight="1">
      <c r="A554" t="inlineStr">
        <is>
          <t>A 38848-2019</t>
        </is>
      </c>
      <c r="B554" s="1" t="n">
        <v>43689</v>
      </c>
      <c r="C554" s="1" t="n">
        <v>45637</v>
      </c>
      <c r="D554" t="inlineStr">
        <is>
          <t>VÄSTMANLANDS LÄN</t>
        </is>
      </c>
      <c r="E554" t="inlineStr">
        <is>
          <t>VÄSTERÅS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39231-2019</t>
        </is>
      </c>
      <c r="B555" s="1" t="n">
        <v>43690</v>
      </c>
      <c r="C555" s="1" t="n">
        <v>45637</v>
      </c>
      <c r="D555" t="inlineStr">
        <is>
          <t>VÄSTMANLANDS LÄN</t>
        </is>
      </c>
      <c r="E555" t="inlineStr">
        <is>
          <t>ARBOGA</t>
        </is>
      </c>
      <c r="G555" t="n">
        <v>22.7</v>
      </c>
      <c r="H555" t="n">
        <v>0</v>
      </c>
      <c r="I555" t="n">
        <v>0</v>
      </c>
      <c r="J555" t="n">
        <v>0</v>
      </c>
      <c r="K555" t="n">
        <v>0</v>
      </c>
      <c r="L555" t="n">
        <v>0</v>
      </c>
      <c r="M555" t="n">
        <v>0</v>
      </c>
      <c r="N555" t="n">
        <v>0</v>
      </c>
      <c r="O555" t="n">
        <v>0</v>
      </c>
      <c r="P555" t="n">
        <v>0</v>
      </c>
      <c r="Q555" t="n">
        <v>0</v>
      </c>
      <c r="R555" s="2" t="inlineStr"/>
    </row>
    <row r="556" ht="15" customHeight="1">
      <c r="A556" t="inlineStr">
        <is>
          <t>A 39483-2019</t>
        </is>
      </c>
      <c r="B556" s="1" t="n">
        <v>43691</v>
      </c>
      <c r="C556" s="1" t="n">
        <v>45637</v>
      </c>
      <c r="D556" t="inlineStr">
        <is>
          <t>VÄSTMANLANDS LÄN</t>
        </is>
      </c>
      <c r="E556" t="inlineStr">
        <is>
          <t>SALA</t>
        </is>
      </c>
      <c r="G556" t="n">
        <v>4.6</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45637</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45637</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45637</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45637</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45637</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45637</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45637</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45637</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45637</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45637</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45637</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45637</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45637</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45637</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45637</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45637</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45637</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45637</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45637</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45637</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45637</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45637</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45637</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45637</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45637</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45637</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45637</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45637</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45637</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45637</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45637</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45637</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45637</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45637</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45637</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45637</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45637</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45637</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45637</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45637</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45637</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45637</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45637</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45637</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45637</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45637</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45637</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45637</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45637</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45637</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45637</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45637</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45637</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45637</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45637</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45637</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45637</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45637</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45637</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45637</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45637</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45637</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45637</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45637</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45637</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45637</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45637</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45637</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45637</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45637</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45637</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45637</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45637</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45637</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45637</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45637</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45637</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45637</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45637</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45637</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45637</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45637</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45637</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45637</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45637</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45637</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45637</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45637</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45637</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45637</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45637</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45637</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45637</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45637</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45637</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45637</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45637</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45637</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45637</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45637</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45637</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45637</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45637</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45637</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45637</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45637</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45637</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45637</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45637</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45637</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45637</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45637</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45637</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45637</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45637</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45637</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45637</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45637</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45637</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45637</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45637</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45637</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45637</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45637</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45637</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45637</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45637</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45637</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45637</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45637</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45637</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45637</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45637</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45637</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45637</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45637</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45637</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45637</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45637</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45637</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45637</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45637</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45637</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45637</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45637</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45637</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45637</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45637</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45637</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45637</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45637</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45637</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45637</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45637</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45637</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45637</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45637</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45637</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45637</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45637</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45637</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45637</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45637</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45637</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45637</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45637</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45637</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45637</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45637</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45637</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45637</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45637</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45637</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45637</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45637</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45637</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45637</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45637</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45637</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45637</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45637</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45637</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45637</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45637</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45637</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45637</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45637</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45637</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45637</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45637</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45637</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45637</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45637</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45637</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45637</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45637</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45637</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45637</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45637</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45637</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45637</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45637</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45637</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45637</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45637</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45637</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45637</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45637</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45637</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45637</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45637</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45637</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45637</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45637</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45637</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45637</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45637</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45637</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45637</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45637</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45637</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45637</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45637</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45637</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45637</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45637</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45637</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45637</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45637</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45637</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45637</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45637</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45637</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45637</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45637</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45637</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45637</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45637</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45637</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45637</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45637</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45637</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45637</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45637</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45637</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45637</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45637</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45637</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45637</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45637</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45637</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45637</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45637</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45637</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45637</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45637</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45637</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45637</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45637</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45637</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45637</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45637</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45637</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45637</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45637</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45637</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45637</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45637</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45637</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45637</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45637</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45637</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45637</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45637</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45637</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45637</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45637</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45637</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45637</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45637</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45637</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45637</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45637</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45637</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45637</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45637</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45637</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45637</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45637</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45637</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45637</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45637</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45637</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45637</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45637</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45637</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45637</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45637</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45637</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45637</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45637</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45637</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45637</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45637</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45637</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45637</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45637</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45637</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45637</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45637</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45637</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45637</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45637</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45637</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45637</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45637</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45637</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45637</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45637</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45637</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45637</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45637</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45637</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45637</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45637</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45637</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45637</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45637</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45637</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45637</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45637</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45637</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45637</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45637</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45637</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45637</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45637</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45637</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45637</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45637</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45637</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45637</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45637</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45637</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45637</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45637</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45637</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45637</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45637</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45637</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45637</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45637</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45637</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45637</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45637</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45637</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45637</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45637</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45637</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45637</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45637</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45637</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45637</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45637</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45637</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45637</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45637</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45637</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45637</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45637</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45637</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45637</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45637</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45637</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45637</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45637</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45637</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45637</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45637</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45637</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45637</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45637</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45637</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45637</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45637</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45637</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45637</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45637</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45637</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45637</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45637</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45637</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45637</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45637</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45637</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45637</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45637</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45637</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45637</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45637</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45637</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45637</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45637</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45637</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45637</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45637</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45637</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45637</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45637</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45637</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45637</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45637</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45637</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45637</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45637</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45637</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45637</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45637</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45637</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45637</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45637</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45637</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45637</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45637</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45637</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45637</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45637</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45637</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45637</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45637</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45637</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45637</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45637</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45637</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45637</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45637</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45637</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45637</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45637</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45637</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45637</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45637</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45637</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45637</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45637</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45637</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45637</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45637</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45637</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45637</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45637</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45637</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45637</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45637</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45637</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45637</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45637</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45637</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45637</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45637</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45637</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45637</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45637</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45637</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45637</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45637</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45637</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45637</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45637</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45637</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45637</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45637</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45637</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45637</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45637</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45637</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45637</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45637</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45637</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45637</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45637</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45637</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45637</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45637</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45637</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45637</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45637</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45637</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45637</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45637</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45637</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45637</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45637</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45637</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45637</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45637</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45637</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45637</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45637</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45637</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45637</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45637</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45637</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45637</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45637</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45637</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45637</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45637</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45637</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45637</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45637</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45637</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45637</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45637</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45637</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45637</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45637</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45637</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45637</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45637</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45637</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45637</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45637</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45637</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45637</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45637</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45637</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45637</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45637</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45637</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45637</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45637</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45637</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45637</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45637</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45637</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45637</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45637</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45637</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45637</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45637</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45637</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45637</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45637</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45637</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45637</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45637</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45637</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45637</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45637</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45637</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45637</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45637</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45637</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45637</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45637</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45637</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45637</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45637</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45637</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45637</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45637</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45637</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45637</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45637</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45637</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45637</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45637</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45637</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45637</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45637</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45637</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45637</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45637</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45637</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45637</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45637</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45637</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45637</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45637</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45637</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45637</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45637</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45637</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45637</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45637</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45637</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45637</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45637</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45637</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45637</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45637</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45637</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45637</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45637</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45637</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45637</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45637</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45637</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45637</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45637</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45637</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45637</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45637</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45637</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45637</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45637</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45637</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45637</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45637</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45637</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45637</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45637</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45637</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45637</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45637</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45637</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45637</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45637</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45637</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45637</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45637</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45637</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45637</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45637</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45637</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45637</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45637</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45637</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45637</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45637</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45637</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45637</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45637</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45637</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45637</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45637</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45637</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45637</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45637</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45637</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45637</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45637</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45637</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45637</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45637</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45637</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45637</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45637</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45637</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45637</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45637</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45637</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45637</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45637</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45637</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45637</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45637</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45637</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45637</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45637</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45637</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45637</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45637</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45637</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45637</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45637</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45637</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45637</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45637</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45637</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45637</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45637</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45637</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45637</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45637</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45637</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45637</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45637</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45637</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45637</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45637</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45637</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45637</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45637</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45637</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45637</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45637</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45637</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45637</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45637</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45637</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45637</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45637</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45637</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45637</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45637</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45637</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45637</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45637</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45637</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45637</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45637</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45637</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45637</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45637</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45637</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45637</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45637</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45637</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45637</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45637</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45637</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45637</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45637</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45637</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45637</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45637</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45637</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45637</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45637</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45637</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45637</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45637</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45637</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45637</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45637</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45637</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45637</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45637</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45637</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45637</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45637</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45637</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45637</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45637</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45637</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45637</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45637</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45637</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45637</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45637</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45637</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45637</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45637</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45637</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45637</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45637</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45637</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45637</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45637</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45637</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45637</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45637</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45637</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45637</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45637</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45637</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45637</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45637</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45637</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45637</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45637</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45637</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45637</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45637</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45637</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45637</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45637</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45637</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45637</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45637</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45637</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45637</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45637</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45637</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45637</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45637</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45637</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45637</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45637</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45637</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45637</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45637</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45637</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45637</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45637</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45637</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45637</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45637</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45637</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45637</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45637</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45637</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45637</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45637</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45637</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45637</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45637</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45637</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45637</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45637</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45637</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45637</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45637</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45637</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45637</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45637</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45637</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45637</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45637</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45637</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45637</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45637</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45637</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45637</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45637</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45637</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45637</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45637</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45637</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45637</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45637</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45637</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45637</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45637</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45637</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45637</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45637</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45637</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45637</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45637</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45637</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45637</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45637</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45637</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45637</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45637</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45637</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45637</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45637</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45637</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45637</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45637</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45637</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45637</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45637</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45637</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45637</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45637</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45637</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45637</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45637</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45637</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45637</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45637</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45637</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45637</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45637</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45637</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45637</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45637</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45637</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45637</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45637</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45637</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45637</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45637</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45637</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45637</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45637</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45637</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45637</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45637</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45637</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45637</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45637</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45637</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45637</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45637</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45637</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45637</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45637</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45637</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45637</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45637</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45637</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45637</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45637</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45637</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45637</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45637</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45637</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45637</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45637</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45637</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45637</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45637</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45637</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45637</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45637</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45637</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45637</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45637</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45637</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45637</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45637</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45637</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45637</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45637</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45637</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45637</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45637</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45637</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45637</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45637</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45637</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45637</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45637</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45637</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45637</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45637</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45637</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45637</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45637</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45637</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45637</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45637</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45637</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45637</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45637</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45637</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45637</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45637</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45637</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45637</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45637</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45637</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45637</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45637</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45637</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45637</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45637</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45637</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45637</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45637</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45637</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45637</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45637</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45637</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45637</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45637</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45637</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45637</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45637</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45637</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45637</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45637</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45637</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45637</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45637</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45637</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45637</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45637</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45637</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45637</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45637</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45637</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45637</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45637</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45637</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45637</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45637</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45637</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45637</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45637</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45637</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45637</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45637</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45637</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45637</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45637</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45637</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45637</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45637</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45637</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45637</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45637</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45637</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45637</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45637</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45637</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45637</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45637</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45637</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45637</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45637</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45637</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45637</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45637</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45637</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45637</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45637</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45637</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45637</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45637</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45637</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45637</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45637</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45637</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45637</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45637</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45637</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45637</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45637</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45637</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45637</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45637</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45637</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45637</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45637</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45637</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45637</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45637</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45637</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45637</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45637</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45637</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45637</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45637</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45637</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45637</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45637</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45637</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45637</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45637</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45637</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45637</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45637</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45637</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45637</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45637</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45637</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45637</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45637</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45637</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45637</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45637</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45637</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45637</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45637</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45637</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45637</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45637</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45637</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45637</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45637</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45637</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45637</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45637</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45637</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45637</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45637</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45637</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45637</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45637</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45637</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45637</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45637</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45637</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45637</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45637</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45637</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45637</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45637</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45637</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45637</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45637</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45637</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45637</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45637</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45637</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45637</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45637</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45637</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45637</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45637</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45637</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45637</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45637</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45637</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45637</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45637</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45637</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45637</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45637</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45637</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45637</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45637</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45637</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45637</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45637</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45637</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45637</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45637</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45637</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45637</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45637</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45637</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45637</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45637</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45637</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45637</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45637</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45637</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45637</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45637</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45637</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45637</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45637</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45637</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45637</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45637</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45637</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45637</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45637</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45637</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45637</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45637</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45637</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45637</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45637</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45637</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45637</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45637</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45637</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45637</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45637</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45637</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45637</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45637</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45637</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45637</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45637</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45637</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45637</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45637</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45637</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45637</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45637</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45637</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45637</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45637</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45637</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45637</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45637</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45637</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45637</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45637</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45637</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45637</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45637</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45637</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45637</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45637</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45637</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45637</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45637</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45637</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45637</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45637</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45637</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45637</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45637</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45637</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45637</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45637</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45637</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45637</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45637</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45637</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45637</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45637</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45637</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45637</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45637</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45637</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45637</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45637</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45637</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45637</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45637</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45637</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45637</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45637</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45637</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45637</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45637</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45637</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45637</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45637</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45637</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45637</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45637</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45637</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45637</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45637</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45637</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45637</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45637</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45637</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45637</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45637</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45637</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45637</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45637</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45637</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45637</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45637</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45637</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45637</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45637</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45637</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45637</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45637</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45637</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45637</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45637</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45637</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45637</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45637</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45637</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45637</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45637</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45637</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45637</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45637</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45637</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45637</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45637</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45637</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45637</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45637</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45637</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45637</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45637</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45637</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45637</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45637</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45637</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45637</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45637</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45637</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45637</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45637</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45637</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45637</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45637</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45637</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45637</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45637</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45637</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45637</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45637</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45637</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45637</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45637</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45637</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45637</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45637</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45637</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45637</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45637</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45637</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45637</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45637</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45637</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45637</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45637</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45637</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45637</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45637</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45637</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45637</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45637</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45637</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45637</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45637</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45637</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45637</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45637</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45637</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45637</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45637</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45637</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45637</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45637</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45637</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45637</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45637</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45637</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45637</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45637</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45637</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45637</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45637</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45637</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45637</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45637</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45637</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45637</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45637</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45637</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45637</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45637</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45637</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45637</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45637</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45637</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45637</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45637</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45637</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45637</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45637</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45637</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45637</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45637</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45637</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45637</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45637</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45637</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45637</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45637</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45637</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45637</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45637</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45637</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45637</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45637</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45637</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45637</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45637</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45637</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45637</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45637</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45637</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45637</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45637</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45637</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45637</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45637</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45637</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45637</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45637</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45637</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45637</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45637</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45637</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45637</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45637</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45637</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45637</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45637</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45637</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45637</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45637</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45637</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45637</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45637</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45637</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45637</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45637</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45637</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45637</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45637</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45637</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45637</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45637</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45637</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45637</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45637</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45637</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45637</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45637</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45637</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45637</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45637</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45637</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45637</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45637</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45637</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45637</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45637</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45637</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45637</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45637</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45637</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45637</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45637</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45637</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45637</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45637</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45637</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45637</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45637</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45637</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45637</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45637</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45637</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45637</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45637</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45637</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45637</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45637</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45637</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45637</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45637</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45637</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45637</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45637</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45637</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45637</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45637</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45637</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45637</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45637</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45637</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45637</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45637</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45637</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45637</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45637</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45637</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45637</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45637</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45637</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45637</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45637</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45637</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45637</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45637</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45637</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45637</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45637</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45637</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45637</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45637</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45637</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45637</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45637</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45637</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45637</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45637</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45637</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45637</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45637</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45637</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45637</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45637</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45637</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45637</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45637</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45637</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45637</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45637</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45637</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45637</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45637</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45637</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45637</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45637</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45637</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45637</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45637</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45637</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45637</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45637</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45637</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45637</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45637</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45637</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45637</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45637</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45637</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45637</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45637</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45637</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45637</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45637</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45637</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45637</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45637</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45637</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45637</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45637</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45637</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45637</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45637</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45637</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45637</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45637</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45637</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45637</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45637</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45637</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45637</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45637</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45637</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45637</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45637</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45637</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45637</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45637</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45637</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45637</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45637</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45637</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45637</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45637</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45637</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45637</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45637</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45637</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45637</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45637</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45637</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45637</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45637</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45637</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45637</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45637</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45637</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45637</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45637</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45637</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45637</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45637</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45637</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45637</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45637</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45637</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45637</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45637</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45637</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45637</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45637</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45637</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45637</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45637</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45637</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45637</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45637</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45637</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45637</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45637</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45637</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45637</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45637</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45637</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45637</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45637</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45637</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45637</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45637</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45637</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45637</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45637</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45637</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45637</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45637</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45637</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45637</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45637</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45637</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45637</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45637</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45637</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45637</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45637</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45637</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45637</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45637</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45637</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45637</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45637</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45637</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45637</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45637</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45637</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45637</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45637</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45637</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45637</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45637</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45637</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45637</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45637</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45637</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45637</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45637</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45637</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45637</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45637</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45637</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45637</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45637</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45637</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45637</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45637</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45637</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45637</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45637</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45637</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45637</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45637</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45637</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45637</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45637</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45637</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45637</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45637</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45637</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45637</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45637</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45637</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45637</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45637</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45637</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45637</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45637</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45637</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45637</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45637</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45637</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45637</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45637</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45637</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45637</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45637</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45637</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45637</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45637</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45637</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45637</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45637</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45637</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45637</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45637</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45637</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45637</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45637</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45637</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45637</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45637</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45637</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45637</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45637</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45637</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45637</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45637</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45637</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45637</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45637</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45637</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45637</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45637</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45637</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45637</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45637</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45637</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45637</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45637</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45637</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45637</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45637</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45637</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45637</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45637</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45637</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45637</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45637</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45637</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45637</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45637</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45637</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45637</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45637</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45637</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45637</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45637</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45637</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45637</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45637</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45637</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45637</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45637</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45637</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45637</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45637</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45637</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45637</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45637</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45637</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45637</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45637</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45637</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45637</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45637</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45637</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45637</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45637</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45637</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45637</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45637</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45637</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45637</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45637</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45637</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45637</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45637</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45637</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45637</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45637</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45637</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45637</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45637</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45637</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45637</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45637</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45637</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45637</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45637</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45637</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45637</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45637</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45637</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45637</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45637</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45637</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45637</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45637</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45637</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45637</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45637</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45637</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45637</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45637</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45637</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45637</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45637</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45637</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45637</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45637</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45637</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45637</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45637</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45637</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45637</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45637</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45637</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45637</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45637</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45637</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45637</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45637</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45637</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45637</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45637</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45637</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45637</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45637</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45637</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45637</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45637</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45637</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45637</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45637</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45637</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45637</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45637</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45637</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45637</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45637</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45637</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45637</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45637</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45637</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45637</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45637</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45637</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45637</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45637</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45637</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45637</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45637</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45637</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45637</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45637</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45637</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45637</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45637</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45637</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45637</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45637</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45637</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45637</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45637</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45637</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45637</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45637</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45637</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45637</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45637</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45637</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45637</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45637</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45637</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45637</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45637</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45637</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45637</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45637</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45637</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45637</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45637</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45637</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45637</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45637</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45637</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45637</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45637</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45637</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45637</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45637</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45637</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45637</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45637</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45637</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45637</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45637</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45637</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45637</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45637</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45637</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45637</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45637</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45637</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45637</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45637</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45637</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45637</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45637</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45637</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45637</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45637</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45637</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45637</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45637</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45637</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45637</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45637</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45637</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45637</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45637</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45637</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45637</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45637</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45637</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45637</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45637</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45637</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45637</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45637</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45637</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45637</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45637</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45637</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45637</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45637</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45637</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45637</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45637</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45637</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45637</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45637</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45637</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45637</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45637</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45637</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45637</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45637</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45637</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45637</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45637</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45637</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45637</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45637</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45637</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45637</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45637</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45637</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45637</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45637</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45637</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45637</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45637</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45637</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45637</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45637</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45637</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45637</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45637</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45637</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45637</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45637</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45637</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45637</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45637</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45637</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45637</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45637</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45637</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45637</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45637</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45637</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45637</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45637</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45637</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45637</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45637</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45637</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45637</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45637</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45637</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45637</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45637</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45637</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45637</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45637</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45637</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45637</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45637</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45637</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45637</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45637</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45637</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45637</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45637</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45637</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45637</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45637</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45637</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45637</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45637</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45637</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45637</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45637</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45637</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45637</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45637</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45637</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45637</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45637</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45637</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45637</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45637</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45637</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45637</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45637</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45637</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45637</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45637</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45637</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45637</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45637</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45637</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45637</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45637</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45637</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45637</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45637</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45637</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45637</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45637</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45637</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45637</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45637</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45637</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45637</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45637</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45637</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45637</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45637</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45637</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45637</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45637</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45637</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45637</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45637</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45637</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45637</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45637</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45637</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45637</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45637</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45637</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45637</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45637</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45637</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45637</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45637</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45637</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45637</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45637</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45637</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45637</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45637</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45637</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45637</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45637</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45637</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45637</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45637</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45637</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45637</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45637</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45637</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45637</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45637</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45637</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45637</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45637</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45637</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45637</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45637</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45637</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45637</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45637</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45637</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45637</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45637</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45637</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45637</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45637</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45637</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45637</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45637</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45637</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45637</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45637</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45637</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45637</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45637</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45637</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45637</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45637</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45637</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45637</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45637</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45637</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45637</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45637</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45637</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45637</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45637</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45637</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45637</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45637</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45637</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45637</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45637</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45637</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45637</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45637</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45637</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45637</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45637</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45637</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45637</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45637</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45637</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45637</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45637</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45637</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45637</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45637</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45637</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45637</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45637</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45637</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45637</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45637</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45637</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45637</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45637</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45637</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45637</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45637</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45637</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45637</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45637</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45637</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45637</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45637</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45637</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45637</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45637</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45637</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45637</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45637</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45637</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45637</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45637</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45637</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45637</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45637</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45637</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45637</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45637</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45637</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45637</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45637</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45637</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45637</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45637</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45637</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45637</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45637</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45637</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45637</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45637</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45637</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45637</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45637</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45637</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45637</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45637</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45637</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45637</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45637</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45637</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45637</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45637</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45637</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45637</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45637</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45637</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45637</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45637</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45637</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45637</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45637</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45637</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45637</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45637</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45637</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45637</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45637</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45637</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45637</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45637</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45637</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45637</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45637</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45637</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45637</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45637</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45637</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45637</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45637</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45637</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45637</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45637</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45637</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45637</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45637</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45637</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45637</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45637</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45637</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45637</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45637</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45637</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45637</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45637</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45637</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45637</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45637</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45637</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45637</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45637</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45637</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45637</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45637</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45637</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45637</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45637</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45637</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45637</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45637</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45637</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45637</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45637</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45637</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45637</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45637</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45637</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45637</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45637</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45637</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45637</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45637</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45637</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45637</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45637</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45637</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45637</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45637</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45637</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45637</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45637</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45637</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45637</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45637</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45637</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45637</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45637</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45637</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45637</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45637</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45637</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45637</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45637</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45637</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45637</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45637</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45637</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45637</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45637</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45637</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45637</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45637</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45637</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45637</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45637</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45637</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45637</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45637</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45637</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45637</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45637</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45637</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45637</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45637</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45637</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45637</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45637</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45637</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45637</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45637</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45637</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45637</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45637</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45637</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45637</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45637</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45637</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45637</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45637</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45637</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45637</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45637</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45637</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45637</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45637</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45637</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45637</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45637</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45637</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45637</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45637</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45637</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45637</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45637</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45637</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45637</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45637</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45637</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45637</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45637</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45637</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45637</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45637</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45637</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45637</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45637</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45637</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45637</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45637</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45637</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45637</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45637</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45637</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45637</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45637</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45637</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45637</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45637</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45637</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45637</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45637</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45637</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45637</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45637</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45637</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45637</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45637</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45637</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45637</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45637</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45637</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45637</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45637</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45637</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45637</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45637</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45637</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45637</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45637</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45637</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45637</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45637</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45637</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45637</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45637</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45637</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45637</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45637</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45637</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45637</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45637</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45637</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45637</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45637</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45637</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45637</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45637</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45637</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45637</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45637</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45637</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45637</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45637</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45637</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45637</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45637</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45637</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45637</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45637</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45637</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45637</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45637</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45637</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45637</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45637</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45637</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45637</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45637</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45637</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45637</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45637</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45637</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45637</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45637</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45637</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45637</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45637</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45637</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45637</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45637</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45637</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45637</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45637</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45637</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45637</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45637</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45637</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45637</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45637</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45637</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45637</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45637</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45637</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45637</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45637</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45637</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45637</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45637</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45637</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45637</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45637</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45637</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45637</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45637</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45637</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45637</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45637</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45637</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45637</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45637</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45637</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45637</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45637</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45637</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45637</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45637</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45637</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45637</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45637</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45637</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45637</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45637</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45637</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45637</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45637</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45637</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45637</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45637</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45637</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45637</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45637</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45637</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45637</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45637</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45637</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45637</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45637</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45637</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45637</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45637</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45637</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45637</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45637</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45637</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45637</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45637</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45637</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45637</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45637</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45637</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45637</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45637</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45637</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45637</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45637</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45637</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45637</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45637</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45637</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45637</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45637</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45637</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45637</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45637</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45637</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45637</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45637</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45637</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45637</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45637</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45637</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45637</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45637</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45637</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45637</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45637</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45637</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45637</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45637</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45637</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45637</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45637</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45637</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45637</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45637</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45637</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45637</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45637</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45637</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45637</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45637</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45637</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45637</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45637</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45637</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45637</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45637</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45637</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45637</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45637</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45637</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45637</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45637</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45637</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45637</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45637</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45637</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45637</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45637</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45637</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45637</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45637</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45637</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45637</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45637</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45637</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45637</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45637</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45637</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45637</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45637</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45637</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45637</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45637</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45637</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45637</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45637</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45637</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45637</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45637</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45637</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45637</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45637</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45637</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45637</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45637</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45637</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45637</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45637</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45637</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45637</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45637</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45637</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45637</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45637</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45637</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45637</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45637</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45637</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45637</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45637</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45637</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45637</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45637</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45637</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45637</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45637</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45637</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45637</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45637</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45637</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45637</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45637</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45637</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45637</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45637</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45637</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45637</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45637</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45637</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45637</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45637</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45637</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45637</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45637</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45637</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45637</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45637</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45637</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45637</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45637</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45637</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45637</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45637</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45637</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45637</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45637</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45637</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45637</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45637</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45637</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45637</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45637</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45637</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45637</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45637</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45637</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45637</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45637</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45637</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45637</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45637</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45637</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45637</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45637</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45637</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45637</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45637</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45637</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45637</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45637</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45637</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45637</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45637</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45637</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45637</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45637</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45637</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45637</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45637</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45637</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45637</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45637</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45637</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45637</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45637</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45637</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45637</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45637</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45637</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45637</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45637</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45637</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45637</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45637</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45637</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45637</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45637</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45637</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45637</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45637</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45637</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45637</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45637</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45637</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45637</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45637</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45637</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45637</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45637</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45637</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45637</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45637</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45637</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45637</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45637</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45637</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45637</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45637</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45637</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45637</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45637</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45637</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45637</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45637</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45637</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45637</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45637</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45637</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45637</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45637</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45637</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45637</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45637</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45637</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45637</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45637</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45637</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45637</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45637</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45637</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45637</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45637</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45637</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45637</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45637</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45637</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45637</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45637</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45637</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45637</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45637</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45637</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45637</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45637</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45637</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45637</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45637</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45637</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45637</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45637</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45637</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45637</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45637</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45637</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45637</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45637</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45637</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45637</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45637</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45637</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45637</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45637</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45637</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45637</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45637</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45637</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45637</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45637</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45637</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45637</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45637</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45637</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45637</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45637</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45637</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45637</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45637</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45637</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45637</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45637</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45637</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45637</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45637</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45637</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45637</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45637</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45637</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45637</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45637</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45637</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45637</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45637</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45637</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45637</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45637</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45637</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45637</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45637</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45637</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45637</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45637</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45637</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45637</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45637</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45637</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45637</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45637</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45637</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45637</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45637</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45637</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45637</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45637</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45637</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45637</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45637</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45637</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45637</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45637</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45637</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45637</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45637</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45637</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45637</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45637</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45637</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45637</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45637</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45637</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45637</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45637</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45637</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45637</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45637</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45637</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45637</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45637</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45637</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45637</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45637</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45637</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45637</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45637</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45637</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45637</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45637</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45637</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45637</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45637</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45637</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45637</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45637</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45637</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45637</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45637</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45637</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45637</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45637</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45637</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45637</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45637</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45637</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45637</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45637</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45637</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45637</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45637</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45637</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45637</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45637</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45637</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45637</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45637</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45637</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45637</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45637</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45637</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45637</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45637</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45637</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45637</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45637</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45637</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45637</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45637</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45637</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45637</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45637</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45637</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45637</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45637</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45637</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45637</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45637</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45637</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45637</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45637</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45637</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45637</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45637</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45637</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45637</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45637</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45637</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45637</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45637</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45637</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45637</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45637</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45637</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45637</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45637</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45637</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45637</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45637</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45637</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45637</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45637</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45637</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45637</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45637</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45637</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45637</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45637</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45637</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45637</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45637</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45637</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45637</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45637</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45637</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45637</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45637</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45637</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45637</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45637</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45637</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45637</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45637</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45637</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45637</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45637</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45637</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45637</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45637</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45637</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45637</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45637</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45637</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45637</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45637</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45637</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45637</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45637</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45637</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45637</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45637</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45637</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45637</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45637</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45637</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45637</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45637</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45637</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45637</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45637</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45637</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45637</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45637</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45637</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45637</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45637</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45637</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45637</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45637</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45637</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45637</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45637</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45637</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45637</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45637</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45637</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45637</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45637</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45637</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45637</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45637</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45637</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45637</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45637</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45637</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45637</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45637</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45637</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45637</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45637</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45637</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45637</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45637</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45637</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45637</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45637</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45637</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45637</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45637</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45637</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45637</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45637</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45637</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45637</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45637</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45637</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45637</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45637</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45637</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45637</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45637</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45637</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45637</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45637</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45637</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45637</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45637</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45637</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45637</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45637</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45637</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45637</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45637</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45637</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45637</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45637</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45637</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45637</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45637</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45637</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45637</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45637</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45637</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45637</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45637</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45637</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45637</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45637</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45637</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45637</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45637</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45637</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45637</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45637</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45637</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45637</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45637</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45637</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45637</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45637</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45637</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45637</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45637</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45637</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45637</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45637</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45637</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45637</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45637</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45637</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45637</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45637</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45637</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45637</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45637</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45637</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45637</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45637</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45637</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45637</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45637</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45637</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45637</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45637</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45637</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45637</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45637</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45637</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45637</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45637</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45637</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45637</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45637</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45637</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45637</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45637</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45637</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45637</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45637</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45637</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45637</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45637</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45637</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45637</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45637</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45637</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45637</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45637</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45637</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45637</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45637</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45637</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45637</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45637</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45637</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45637</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45637</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45637</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45637</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45637</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45637</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45637</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45637</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45637</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45637</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45637</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45637</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45637</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45637</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45637</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45637</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45637</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45637</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45637</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45637</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45637</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45637</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45637</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45637</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45637</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45637</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45637</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45637</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45637</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45637</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45637</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45637</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45637</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45637</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45637</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45637</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45637</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45637</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45637</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45637</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45637</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45637</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45637</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45637</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45637</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45637</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45637</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45637</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45637</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45637</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45637</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45637</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45637</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45637</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45637</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45637</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45637</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45637</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45637</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45637</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45637</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45637</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45637</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45637</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45637</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45637</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45637</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45637</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45637</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45637</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45637</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45637</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45637</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45637</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45637</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45637</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45637</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45637</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45637</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45637</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45637</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45637</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45637</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45637</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45637</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45637</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45637</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45637</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45637</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45637</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45637</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45637</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45637</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45637</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45637</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45637</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45637</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45637</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45637</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45637</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45637</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45637</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45637</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45637</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45637</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45637</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45637</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45637</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45637</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45637</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45637</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45637</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45637</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45637</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45637</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45637</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45637</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45637</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45637</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45637</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45637</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45637</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45637</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45637</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45637</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45637</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45637</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45637</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45637</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45637</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45637</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45637</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45637</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45637</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45637</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45637</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45637</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45637</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45637</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45637</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45637</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45637</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45637</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45637</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45637</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45637</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45637</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45637</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45637</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45637</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45637</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45637</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45637</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45637</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45637</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45637</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45637</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45637</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45637</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45637</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45637</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45637</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45637</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45637</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45637</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45637</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45637</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45637</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45637</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45637</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45637</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45637</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45637</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45637</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45637</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45637</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45637</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45637</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45637</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45637</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45637</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45637</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45637</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45637</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45637</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45637</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45637</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45637</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45637</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45637</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45637</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45637</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45637</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45637</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45637</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45637</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45637</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45637</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45637</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45637</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45637</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45637</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45637</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45637</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45637</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45637</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45637</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45637</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45637</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45637</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45637</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45637</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45637</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45637</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45637</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45637</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45637</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45637</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45637</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45637</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45637</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45637</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45637</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45637</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45637</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45637</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45637</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45637</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45637</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45637</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45637</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45637</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45637</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45637</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45637</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45637</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45637</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45637</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45637</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45637</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45637</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45637</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45637</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45637</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45637</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45637</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45637</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45637</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45637</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45637</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45637</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45637</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45637</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45637</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45637</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45637</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45637</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45637</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45637</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45637</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45637</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45637</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45637</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45637</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45637</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45637</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45637</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45637</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45637</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45637</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45637</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45637</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45637</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45637</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45637</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45637</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45637</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45637</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45637</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45637</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45637</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45637</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45637</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45637</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45637</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45637</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45637</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45637</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45637</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45637</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45637</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45637</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45637</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45637</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45637</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45637</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45637</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45637</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45637</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45637</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45637</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45637</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45637</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45637</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45637</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45637</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45637</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45637</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45637</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45637</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45637</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45637</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45637</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45637</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45637</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45637</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45637</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45637</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45637</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45637</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45637</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45637</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45637</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45637</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45637</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45637</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45637</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45637</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45637</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45637</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45637</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45637</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45637</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45637</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45637</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45637</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45637</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45637</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45637</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45637</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45637</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45637</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45637</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45637</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45637</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45637</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45637</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45637</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45637</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45637</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45637</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45637</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45637</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45637</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45637</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45637</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45637</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45637</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45637</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45637</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45637</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45637</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45637</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45637</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45637</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45637</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45637</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45637</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45637</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45637</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45637</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45637</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45637</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45637</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45637</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45637</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45637</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45637</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45637</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45637</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45637</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45637</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45637</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45637</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45637</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45637</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45637</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45637</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45637</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45637</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45637</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45637</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45637</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45637</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45637</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45637</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45637</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45637</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45637</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45637</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45637</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45637</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45637</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45637</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45637</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45637</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45637</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45637</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45637</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45637</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45637</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45637</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45637</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45637</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45637</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45637</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45637</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45637</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45637</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45637</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45637</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45637</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45637</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45637</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45637</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45637</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45637</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45637</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45637</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45637</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45637</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45637</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45637</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45637</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45637</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45637</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45637</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45637</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45637</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45637</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45637</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45637</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45637</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45637</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45637</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45637</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45637</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45637</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45637</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45637</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45637</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45637</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45637</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45637</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45637</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45637</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45637</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45637</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45637</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45637</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45637</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45637</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45637</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45637</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45637</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45637</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45637</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45637</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45637</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45637</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45637</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45637</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45637</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45637</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45637</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45637</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45637</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45637</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45637</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45637</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45637</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45637</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45637</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45637</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45637</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45637</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45637</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45637</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45637</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45637</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45637</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45637</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45637</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45637</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45637</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45637</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45637</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45637</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45637</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45637</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45637</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45637</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45637</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45637</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45637</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45637</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45637</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45637</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45637</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45637</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45637</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45637</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45637</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45637</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45637</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45637</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45637</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45637</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45637</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45637</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45637</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45637</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45637</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45637</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45637</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45637</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45637</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45637</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45637</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45637</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45637</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45637</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45637</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45637</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45637</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45637</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45637</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45637</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45637</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45637</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45637</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45637</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45637</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45637</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45637</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45637</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45637</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45637</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45637</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45637</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45637</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45637</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45637</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45637</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45637</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45637</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45637</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45637</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45637</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45637</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45637</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45637</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45637</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45637</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45637</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45637</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45637</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45637</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45637</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45637</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45637</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45637</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45637</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45637</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45637</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45637</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45637</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45637</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45637</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45637</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45637</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45637</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45637</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45637</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45637</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45637</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45637</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45637</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45637</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45637</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45637</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45637</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45637</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45637</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45637</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45637</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45637</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45637</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45637</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45637</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45637</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45637</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45637</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45637</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45637</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45637</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45637</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45637</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45637</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45637</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45637</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45637</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45637</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45637</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45637</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45637</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45637</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45637</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45637</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45637</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45637</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45637</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45637</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45637</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45637</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45637</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45637</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45637</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45637</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45637</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45637</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45637</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45637</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45637</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45637</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45637</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45637</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45637</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45637</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45637</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45637</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45637</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45637</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45637</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45637</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45637</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45637</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45637</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45637</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45637</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45637</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45637</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45637</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45637</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45637</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45637</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45637</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45637</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45637</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45637</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45637</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45637</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45637</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45637</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45637</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45637</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45637</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45637</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45637</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45637</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45637</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45637</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45637</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45637</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45637</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45637</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45637</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45637</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45637</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45637</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45637</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45637</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45637</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45637</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45637</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45637</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45637</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45637</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45637</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45637</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45637</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45637</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45637</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45637</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45637</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45637</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45637</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45637</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45637</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45637</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45637</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45637</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45637</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45637</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45637</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45637</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45637</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45637</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45637</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45637</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45637</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45637</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45637</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45637</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45637</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45637</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45637</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45637</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45637</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45637</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45637</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45637</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45637</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45637</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45637</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45637</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45637</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45637</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45637</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45637</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45637</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45637</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45637</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45637</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45637</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45637</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45637</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45637</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45637</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45637</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45637</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45637</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45637</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45637</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45637</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45637</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45637</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45637</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45637</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45637</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45637</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45637</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45637</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45637</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45637</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45637</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45637</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45637</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45637</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45637</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45637</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45637</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45637</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45637</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45637</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45637</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45637</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45637</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45637</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45637</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45637</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45637</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45637</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45637</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45637</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45637</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45637</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45637</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45637</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45637</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45637</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45637</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45637</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45637</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45637</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45637</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45637</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45637</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45637</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45637</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45637</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45637</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45637</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45637</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45637</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45637</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45637</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45637</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45637</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45637</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45637</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45637</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45637</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45637</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45637</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45637</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45637</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45637</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45637</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45637</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45637</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45637</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45637</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45637</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45637</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45637</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45637</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45637</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45637</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45637</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45637</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45637</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45637</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45637</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45637</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45637</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45637</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45637</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45637</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45637</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45637</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45637</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45637</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45637</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45637</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45637</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45637</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45637</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45637</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45637</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45637</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45637</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45637</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45637</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45637</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45637</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45637</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45637</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45637</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45637</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45637</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45637</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45637</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45637</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45637</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45637</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45637</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45637</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45637</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45637</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45637</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45637</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45637</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45637</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45637</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45637</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45637</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45637</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45637</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45637</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45637</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45637</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45637</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45637</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45637</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45637</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45637</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45637</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45637</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45637</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45637</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45637</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45637</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45637</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45637</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45637</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45637</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45637</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45637</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45637</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45637</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45637</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45637</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45637</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45637</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45637</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45637</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45637</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45637</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45637</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45637</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45637</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45637</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45637</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45637</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45637</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45637</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45637</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45637</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45637</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45637</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45637</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45637</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45637</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45637</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45637</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45637</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45637</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45637</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45637</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45637</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45637</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45637</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45637</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45637</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45637</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45637</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45637</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45637</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45637</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45637</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45637</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45637</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45637</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45637</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45637</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45637</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45637</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45637</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45637</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45637</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45637</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45637</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45637</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45637</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45637</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45637</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45637</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45637</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45637</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45637</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45637</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45637</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45637</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45637</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45637</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45637</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45637</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45637</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45637</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45637</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45637</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45637</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45637</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45637</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45637</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45637</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45637</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45637</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45637</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45637</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45637</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45637</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45637</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45637</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45637</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45637</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45637</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45637</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45637</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45637</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45637</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45637</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45637</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45637</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45637</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45637</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45637</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45637</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45637</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45637</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45637</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45637</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45637</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45637</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45637</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45637</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45637</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45637</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45637</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45637</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45637</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45637</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45637</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45637</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45637</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45637</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45637</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45637</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45637</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45637</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45637</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45637</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45637</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45637</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45637</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45637</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45637</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45637</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45637</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45637</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45637</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45637</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45637</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45637</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45637</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45637</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45637</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45637</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45637</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45637</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45637</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45637</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45637</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45637</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45637</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45637</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45637</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45637</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45637</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45637</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45637</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45637</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45637</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45637</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45637</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45637</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45637</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45637</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45637</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45637</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45637</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45637</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45637</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45637</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45637</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45637</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45637</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45637</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45637</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45637</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45637</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45637</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45637</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45637</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45637</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45637</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45637</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45637</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45637</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51936-2024</t>
        </is>
      </c>
      <c r="B4689" s="1" t="n">
        <v>45607</v>
      </c>
      <c r="C4689" s="1" t="n">
        <v>45637</v>
      </c>
      <c r="D4689" t="inlineStr">
        <is>
          <t>VÄSTMANLANDS LÄN</t>
        </is>
      </c>
      <c r="E4689" t="inlineStr">
        <is>
          <t>VÄSTERÅS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51947-2024</t>
        </is>
      </c>
      <c r="B4690" s="1" t="n">
        <v>45607</v>
      </c>
      <c r="C4690" s="1" t="n">
        <v>45637</v>
      </c>
      <c r="D4690" t="inlineStr">
        <is>
          <t>VÄSTMANLANDS LÄN</t>
        </is>
      </c>
      <c r="E4690" t="inlineStr">
        <is>
          <t>ARBOGA</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51951-2024</t>
        </is>
      </c>
      <c r="B4691" s="1" t="n">
        <v>45607</v>
      </c>
      <c r="C4691" s="1" t="n">
        <v>45637</v>
      </c>
      <c r="D4691" t="inlineStr">
        <is>
          <t>VÄSTMANLANDS LÄN</t>
        </is>
      </c>
      <c r="E4691" t="inlineStr">
        <is>
          <t>ARBOGA</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51798-2024</t>
        </is>
      </c>
      <c r="B4692" s="1" t="n">
        <v>45607</v>
      </c>
      <c r="C4692" s="1" t="n">
        <v>45637</v>
      </c>
      <c r="D4692" t="inlineStr">
        <is>
          <t>VÄSTMANLANDS LÄN</t>
        </is>
      </c>
      <c r="E4692" t="inlineStr">
        <is>
          <t>NORBERG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51950-2024</t>
        </is>
      </c>
      <c r="B4693" s="1" t="n">
        <v>45607</v>
      </c>
      <c r="C4693" s="1" t="n">
        <v>45637</v>
      </c>
      <c r="D4693" t="inlineStr">
        <is>
          <t>VÄSTMANLANDS LÄN</t>
        </is>
      </c>
      <c r="E4693" t="inlineStr">
        <is>
          <t>VÄSTERÅS</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51954-2024</t>
        </is>
      </c>
      <c r="B4694" s="1" t="n">
        <v>45607</v>
      </c>
      <c r="C4694" s="1" t="n">
        <v>45637</v>
      </c>
      <c r="D4694" t="inlineStr">
        <is>
          <t>VÄSTMANLANDS LÄN</t>
        </is>
      </c>
      <c r="E4694" t="inlineStr">
        <is>
          <t>ARBOGA</t>
        </is>
      </c>
      <c r="F4694" t="inlineStr">
        <is>
          <t>Sveaskog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52015-2024</t>
        </is>
      </c>
      <c r="B4695" s="1" t="n">
        <v>45607</v>
      </c>
      <c r="C4695" s="1" t="n">
        <v>45637</v>
      </c>
      <c r="D4695" t="inlineStr">
        <is>
          <t>VÄSTMANLANDS LÄN</t>
        </is>
      </c>
      <c r="E4695" t="inlineStr">
        <is>
          <t>VÄSTERÅS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51775-2024</t>
        </is>
      </c>
      <c r="B4696" s="1" t="n">
        <v>45607</v>
      </c>
      <c r="C4696" s="1" t="n">
        <v>45637</v>
      </c>
      <c r="D4696" t="inlineStr">
        <is>
          <t>VÄSTMANLANDS LÄN</t>
        </is>
      </c>
      <c r="E4696" t="inlineStr">
        <is>
          <t>SALA</t>
        </is>
      </c>
      <c r="F4696" t="inlineStr">
        <is>
          <t>Övriga Aktiebolag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45637</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45637</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45637</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51790-2024</t>
        </is>
      </c>
      <c r="B4700" s="1" t="n">
        <v>45607</v>
      </c>
      <c r="C4700" s="1" t="n">
        <v>45637</v>
      </c>
      <c r="D4700" t="inlineStr">
        <is>
          <t>VÄSTMANLANDS LÄN</t>
        </is>
      </c>
      <c r="E4700" t="inlineStr">
        <is>
          <t>NORBERG</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51793-2024</t>
        </is>
      </c>
      <c r="B4701" s="1" t="n">
        <v>45607</v>
      </c>
      <c r="C4701" s="1" t="n">
        <v>45637</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51778-2024</t>
        </is>
      </c>
      <c r="B4702" s="1" t="n">
        <v>45607</v>
      </c>
      <c r="C4702" s="1" t="n">
        <v>45637</v>
      </c>
      <c r="D4702" t="inlineStr">
        <is>
          <t>VÄSTMANLANDS LÄN</t>
        </is>
      </c>
      <c r="E4702" t="inlineStr">
        <is>
          <t>NORBERG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45637</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52080-2024</t>
        </is>
      </c>
      <c r="B4704" s="1" t="n">
        <v>45608</v>
      </c>
      <c r="C4704" s="1" t="n">
        <v>45637</v>
      </c>
      <c r="D4704" t="inlineStr">
        <is>
          <t>VÄSTMANLANDS LÄN</t>
        </is>
      </c>
      <c r="E4704" t="inlineStr">
        <is>
          <t>NORBERG</t>
        </is>
      </c>
      <c r="F4704" t="inlineStr">
        <is>
          <t>Övriga Aktiebolag</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52184-2024</t>
        </is>
      </c>
      <c r="B4705" s="1" t="n">
        <v>45608</v>
      </c>
      <c r="C4705" s="1" t="n">
        <v>45637</v>
      </c>
      <c r="D4705" t="inlineStr">
        <is>
          <t>VÄSTMANLANDS LÄN</t>
        </is>
      </c>
      <c r="E4705" t="inlineStr">
        <is>
          <t>SALA</t>
        </is>
      </c>
      <c r="F4705" t="inlineStr">
        <is>
          <t>Naturvårdsverket</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52433-2024</t>
        </is>
      </c>
      <c r="B4706" s="1" t="n">
        <v>45608</v>
      </c>
      <c r="C4706" s="1" t="n">
        <v>45637</v>
      </c>
      <c r="D4706" t="inlineStr">
        <is>
          <t>VÄSTMANLANDS LÄN</t>
        </is>
      </c>
      <c r="E4706" t="inlineStr">
        <is>
          <t>ARBOGA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52337-2024</t>
        </is>
      </c>
      <c r="B4707" s="1" t="n">
        <v>45609</v>
      </c>
      <c r="C4707" s="1" t="n">
        <v>45637</v>
      </c>
      <c r="D4707" t="inlineStr">
        <is>
          <t>VÄSTMANLANDS LÄN</t>
        </is>
      </c>
      <c r="E4707" t="inlineStr">
        <is>
          <t>FAGERSTA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52500-2024</t>
        </is>
      </c>
      <c r="B4708" s="1" t="n">
        <v>45609</v>
      </c>
      <c r="C4708" s="1" t="n">
        <v>45637</v>
      </c>
      <c r="D4708" t="inlineStr">
        <is>
          <t>VÄSTMANLANDS LÄN</t>
        </is>
      </c>
      <c r="E4708" t="inlineStr">
        <is>
          <t>SALA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52553-2024</t>
        </is>
      </c>
      <c r="B4709" s="1" t="n">
        <v>45609</v>
      </c>
      <c r="C4709" s="1" t="n">
        <v>45637</v>
      </c>
      <c r="D4709" t="inlineStr">
        <is>
          <t>VÄSTMANLANDS LÄN</t>
        </is>
      </c>
      <c r="E4709" t="inlineStr">
        <is>
          <t>SKINNSKATTEBERG</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52562-2024</t>
        </is>
      </c>
      <c r="B4710" s="1" t="n">
        <v>45609</v>
      </c>
      <c r="C4710" s="1" t="n">
        <v>45637</v>
      </c>
      <c r="D4710" t="inlineStr">
        <is>
          <t>VÄSTMANLANDS LÄN</t>
        </is>
      </c>
      <c r="E4710" t="inlineStr">
        <is>
          <t>SKINNSKATTEBERG</t>
        </is>
      </c>
      <c r="F4710" t="inlineStr">
        <is>
          <t>Sveaskog</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52566-2024</t>
        </is>
      </c>
      <c r="B4711" s="1" t="n">
        <v>45609</v>
      </c>
      <c r="C4711" s="1" t="n">
        <v>45637</v>
      </c>
      <c r="D4711" t="inlineStr">
        <is>
          <t>VÄSTMANLANDS LÄN</t>
        </is>
      </c>
      <c r="E4711" t="inlineStr">
        <is>
          <t>SKINNSKATTEBERG</t>
        </is>
      </c>
      <c r="F4711" t="inlineStr">
        <is>
          <t>Sveaskog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52570-2024</t>
        </is>
      </c>
      <c r="B4712" s="1" t="n">
        <v>45609</v>
      </c>
      <c r="C4712" s="1" t="n">
        <v>45637</v>
      </c>
      <c r="D4712" t="inlineStr">
        <is>
          <t>VÄSTMANLANDS LÄN</t>
        </is>
      </c>
      <c r="E4712" t="inlineStr">
        <is>
          <t>SKINNSKATTEBERG</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52503-2024</t>
        </is>
      </c>
      <c r="B4713" s="1" t="n">
        <v>45609</v>
      </c>
      <c r="C4713" s="1" t="n">
        <v>45637</v>
      </c>
      <c r="D4713" t="inlineStr">
        <is>
          <t>VÄSTMANLANDS LÄN</t>
        </is>
      </c>
      <c r="E4713" t="inlineStr">
        <is>
          <t>SALA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52532-2024</t>
        </is>
      </c>
      <c r="B4714" s="1" t="n">
        <v>45609</v>
      </c>
      <c r="C4714" s="1" t="n">
        <v>45637</v>
      </c>
      <c r="D4714" t="inlineStr">
        <is>
          <t>VÄSTMANLANDS LÄN</t>
        </is>
      </c>
      <c r="E4714" t="inlineStr">
        <is>
          <t>SKINNSKATTEBERG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52556-2024</t>
        </is>
      </c>
      <c r="B4715" s="1" t="n">
        <v>45609</v>
      </c>
      <c r="C4715" s="1" t="n">
        <v>45637</v>
      </c>
      <c r="D4715" t="inlineStr">
        <is>
          <t>VÄSTMANLANDS LÄN</t>
        </is>
      </c>
      <c r="E4715" t="inlineStr">
        <is>
          <t>SKINNSKATTEBERG</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52789-2024</t>
        </is>
      </c>
      <c r="B4716" s="1" t="n">
        <v>45610</v>
      </c>
      <c r="C4716" s="1" t="n">
        <v>45637</v>
      </c>
      <c r="D4716" t="inlineStr">
        <is>
          <t>VÄSTMANLANDS LÄN</t>
        </is>
      </c>
      <c r="E4716" t="inlineStr">
        <is>
          <t>KUNGSÖR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52821-2024</t>
        </is>
      </c>
      <c r="B4717" s="1" t="n">
        <v>45610</v>
      </c>
      <c r="C4717" s="1" t="n">
        <v>45637</v>
      </c>
      <c r="D4717" t="inlineStr">
        <is>
          <t>VÄSTMANLANDS LÄN</t>
        </is>
      </c>
      <c r="E4717" t="inlineStr">
        <is>
          <t>SALA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52842-2024</t>
        </is>
      </c>
      <c r="B4718" s="1" t="n">
        <v>45610</v>
      </c>
      <c r="C4718" s="1" t="n">
        <v>45637</v>
      </c>
      <c r="D4718" t="inlineStr">
        <is>
          <t>VÄSTMANLANDS LÄN</t>
        </is>
      </c>
      <c r="E4718" t="inlineStr">
        <is>
          <t>KUNGSÖR</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52696-2024</t>
        </is>
      </c>
      <c r="B4719" s="1" t="n">
        <v>45610</v>
      </c>
      <c r="C4719" s="1" t="n">
        <v>45637</v>
      </c>
      <c r="D4719" t="inlineStr">
        <is>
          <t>VÄSTMANLANDS LÄN</t>
        </is>
      </c>
      <c r="E4719" t="inlineStr">
        <is>
          <t>SKINNSKATTEBERG</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53019-2024</t>
        </is>
      </c>
      <c r="B4720" s="1" t="n">
        <v>45610</v>
      </c>
      <c r="C4720" s="1" t="n">
        <v>45637</v>
      </c>
      <c r="D4720" t="inlineStr">
        <is>
          <t>VÄSTMANLANDS LÄN</t>
        </is>
      </c>
      <c r="E4720" t="inlineStr">
        <is>
          <t>SALA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52799-2024</t>
        </is>
      </c>
      <c r="B4721" s="1" t="n">
        <v>45610</v>
      </c>
      <c r="C4721" s="1" t="n">
        <v>45637</v>
      </c>
      <c r="D4721" t="inlineStr">
        <is>
          <t>VÄSTMANLANDS LÄN</t>
        </is>
      </c>
      <c r="E4721" t="inlineStr">
        <is>
          <t>SALA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52827-2024</t>
        </is>
      </c>
      <c r="B4722" s="1" t="n">
        <v>45610</v>
      </c>
      <c r="C4722" s="1" t="n">
        <v>45637</v>
      </c>
      <c r="D4722" t="inlineStr">
        <is>
          <t>VÄSTMANLANDS LÄN</t>
        </is>
      </c>
      <c r="E4722" t="inlineStr">
        <is>
          <t>SALA</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53164-2024</t>
        </is>
      </c>
      <c r="B4723" s="1" t="n">
        <v>45611</v>
      </c>
      <c r="C4723" s="1" t="n">
        <v>45637</v>
      </c>
      <c r="D4723" t="inlineStr">
        <is>
          <t>VÄSTMANLANDS LÄN</t>
        </is>
      </c>
      <c r="E4723" t="inlineStr">
        <is>
          <t>SALA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53166-2024</t>
        </is>
      </c>
      <c r="B4724" s="1" t="n">
        <v>45611</v>
      </c>
      <c r="C4724" s="1" t="n">
        <v>45637</v>
      </c>
      <c r="D4724" t="inlineStr">
        <is>
          <t>VÄSTMANLANDS LÄN</t>
        </is>
      </c>
      <c r="E4724" t="inlineStr">
        <is>
          <t>SALA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53225-2024</t>
        </is>
      </c>
      <c r="B4725" s="1" t="n">
        <v>45613</v>
      </c>
      <c r="C4725" s="1" t="n">
        <v>45637</v>
      </c>
      <c r="D4725" t="inlineStr">
        <is>
          <t>VÄSTMANLANDS LÄN</t>
        </is>
      </c>
      <c r="E4725" t="inlineStr">
        <is>
          <t>NORBERG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45637</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53280-2024</t>
        </is>
      </c>
      <c r="B4727" s="1" t="n">
        <v>45614</v>
      </c>
      <c r="C4727" s="1" t="n">
        <v>45637</v>
      </c>
      <c r="D4727" t="inlineStr">
        <is>
          <t>VÄSTMANLANDS LÄN</t>
        </is>
      </c>
      <c r="E4727" t="inlineStr">
        <is>
          <t>ARBOGA</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53284-2024</t>
        </is>
      </c>
      <c r="B4728" s="1" t="n">
        <v>45614</v>
      </c>
      <c r="C4728" s="1" t="n">
        <v>45637</v>
      </c>
      <c r="D4728" t="inlineStr">
        <is>
          <t>VÄSTMANLANDS LÄN</t>
        </is>
      </c>
      <c r="E4728" t="inlineStr">
        <is>
          <t>ARBOGA</t>
        </is>
      </c>
      <c r="F4728" t="inlineStr">
        <is>
          <t>Sveaskog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53283-2024</t>
        </is>
      </c>
      <c r="B4729" s="1" t="n">
        <v>45614</v>
      </c>
      <c r="C4729" s="1" t="n">
        <v>45637</v>
      </c>
      <c r="D4729" t="inlineStr">
        <is>
          <t>VÄSTMANLANDS LÄN</t>
        </is>
      </c>
      <c r="E4729" t="inlineStr">
        <is>
          <t>ARBOGA</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53290-2024</t>
        </is>
      </c>
      <c r="B4730" s="1" t="n">
        <v>45614</v>
      </c>
      <c r="C4730" s="1" t="n">
        <v>45637</v>
      </c>
      <c r="D4730" t="inlineStr">
        <is>
          <t>VÄSTMANLANDS LÄN</t>
        </is>
      </c>
      <c r="E4730" t="inlineStr">
        <is>
          <t>ARBOGA</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53343-2024</t>
        </is>
      </c>
      <c r="B4731" s="1" t="n">
        <v>45614</v>
      </c>
      <c r="C4731" s="1" t="n">
        <v>45637</v>
      </c>
      <c r="D4731" t="inlineStr">
        <is>
          <t>VÄSTMANLANDS LÄN</t>
        </is>
      </c>
      <c r="E4731" t="inlineStr">
        <is>
          <t>HALLSTAHAMMAR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53637-2024</t>
        </is>
      </c>
      <c r="B4732" s="1" t="n">
        <v>45614</v>
      </c>
      <c r="C4732" s="1" t="n">
        <v>45637</v>
      </c>
      <c r="D4732" t="inlineStr">
        <is>
          <t>VÄSTMANLANDS LÄN</t>
        </is>
      </c>
      <c r="E4732" t="inlineStr">
        <is>
          <t>VÄSTERÅS</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53655-2024</t>
        </is>
      </c>
      <c r="B4733" s="1" t="n">
        <v>45615</v>
      </c>
      <c r="C4733" s="1" t="n">
        <v>45637</v>
      </c>
      <c r="D4733" t="inlineStr">
        <is>
          <t>VÄSTMANLANDS LÄN</t>
        </is>
      </c>
      <c r="E4733" t="inlineStr">
        <is>
          <t>SKINNSKATTEBERG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53798-2024</t>
        </is>
      </c>
      <c r="B4734" s="1" t="n">
        <v>45615</v>
      </c>
      <c r="C4734" s="1" t="n">
        <v>45637</v>
      </c>
      <c r="D4734" t="inlineStr">
        <is>
          <t>VÄSTMANLANDS LÄN</t>
        </is>
      </c>
      <c r="E4734" t="inlineStr">
        <is>
          <t>FAGERSTA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53850-2024</t>
        </is>
      </c>
      <c r="B4735" s="1" t="n">
        <v>45615</v>
      </c>
      <c r="C4735" s="1" t="n">
        <v>45637</v>
      </c>
      <c r="D4735" t="inlineStr">
        <is>
          <t>VÄSTMANLANDS LÄN</t>
        </is>
      </c>
      <c r="E4735" t="inlineStr">
        <is>
          <t>SKINNSKATTEBERG</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53812-2024</t>
        </is>
      </c>
      <c r="B4736" s="1" t="n">
        <v>45615</v>
      </c>
      <c r="C4736" s="1" t="n">
        <v>45637</v>
      </c>
      <c r="D4736" t="inlineStr">
        <is>
          <t>VÄSTMANLANDS LÄN</t>
        </is>
      </c>
      <c r="E4736" t="inlineStr">
        <is>
          <t>FAGERSTA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53903-2024</t>
        </is>
      </c>
      <c r="B4737" s="1" t="n">
        <v>45615</v>
      </c>
      <c r="C4737" s="1" t="n">
        <v>45637</v>
      </c>
      <c r="D4737" t="inlineStr">
        <is>
          <t>VÄSTMANLANDS LÄN</t>
        </is>
      </c>
      <c r="E4737" t="inlineStr">
        <is>
          <t>ARBOGA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54054-2024</t>
        </is>
      </c>
      <c r="B4738" s="1" t="n">
        <v>45615</v>
      </c>
      <c r="C4738" s="1" t="n">
        <v>45637</v>
      </c>
      <c r="D4738" t="inlineStr">
        <is>
          <t>VÄSTMANLANDS LÄN</t>
        </is>
      </c>
      <c r="E4738" t="inlineStr">
        <is>
          <t>ARBOGA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54199-2024</t>
        </is>
      </c>
      <c r="B4739" s="1" t="n">
        <v>45616</v>
      </c>
      <c r="C4739" s="1" t="n">
        <v>45637</v>
      </c>
      <c r="D4739" t="inlineStr">
        <is>
          <t>VÄSTMANLANDS LÄN</t>
        </is>
      </c>
      <c r="E4739" t="inlineStr">
        <is>
          <t>SALA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54043-2024</t>
        </is>
      </c>
      <c r="B4740" s="1" t="n">
        <v>45616</v>
      </c>
      <c r="C4740" s="1" t="n">
        <v>45637</v>
      </c>
      <c r="D4740" t="inlineStr">
        <is>
          <t>VÄSTMANLANDS LÄN</t>
        </is>
      </c>
      <c r="E4740" t="inlineStr">
        <is>
          <t>SALA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54347-2024</t>
        </is>
      </c>
      <c r="B4741" s="1" t="n">
        <v>45617</v>
      </c>
      <c r="C4741" s="1" t="n">
        <v>45637</v>
      </c>
      <c r="D4741" t="inlineStr">
        <is>
          <t>VÄSTMANLANDS LÄN</t>
        </is>
      </c>
      <c r="E4741" t="inlineStr">
        <is>
          <t>SALA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54439-2024</t>
        </is>
      </c>
      <c r="B4742" s="1" t="n">
        <v>45617</v>
      </c>
      <c r="C4742" s="1" t="n">
        <v>45637</v>
      </c>
      <c r="D4742" t="inlineStr">
        <is>
          <t>VÄSTMANLANDS LÄN</t>
        </is>
      </c>
      <c r="E4742" t="inlineStr">
        <is>
          <t>SKINNSKATTEBERG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54528-2024</t>
        </is>
      </c>
      <c r="B4743" s="1" t="n">
        <v>45617</v>
      </c>
      <c r="C4743" s="1" t="n">
        <v>45637</v>
      </c>
      <c r="D4743" t="inlineStr">
        <is>
          <t>VÄSTMANLANDS LÄN</t>
        </is>
      </c>
      <c r="E4743" t="inlineStr">
        <is>
          <t>VÄSTERÅS</t>
        </is>
      </c>
      <c r="F4743" t="inlineStr">
        <is>
          <t>Sveaskog</t>
        </is>
      </c>
      <c r="G4743" t="n">
        <v>9.4</v>
      </c>
      <c r="H4743" t="n">
        <v>0</v>
      </c>
      <c r="I4743" t="n">
        <v>0</v>
      </c>
      <c r="J4743" t="n">
        <v>0</v>
      </c>
      <c r="K4743" t="n">
        <v>0</v>
      </c>
      <c r="L4743" t="n">
        <v>0</v>
      </c>
      <c r="M4743" t="n">
        <v>0</v>
      </c>
      <c r="N4743" t="n">
        <v>0</v>
      </c>
      <c r="O4743" t="n">
        <v>0</v>
      </c>
      <c r="P4743" t="n">
        <v>0</v>
      </c>
      <c r="Q4743" t="n">
        <v>0</v>
      </c>
      <c r="R4743" s="2" t="inlineStr"/>
    </row>
    <row r="4744" ht="15" customHeight="1">
      <c r="A4744" t="inlineStr">
        <is>
          <t>A 54536-2024</t>
        </is>
      </c>
      <c r="B4744" s="1" t="n">
        <v>45617</v>
      </c>
      <c r="C4744" s="1" t="n">
        <v>45637</v>
      </c>
      <c r="D4744" t="inlineStr">
        <is>
          <t>VÄSTMANLANDS LÄN</t>
        </is>
      </c>
      <c r="E4744" t="inlineStr">
        <is>
          <t>VÄSTERÅS</t>
        </is>
      </c>
      <c r="F4744" t="inlineStr">
        <is>
          <t>Sveaskog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54540-2024</t>
        </is>
      </c>
      <c r="B4745" s="1" t="n">
        <v>45617</v>
      </c>
      <c r="C4745" s="1" t="n">
        <v>45637</v>
      </c>
      <c r="D4745" t="inlineStr">
        <is>
          <t>VÄSTMANLANDS LÄN</t>
        </is>
      </c>
      <c r="E4745" t="inlineStr">
        <is>
          <t>VÄSTERÅS</t>
        </is>
      </c>
      <c r="F4745" t="inlineStr">
        <is>
          <t>Sveaskog</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54501-2024</t>
        </is>
      </c>
      <c r="B4746" s="1" t="n">
        <v>45617</v>
      </c>
      <c r="C4746" s="1" t="n">
        <v>45637</v>
      </c>
      <c r="D4746" t="inlineStr">
        <is>
          <t>VÄSTMANLANDS LÄN</t>
        </is>
      </c>
      <c r="E4746" t="inlineStr">
        <is>
          <t>SKINNSKATTEBERG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54537-2024</t>
        </is>
      </c>
      <c r="B4747" s="1" t="n">
        <v>45617</v>
      </c>
      <c r="C4747" s="1" t="n">
        <v>45637</v>
      </c>
      <c r="D4747" t="inlineStr">
        <is>
          <t>VÄSTMANLANDS LÄN</t>
        </is>
      </c>
      <c r="E4747" t="inlineStr">
        <is>
          <t>VÄSTERÅS</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54542-2024</t>
        </is>
      </c>
      <c r="B4748" s="1" t="n">
        <v>45617</v>
      </c>
      <c r="C4748" s="1" t="n">
        <v>45637</v>
      </c>
      <c r="D4748" t="inlineStr">
        <is>
          <t>VÄSTMANLANDS LÄN</t>
        </is>
      </c>
      <c r="E4748" t="inlineStr">
        <is>
          <t>VÄSTERÅS</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45637</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54589-2024</t>
        </is>
      </c>
      <c r="B4750" s="1" t="n">
        <v>45617</v>
      </c>
      <c r="C4750" s="1" t="n">
        <v>45637</v>
      </c>
      <c r="D4750" t="inlineStr">
        <is>
          <t>VÄSTMANLANDS LÄN</t>
        </is>
      </c>
      <c r="E4750" t="inlineStr">
        <is>
          <t>SKINNSKATTEBERG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54441-2024</t>
        </is>
      </c>
      <c r="B4751" s="1" t="n">
        <v>45617</v>
      </c>
      <c r="C4751" s="1" t="n">
        <v>45637</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54510-2024</t>
        </is>
      </c>
      <c r="B4752" s="1" t="n">
        <v>45617</v>
      </c>
      <c r="C4752" s="1" t="n">
        <v>45637</v>
      </c>
      <c r="D4752" t="inlineStr">
        <is>
          <t>VÄSTMANLANDS LÄN</t>
        </is>
      </c>
      <c r="E4752" t="inlineStr">
        <is>
          <t>SKINNSKATTEBERG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45637</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54603-2024</t>
        </is>
      </c>
      <c r="B4754" s="1" t="n">
        <v>45617</v>
      </c>
      <c r="C4754" s="1" t="n">
        <v>45637</v>
      </c>
      <c r="D4754" t="inlineStr">
        <is>
          <t>VÄSTMANLANDS LÄN</t>
        </is>
      </c>
      <c r="E4754" t="inlineStr">
        <is>
          <t>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45637</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54576-2024</t>
        </is>
      </c>
      <c r="B4756" s="1" t="n">
        <v>45617</v>
      </c>
      <c r="C4756" s="1" t="n">
        <v>45637</v>
      </c>
      <c r="D4756" t="inlineStr">
        <is>
          <t>VÄSTMANLANDS LÄN</t>
        </is>
      </c>
      <c r="E4756" t="inlineStr">
        <is>
          <t>SKINNSKATTEBERG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54671-2024</t>
        </is>
      </c>
      <c r="B4757" s="1" t="n">
        <v>45618</v>
      </c>
      <c r="C4757" s="1" t="n">
        <v>45637</v>
      </c>
      <c r="D4757" t="inlineStr">
        <is>
          <t>VÄSTMANLANDS LÄN</t>
        </is>
      </c>
      <c r="E4757" t="inlineStr">
        <is>
          <t>SURAHAMMAR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54771-2024</t>
        </is>
      </c>
      <c r="B4758" s="1" t="n">
        <v>45618</v>
      </c>
      <c r="C4758" s="1" t="n">
        <v>45637</v>
      </c>
      <c r="D4758" t="inlineStr">
        <is>
          <t>VÄSTMANLANDS LÄN</t>
        </is>
      </c>
      <c r="E4758" t="inlineStr">
        <is>
          <t>SALA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54768-2024</t>
        </is>
      </c>
      <c r="B4759" s="1" t="n">
        <v>45618</v>
      </c>
      <c r="C4759" s="1" t="n">
        <v>45637</v>
      </c>
      <c r="D4759" t="inlineStr">
        <is>
          <t>VÄSTMANLANDS LÄN</t>
        </is>
      </c>
      <c r="E4759" t="inlineStr">
        <is>
          <t>SALA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54836-2024</t>
        </is>
      </c>
      <c r="B4760" s="1" t="n">
        <v>45618</v>
      </c>
      <c r="C4760" s="1" t="n">
        <v>45637</v>
      </c>
      <c r="D4760" t="inlineStr">
        <is>
          <t>VÄSTMANLANDS LÄN</t>
        </is>
      </c>
      <c r="E4760" t="inlineStr">
        <is>
          <t>SALA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54869-2024</t>
        </is>
      </c>
      <c r="B4761" s="1" t="n">
        <v>45618</v>
      </c>
      <c r="C4761" s="1" t="n">
        <v>45637</v>
      </c>
      <c r="D4761" t="inlineStr">
        <is>
          <t>VÄSTMANLANDS LÄN</t>
        </is>
      </c>
      <c r="E4761" t="inlineStr">
        <is>
          <t>KÖPING</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54721-2024</t>
        </is>
      </c>
      <c r="B4762" s="1" t="n">
        <v>45618</v>
      </c>
      <c r="C4762" s="1" t="n">
        <v>45637</v>
      </c>
      <c r="D4762" t="inlineStr">
        <is>
          <t>VÄSTMANLANDS LÄN</t>
        </is>
      </c>
      <c r="E4762" t="inlineStr">
        <is>
          <t>NORBERG</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54774-2024</t>
        </is>
      </c>
      <c r="B4763" s="1" t="n">
        <v>45618</v>
      </c>
      <c r="C4763" s="1" t="n">
        <v>45637</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54782-2024</t>
        </is>
      </c>
      <c r="B4764" s="1" t="n">
        <v>45618</v>
      </c>
      <c r="C4764" s="1" t="n">
        <v>45637</v>
      </c>
      <c r="D4764" t="inlineStr">
        <is>
          <t>VÄSTMANLANDS LÄN</t>
        </is>
      </c>
      <c r="E4764" t="inlineStr">
        <is>
          <t>SALA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54835-2024</t>
        </is>
      </c>
      <c r="B4765" s="1" t="n">
        <v>45618</v>
      </c>
      <c r="C4765" s="1" t="n">
        <v>45637</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54867-2024</t>
        </is>
      </c>
      <c r="B4766" s="1" t="n">
        <v>45618</v>
      </c>
      <c r="C4766" s="1" t="n">
        <v>45637</v>
      </c>
      <c r="D4766" t="inlineStr">
        <is>
          <t>VÄSTMANLANDS LÄN</t>
        </is>
      </c>
      <c r="E4766" t="inlineStr">
        <is>
          <t>KÖPING</t>
        </is>
      </c>
      <c r="F4766" t="inlineStr">
        <is>
          <t>Sveaskog</t>
        </is>
      </c>
      <c r="G4766" t="n">
        <v>11.1</v>
      </c>
      <c r="H4766" t="n">
        <v>0</v>
      </c>
      <c r="I4766" t="n">
        <v>0</v>
      </c>
      <c r="J4766" t="n">
        <v>0</v>
      </c>
      <c r="K4766" t="n">
        <v>0</v>
      </c>
      <c r="L4766" t="n">
        <v>0</v>
      </c>
      <c r="M4766" t="n">
        <v>0</v>
      </c>
      <c r="N4766" t="n">
        <v>0</v>
      </c>
      <c r="O4766" t="n">
        <v>0</v>
      </c>
      <c r="P4766" t="n">
        <v>0</v>
      </c>
      <c r="Q4766" t="n">
        <v>0</v>
      </c>
      <c r="R4766" s="2" t="inlineStr"/>
    </row>
    <row r="4767" ht="15" customHeight="1">
      <c r="A4767" t="inlineStr">
        <is>
          <t>A 54870-2024</t>
        </is>
      </c>
      <c r="B4767" s="1" t="n">
        <v>45618</v>
      </c>
      <c r="C4767" s="1" t="n">
        <v>45637</v>
      </c>
      <c r="D4767" t="inlineStr">
        <is>
          <t>VÄSTMANLANDS LÄN</t>
        </is>
      </c>
      <c r="E4767" t="inlineStr">
        <is>
          <t>KÖPING</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55101-2024</t>
        </is>
      </c>
      <c r="B4768" s="1" t="n">
        <v>45618</v>
      </c>
      <c r="C4768" s="1" t="n">
        <v>45637</v>
      </c>
      <c r="D4768" t="inlineStr">
        <is>
          <t>VÄSTMANLANDS LÄN</t>
        </is>
      </c>
      <c r="E4768" t="inlineStr">
        <is>
          <t>SALA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45637</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54871-2024</t>
        </is>
      </c>
      <c r="B4770" s="1" t="n">
        <v>45618</v>
      </c>
      <c r="C4770" s="1" t="n">
        <v>45637</v>
      </c>
      <c r="D4770" t="inlineStr">
        <is>
          <t>VÄSTMANLANDS LÄN</t>
        </is>
      </c>
      <c r="E4770" t="inlineStr">
        <is>
          <t>KÖPING</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55107-2024</t>
        </is>
      </c>
      <c r="B4771" s="1" t="n">
        <v>45618</v>
      </c>
      <c r="C4771" s="1" t="n">
        <v>45637</v>
      </c>
      <c r="D4771" t="inlineStr">
        <is>
          <t>VÄSTMANLANDS LÄN</t>
        </is>
      </c>
      <c r="E4771" t="inlineStr">
        <is>
          <t>SALA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54960-2024</t>
        </is>
      </c>
      <c r="B4772" s="1" t="n">
        <v>45619</v>
      </c>
      <c r="C4772" s="1" t="n">
        <v>45637</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54959-2024</t>
        </is>
      </c>
      <c r="B4773" s="1" t="n">
        <v>45619</v>
      </c>
      <c r="C4773" s="1" t="n">
        <v>45637</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45637</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55004-2024</t>
        </is>
      </c>
      <c r="B4775" s="1" t="n">
        <v>45621</v>
      </c>
      <c r="C4775" s="1" t="n">
        <v>45637</v>
      </c>
      <c r="D4775" t="inlineStr">
        <is>
          <t>VÄSTMANLANDS LÄN</t>
        </is>
      </c>
      <c r="E4775" t="inlineStr">
        <is>
          <t>HALLSTAHAMMAR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54999-2024</t>
        </is>
      </c>
      <c r="B4776" s="1" t="n">
        <v>45621</v>
      </c>
      <c r="C4776" s="1" t="n">
        <v>45637</v>
      </c>
      <c r="D4776" t="inlineStr">
        <is>
          <t>VÄSTMANLANDS LÄN</t>
        </is>
      </c>
      <c r="E4776" t="inlineStr">
        <is>
          <t>ARBOGA</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45637</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45637</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55753-2024</t>
        </is>
      </c>
      <c r="B4779" s="1" t="n">
        <v>45623</v>
      </c>
      <c r="C4779" s="1" t="n">
        <v>45637</v>
      </c>
      <c r="D4779" t="inlineStr">
        <is>
          <t>VÄSTMANLANDS LÄN</t>
        </is>
      </c>
      <c r="E4779" t="inlineStr">
        <is>
          <t>VÄSTERÅS</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55784-2024</t>
        </is>
      </c>
      <c r="B4780" s="1" t="n">
        <v>45623</v>
      </c>
      <c r="C4780" s="1" t="n">
        <v>45637</v>
      </c>
      <c r="D4780" t="inlineStr">
        <is>
          <t>VÄSTMANLANDS LÄN</t>
        </is>
      </c>
      <c r="E4780" t="inlineStr">
        <is>
          <t>SALA</t>
        </is>
      </c>
      <c r="F4780" t="inlineStr">
        <is>
          <t>Bergvik skog öst AB</t>
        </is>
      </c>
      <c r="G4780" t="n">
        <v>28.4</v>
      </c>
      <c r="H4780" t="n">
        <v>0</v>
      </c>
      <c r="I4780" t="n">
        <v>0</v>
      </c>
      <c r="J4780" t="n">
        <v>0</v>
      </c>
      <c r="K4780" t="n">
        <v>0</v>
      </c>
      <c r="L4780" t="n">
        <v>0</v>
      </c>
      <c r="M4780" t="n">
        <v>0</v>
      </c>
      <c r="N4780" t="n">
        <v>0</v>
      </c>
      <c r="O4780" t="n">
        <v>0</v>
      </c>
      <c r="P4780" t="n">
        <v>0</v>
      </c>
      <c r="Q4780" t="n">
        <v>0</v>
      </c>
      <c r="R4780" s="2" t="inlineStr"/>
    </row>
    <row r="4781" ht="15" customHeight="1">
      <c r="A4781" t="inlineStr">
        <is>
          <t>A 55801-2024</t>
        </is>
      </c>
      <c r="B4781" s="1" t="n">
        <v>45623</v>
      </c>
      <c r="C4781" s="1" t="n">
        <v>45637</v>
      </c>
      <c r="D4781" t="inlineStr">
        <is>
          <t>VÄSTMANLANDS LÄN</t>
        </is>
      </c>
      <c r="E4781" t="inlineStr">
        <is>
          <t>VÄSTERÅS</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55887-2024</t>
        </is>
      </c>
      <c r="B4782" s="1" t="n">
        <v>45623</v>
      </c>
      <c r="C4782" s="1" t="n">
        <v>45637</v>
      </c>
      <c r="D4782" t="inlineStr">
        <is>
          <t>VÄSTMANLANDS LÄN</t>
        </is>
      </c>
      <c r="E4782" t="inlineStr">
        <is>
          <t>NORBERG</t>
        </is>
      </c>
      <c r="F4782" t="inlineStr">
        <is>
          <t>Övriga Aktiebolag</t>
        </is>
      </c>
      <c r="G4782" t="n">
        <v>19.1</v>
      </c>
      <c r="H4782" t="n">
        <v>0</v>
      </c>
      <c r="I4782" t="n">
        <v>0</v>
      </c>
      <c r="J4782" t="n">
        <v>0</v>
      </c>
      <c r="K4782" t="n">
        <v>0</v>
      </c>
      <c r="L4782" t="n">
        <v>0</v>
      </c>
      <c r="M4782" t="n">
        <v>0</v>
      </c>
      <c r="N4782" t="n">
        <v>0</v>
      </c>
      <c r="O4782" t="n">
        <v>0</v>
      </c>
      <c r="P4782" t="n">
        <v>0</v>
      </c>
      <c r="Q4782" t="n">
        <v>0</v>
      </c>
      <c r="R4782" s="2" t="inlineStr"/>
    </row>
    <row r="4783" ht="15" customHeight="1">
      <c r="A4783" t="inlineStr">
        <is>
          <t>A 55973-2024</t>
        </is>
      </c>
      <c r="B4783" s="1" t="n">
        <v>45623</v>
      </c>
      <c r="C4783" s="1" t="n">
        <v>45637</v>
      </c>
      <c r="D4783" t="inlineStr">
        <is>
          <t>VÄSTMANLANDS LÄN</t>
        </is>
      </c>
      <c r="E4783" t="inlineStr">
        <is>
          <t>VÄSTERÅS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56159-2024</t>
        </is>
      </c>
      <c r="B4784" s="1" t="n">
        <v>45623</v>
      </c>
      <c r="C4784" s="1" t="n">
        <v>45637</v>
      </c>
      <c r="D4784" t="inlineStr">
        <is>
          <t>VÄSTMANLANDS LÄN</t>
        </is>
      </c>
      <c r="E4784" t="inlineStr">
        <is>
          <t>NORBERG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45637</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45637</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56463-2024</t>
        </is>
      </c>
      <c r="B4787" s="1" t="n">
        <v>45625</v>
      </c>
      <c r="C4787" s="1" t="n">
        <v>45637</v>
      </c>
      <c r="D4787" t="inlineStr">
        <is>
          <t>VÄSTMANLANDS LÄN</t>
        </is>
      </c>
      <c r="E4787" t="inlineStr">
        <is>
          <t>ARBOGA</t>
        </is>
      </c>
      <c r="F4787" t="inlineStr">
        <is>
          <t>Kommuner</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56540-2024</t>
        </is>
      </c>
      <c r="B4788" s="1" t="n">
        <v>45625</v>
      </c>
      <c r="C4788" s="1" t="n">
        <v>45637</v>
      </c>
      <c r="D4788" t="inlineStr">
        <is>
          <t>VÄSTMANLANDS LÄN</t>
        </is>
      </c>
      <c r="E4788" t="inlineStr">
        <is>
          <t>SALA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56548-2024</t>
        </is>
      </c>
      <c r="B4789" s="1" t="n">
        <v>45625</v>
      </c>
      <c r="C4789" s="1" t="n">
        <v>45637</v>
      </c>
      <c r="D4789" t="inlineStr">
        <is>
          <t>VÄSTMANLANDS LÄN</t>
        </is>
      </c>
      <c r="E4789" t="inlineStr">
        <is>
          <t>SALA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56543-2024</t>
        </is>
      </c>
      <c r="B4790" s="1" t="n">
        <v>45625</v>
      </c>
      <c r="C4790" s="1" t="n">
        <v>45637</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56689-2024</t>
        </is>
      </c>
      <c r="B4791" s="1" t="n">
        <v>45627</v>
      </c>
      <c r="C4791" s="1" t="n">
        <v>45637</v>
      </c>
      <c r="D4791" t="inlineStr">
        <is>
          <t>VÄSTMANLANDS LÄN</t>
        </is>
      </c>
      <c r="E4791" t="inlineStr">
        <is>
          <t>SALA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56688-2024</t>
        </is>
      </c>
      <c r="B4792" s="1" t="n">
        <v>45627</v>
      </c>
      <c r="C4792" s="1" t="n">
        <v>45637</v>
      </c>
      <c r="D4792" t="inlineStr">
        <is>
          <t>VÄSTMANLANDS LÄN</t>
        </is>
      </c>
      <c r="E4792" t="inlineStr">
        <is>
          <t>SALA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56696-2024</t>
        </is>
      </c>
      <c r="B4793" s="1" t="n">
        <v>45627</v>
      </c>
      <c r="C4793" s="1" t="n">
        <v>45637</v>
      </c>
      <c r="D4793" t="inlineStr">
        <is>
          <t>VÄSTMANLANDS LÄN</t>
        </is>
      </c>
      <c r="E4793" t="inlineStr">
        <is>
          <t>FAGERSTA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56704-2024</t>
        </is>
      </c>
      <c r="B4794" s="1" t="n">
        <v>45627</v>
      </c>
      <c r="C4794" s="1" t="n">
        <v>45637</v>
      </c>
      <c r="D4794" t="inlineStr">
        <is>
          <t>VÄSTMANLANDS LÄN</t>
        </is>
      </c>
      <c r="E4794" t="inlineStr">
        <is>
          <t>FAGERSTA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56687-2024</t>
        </is>
      </c>
      <c r="B4795" s="1" t="n">
        <v>45627</v>
      </c>
      <c r="C4795" s="1" t="n">
        <v>45637</v>
      </c>
      <c r="D4795" t="inlineStr">
        <is>
          <t>VÄSTMANLANDS LÄN</t>
        </is>
      </c>
      <c r="E4795" t="inlineStr">
        <is>
          <t>SALA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56699-2024</t>
        </is>
      </c>
      <c r="B4796" s="1" t="n">
        <v>45627</v>
      </c>
      <c r="C4796" s="1" t="n">
        <v>45637</v>
      </c>
      <c r="D4796" t="inlineStr">
        <is>
          <t>VÄSTMANLANDS LÄN</t>
        </is>
      </c>
      <c r="E4796" t="inlineStr">
        <is>
          <t>FAGERSTA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56694-2024</t>
        </is>
      </c>
      <c r="B4797" s="1" t="n">
        <v>45627</v>
      </c>
      <c r="C4797" s="1" t="n">
        <v>45637</v>
      </c>
      <c r="D4797" t="inlineStr">
        <is>
          <t>VÄSTMANLANDS LÄN</t>
        </is>
      </c>
      <c r="E4797" t="inlineStr">
        <is>
          <t>FAGERSTA</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56698-2024</t>
        </is>
      </c>
      <c r="B4798" s="1" t="n">
        <v>45627</v>
      </c>
      <c r="C4798" s="1" t="n">
        <v>45637</v>
      </c>
      <c r="D4798" t="inlineStr">
        <is>
          <t>VÄSTMANLANDS LÄN</t>
        </is>
      </c>
      <c r="E4798" t="inlineStr">
        <is>
          <t>FAGERSTA</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56798-2024</t>
        </is>
      </c>
      <c r="B4799" s="1" t="n">
        <v>45628</v>
      </c>
      <c r="C4799" s="1" t="n">
        <v>45637</v>
      </c>
      <c r="D4799" t="inlineStr">
        <is>
          <t>VÄSTMANLANDS LÄN</t>
        </is>
      </c>
      <c r="E4799" t="inlineStr">
        <is>
          <t>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56814-2024</t>
        </is>
      </c>
      <c r="B4800" s="1" t="n">
        <v>45628</v>
      </c>
      <c r="C4800" s="1" t="n">
        <v>45637</v>
      </c>
      <c r="D4800" t="inlineStr">
        <is>
          <t>VÄSTMANLANDS LÄN</t>
        </is>
      </c>
      <c r="E4800" t="inlineStr">
        <is>
          <t>SALA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56902-2024</t>
        </is>
      </c>
      <c r="B4801" s="1" t="n">
        <v>45628</v>
      </c>
      <c r="C4801" s="1" t="n">
        <v>45637</v>
      </c>
      <c r="D4801" t="inlineStr">
        <is>
          <t>VÄSTMANLANDS LÄN</t>
        </is>
      </c>
      <c r="E4801" t="inlineStr">
        <is>
          <t>VÄSTERÅS</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56931-2024</t>
        </is>
      </c>
      <c r="B4802" s="1" t="n">
        <v>45628</v>
      </c>
      <c r="C4802" s="1" t="n">
        <v>45637</v>
      </c>
      <c r="D4802" t="inlineStr">
        <is>
          <t>VÄSTMANLANDS LÄN</t>
        </is>
      </c>
      <c r="E4802" t="inlineStr">
        <is>
          <t>SKINNSKATTEBERG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56948-2024</t>
        </is>
      </c>
      <c r="B4803" s="1" t="n">
        <v>45628</v>
      </c>
      <c r="C4803" s="1" t="n">
        <v>45637</v>
      </c>
      <c r="D4803" t="inlineStr">
        <is>
          <t>VÄSTMANLANDS LÄN</t>
        </is>
      </c>
      <c r="E4803" t="inlineStr">
        <is>
          <t>VÄSTERÅS</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56977-2024</t>
        </is>
      </c>
      <c r="B4804" s="1" t="n">
        <v>45628</v>
      </c>
      <c r="C4804" s="1" t="n">
        <v>45637</v>
      </c>
      <c r="D4804" t="inlineStr">
        <is>
          <t>VÄSTMANLANDS LÄN</t>
        </is>
      </c>
      <c r="E4804" t="inlineStr">
        <is>
          <t>ARBOGA</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56939-2024</t>
        </is>
      </c>
      <c r="B4805" s="1" t="n">
        <v>45628</v>
      </c>
      <c r="C4805" s="1" t="n">
        <v>45637</v>
      </c>
      <c r="D4805" t="inlineStr">
        <is>
          <t>VÄSTMANLANDS LÄN</t>
        </is>
      </c>
      <c r="E4805" t="inlineStr">
        <is>
          <t>VÄSTERÅS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56945-2024</t>
        </is>
      </c>
      <c r="B4806" s="1" t="n">
        <v>45628</v>
      </c>
      <c r="C4806" s="1" t="n">
        <v>45637</v>
      </c>
      <c r="D4806" t="inlineStr">
        <is>
          <t>VÄSTMANLANDS LÄN</t>
        </is>
      </c>
      <c r="E4806" t="inlineStr">
        <is>
          <t>VÄSTERÅS</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56982-2024</t>
        </is>
      </c>
      <c r="B4807" s="1" t="n">
        <v>45628</v>
      </c>
      <c r="C4807" s="1" t="n">
        <v>45637</v>
      </c>
      <c r="D4807" t="inlineStr">
        <is>
          <t>VÄSTMANLANDS LÄN</t>
        </is>
      </c>
      <c r="E4807" t="inlineStr">
        <is>
          <t>ARBOGA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57039-2024</t>
        </is>
      </c>
      <c r="B4808" s="1" t="n">
        <v>45629</v>
      </c>
      <c r="C4808" s="1" t="n">
        <v>45637</v>
      </c>
      <c r="D4808" t="inlineStr">
        <is>
          <t>VÄSTMANLANDS LÄN</t>
        </is>
      </c>
      <c r="E4808" t="inlineStr">
        <is>
          <t>ARBOGA</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57160-2024</t>
        </is>
      </c>
      <c r="B4809" s="1" t="n">
        <v>45629</v>
      </c>
      <c r="C4809" s="1" t="n">
        <v>45637</v>
      </c>
      <c r="D4809" t="inlineStr">
        <is>
          <t>VÄSTMANLANDS LÄN</t>
        </is>
      </c>
      <c r="E4809" t="inlineStr">
        <is>
          <t>HALLSTAHAMMAR</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57044-2024</t>
        </is>
      </c>
      <c r="B4810" s="1" t="n">
        <v>45629</v>
      </c>
      <c r="C4810" s="1" t="n">
        <v>45637</v>
      </c>
      <c r="D4810" t="inlineStr">
        <is>
          <t>VÄSTMANLANDS LÄN</t>
        </is>
      </c>
      <c r="E4810" t="inlineStr">
        <is>
          <t>ARBOGA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57297-2024</t>
        </is>
      </c>
      <c r="B4811" s="1" t="n">
        <v>45629</v>
      </c>
      <c r="C4811" s="1" t="n">
        <v>45637</v>
      </c>
      <c r="D4811" t="inlineStr">
        <is>
          <t>VÄSTMANLANDS LÄN</t>
        </is>
      </c>
      <c r="E4811" t="inlineStr">
        <is>
          <t>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57256-2024</t>
        </is>
      </c>
      <c r="B4812" s="1" t="n">
        <v>45629</v>
      </c>
      <c r="C4812" s="1" t="n">
        <v>45637</v>
      </c>
      <c r="D4812" t="inlineStr">
        <is>
          <t>VÄSTMANLANDS LÄN</t>
        </is>
      </c>
      <c r="E4812" t="inlineStr">
        <is>
          <t>ARBOGA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57404-2024</t>
        </is>
      </c>
      <c r="B4813" s="1" t="n">
        <v>45629</v>
      </c>
      <c r="C4813" s="1" t="n">
        <v>45637</v>
      </c>
      <c r="D4813" t="inlineStr">
        <is>
          <t>VÄSTMANLANDS LÄN</t>
        </is>
      </c>
      <c r="E4813" t="inlineStr">
        <is>
          <t>SALA</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57262-2024</t>
        </is>
      </c>
      <c r="B4814" s="1" t="n">
        <v>45629</v>
      </c>
      <c r="C4814" s="1" t="n">
        <v>45637</v>
      </c>
      <c r="D4814" t="inlineStr">
        <is>
          <t>VÄSTMANLANDS LÄN</t>
        </is>
      </c>
      <c r="E4814" t="inlineStr">
        <is>
          <t>ARBOGA</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57496-2024</t>
        </is>
      </c>
      <c r="B4815" s="1" t="n">
        <v>45630</v>
      </c>
      <c r="C4815" s="1" t="n">
        <v>45637</v>
      </c>
      <c r="D4815" t="inlineStr">
        <is>
          <t>VÄSTMANLANDS LÄN</t>
        </is>
      </c>
      <c r="E4815" t="inlineStr">
        <is>
          <t>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57636-2024</t>
        </is>
      </c>
      <c r="B4816" s="1" t="n">
        <v>45630</v>
      </c>
      <c r="C4816" s="1" t="n">
        <v>45637</v>
      </c>
      <c r="D4816" t="inlineStr">
        <is>
          <t>VÄSTMANLANDS LÄN</t>
        </is>
      </c>
      <c r="E4816" t="inlineStr">
        <is>
          <t>VÄSTERÅS</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57883-2024</t>
        </is>
      </c>
      <c r="B4817" s="1" t="n">
        <v>45630</v>
      </c>
      <c r="C4817" s="1" t="n">
        <v>45637</v>
      </c>
      <c r="D4817" t="inlineStr">
        <is>
          <t>VÄSTMANLANDS LÄN</t>
        </is>
      </c>
      <c r="E4817" t="inlineStr">
        <is>
          <t>SALA</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57597-2024</t>
        </is>
      </c>
      <c r="B4818" s="1" t="n">
        <v>45630</v>
      </c>
      <c r="C4818" s="1" t="n">
        <v>45637</v>
      </c>
      <c r="D4818" t="inlineStr">
        <is>
          <t>VÄSTMANLANDS LÄN</t>
        </is>
      </c>
      <c r="E4818" t="inlineStr">
        <is>
          <t>ARBOGA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57596-2024</t>
        </is>
      </c>
      <c r="B4819" s="1" t="n">
        <v>45630</v>
      </c>
      <c r="C4819" s="1" t="n">
        <v>45637</v>
      </c>
      <c r="D4819" t="inlineStr">
        <is>
          <t>VÄSTMANLANDS LÄN</t>
        </is>
      </c>
      <c r="E4819" t="inlineStr">
        <is>
          <t>ARBOGA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57650-2024</t>
        </is>
      </c>
      <c r="B4820" s="1" t="n">
        <v>45630</v>
      </c>
      <c r="C4820" s="1" t="n">
        <v>45637</v>
      </c>
      <c r="D4820" t="inlineStr">
        <is>
          <t>VÄSTMANLANDS LÄN</t>
        </is>
      </c>
      <c r="E4820" t="inlineStr">
        <is>
          <t>SALA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57823-2024</t>
        </is>
      </c>
      <c r="B4821" s="1" t="n">
        <v>45631</v>
      </c>
      <c r="C4821" s="1" t="n">
        <v>45637</v>
      </c>
      <c r="D4821" t="inlineStr">
        <is>
          <t>VÄSTMANLANDS LÄN</t>
        </is>
      </c>
      <c r="E4821" t="inlineStr">
        <is>
          <t>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57872-2024</t>
        </is>
      </c>
      <c r="B4822" s="1" t="n">
        <v>45631</v>
      </c>
      <c r="C4822" s="1" t="n">
        <v>45637</v>
      </c>
      <c r="D4822" t="inlineStr">
        <is>
          <t>VÄSTMANLANDS LÄN</t>
        </is>
      </c>
      <c r="E4822" t="inlineStr">
        <is>
          <t>ARBOGA</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57884-2024</t>
        </is>
      </c>
      <c r="B4823" s="1" t="n">
        <v>45631</v>
      </c>
      <c r="C4823" s="1" t="n">
        <v>45637</v>
      </c>
      <c r="D4823" t="inlineStr">
        <is>
          <t>VÄSTMANLANDS LÄN</t>
        </is>
      </c>
      <c r="E4823" t="inlineStr">
        <is>
          <t>ARBOGA</t>
        </is>
      </c>
      <c r="F4823" t="inlineStr">
        <is>
          <t>Sveaskog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57890-2024</t>
        </is>
      </c>
      <c r="B4824" s="1" t="n">
        <v>45631</v>
      </c>
      <c r="C4824" s="1" t="n">
        <v>45637</v>
      </c>
      <c r="D4824" t="inlineStr">
        <is>
          <t>VÄSTMANLANDS LÄN</t>
        </is>
      </c>
      <c r="E4824" t="inlineStr">
        <is>
          <t>ARBOGA</t>
        </is>
      </c>
      <c r="F4824" t="inlineStr">
        <is>
          <t>Sveaskog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57813-2024</t>
        </is>
      </c>
      <c r="B4825" s="1" t="n">
        <v>45631</v>
      </c>
      <c r="C4825" s="1" t="n">
        <v>45637</v>
      </c>
      <c r="D4825" t="inlineStr">
        <is>
          <t>VÄSTMANLANDS LÄN</t>
        </is>
      </c>
      <c r="E4825" t="inlineStr">
        <is>
          <t>KÖPING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57975-2024</t>
        </is>
      </c>
      <c r="B4826" s="1" t="n">
        <v>45631</v>
      </c>
      <c r="C4826" s="1" t="n">
        <v>45637</v>
      </c>
      <c r="D4826" t="inlineStr">
        <is>
          <t>VÄSTMANLANDS LÄN</t>
        </is>
      </c>
      <c r="E4826" t="inlineStr">
        <is>
          <t>VÄSTERÅS</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57993-2024</t>
        </is>
      </c>
      <c r="B4827" s="1" t="n">
        <v>45631</v>
      </c>
      <c r="C4827" s="1" t="n">
        <v>45637</v>
      </c>
      <c r="D4827" t="inlineStr">
        <is>
          <t>VÄSTMANLANDS LÄN</t>
        </is>
      </c>
      <c r="E4827" t="inlineStr">
        <is>
          <t>NORBERG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57990-2024</t>
        </is>
      </c>
      <c r="B4828" s="1" t="n">
        <v>45631</v>
      </c>
      <c r="C4828" s="1" t="n">
        <v>45637</v>
      </c>
      <c r="D4828" t="inlineStr">
        <is>
          <t>VÄSTMANLANDS LÄN</t>
        </is>
      </c>
      <c r="E4828" t="inlineStr">
        <is>
          <t>NORBERG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58028-2024</t>
        </is>
      </c>
      <c r="B4829" s="1" t="n">
        <v>45631</v>
      </c>
      <c r="C4829" s="1" t="n">
        <v>45637</v>
      </c>
      <c r="D4829" t="inlineStr">
        <is>
          <t>VÄSTMANLANDS LÄN</t>
        </is>
      </c>
      <c r="E4829" t="inlineStr">
        <is>
          <t>VÄSTERÅS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57895-2024</t>
        </is>
      </c>
      <c r="B4830" s="1" t="n">
        <v>45631</v>
      </c>
      <c r="C4830" s="1" t="n">
        <v>45637</v>
      </c>
      <c r="D4830" t="inlineStr">
        <is>
          <t>VÄSTMANLANDS LÄN</t>
        </is>
      </c>
      <c r="E4830" t="inlineStr">
        <is>
          <t>SALA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57948-2024</t>
        </is>
      </c>
      <c r="B4831" s="1" t="n">
        <v>45631</v>
      </c>
      <c r="C4831" s="1" t="n">
        <v>45637</v>
      </c>
      <c r="D4831" t="inlineStr">
        <is>
          <t>VÄSTMANLANDS LÄN</t>
        </is>
      </c>
      <c r="E4831" t="inlineStr">
        <is>
          <t>SALA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58262-2024</t>
        </is>
      </c>
      <c r="B4832" s="1" t="n">
        <v>45632</v>
      </c>
      <c r="C4832" s="1" t="n">
        <v>45637</v>
      </c>
      <c r="D4832" t="inlineStr">
        <is>
          <t>VÄSTMANLANDS LÄN</t>
        </is>
      </c>
      <c r="E4832" t="inlineStr">
        <is>
          <t>ARBOGA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58305-2024</t>
        </is>
      </c>
      <c r="B4833" s="1" t="n">
        <v>45632</v>
      </c>
      <c r="C4833" s="1" t="n">
        <v>45637</v>
      </c>
      <c r="D4833" t="inlineStr">
        <is>
          <t>VÄSTMANLANDS LÄN</t>
        </is>
      </c>
      <c r="E4833" t="inlineStr">
        <is>
          <t>FAGERSTA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58310-2024</t>
        </is>
      </c>
      <c r="B4834" s="1" t="n">
        <v>45632</v>
      </c>
      <c r="C4834" s="1" t="n">
        <v>45637</v>
      </c>
      <c r="D4834" t="inlineStr">
        <is>
          <t>VÄSTMANLANDS LÄN</t>
        </is>
      </c>
      <c r="E4834" t="inlineStr">
        <is>
          <t>FAGERSTA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58616-2024</t>
        </is>
      </c>
      <c r="B4835" s="1" t="n">
        <v>45632</v>
      </c>
      <c r="C4835" s="1" t="n">
        <v>45637</v>
      </c>
      <c r="D4835" t="inlineStr">
        <is>
          <t>VÄSTMANLANDS LÄN</t>
        </is>
      </c>
      <c r="E4835" t="inlineStr">
        <is>
          <t>NORBERG</t>
        </is>
      </c>
      <c r="F4835" t="inlineStr">
        <is>
          <t>Bergvik skog väst AB</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58126-2024</t>
        </is>
      </c>
      <c r="B4836" s="1" t="n">
        <v>45632</v>
      </c>
      <c r="C4836" s="1" t="n">
        <v>45637</v>
      </c>
      <c r="D4836" t="inlineStr">
        <is>
          <t>VÄSTMANLANDS LÄN</t>
        </is>
      </c>
      <c r="E4836" t="inlineStr">
        <is>
          <t>SALA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58241-2024</t>
        </is>
      </c>
      <c r="B4837" s="1" t="n">
        <v>45632</v>
      </c>
      <c r="C4837" s="1" t="n">
        <v>45637</v>
      </c>
      <c r="D4837" t="inlineStr">
        <is>
          <t>VÄSTMANLANDS LÄN</t>
        </is>
      </c>
      <c r="E4837" t="inlineStr">
        <is>
          <t>ARBOGA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58460-2024</t>
        </is>
      </c>
      <c r="B4838" s="1" t="n">
        <v>45635</v>
      </c>
      <c r="C4838" s="1" t="n">
        <v>45637</v>
      </c>
      <c r="D4838" t="inlineStr">
        <is>
          <t>VÄSTMANLANDS LÄN</t>
        </is>
      </c>
      <c r="E4838" t="inlineStr">
        <is>
          <t>FAGERSTA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58464-2024</t>
        </is>
      </c>
      <c r="B4839" s="1" t="n">
        <v>45635</v>
      </c>
      <c r="C4839" s="1" t="n">
        <v>45637</v>
      </c>
      <c r="D4839" t="inlineStr">
        <is>
          <t>VÄSTMANLANDS LÄN</t>
        </is>
      </c>
      <c r="E4839" t="inlineStr">
        <is>
          <t>FAGERSTA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58468-2024</t>
        </is>
      </c>
      <c r="B4840" s="1" t="n">
        <v>45635</v>
      </c>
      <c r="C4840" s="1" t="n">
        <v>45637</v>
      </c>
      <c r="D4840" t="inlineStr">
        <is>
          <t>VÄSTMANLANDS LÄN</t>
        </is>
      </c>
      <c r="E4840" t="inlineStr">
        <is>
          <t>FAGERSTA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58594-2024</t>
        </is>
      </c>
      <c r="B4841" s="1" t="n">
        <v>45635</v>
      </c>
      <c r="C4841" s="1" t="n">
        <v>45637</v>
      </c>
      <c r="D4841" t="inlineStr">
        <is>
          <t>VÄSTMANLANDS LÄN</t>
        </is>
      </c>
      <c r="E4841" t="inlineStr">
        <is>
          <t>FAGERSTA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58711-2024</t>
        </is>
      </c>
      <c r="B4842" s="1" t="n">
        <v>45635</v>
      </c>
      <c r="C4842" s="1" t="n">
        <v>45637</v>
      </c>
      <c r="D4842" t="inlineStr">
        <is>
          <t>VÄSTMANLANDS LÄN</t>
        </is>
      </c>
      <c r="E4842" t="inlineStr">
        <is>
          <t>SALA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58651-2024</t>
        </is>
      </c>
      <c r="B4843" s="1" t="n">
        <v>45635</v>
      </c>
      <c r="C4843" s="1" t="n">
        <v>45637</v>
      </c>
      <c r="D4843" t="inlineStr">
        <is>
          <t>VÄSTMANLANDS LÄN</t>
        </is>
      </c>
      <c r="E4843" t="inlineStr">
        <is>
          <t>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58655-2024</t>
        </is>
      </c>
      <c r="B4844" s="1" t="n">
        <v>45635</v>
      </c>
      <c r="C4844" s="1" t="n">
        <v>45637</v>
      </c>
      <c r="D4844" t="inlineStr">
        <is>
          <t>VÄSTMANLANDS LÄN</t>
        </is>
      </c>
      <c r="E4844" t="inlineStr">
        <is>
          <t>SALA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58770-2024</t>
        </is>
      </c>
      <c r="B4845" s="1" t="n">
        <v>45635</v>
      </c>
      <c r="C4845" s="1" t="n">
        <v>45637</v>
      </c>
      <c r="D4845" t="inlineStr">
        <is>
          <t>VÄSTMANLANDS LÄN</t>
        </is>
      </c>
      <c r="E4845" t="inlineStr">
        <is>
          <t>FAGERSTA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58861-2024</t>
        </is>
      </c>
      <c r="B4846" s="1" t="n">
        <v>45636</v>
      </c>
      <c r="C4846" s="1" t="n">
        <v>45637</v>
      </c>
      <c r="D4846" t="inlineStr">
        <is>
          <t>VÄSTMANLANDS LÄN</t>
        </is>
      </c>
      <c r="E4846" t="inlineStr">
        <is>
          <t>VÄSTERÅS</t>
        </is>
      </c>
      <c r="G4846" t="n">
        <v>0.6</v>
      </c>
      <c r="H4846" t="n">
        <v>0</v>
      </c>
      <c r="I4846" t="n">
        <v>0</v>
      </c>
      <c r="J4846" t="n">
        <v>0</v>
      </c>
      <c r="K4846" t="n">
        <v>0</v>
      </c>
      <c r="L4846" t="n">
        <v>0</v>
      </c>
      <c r="M4846" t="n">
        <v>0</v>
      </c>
      <c r="N4846" t="n">
        <v>0</v>
      </c>
      <c r="O4846" t="n">
        <v>0</v>
      </c>
      <c r="P4846" t="n">
        <v>0</v>
      </c>
      <c r="Q4846" t="n">
        <v>0</v>
      </c>
      <c r="R4846" s="2" t="inlineStr"/>
    </row>
    <row r="4847">
      <c r="A4847" t="inlineStr">
        <is>
          <t>A 58957-2024</t>
        </is>
      </c>
      <c r="B4847" s="1" t="n">
        <v>45636</v>
      </c>
      <c r="C4847" s="1" t="n">
        <v>45637</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2024-12-11T15:14:20Z</dcterms:created>
  <dcterms:modified xmlns:dcterms="http://purl.org/dc/terms/" xmlns:xsi="http://www.w3.org/2001/XMLSchema-instance" xsi:type="dcterms:W3CDTF">2024-12-11T15:14:24Z</dcterms:modified>
</cp:coreProperties>
</file>