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45998</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45998</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45998</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45998</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45998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45998</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45998</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45998</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45998</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45998</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45998</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45998</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45998</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65022-2023</t>
        </is>
      </c>
      <c r="B16" s="1" t="n">
        <v>45282</v>
      </c>
      <c r="C16" s="1" t="n">
        <v>45998</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45998</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40942-2023</t>
        </is>
      </c>
      <c r="B18" s="1" t="n">
        <v>45169</v>
      </c>
      <c r="C18" s="1" t="n">
        <v>45998</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25573-2024</t>
        </is>
      </c>
      <c r="B19" s="1" t="n">
        <v>45463</v>
      </c>
      <c r="C19" s="1" t="n">
        <v>45998</v>
      </c>
      <c r="D19" t="inlineStr">
        <is>
          <t>VÄSTMANLANDS LÄN</t>
        </is>
      </c>
      <c r="E19" t="inlineStr">
        <is>
          <t>SURAHAMMAR</t>
        </is>
      </c>
      <c r="F19" t="inlineStr">
        <is>
          <t>Bergvik skog väst AB</t>
        </is>
      </c>
      <c r="G19" t="n">
        <v>20.3</v>
      </c>
      <c r="H19" t="n">
        <v>2</v>
      </c>
      <c r="I19" t="n">
        <v>6</v>
      </c>
      <c r="J19" t="n">
        <v>5</v>
      </c>
      <c r="K19" t="n">
        <v>2</v>
      </c>
      <c r="L19" t="n">
        <v>0</v>
      </c>
      <c r="M19" t="n">
        <v>0</v>
      </c>
      <c r="N19" t="n">
        <v>0</v>
      </c>
      <c r="O19" t="n">
        <v>7</v>
      </c>
      <c r="P19" t="n">
        <v>2</v>
      </c>
      <c r="Q19" t="n">
        <v>13</v>
      </c>
      <c r="R19" s="2" t="inlineStr">
        <is>
          <t>Knärot
Vågticka
Gropticka
Krusfrö
Motaggsvamp
Skrovlig taggsvamp
Talltita
Blodticka
Dropptaggsvamp
Grönpyrola
Gullgröppa
Mindre märgborre
Vedticka</t>
        </is>
      </c>
      <c r="S19">
        <f>HYPERLINK("https://klasma.github.io/Logging_1907/artfynd/A 25573-2024 artfynd.xlsx", "A 25573-2024")</f>
        <v/>
      </c>
      <c r="T19">
        <f>HYPERLINK("https://klasma.github.io/Logging_1907/kartor/A 25573-2024 karta.png", "A 25573-2024")</f>
        <v/>
      </c>
      <c r="U19">
        <f>HYPERLINK("https://klasma.github.io/Logging_1907/knärot/A 25573-2024 karta knärot.png", "A 25573-2024")</f>
        <v/>
      </c>
      <c r="V19">
        <f>HYPERLINK("https://klasma.github.io/Logging_1907/klagomål/A 25573-2024 FSC-klagomål.docx", "A 25573-2024")</f>
        <v/>
      </c>
      <c r="W19">
        <f>HYPERLINK("https://klasma.github.io/Logging_1907/klagomålsmail/A 25573-2024 FSC-klagomål mail.docx", "A 25573-2024")</f>
        <v/>
      </c>
      <c r="X19">
        <f>HYPERLINK("https://klasma.github.io/Logging_1907/tillsyn/A 25573-2024 tillsynsbegäran.docx", "A 25573-2024")</f>
        <v/>
      </c>
      <c r="Y19">
        <f>HYPERLINK("https://klasma.github.io/Logging_1907/tillsynsmail/A 25573-2024 tillsynsbegäran mail.docx", "A 25573-2024")</f>
        <v/>
      </c>
      <c r="Z19">
        <f>HYPERLINK("https://klasma.github.io/Logging_1907/fåglar/A 25573-2024 prioriterade fågelarter.docx", "A 25573-2024")</f>
        <v/>
      </c>
    </row>
    <row r="20" ht="15" customHeight="1">
      <c r="A20" t="inlineStr">
        <is>
          <t>A 23016-2024</t>
        </is>
      </c>
      <c r="B20" s="1" t="n">
        <v>45450</v>
      </c>
      <c r="C20" s="1" t="n">
        <v>45998</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45998</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45998</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45998</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45998</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45998</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45998</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44798-2024</t>
        </is>
      </c>
      <c r="B27" s="1" t="n">
        <v>45574</v>
      </c>
      <c r="C27" s="1" t="n">
        <v>45998</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40495-2024</t>
        </is>
      </c>
      <c r="B28" s="1" t="n">
        <v>45555</v>
      </c>
      <c r="C28" s="1" t="n">
        <v>45998</v>
      </c>
      <c r="D28" t="inlineStr">
        <is>
          <t>VÄSTMANLANDS LÄN</t>
        </is>
      </c>
      <c r="E28" t="inlineStr">
        <is>
          <t>SALA</t>
        </is>
      </c>
      <c r="G28" t="n">
        <v>3.1</v>
      </c>
      <c r="H28" t="n">
        <v>1</v>
      </c>
      <c r="I28" t="n">
        <v>3</v>
      </c>
      <c r="J28" t="n">
        <v>4</v>
      </c>
      <c r="K28" t="n">
        <v>1</v>
      </c>
      <c r="L28" t="n">
        <v>0</v>
      </c>
      <c r="M28" t="n">
        <v>0</v>
      </c>
      <c r="N28" t="n">
        <v>0</v>
      </c>
      <c r="O28" t="n">
        <v>5</v>
      </c>
      <c r="P28" t="n">
        <v>1</v>
      </c>
      <c r="Q28" t="n">
        <v>8</v>
      </c>
      <c r="R28" s="2" t="inlineStr">
        <is>
          <t>Knärot
Asppraktbagge
Skorpgelélav
Veckticka
Vedskivlav
Blåmossa
Bronshjon
Dropptaggsvamp</t>
        </is>
      </c>
      <c r="S28">
        <f>HYPERLINK("https://klasma.github.io/Logging_1981/artfynd/A 40495-2024 artfynd.xlsx", "A 40495-2024")</f>
        <v/>
      </c>
      <c r="T28">
        <f>HYPERLINK("https://klasma.github.io/Logging_1981/kartor/A 40495-2024 karta.png", "A 40495-2024")</f>
        <v/>
      </c>
      <c r="U28">
        <f>HYPERLINK("https://klasma.github.io/Logging_1981/knärot/A 40495-2024 karta knärot.png", "A 40495-2024")</f>
        <v/>
      </c>
      <c r="V28">
        <f>HYPERLINK("https://klasma.github.io/Logging_1981/klagomål/A 40495-2024 FSC-klagomål.docx", "A 40495-2024")</f>
        <v/>
      </c>
      <c r="W28">
        <f>HYPERLINK("https://klasma.github.io/Logging_1981/klagomålsmail/A 40495-2024 FSC-klagomål mail.docx", "A 40495-2024")</f>
        <v/>
      </c>
      <c r="X28">
        <f>HYPERLINK("https://klasma.github.io/Logging_1981/tillsyn/A 40495-2024 tillsynsbegäran.docx", "A 40495-2024")</f>
        <v/>
      </c>
      <c r="Y28">
        <f>HYPERLINK("https://klasma.github.io/Logging_1981/tillsynsmail/A 40495-2024 tillsynsbegäran mail.docx", "A 40495-2024")</f>
        <v/>
      </c>
    </row>
    <row r="29" ht="15" customHeight="1">
      <c r="A29" t="inlineStr">
        <is>
          <t>A 66349-2021</t>
        </is>
      </c>
      <c r="B29" s="1" t="n">
        <v>44518.56545138889</v>
      </c>
      <c r="C29" s="1" t="n">
        <v>45998</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45998</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45998</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45998</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14815-2025</t>
        </is>
      </c>
      <c r="B33" s="1" t="n">
        <v>45743.34931712963</v>
      </c>
      <c r="C33" s="1" t="n">
        <v>45998</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33529-2021</t>
        </is>
      </c>
      <c r="B34" s="1" t="n">
        <v>44377</v>
      </c>
      <c r="C34" s="1" t="n">
        <v>45998</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42686-2024</t>
        </is>
      </c>
      <c r="B35" s="1" t="n">
        <v>45566</v>
      </c>
      <c r="C35" s="1" t="n">
        <v>45998</v>
      </c>
      <c r="D35" t="inlineStr">
        <is>
          <t>VÄSTMANLANDS LÄN</t>
        </is>
      </c>
      <c r="E35" t="inlineStr">
        <is>
          <t>NORBERG</t>
        </is>
      </c>
      <c r="G35" t="n">
        <v>7</v>
      </c>
      <c r="H35" t="n">
        <v>1</v>
      </c>
      <c r="I35" t="n">
        <v>3</v>
      </c>
      <c r="J35" t="n">
        <v>2</v>
      </c>
      <c r="K35" t="n">
        <v>1</v>
      </c>
      <c r="L35" t="n">
        <v>0</v>
      </c>
      <c r="M35" t="n">
        <v>0</v>
      </c>
      <c r="N35" t="n">
        <v>0</v>
      </c>
      <c r="O35" t="n">
        <v>3</v>
      </c>
      <c r="P35" t="n">
        <v>1</v>
      </c>
      <c r="Q35" t="n">
        <v>6</v>
      </c>
      <c r="R35" s="2" t="inlineStr">
        <is>
          <t>Knärot
Tallticka
Ullticka
Bollvitmossa
Skinnlav
Vedticka</t>
        </is>
      </c>
      <c r="S35">
        <f>HYPERLINK("https://klasma.github.io/Logging_1962/artfynd/A 42686-2024 artfynd.xlsx", "A 42686-2024")</f>
        <v/>
      </c>
      <c r="T35">
        <f>HYPERLINK("https://klasma.github.io/Logging_1962/kartor/A 42686-2024 karta.png", "A 42686-2024")</f>
        <v/>
      </c>
      <c r="U35">
        <f>HYPERLINK("https://klasma.github.io/Logging_1962/knärot/A 42686-2024 karta knärot.png", "A 42686-2024")</f>
        <v/>
      </c>
      <c r="V35">
        <f>HYPERLINK("https://klasma.github.io/Logging_1962/klagomål/A 42686-2024 FSC-klagomål.docx", "A 42686-2024")</f>
        <v/>
      </c>
      <c r="W35">
        <f>HYPERLINK("https://klasma.github.io/Logging_1962/klagomålsmail/A 42686-2024 FSC-klagomål mail.docx", "A 42686-2024")</f>
        <v/>
      </c>
      <c r="X35">
        <f>HYPERLINK("https://klasma.github.io/Logging_1962/tillsyn/A 42686-2024 tillsynsbegäran.docx", "A 42686-2024")</f>
        <v/>
      </c>
      <c r="Y35">
        <f>HYPERLINK("https://klasma.github.io/Logging_1962/tillsynsmail/A 42686-2024 tillsynsbegäran mail.docx", "A 42686-2024")</f>
        <v/>
      </c>
    </row>
    <row r="36" ht="15" customHeight="1">
      <c r="A36" t="inlineStr">
        <is>
          <t>A 7791-2024</t>
        </is>
      </c>
      <c r="B36" s="1" t="n">
        <v>45348</v>
      </c>
      <c r="C36" s="1" t="n">
        <v>45998</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45441-2024</t>
        </is>
      </c>
      <c r="B37" s="1" t="n">
        <v>45576</v>
      </c>
      <c r="C37" s="1" t="n">
        <v>45998</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Leptoporus mollis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24778-2024</t>
        </is>
      </c>
      <c r="B38" s="1" t="n">
        <v>45460</v>
      </c>
      <c r="C38" s="1" t="n">
        <v>45998</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13993-2021</t>
        </is>
      </c>
      <c r="B39" s="1" t="n">
        <v>44277</v>
      </c>
      <c r="C39" s="1" t="n">
        <v>45998</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45998</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45998</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45998</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39720-2024</t>
        </is>
      </c>
      <c r="B43" s="1" t="n">
        <v>45552</v>
      </c>
      <c r="C43" s="1" t="n">
        <v>45998</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39594-2025</t>
        </is>
      </c>
      <c r="B44" s="1" t="n">
        <v>45890</v>
      </c>
      <c r="C44" s="1" t="n">
        <v>45998</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12909-2025</t>
        </is>
      </c>
      <c r="B45" s="1" t="n">
        <v>45733</v>
      </c>
      <c r="C45" s="1" t="n">
        <v>45998</v>
      </c>
      <c r="D45" t="inlineStr">
        <is>
          <t>VÄSTMANLANDS LÄN</t>
        </is>
      </c>
      <c r="E45" t="inlineStr">
        <is>
          <t>FAGERSTA</t>
        </is>
      </c>
      <c r="G45" t="n">
        <v>10.9</v>
      </c>
      <c r="H45" t="n">
        <v>3</v>
      </c>
      <c r="I45" t="n">
        <v>0</v>
      </c>
      <c r="J45" t="n">
        <v>3</v>
      </c>
      <c r="K45" t="n">
        <v>1</v>
      </c>
      <c r="L45" t="n">
        <v>0</v>
      </c>
      <c r="M45" t="n">
        <v>0</v>
      </c>
      <c r="N45" t="n">
        <v>0</v>
      </c>
      <c r="O45" t="n">
        <v>4</v>
      </c>
      <c r="P45" t="n">
        <v>1</v>
      </c>
      <c r="Q45" t="n">
        <v>5</v>
      </c>
      <c r="R45" s="2" t="inlineStr">
        <is>
          <t>Knärot
Dofttaggsvamp
Talltita
Ullticka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56048-2024</t>
        </is>
      </c>
      <c r="B46" s="1" t="n">
        <v>45624</v>
      </c>
      <c r="C46" s="1" t="n">
        <v>45998</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66343-2021</t>
        </is>
      </c>
      <c r="B47" s="1" t="n">
        <v>44518</v>
      </c>
      <c r="C47" s="1" t="n">
        <v>45998</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16921-2024</t>
        </is>
      </c>
      <c r="B48" s="1" t="n">
        <v>45411.65774305556</v>
      </c>
      <c r="C48" s="1" t="n">
        <v>45998</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45998</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27488-2023</t>
        </is>
      </c>
      <c r="B50" s="1" t="n">
        <v>45097</v>
      </c>
      <c r="C50" s="1" t="n">
        <v>45998</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34752-2023</t>
        </is>
      </c>
      <c r="B51" s="1" t="n">
        <v>45141</v>
      </c>
      <c r="C51" s="1" t="n">
        <v>45998</v>
      </c>
      <c r="D51" t="inlineStr">
        <is>
          <t>VÄSTMANLANDS LÄN</t>
        </is>
      </c>
      <c r="E51" t="inlineStr">
        <is>
          <t>SALA</t>
        </is>
      </c>
      <c r="G51" t="n">
        <v>4.9</v>
      </c>
      <c r="H51" t="n">
        <v>2</v>
      </c>
      <c r="I51" t="n">
        <v>1</v>
      </c>
      <c r="J51" t="n">
        <v>1</v>
      </c>
      <c r="K51" t="n">
        <v>2</v>
      </c>
      <c r="L51" t="n">
        <v>0</v>
      </c>
      <c r="M51" t="n">
        <v>0</v>
      </c>
      <c r="N51" t="n">
        <v>0</v>
      </c>
      <c r="O51" t="n">
        <v>3</v>
      </c>
      <c r="P51" t="n">
        <v>2</v>
      </c>
      <c r="Q51" t="n">
        <v>4</v>
      </c>
      <c r="R51" s="2" t="inlineStr">
        <is>
          <t>Knärot
Sprickporing
Spillkråka
Grönpyrola</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c r="Z51">
        <f>HYPERLINK("https://klasma.github.io/Logging_1981/fåglar/A 34752-2023 prioriterade fågelarter.docx", "A 34752-2023")</f>
        <v/>
      </c>
    </row>
    <row r="52" ht="15" customHeight="1">
      <c r="A52" t="inlineStr">
        <is>
          <t>A 39032-2024</t>
        </is>
      </c>
      <c r="B52" s="1" t="n">
        <v>45548</v>
      </c>
      <c r="C52" s="1" t="n">
        <v>45998</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21716-2025</t>
        </is>
      </c>
      <c r="B53" s="1" t="n">
        <v>45783.54804398148</v>
      </c>
      <c r="C53" s="1" t="n">
        <v>45998</v>
      </c>
      <c r="D53" t="inlineStr">
        <is>
          <t>VÄSTMANLANDS LÄN</t>
        </is>
      </c>
      <c r="E53" t="inlineStr">
        <is>
          <t>SURAHAMMAR</t>
        </is>
      </c>
      <c r="F53" t="inlineStr">
        <is>
          <t>Allmännings- och besparingsskogar</t>
        </is>
      </c>
      <c r="G53" t="n">
        <v>21.1</v>
      </c>
      <c r="H53" t="n">
        <v>3</v>
      </c>
      <c r="I53" t="n">
        <v>1</v>
      </c>
      <c r="J53" t="n">
        <v>2</v>
      </c>
      <c r="K53" t="n">
        <v>1</v>
      </c>
      <c r="L53" t="n">
        <v>0</v>
      </c>
      <c r="M53" t="n">
        <v>0</v>
      </c>
      <c r="N53" t="n">
        <v>0</v>
      </c>
      <c r="O53" t="n">
        <v>3</v>
      </c>
      <c r="P53" t="n">
        <v>1</v>
      </c>
      <c r="Q53" t="n">
        <v>4</v>
      </c>
      <c r="R53" s="2" t="inlineStr">
        <is>
          <t>Knärot
Spillkråka
Talltita
Vedticka</t>
        </is>
      </c>
      <c r="S53">
        <f>HYPERLINK("https://klasma.github.io/Logging_1907/artfynd/A 21716-2025 artfynd.xlsx", "A 21716-2025")</f>
        <v/>
      </c>
      <c r="T53">
        <f>HYPERLINK("https://klasma.github.io/Logging_1907/kartor/A 21716-2025 karta.png", "A 21716-2025")</f>
        <v/>
      </c>
      <c r="U53">
        <f>HYPERLINK("https://klasma.github.io/Logging_1907/knärot/A 21716-2025 karta knärot.png", "A 21716-2025")</f>
        <v/>
      </c>
      <c r="V53">
        <f>HYPERLINK("https://klasma.github.io/Logging_1907/klagomål/A 21716-2025 FSC-klagomål.docx", "A 21716-2025")</f>
        <v/>
      </c>
      <c r="W53">
        <f>HYPERLINK("https://klasma.github.io/Logging_1907/klagomålsmail/A 21716-2025 FSC-klagomål mail.docx", "A 21716-2025")</f>
        <v/>
      </c>
      <c r="X53">
        <f>HYPERLINK("https://klasma.github.io/Logging_1907/tillsyn/A 21716-2025 tillsynsbegäran.docx", "A 21716-2025")</f>
        <v/>
      </c>
      <c r="Y53">
        <f>HYPERLINK("https://klasma.github.io/Logging_1907/tillsynsmail/A 21716-2025 tillsynsbegäran mail.docx", "A 21716-2025")</f>
        <v/>
      </c>
      <c r="Z53">
        <f>HYPERLINK("https://klasma.github.io/Logging_1907/fåglar/A 21716-2025 prioriterade fågelarter.docx", "A 21716-2025")</f>
        <v/>
      </c>
    </row>
    <row r="54" ht="15" customHeight="1">
      <c r="A54" t="inlineStr">
        <is>
          <t>A 51868-2023</t>
        </is>
      </c>
      <c r="B54" s="1" t="n">
        <v>45223</v>
      </c>
      <c r="C54" s="1" t="n">
        <v>45998</v>
      </c>
      <c r="D54" t="inlineStr">
        <is>
          <t>VÄSTMANLANDS LÄN</t>
        </is>
      </c>
      <c r="E54" t="inlineStr">
        <is>
          <t>VÄSTERÅS</t>
        </is>
      </c>
      <c r="F54" t="inlineStr">
        <is>
          <t>Kommuner</t>
        </is>
      </c>
      <c r="G54" t="n">
        <v>8.800000000000001</v>
      </c>
      <c r="H54" t="n">
        <v>1</v>
      </c>
      <c r="I54" t="n">
        <v>2</v>
      </c>
      <c r="J54" t="n">
        <v>1</v>
      </c>
      <c r="K54" t="n">
        <v>0</v>
      </c>
      <c r="L54" t="n">
        <v>0</v>
      </c>
      <c r="M54" t="n">
        <v>0</v>
      </c>
      <c r="N54" t="n">
        <v>0</v>
      </c>
      <c r="O54" t="n">
        <v>1</v>
      </c>
      <c r="P54" t="n">
        <v>0</v>
      </c>
      <c r="Q54" t="n">
        <v>4</v>
      </c>
      <c r="R54" s="2" t="inlineStr">
        <is>
          <t>Ullticka
Myskbock
Thomsons trägnagare
Revlummer</t>
        </is>
      </c>
      <c r="S54">
        <f>HYPERLINK("https://klasma.github.io/Logging_1980/artfynd/A 51868-2023 artfynd.xlsx", "A 51868-2023")</f>
        <v/>
      </c>
      <c r="T54">
        <f>HYPERLINK("https://klasma.github.io/Logging_1980/kartor/A 51868-2023 karta.png", "A 51868-2023")</f>
        <v/>
      </c>
      <c r="V54">
        <f>HYPERLINK("https://klasma.github.io/Logging_1980/klagomål/A 51868-2023 FSC-klagomål.docx", "A 51868-2023")</f>
        <v/>
      </c>
      <c r="W54">
        <f>HYPERLINK("https://klasma.github.io/Logging_1980/klagomålsmail/A 51868-2023 FSC-klagomål mail.docx", "A 51868-2023")</f>
        <v/>
      </c>
      <c r="X54">
        <f>HYPERLINK("https://klasma.github.io/Logging_1980/tillsyn/A 51868-2023 tillsynsbegäran.docx", "A 51868-2023")</f>
        <v/>
      </c>
      <c r="Y54">
        <f>HYPERLINK("https://klasma.github.io/Logging_1980/tillsynsmail/A 51868-2023 tillsynsbegäran mail.docx", "A 51868-2023")</f>
        <v/>
      </c>
    </row>
    <row r="55" ht="15" customHeight="1">
      <c r="A55" t="inlineStr">
        <is>
          <t>A 39253-2024</t>
        </is>
      </c>
      <c r="B55" s="1" t="n">
        <v>45551</v>
      </c>
      <c r="C55" s="1" t="n">
        <v>45998</v>
      </c>
      <c r="D55" t="inlineStr">
        <is>
          <t>VÄSTMANLANDS LÄN</t>
        </is>
      </c>
      <c r="E55" t="inlineStr">
        <is>
          <t>NORBERG</t>
        </is>
      </c>
      <c r="F55" t="inlineStr">
        <is>
          <t>Bergvik skog väst AB</t>
        </is>
      </c>
      <c r="G55" t="n">
        <v>3</v>
      </c>
      <c r="H55" t="n">
        <v>1</v>
      </c>
      <c r="I55" t="n">
        <v>0</v>
      </c>
      <c r="J55" t="n">
        <v>3</v>
      </c>
      <c r="K55" t="n">
        <v>1</v>
      </c>
      <c r="L55" t="n">
        <v>0</v>
      </c>
      <c r="M55" t="n">
        <v>0</v>
      </c>
      <c r="N55" t="n">
        <v>0</v>
      </c>
      <c r="O55" t="n">
        <v>4</v>
      </c>
      <c r="P55" t="n">
        <v>1</v>
      </c>
      <c r="Q55" t="n">
        <v>4</v>
      </c>
      <c r="R55" s="2" t="inlineStr">
        <is>
          <t>Knärot
Kandelabersvamp
Kådvaxskinn
Ullticka</t>
        </is>
      </c>
      <c r="S55">
        <f>HYPERLINK("https://klasma.github.io/Logging_1962/artfynd/A 39253-2024 artfynd.xlsx", "A 39253-2024")</f>
        <v/>
      </c>
      <c r="T55">
        <f>HYPERLINK("https://klasma.github.io/Logging_1962/kartor/A 39253-2024 karta.png", "A 39253-2024")</f>
        <v/>
      </c>
      <c r="U55">
        <f>HYPERLINK("https://klasma.github.io/Logging_1962/knärot/A 39253-2024 karta knärot.png", "A 39253-2024")</f>
        <v/>
      </c>
      <c r="V55">
        <f>HYPERLINK("https://klasma.github.io/Logging_1962/klagomål/A 39253-2024 FSC-klagomål.docx", "A 39253-2024")</f>
        <v/>
      </c>
      <c r="W55">
        <f>HYPERLINK("https://klasma.github.io/Logging_1962/klagomålsmail/A 39253-2024 FSC-klagomål mail.docx", "A 39253-2024")</f>
        <v/>
      </c>
      <c r="X55">
        <f>HYPERLINK("https://klasma.github.io/Logging_1962/tillsyn/A 39253-2024 tillsynsbegäran.docx", "A 39253-2024")</f>
        <v/>
      </c>
      <c r="Y55">
        <f>HYPERLINK("https://klasma.github.io/Logging_1962/tillsynsmail/A 39253-2024 tillsynsbegäran mail.docx", "A 39253-2024")</f>
        <v/>
      </c>
    </row>
    <row r="56" ht="15" customHeight="1">
      <c r="A56" t="inlineStr">
        <is>
          <t>A 25548-2024</t>
        </is>
      </c>
      <c r="B56" s="1" t="n">
        <v>45463</v>
      </c>
      <c r="C56" s="1" t="n">
        <v>45998</v>
      </c>
      <c r="D56" t="inlineStr">
        <is>
          <t>VÄSTMANLANDS LÄN</t>
        </is>
      </c>
      <c r="E56" t="inlineStr">
        <is>
          <t>SURAHAMMAR</t>
        </is>
      </c>
      <c r="F56" t="inlineStr">
        <is>
          <t>Bergvik skog väst AB</t>
        </is>
      </c>
      <c r="G56" t="n">
        <v>5.1</v>
      </c>
      <c r="H56" t="n">
        <v>3</v>
      </c>
      <c r="I56" t="n">
        <v>1</v>
      </c>
      <c r="J56" t="n">
        <v>0</v>
      </c>
      <c r="K56" t="n">
        <v>1</v>
      </c>
      <c r="L56" t="n">
        <v>0</v>
      </c>
      <c r="M56" t="n">
        <v>0</v>
      </c>
      <c r="N56" t="n">
        <v>0</v>
      </c>
      <c r="O56" t="n">
        <v>1</v>
      </c>
      <c r="P56" t="n">
        <v>1</v>
      </c>
      <c r="Q56" t="n">
        <v>4</v>
      </c>
      <c r="R56" s="2" t="inlineStr">
        <is>
          <t>Knärot
Vedticka
Fläcknycklar
Nattviol</t>
        </is>
      </c>
      <c r="S56">
        <f>HYPERLINK("https://klasma.github.io/Logging_1907/artfynd/A 25548-2024 artfynd.xlsx", "A 25548-2024")</f>
        <v/>
      </c>
      <c r="T56">
        <f>HYPERLINK("https://klasma.github.io/Logging_1907/kartor/A 25548-2024 karta.png", "A 25548-2024")</f>
        <v/>
      </c>
      <c r="U56">
        <f>HYPERLINK("https://klasma.github.io/Logging_1907/knärot/A 25548-2024 karta knärot.png", "A 25548-2024")</f>
        <v/>
      </c>
      <c r="V56">
        <f>HYPERLINK("https://klasma.github.io/Logging_1907/klagomål/A 25548-2024 FSC-klagomål.docx", "A 25548-2024")</f>
        <v/>
      </c>
      <c r="W56">
        <f>HYPERLINK("https://klasma.github.io/Logging_1907/klagomålsmail/A 25548-2024 FSC-klagomål mail.docx", "A 25548-2024")</f>
        <v/>
      </c>
      <c r="X56">
        <f>HYPERLINK("https://klasma.github.io/Logging_1907/tillsyn/A 25548-2024 tillsynsbegäran.docx", "A 25548-2024")</f>
        <v/>
      </c>
      <c r="Y56">
        <f>HYPERLINK("https://klasma.github.io/Logging_1907/tillsynsmail/A 25548-2024 tillsynsbegäran mail.docx", "A 25548-2024")</f>
        <v/>
      </c>
    </row>
    <row r="57" ht="15" customHeight="1">
      <c r="A57" t="inlineStr">
        <is>
          <t>A 38172-2024</t>
        </is>
      </c>
      <c r="B57" s="1" t="n">
        <v>45545</v>
      </c>
      <c r="C57" s="1" t="n">
        <v>45998</v>
      </c>
      <c r="D57" t="inlineStr">
        <is>
          <t>VÄSTMANLANDS LÄN</t>
        </is>
      </c>
      <c r="E57" t="inlineStr">
        <is>
          <t>SURAHAMMAR</t>
        </is>
      </c>
      <c r="F57" t="inlineStr">
        <is>
          <t>Sveaskog</t>
        </is>
      </c>
      <c r="G57" t="n">
        <v>5.2</v>
      </c>
      <c r="H57" t="n">
        <v>2</v>
      </c>
      <c r="I57" t="n">
        <v>0</v>
      </c>
      <c r="J57" t="n">
        <v>2</v>
      </c>
      <c r="K57" t="n">
        <v>1</v>
      </c>
      <c r="L57" t="n">
        <v>0</v>
      </c>
      <c r="M57" t="n">
        <v>0</v>
      </c>
      <c r="N57" t="n">
        <v>0</v>
      </c>
      <c r="O57" t="n">
        <v>3</v>
      </c>
      <c r="P57" t="n">
        <v>1</v>
      </c>
      <c r="Q57" t="n">
        <v>4</v>
      </c>
      <c r="R57" s="2" t="inlineStr">
        <is>
          <t>Knärot
Gropticka
Vedtrappmossa
Revlummer</t>
        </is>
      </c>
      <c r="S57">
        <f>HYPERLINK("https://klasma.github.io/Logging_1907/artfynd/A 38172-2024 artfynd.xlsx", "A 38172-2024")</f>
        <v/>
      </c>
      <c r="T57">
        <f>HYPERLINK("https://klasma.github.io/Logging_1907/kartor/A 38172-2024 karta.png", "A 38172-2024")</f>
        <v/>
      </c>
      <c r="U57">
        <f>HYPERLINK("https://klasma.github.io/Logging_1907/knärot/A 38172-2024 karta knärot.png", "A 38172-2024")</f>
        <v/>
      </c>
      <c r="V57">
        <f>HYPERLINK("https://klasma.github.io/Logging_1907/klagomål/A 38172-2024 FSC-klagomål.docx", "A 38172-2024")</f>
        <v/>
      </c>
      <c r="W57">
        <f>HYPERLINK("https://klasma.github.io/Logging_1907/klagomålsmail/A 38172-2024 FSC-klagomål mail.docx", "A 38172-2024")</f>
        <v/>
      </c>
      <c r="X57">
        <f>HYPERLINK("https://klasma.github.io/Logging_1907/tillsyn/A 38172-2024 tillsynsbegäran.docx", "A 38172-2024")</f>
        <v/>
      </c>
      <c r="Y57">
        <f>HYPERLINK("https://klasma.github.io/Logging_1907/tillsynsmail/A 38172-2024 tillsynsbegäran mail.docx", "A 38172-2024")</f>
        <v/>
      </c>
    </row>
    <row r="58" ht="15" customHeight="1">
      <c r="A58" t="inlineStr">
        <is>
          <t>A 17686-2025</t>
        </is>
      </c>
      <c r="B58" s="1" t="n">
        <v>45758</v>
      </c>
      <c r="C58" s="1" t="n">
        <v>45998</v>
      </c>
      <c r="D58" t="inlineStr">
        <is>
          <t>VÄSTMANLANDS LÄN</t>
        </is>
      </c>
      <c r="E58" t="inlineStr">
        <is>
          <t>FAGERSTA</t>
        </is>
      </c>
      <c r="G58" t="n">
        <v>4.8</v>
      </c>
      <c r="H58" t="n">
        <v>2</v>
      </c>
      <c r="I58" t="n">
        <v>1</v>
      </c>
      <c r="J58" t="n">
        <v>2</v>
      </c>
      <c r="K58" t="n">
        <v>1</v>
      </c>
      <c r="L58" t="n">
        <v>0</v>
      </c>
      <c r="M58" t="n">
        <v>0</v>
      </c>
      <c r="N58" t="n">
        <v>0</v>
      </c>
      <c r="O58" t="n">
        <v>3</v>
      </c>
      <c r="P58" t="n">
        <v>1</v>
      </c>
      <c r="Q58" t="n">
        <v>4</v>
      </c>
      <c r="R58" s="2" t="inlineStr">
        <is>
          <t>Knärot
Gropticka
Talltita
Vedticka</t>
        </is>
      </c>
      <c r="S58">
        <f>HYPERLINK("https://klasma.github.io/Logging_1982/artfynd/A 17686-2025 artfynd.xlsx", "A 17686-2025")</f>
        <v/>
      </c>
      <c r="T58">
        <f>HYPERLINK("https://klasma.github.io/Logging_1982/kartor/A 17686-2025 karta.png", "A 17686-2025")</f>
        <v/>
      </c>
      <c r="U58">
        <f>HYPERLINK("https://klasma.github.io/Logging_1982/knärot/A 17686-2025 karta knärot.png", "A 17686-2025")</f>
        <v/>
      </c>
      <c r="V58">
        <f>HYPERLINK("https://klasma.github.io/Logging_1982/klagomål/A 17686-2025 FSC-klagomål.docx", "A 17686-2025")</f>
        <v/>
      </c>
      <c r="W58">
        <f>HYPERLINK("https://klasma.github.io/Logging_1982/klagomålsmail/A 17686-2025 FSC-klagomål mail.docx", "A 17686-2025")</f>
        <v/>
      </c>
      <c r="X58">
        <f>HYPERLINK("https://klasma.github.io/Logging_1982/tillsyn/A 17686-2025 tillsynsbegäran.docx", "A 17686-2025")</f>
        <v/>
      </c>
      <c r="Y58">
        <f>HYPERLINK("https://klasma.github.io/Logging_1982/tillsynsmail/A 17686-2025 tillsynsbegäran mail.docx", "A 17686-2025")</f>
        <v/>
      </c>
      <c r="Z58">
        <f>HYPERLINK("https://klasma.github.io/Logging_1982/fåglar/A 17686-2025 prioriterade fågelarter.docx", "A 17686-2025")</f>
        <v/>
      </c>
    </row>
    <row r="59" ht="15" customHeight="1">
      <c r="A59" t="inlineStr">
        <is>
          <t>A 56183-2025</t>
        </is>
      </c>
      <c r="B59" s="1" t="n">
        <v>45974.41212962963</v>
      </c>
      <c r="C59" s="1" t="n">
        <v>45998</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65024-2023</t>
        </is>
      </c>
      <c r="B60" s="1" t="n">
        <v>45282</v>
      </c>
      <c r="C60" s="1" t="n">
        <v>45998</v>
      </c>
      <c r="D60" t="inlineStr">
        <is>
          <t>VÄSTMANLANDS LÄN</t>
        </is>
      </c>
      <c r="E60" t="inlineStr">
        <is>
          <t>SURAHAMMAR</t>
        </is>
      </c>
      <c r="F60" t="inlineStr">
        <is>
          <t>Bergvik skog väst AB</t>
        </is>
      </c>
      <c r="G60" t="n">
        <v>14.9</v>
      </c>
      <c r="H60" t="n">
        <v>2</v>
      </c>
      <c r="I60" t="n">
        <v>1</v>
      </c>
      <c r="J60" t="n">
        <v>3</v>
      </c>
      <c r="K60" t="n">
        <v>0</v>
      </c>
      <c r="L60" t="n">
        <v>0</v>
      </c>
      <c r="M60" t="n">
        <v>0</v>
      </c>
      <c r="N60" t="n">
        <v>0</v>
      </c>
      <c r="O60" t="n">
        <v>3</v>
      </c>
      <c r="P60" t="n">
        <v>0</v>
      </c>
      <c r="Q60" t="n">
        <v>4</v>
      </c>
      <c r="R60" s="2" t="inlineStr">
        <is>
          <t>Gropticka
Spillkråka
Talltita
Blodticka</t>
        </is>
      </c>
      <c r="S60">
        <f>HYPERLINK("https://klasma.github.io/Logging_1907/artfynd/A 65024-2023 artfynd.xlsx", "A 65024-2023")</f>
        <v/>
      </c>
      <c r="T60">
        <f>HYPERLINK("https://klasma.github.io/Logging_1907/kartor/A 65024-2023 karta.png", "A 65024-2023")</f>
        <v/>
      </c>
      <c r="V60">
        <f>HYPERLINK("https://klasma.github.io/Logging_1907/klagomål/A 65024-2023 FSC-klagomål.docx", "A 65024-2023")</f>
        <v/>
      </c>
      <c r="W60">
        <f>HYPERLINK("https://klasma.github.io/Logging_1907/klagomålsmail/A 65024-2023 FSC-klagomål mail.docx", "A 65024-2023")</f>
        <v/>
      </c>
      <c r="X60">
        <f>HYPERLINK("https://klasma.github.io/Logging_1907/tillsyn/A 65024-2023 tillsynsbegäran.docx", "A 65024-2023")</f>
        <v/>
      </c>
      <c r="Y60">
        <f>HYPERLINK("https://klasma.github.io/Logging_1907/tillsynsmail/A 65024-2023 tillsynsbegäran mail.docx", "A 65024-2023")</f>
        <v/>
      </c>
      <c r="Z60">
        <f>HYPERLINK("https://klasma.github.io/Logging_1907/fåglar/A 65024-2023 prioriterade fågelarter.docx", "A 65024-2023")</f>
        <v/>
      </c>
    </row>
    <row r="61" ht="15" customHeight="1">
      <c r="A61" t="inlineStr">
        <is>
          <t>A 53627-2025</t>
        </is>
      </c>
      <c r="B61" s="1" t="n">
        <v>45960.49180555555</v>
      </c>
      <c r="C61" s="1" t="n">
        <v>45998</v>
      </c>
      <c r="D61" t="inlineStr">
        <is>
          <t>VÄSTMANLANDS LÄN</t>
        </is>
      </c>
      <c r="E61" t="inlineStr">
        <is>
          <t>SALA</t>
        </is>
      </c>
      <c r="G61" t="n">
        <v>10.5</v>
      </c>
      <c r="H61" t="n">
        <v>3</v>
      </c>
      <c r="I61" t="n">
        <v>0</v>
      </c>
      <c r="J61" t="n">
        <v>1</v>
      </c>
      <c r="K61" t="n">
        <v>1</v>
      </c>
      <c r="L61" t="n">
        <v>0</v>
      </c>
      <c r="M61" t="n">
        <v>0</v>
      </c>
      <c r="N61" t="n">
        <v>0</v>
      </c>
      <c r="O61" t="n">
        <v>2</v>
      </c>
      <c r="P61" t="n">
        <v>1</v>
      </c>
      <c r="Q61" t="n">
        <v>4</v>
      </c>
      <c r="R61" s="2" t="inlineStr">
        <is>
          <t>Knärot
Brunklöver
Mattlummer
Revlummer</t>
        </is>
      </c>
      <c r="S61">
        <f>HYPERLINK("https://klasma.github.io/Logging_1981/artfynd/A 53627-2025 artfynd.xlsx", "A 53627-2025")</f>
        <v/>
      </c>
      <c r="T61">
        <f>HYPERLINK("https://klasma.github.io/Logging_1981/kartor/A 53627-2025 karta.png", "A 53627-2025")</f>
        <v/>
      </c>
      <c r="U61">
        <f>HYPERLINK("https://klasma.github.io/Logging_1981/knärot/A 53627-2025 karta knärot.png", "A 53627-2025")</f>
        <v/>
      </c>
      <c r="V61">
        <f>HYPERLINK("https://klasma.github.io/Logging_1981/klagomål/A 53627-2025 FSC-klagomål.docx", "A 53627-2025")</f>
        <v/>
      </c>
      <c r="W61">
        <f>HYPERLINK("https://klasma.github.io/Logging_1981/klagomålsmail/A 53627-2025 FSC-klagomål mail.docx", "A 53627-2025")</f>
        <v/>
      </c>
      <c r="X61">
        <f>HYPERLINK("https://klasma.github.io/Logging_1981/tillsyn/A 53627-2025 tillsynsbegäran.docx", "A 53627-2025")</f>
        <v/>
      </c>
      <c r="Y61">
        <f>HYPERLINK("https://klasma.github.io/Logging_1981/tillsynsmail/A 53627-2025 tillsynsbegäran mail.docx", "A 53627-2025")</f>
        <v/>
      </c>
    </row>
    <row r="62" ht="15" customHeight="1">
      <c r="A62" t="inlineStr">
        <is>
          <t>A 58355-2025</t>
        </is>
      </c>
      <c r="B62" s="1" t="n">
        <v>45985.51141203703</v>
      </c>
      <c r="C62" s="1" t="n">
        <v>45998</v>
      </c>
      <c r="D62" t="inlineStr">
        <is>
          <t>VÄSTMANLANDS LÄN</t>
        </is>
      </c>
      <c r="E62" t="inlineStr">
        <is>
          <t>SKINNSKATTEBERG</t>
        </is>
      </c>
      <c r="F62" t="inlineStr">
        <is>
          <t>Sveaskog</t>
        </is>
      </c>
      <c r="G62" t="n">
        <v>1.9</v>
      </c>
      <c r="H62" t="n">
        <v>0</v>
      </c>
      <c r="I62" t="n">
        <v>1</v>
      </c>
      <c r="J62" t="n">
        <v>3</v>
      </c>
      <c r="K62" t="n">
        <v>0</v>
      </c>
      <c r="L62" t="n">
        <v>0</v>
      </c>
      <c r="M62" t="n">
        <v>0</v>
      </c>
      <c r="N62" t="n">
        <v>0</v>
      </c>
      <c r="O62" t="n">
        <v>3</v>
      </c>
      <c r="P62" t="n">
        <v>0</v>
      </c>
      <c r="Q62" t="n">
        <v>4</v>
      </c>
      <c r="R62" s="2" t="inlineStr">
        <is>
          <t>Brunpudrad nållav
Granticka
Vedtrappmossa
Brandticka</t>
        </is>
      </c>
      <c r="S62">
        <f>HYPERLINK("https://klasma.github.io/Logging_1904/artfynd/A 58355-2025 artfynd.xlsx", "A 58355-2025")</f>
        <v/>
      </c>
      <c r="T62">
        <f>HYPERLINK("https://klasma.github.io/Logging_1904/kartor/A 58355-2025 karta.png", "A 58355-2025")</f>
        <v/>
      </c>
      <c r="V62">
        <f>HYPERLINK("https://klasma.github.io/Logging_1904/klagomål/A 58355-2025 FSC-klagomål.docx", "A 58355-2025")</f>
        <v/>
      </c>
      <c r="W62">
        <f>HYPERLINK("https://klasma.github.io/Logging_1904/klagomålsmail/A 58355-2025 FSC-klagomål mail.docx", "A 58355-2025")</f>
        <v/>
      </c>
      <c r="X62">
        <f>HYPERLINK("https://klasma.github.io/Logging_1904/tillsyn/A 58355-2025 tillsynsbegäran.docx", "A 58355-2025")</f>
        <v/>
      </c>
      <c r="Y62">
        <f>HYPERLINK("https://klasma.github.io/Logging_1904/tillsynsmail/A 58355-2025 tillsynsbegäran mail.docx", "A 58355-2025")</f>
        <v/>
      </c>
    </row>
    <row r="63" ht="15" customHeight="1">
      <c r="A63" t="inlineStr">
        <is>
          <t>A 10344-2025</t>
        </is>
      </c>
      <c r="B63" s="1" t="n">
        <v>45720</v>
      </c>
      <c r="C63" s="1" t="n">
        <v>45998</v>
      </c>
      <c r="D63" t="inlineStr">
        <is>
          <t>VÄSTMANLANDS LÄN</t>
        </is>
      </c>
      <c r="E63" t="inlineStr">
        <is>
          <t>SALA</t>
        </is>
      </c>
      <c r="G63" t="n">
        <v>4.2</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10344-2025 artfynd.xlsx", "A 10344-2025")</f>
        <v/>
      </c>
      <c r="T63">
        <f>HYPERLINK("https://klasma.github.io/Logging_1981/kartor/A 10344-2025 karta.png", "A 10344-2025")</f>
        <v/>
      </c>
      <c r="U63">
        <f>HYPERLINK("https://klasma.github.io/Logging_1981/knärot/A 10344-2025 karta knärot.png", "A 10344-2025")</f>
        <v/>
      </c>
      <c r="V63">
        <f>HYPERLINK("https://klasma.github.io/Logging_1981/klagomål/A 10344-2025 FSC-klagomål.docx", "A 10344-2025")</f>
        <v/>
      </c>
      <c r="W63">
        <f>HYPERLINK("https://klasma.github.io/Logging_1981/klagomålsmail/A 10344-2025 FSC-klagomål mail.docx", "A 10344-2025")</f>
        <v/>
      </c>
      <c r="X63">
        <f>HYPERLINK("https://klasma.github.io/Logging_1981/tillsyn/A 10344-2025 tillsynsbegäran.docx", "A 10344-2025")</f>
        <v/>
      </c>
      <c r="Y63">
        <f>HYPERLINK("https://klasma.github.io/Logging_1981/tillsynsmail/A 10344-2025 tillsynsbegäran mail.docx", "A 10344-2025")</f>
        <v/>
      </c>
      <c r="Z63">
        <f>HYPERLINK("https://klasma.github.io/Logging_1981/fåglar/A 10344-2025 prioriterade fågelarter.docx", "A 10344-2025")</f>
        <v/>
      </c>
    </row>
    <row r="64" ht="15" customHeight="1">
      <c r="A64" t="inlineStr">
        <is>
          <t>A 48891-2023</t>
        </is>
      </c>
      <c r="B64" s="1" t="n">
        <v>45203</v>
      </c>
      <c r="C64" s="1" t="n">
        <v>45998</v>
      </c>
      <c r="D64" t="inlineStr">
        <is>
          <t>VÄSTMANLANDS LÄN</t>
        </is>
      </c>
      <c r="E64" t="inlineStr">
        <is>
          <t>SURAHAMMAR</t>
        </is>
      </c>
      <c r="F64" t="inlineStr">
        <is>
          <t>Bergvik skog väst AB</t>
        </is>
      </c>
      <c r="G64" t="n">
        <v>2.9</v>
      </c>
      <c r="H64" t="n">
        <v>3</v>
      </c>
      <c r="I64" t="n">
        <v>1</v>
      </c>
      <c r="J64" t="n">
        <v>1</v>
      </c>
      <c r="K64" t="n">
        <v>1</v>
      </c>
      <c r="L64" t="n">
        <v>0</v>
      </c>
      <c r="M64" t="n">
        <v>0</v>
      </c>
      <c r="N64" t="n">
        <v>0</v>
      </c>
      <c r="O64" t="n">
        <v>2</v>
      </c>
      <c r="P64" t="n">
        <v>1</v>
      </c>
      <c r="Q64" t="n">
        <v>4</v>
      </c>
      <c r="R64" s="2" t="inlineStr">
        <is>
          <t>Knärot
Spillkråka
Flagellkvastmossa
Gröngöling</t>
        </is>
      </c>
      <c r="S64">
        <f>HYPERLINK("https://klasma.github.io/Logging_1907/artfynd/A 48891-2023 artfynd.xlsx", "A 48891-2023")</f>
        <v/>
      </c>
      <c r="T64">
        <f>HYPERLINK("https://klasma.github.io/Logging_1907/kartor/A 48891-2023 karta.png", "A 48891-2023")</f>
        <v/>
      </c>
      <c r="U64">
        <f>HYPERLINK("https://klasma.github.io/Logging_1907/knärot/A 48891-2023 karta knärot.png", "A 48891-2023")</f>
        <v/>
      </c>
      <c r="V64">
        <f>HYPERLINK("https://klasma.github.io/Logging_1907/klagomål/A 48891-2023 FSC-klagomål.docx", "A 48891-2023")</f>
        <v/>
      </c>
      <c r="W64">
        <f>HYPERLINK("https://klasma.github.io/Logging_1907/klagomålsmail/A 48891-2023 FSC-klagomål mail.docx", "A 48891-2023")</f>
        <v/>
      </c>
      <c r="X64">
        <f>HYPERLINK("https://klasma.github.io/Logging_1907/tillsyn/A 48891-2023 tillsynsbegäran.docx", "A 48891-2023")</f>
        <v/>
      </c>
      <c r="Y64">
        <f>HYPERLINK("https://klasma.github.io/Logging_1907/tillsynsmail/A 48891-2023 tillsynsbegäran mail.docx", "A 48891-2023")</f>
        <v/>
      </c>
      <c r="Z64">
        <f>HYPERLINK("https://klasma.github.io/Logging_1907/fåglar/A 48891-2023 prioriterade fågelarter.docx", "A 48891-2023")</f>
        <v/>
      </c>
    </row>
    <row r="65" ht="15" customHeight="1">
      <c r="A65" t="inlineStr">
        <is>
          <t>A 58654-2023</t>
        </is>
      </c>
      <c r="B65" s="1" t="n">
        <v>45251</v>
      </c>
      <c r="C65" s="1" t="n">
        <v>45998</v>
      </c>
      <c r="D65" t="inlineStr">
        <is>
          <t>VÄSTMANLANDS LÄN</t>
        </is>
      </c>
      <c r="E65" t="inlineStr">
        <is>
          <t>KÖPING</t>
        </is>
      </c>
      <c r="G65" t="n">
        <v>10.6</v>
      </c>
      <c r="H65" t="n">
        <v>1</v>
      </c>
      <c r="I65" t="n">
        <v>1</v>
      </c>
      <c r="J65" t="n">
        <v>3</v>
      </c>
      <c r="K65" t="n">
        <v>0</v>
      </c>
      <c r="L65" t="n">
        <v>0</v>
      </c>
      <c r="M65" t="n">
        <v>0</v>
      </c>
      <c r="N65" t="n">
        <v>0</v>
      </c>
      <c r="O65" t="n">
        <v>3</v>
      </c>
      <c r="P65" t="n">
        <v>0</v>
      </c>
      <c r="Q65" t="n">
        <v>4</v>
      </c>
      <c r="R65" s="2" t="inlineStr">
        <is>
          <t>Gropticka
Tretåig hackspett
Ullticka
Blåmossa</t>
        </is>
      </c>
      <c r="S65">
        <f>HYPERLINK("https://klasma.github.io/Logging_1983/artfynd/A 58654-2023 artfynd.xlsx", "A 58654-2023")</f>
        <v/>
      </c>
      <c r="T65">
        <f>HYPERLINK("https://klasma.github.io/Logging_1983/kartor/A 58654-2023 karta.png", "A 58654-2023")</f>
        <v/>
      </c>
      <c r="V65">
        <f>HYPERLINK("https://klasma.github.io/Logging_1983/klagomål/A 58654-2023 FSC-klagomål.docx", "A 58654-2023")</f>
        <v/>
      </c>
      <c r="W65">
        <f>HYPERLINK("https://klasma.github.io/Logging_1983/klagomålsmail/A 58654-2023 FSC-klagomål mail.docx", "A 58654-2023")</f>
        <v/>
      </c>
      <c r="X65">
        <f>HYPERLINK("https://klasma.github.io/Logging_1983/tillsyn/A 58654-2023 tillsynsbegäran.docx", "A 58654-2023")</f>
        <v/>
      </c>
      <c r="Y65">
        <f>HYPERLINK("https://klasma.github.io/Logging_1983/tillsynsmail/A 58654-2023 tillsynsbegäran mail.docx", "A 58654-2023")</f>
        <v/>
      </c>
      <c r="Z65">
        <f>HYPERLINK("https://klasma.github.io/Logging_1983/fåglar/A 58654-2023 prioriterade fågelarter.docx", "A 58654-2023")</f>
        <v/>
      </c>
    </row>
    <row r="66" ht="15" customHeight="1">
      <c r="A66" t="inlineStr">
        <is>
          <t>A 53009-2024</t>
        </is>
      </c>
      <c r="B66" s="1" t="n">
        <v>45610</v>
      </c>
      <c r="C66" s="1" t="n">
        <v>45998</v>
      </c>
      <c r="D66" t="inlineStr">
        <is>
          <t>VÄSTMANLANDS LÄN</t>
        </is>
      </c>
      <c r="E66" t="inlineStr">
        <is>
          <t>SALA</t>
        </is>
      </c>
      <c r="G66" t="n">
        <v>2</v>
      </c>
      <c r="H66" t="n">
        <v>2</v>
      </c>
      <c r="I66" t="n">
        <v>1</v>
      </c>
      <c r="J66" t="n">
        <v>1</v>
      </c>
      <c r="K66" t="n">
        <v>1</v>
      </c>
      <c r="L66" t="n">
        <v>0</v>
      </c>
      <c r="M66" t="n">
        <v>0</v>
      </c>
      <c r="N66" t="n">
        <v>0</v>
      </c>
      <c r="O66" t="n">
        <v>2</v>
      </c>
      <c r="P66" t="n">
        <v>1</v>
      </c>
      <c r="Q66" t="n">
        <v>4</v>
      </c>
      <c r="R66" s="2" t="inlineStr">
        <is>
          <t>Knärot
Dvärgbägarlav
Flagellkvastmossa
Fläcknycklar</t>
        </is>
      </c>
      <c r="S66">
        <f>HYPERLINK("https://klasma.github.io/Logging_1981/artfynd/A 53009-2024 artfynd.xlsx", "A 53009-2024")</f>
        <v/>
      </c>
      <c r="T66">
        <f>HYPERLINK("https://klasma.github.io/Logging_1981/kartor/A 53009-2024 karta.png", "A 53009-2024")</f>
        <v/>
      </c>
      <c r="U66">
        <f>HYPERLINK("https://klasma.github.io/Logging_1981/knärot/A 53009-2024 karta knärot.png", "A 53009-2024")</f>
        <v/>
      </c>
      <c r="V66">
        <f>HYPERLINK("https://klasma.github.io/Logging_1981/klagomål/A 53009-2024 FSC-klagomål.docx", "A 53009-2024")</f>
        <v/>
      </c>
      <c r="W66">
        <f>HYPERLINK("https://klasma.github.io/Logging_1981/klagomålsmail/A 53009-2024 FSC-klagomål mail.docx", "A 53009-2024")</f>
        <v/>
      </c>
      <c r="X66">
        <f>HYPERLINK("https://klasma.github.io/Logging_1981/tillsyn/A 53009-2024 tillsynsbegäran.docx", "A 53009-2024")</f>
        <v/>
      </c>
      <c r="Y66">
        <f>HYPERLINK("https://klasma.github.io/Logging_1981/tillsynsmail/A 53009-2024 tillsynsbegäran mail.docx", "A 53009-2024")</f>
        <v/>
      </c>
    </row>
    <row r="67" ht="15" customHeight="1">
      <c r="A67" t="inlineStr">
        <is>
          <t>A 4105-2025</t>
        </is>
      </c>
      <c r="B67" s="1" t="n">
        <v>45684</v>
      </c>
      <c r="C67" s="1" t="n">
        <v>45998</v>
      </c>
      <c r="D67" t="inlineStr">
        <is>
          <t>VÄSTMANLANDS LÄN</t>
        </is>
      </c>
      <c r="E67" t="inlineStr">
        <is>
          <t>SURAHAMMAR</t>
        </is>
      </c>
      <c r="F67" t="inlineStr">
        <is>
          <t>Bergvik skog väst AB</t>
        </is>
      </c>
      <c r="G67" t="n">
        <v>14.7</v>
      </c>
      <c r="H67" t="n">
        <v>3</v>
      </c>
      <c r="I67" t="n">
        <v>0</v>
      </c>
      <c r="J67" t="n">
        <v>2</v>
      </c>
      <c r="K67" t="n">
        <v>1</v>
      </c>
      <c r="L67" t="n">
        <v>0</v>
      </c>
      <c r="M67" t="n">
        <v>0</v>
      </c>
      <c r="N67" t="n">
        <v>0</v>
      </c>
      <c r="O67" t="n">
        <v>3</v>
      </c>
      <c r="P67" t="n">
        <v>1</v>
      </c>
      <c r="Q67" t="n">
        <v>4</v>
      </c>
      <c r="R67" s="2" t="inlineStr">
        <is>
          <t>Knärot
Havsörn
Ullticka
Revlummer</t>
        </is>
      </c>
      <c r="S67">
        <f>HYPERLINK("https://klasma.github.io/Logging_1907/artfynd/A 4105-2025 artfynd.xlsx", "A 4105-2025")</f>
        <v/>
      </c>
      <c r="T67">
        <f>HYPERLINK("https://klasma.github.io/Logging_1907/kartor/A 4105-2025 karta.png", "A 4105-2025")</f>
        <v/>
      </c>
      <c r="U67">
        <f>HYPERLINK("https://klasma.github.io/Logging_1907/knärot/A 4105-2025 karta knärot.png", "A 4105-2025")</f>
        <v/>
      </c>
      <c r="V67">
        <f>HYPERLINK("https://klasma.github.io/Logging_1907/klagomål/A 4105-2025 FSC-klagomål.docx", "A 4105-2025")</f>
        <v/>
      </c>
      <c r="W67">
        <f>HYPERLINK("https://klasma.github.io/Logging_1907/klagomålsmail/A 4105-2025 FSC-klagomål mail.docx", "A 4105-2025")</f>
        <v/>
      </c>
      <c r="X67">
        <f>HYPERLINK("https://klasma.github.io/Logging_1907/tillsyn/A 4105-2025 tillsynsbegäran.docx", "A 4105-2025")</f>
        <v/>
      </c>
      <c r="Y67">
        <f>HYPERLINK("https://klasma.github.io/Logging_1907/tillsynsmail/A 4105-2025 tillsynsbegäran mail.docx", "A 4105-2025")</f>
        <v/>
      </c>
      <c r="Z67">
        <f>HYPERLINK("https://klasma.github.io/Logging_1907/fåglar/A 4105-2025 prioriterade fågelarter.docx", "A 4105-2025")</f>
        <v/>
      </c>
    </row>
    <row r="68" ht="15" customHeight="1">
      <c r="A68" t="inlineStr">
        <is>
          <t>A 28438-2022</t>
        </is>
      </c>
      <c r="B68" s="1" t="n">
        <v>44747</v>
      </c>
      <c r="C68" s="1" t="n">
        <v>45998</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45998</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45998</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45998</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45998</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45998</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14265-2025</t>
        </is>
      </c>
      <c r="B74" s="1" t="n">
        <v>45740</v>
      </c>
      <c r="C74" s="1" t="n">
        <v>45998</v>
      </c>
      <c r="D74" t="inlineStr">
        <is>
          <t>VÄSTMANLANDS LÄN</t>
        </is>
      </c>
      <c r="E74" t="inlineStr">
        <is>
          <t>VÄSTERÅS</t>
        </is>
      </c>
      <c r="G74" t="n">
        <v>2.1</v>
      </c>
      <c r="H74" t="n">
        <v>2</v>
      </c>
      <c r="I74" t="n">
        <v>0</v>
      </c>
      <c r="J74" t="n">
        <v>1</v>
      </c>
      <c r="K74" t="n">
        <v>1</v>
      </c>
      <c r="L74" t="n">
        <v>0</v>
      </c>
      <c r="M74" t="n">
        <v>0</v>
      </c>
      <c r="N74" t="n">
        <v>0</v>
      </c>
      <c r="O74" t="n">
        <v>2</v>
      </c>
      <c r="P74" t="n">
        <v>1</v>
      </c>
      <c r="Q74" t="n">
        <v>3</v>
      </c>
      <c r="R74" s="2" t="inlineStr">
        <is>
          <t>Knärot
Tallticka
Blåsippa</t>
        </is>
      </c>
      <c r="S74">
        <f>HYPERLINK("https://klasma.github.io/Logging_1980/artfynd/A 14265-2025 artfynd.xlsx", "A 14265-2025")</f>
        <v/>
      </c>
      <c r="T74">
        <f>HYPERLINK("https://klasma.github.io/Logging_1980/kartor/A 14265-2025 karta.png", "A 14265-2025")</f>
        <v/>
      </c>
      <c r="U74">
        <f>HYPERLINK("https://klasma.github.io/Logging_1980/knärot/A 14265-2025 karta knärot.png", "A 14265-2025")</f>
        <v/>
      </c>
      <c r="V74">
        <f>HYPERLINK("https://klasma.github.io/Logging_1980/klagomål/A 14265-2025 FSC-klagomål.docx", "A 14265-2025")</f>
        <v/>
      </c>
      <c r="W74">
        <f>HYPERLINK("https://klasma.github.io/Logging_1980/klagomålsmail/A 14265-2025 FSC-klagomål mail.docx", "A 14265-2025")</f>
        <v/>
      </c>
      <c r="X74">
        <f>HYPERLINK("https://klasma.github.io/Logging_1980/tillsyn/A 14265-2025 tillsynsbegäran.docx", "A 14265-2025")</f>
        <v/>
      </c>
      <c r="Y74">
        <f>HYPERLINK("https://klasma.github.io/Logging_1980/tillsynsmail/A 14265-2025 tillsynsbegäran mail.docx", "A 14265-2025")</f>
        <v/>
      </c>
    </row>
    <row r="75" ht="15" customHeight="1">
      <c r="A75" t="inlineStr">
        <is>
          <t>A 35461-2024</t>
        </is>
      </c>
      <c r="B75" s="1" t="n">
        <v>45531</v>
      </c>
      <c r="C75" s="1" t="n">
        <v>45998</v>
      </c>
      <c r="D75" t="inlineStr">
        <is>
          <t>VÄSTMANLANDS LÄN</t>
        </is>
      </c>
      <c r="E75" t="inlineStr">
        <is>
          <t>SALA</t>
        </is>
      </c>
      <c r="G75" t="n">
        <v>4.4</v>
      </c>
      <c r="H75" t="n">
        <v>2</v>
      </c>
      <c r="I75" t="n">
        <v>1</v>
      </c>
      <c r="J75" t="n">
        <v>2</v>
      </c>
      <c r="K75" t="n">
        <v>0</v>
      </c>
      <c r="L75" t="n">
        <v>0</v>
      </c>
      <c r="M75" t="n">
        <v>0</v>
      </c>
      <c r="N75" t="n">
        <v>0</v>
      </c>
      <c r="O75" t="n">
        <v>2</v>
      </c>
      <c r="P75" t="n">
        <v>0</v>
      </c>
      <c r="Q75" t="n">
        <v>3</v>
      </c>
      <c r="R75" s="2" t="inlineStr">
        <is>
          <t>Duvhök
Talltita
Grönpyrola</t>
        </is>
      </c>
      <c r="S75">
        <f>HYPERLINK("https://klasma.github.io/Logging_1981/artfynd/A 35461-2024 artfynd.xlsx", "A 35461-2024")</f>
        <v/>
      </c>
      <c r="T75">
        <f>HYPERLINK("https://klasma.github.io/Logging_1981/kartor/A 35461-2024 karta.png", "A 35461-2024")</f>
        <v/>
      </c>
      <c r="V75">
        <f>HYPERLINK("https://klasma.github.io/Logging_1981/klagomål/A 35461-2024 FSC-klagomål.docx", "A 35461-2024")</f>
        <v/>
      </c>
      <c r="W75">
        <f>HYPERLINK("https://klasma.github.io/Logging_1981/klagomålsmail/A 35461-2024 FSC-klagomål mail.docx", "A 35461-2024")</f>
        <v/>
      </c>
      <c r="X75">
        <f>HYPERLINK("https://klasma.github.io/Logging_1981/tillsyn/A 35461-2024 tillsynsbegäran.docx", "A 35461-2024")</f>
        <v/>
      </c>
      <c r="Y75">
        <f>HYPERLINK("https://klasma.github.io/Logging_1981/tillsynsmail/A 35461-2024 tillsynsbegäran mail.docx", "A 35461-2024")</f>
        <v/>
      </c>
      <c r="Z75">
        <f>HYPERLINK("https://klasma.github.io/Logging_1981/fåglar/A 35461-2024 prioriterade fågelarter.docx", "A 35461-2024")</f>
        <v/>
      </c>
    </row>
    <row r="76" ht="15" customHeight="1">
      <c r="A76" t="inlineStr">
        <is>
          <t>A 65300-2021</t>
        </is>
      </c>
      <c r="B76" s="1" t="n">
        <v>44515</v>
      </c>
      <c r="C76" s="1" t="n">
        <v>45998</v>
      </c>
      <c r="D76" t="inlineStr">
        <is>
          <t>VÄSTMANLANDS LÄN</t>
        </is>
      </c>
      <c r="E76" t="inlineStr">
        <is>
          <t>SKINNSKATTEBERG</t>
        </is>
      </c>
      <c r="G76" t="n">
        <v>30.2</v>
      </c>
      <c r="H76" t="n">
        <v>1</v>
      </c>
      <c r="I76" t="n">
        <v>2</v>
      </c>
      <c r="J76" t="n">
        <v>0</v>
      </c>
      <c r="K76" t="n">
        <v>0</v>
      </c>
      <c r="L76" t="n">
        <v>0</v>
      </c>
      <c r="M76" t="n">
        <v>0</v>
      </c>
      <c r="N76" t="n">
        <v>0</v>
      </c>
      <c r="O76" t="n">
        <v>0</v>
      </c>
      <c r="P76" t="n">
        <v>0</v>
      </c>
      <c r="Q76" t="n">
        <v>3</v>
      </c>
      <c r="R76" s="2" t="inlineStr">
        <is>
          <t>Jättesvampmal
Platt fjädermossa
Blåsippa</t>
        </is>
      </c>
      <c r="S76">
        <f>HYPERLINK("https://klasma.github.io/Logging_1904/artfynd/A 65300-2021 artfynd.xlsx", "A 65300-2021")</f>
        <v/>
      </c>
      <c r="T76">
        <f>HYPERLINK("https://klasma.github.io/Logging_1904/kartor/A 65300-2021 karta.png", "A 65300-2021")</f>
        <v/>
      </c>
      <c r="V76">
        <f>HYPERLINK("https://klasma.github.io/Logging_1904/klagomål/A 65300-2021 FSC-klagomål.docx", "A 65300-2021")</f>
        <v/>
      </c>
      <c r="W76">
        <f>HYPERLINK("https://klasma.github.io/Logging_1904/klagomålsmail/A 65300-2021 FSC-klagomål mail.docx", "A 65300-2021")</f>
        <v/>
      </c>
      <c r="X76">
        <f>HYPERLINK("https://klasma.github.io/Logging_1904/tillsyn/A 65300-2021 tillsynsbegäran.docx", "A 65300-2021")</f>
        <v/>
      </c>
      <c r="Y76">
        <f>HYPERLINK("https://klasma.github.io/Logging_1904/tillsynsmail/A 65300-2021 tillsynsbegäran mail.docx", "A 65300-2021")</f>
        <v/>
      </c>
    </row>
    <row r="77" ht="15" customHeight="1">
      <c r="A77" t="inlineStr">
        <is>
          <t>A 62471-2023</t>
        </is>
      </c>
      <c r="B77" s="1" t="n">
        <v>45268</v>
      </c>
      <c r="C77" s="1" t="n">
        <v>45998</v>
      </c>
      <c r="D77" t="inlineStr">
        <is>
          <t>VÄSTMANLANDS LÄN</t>
        </is>
      </c>
      <c r="E77" t="inlineStr">
        <is>
          <t>NORBERG</t>
        </is>
      </c>
      <c r="G77" t="n">
        <v>5.3</v>
      </c>
      <c r="H77" t="n">
        <v>0</v>
      </c>
      <c r="I77" t="n">
        <v>2</v>
      </c>
      <c r="J77" t="n">
        <v>1</v>
      </c>
      <c r="K77" t="n">
        <v>0</v>
      </c>
      <c r="L77" t="n">
        <v>0</v>
      </c>
      <c r="M77" t="n">
        <v>0</v>
      </c>
      <c r="N77" t="n">
        <v>0</v>
      </c>
      <c r="O77" t="n">
        <v>1</v>
      </c>
      <c r="P77" t="n">
        <v>0</v>
      </c>
      <c r="Q77" t="n">
        <v>3</v>
      </c>
      <c r="R77" s="2" t="inlineStr">
        <is>
          <t>Orange taggsvamp
Kryddspindling
Zontaggsvamp</t>
        </is>
      </c>
      <c r="S77">
        <f>HYPERLINK("https://klasma.github.io/Logging_1962/artfynd/A 62471-2023 artfynd.xlsx", "A 62471-2023")</f>
        <v/>
      </c>
      <c r="T77">
        <f>HYPERLINK("https://klasma.github.io/Logging_1962/kartor/A 62471-2023 karta.png", "A 62471-2023")</f>
        <v/>
      </c>
      <c r="V77">
        <f>HYPERLINK("https://klasma.github.io/Logging_1962/klagomål/A 62471-2023 FSC-klagomål.docx", "A 62471-2023")</f>
        <v/>
      </c>
      <c r="W77">
        <f>HYPERLINK("https://klasma.github.io/Logging_1962/klagomålsmail/A 62471-2023 FSC-klagomål mail.docx", "A 62471-2023")</f>
        <v/>
      </c>
      <c r="X77">
        <f>HYPERLINK("https://klasma.github.io/Logging_1962/tillsyn/A 62471-2023 tillsynsbegäran.docx", "A 62471-2023")</f>
        <v/>
      </c>
      <c r="Y77">
        <f>HYPERLINK("https://klasma.github.io/Logging_1962/tillsynsmail/A 62471-2023 tillsynsbegäran mail.docx", "A 62471-2023")</f>
        <v/>
      </c>
    </row>
    <row r="78" ht="15" customHeight="1">
      <c r="A78" t="inlineStr">
        <is>
          <t>A 62768-2021</t>
        </is>
      </c>
      <c r="B78" s="1" t="n">
        <v>44504</v>
      </c>
      <c r="C78" s="1" t="n">
        <v>45998</v>
      </c>
      <c r="D78" t="inlineStr">
        <is>
          <t>VÄSTMANLANDS LÄN</t>
        </is>
      </c>
      <c r="E78" t="inlineStr">
        <is>
          <t>SALA</t>
        </is>
      </c>
      <c r="G78" t="n">
        <v>12.9</v>
      </c>
      <c r="H78" t="n">
        <v>1</v>
      </c>
      <c r="I78" t="n">
        <v>1</v>
      </c>
      <c r="J78" t="n">
        <v>1</v>
      </c>
      <c r="K78" t="n">
        <v>1</v>
      </c>
      <c r="L78" t="n">
        <v>0</v>
      </c>
      <c r="M78" t="n">
        <v>0</v>
      </c>
      <c r="N78" t="n">
        <v>0</v>
      </c>
      <c r="O78" t="n">
        <v>2</v>
      </c>
      <c r="P78" t="n">
        <v>1</v>
      </c>
      <c r="Q78" t="n">
        <v>3</v>
      </c>
      <c r="R78" s="2" t="inlineStr">
        <is>
          <t>Knärot
Vedtrappmossa
Grönpyrola</t>
        </is>
      </c>
      <c r="S78">
        <f>HYPERLINK("https://klasma.github.io/Logging_1981/artfynd/A 62768-2021 artfynd.xlsx", "A 62768-2021")</f>
        <v/>
      </c>
      <c r="T78">
        <f>HYPERLINK("https://klasma.github.io/Logging_1981/kartor/A 62768-2021 karta.png", "A 62768-2021")</f>
        <v/>
      </c>
      <c r="U78">
        <f>HYPERLINK("https://klasma.github.io/Logging_1981/knärot/A 62768-2021 karta knärot.png", "A 62768-2021")</f>
        <v/>
      </c>
      <c r="V78">
        <f>HYPERLINK("https://klasma.github.io/Logging_1981/klagomål/A 62768-2021 FSC-klagomål.docx", "A 62768-2021")</f>
        <v/>
      </c>
      <c r="W78">
        <f>HYPERLINK("https://klasma.github.io/Logging_1981/klagomålsmail/A 62768-2021 FSC-klagomål mail.docx", "A 62768-2021")</f>
        <v/>
      </c>
      <c r="X78">
        <f>HYPERLINK("https://klasma.github.io/Logging_1981/tillsyn/A 62768-2021 tillsynsbegäran.docx", "A 62768-2021")</f>
        <v/>
      </c>
      <c r="Y78">
        <f>HYPERLINK("https://klasma.github.io/Logging_1981/tillsynsmail/A 62768-2021 tillsynsbegäran mail.docx", "A 62768-2021")</f>
        <v/>
      </c>
    </row>
    <row r="79" ht="15" customHeight="1">
      <c r="A79" t="inlineStr">
        <is>
          <t>A 40493-2024</t>
        </is>
      </c>
      <c r="B79" s="1" t="n">
        <v>45555</v>
      </c>
      <c r="C79" s="1" t="n">
        <v>45998</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42853-2022</t>
        </is>
      </c>
      <c r="B80" s="1" t="n">
        <v>44832</v>
      </c>
      <c r="C80" s="1" t="n">
        <v>45998</v>
      </c>
      <c r="D80" t="inlineStr">
        <is>
          <t>VÄSTMANLANDS LÄN</t>
        </is>
      </c>
      <c r="E80" t="inlineStr">
        <is>
          <t>SURAHAMMAR</t>
        </is>
      </c>
      <c r="G80" t="n">
        <v>7.4</v>
      </c>
      <c r="H80" t="n">
        <v>1</v>
      </c>
      <c r="I80" t="n">
        <v>1</v>
      </c>
      <c r="J80" t="n">
        <v>1</v>
      </c>
      <c r="K80" t="n">
        <v>0</v>
      </c>
      <c r="L80" t="n">
        <v>1</v>
      </c>
      <c r="M80" t="n">
        <v>0</v>
      </c>
      <c r="N80" t="n">
        <v>0</v>
      </c>
      <c r="O80" t="n">
        <v>2</v>
      </c>
      <c r="P80" t="n">
        <v>1</v>
      </c>
      <c r="Q80" t="n">
        <v>3</v>
      </c>
      <c r="R80" s="2" t="inlineStr">
        <is>
          <t>Ask
Kandelabersvamp
Tvåblad</t>
        </is>
      </c>
      <c r="S80">
        <f>HYPERLINK("https://klasma.github.io/Logging_1907/artfynd/A 42853-2022 artfynd.xlsx", "A 42853-2022")</f>
        <v/>
      </c>
      <c r="T80">
        <f>HYPERLINK("https://klasma.github.io/Logging_1907/kartor/A 42853-2022 karta.png", "A 42853-2022")</f>
        <v/>
      </c>
      <c r="V80">
        <f>HYPERLINK("https://klasma.github.io/Logging_1907/klagomål/A 42853-2022 FSC-klagomål.docx", "A 42853-2022")</f>
        <v/>
      </c>
      <c r="W80">
        <f>HYPERLINK("https://klasma.github.io/Logging_1907/klagomålsmail/A 42853-2022 FSC-klagomål mail.docx", "A 42853-2022")</f>
        <v/>
      </c>
      <c r="X80">
        <f>HYPERLINK("https://klasma.github.io/Logging_1907/tillsyn/A 42853-2022 tillsynsbegäran.docx", "A 42853-2022")</f>
        <v/>
      </c>
      <c r="Y80">
        <f>HYPERLINK("https://klasma.github.io/Logging_1907/tillsynsmail/A 42853-2022 tillsynsbegäran mail.docx", "A 42853-2022")</f>
        <v/>
      </c>
    </row>
    <row r="81" ht="15" customHeight="1">
      <c r="A81" t="inlineStr">
        <is>
          <t>A 64735-2023</t>
        </is>
      </c>
      <c r="B81" s="1" t="n">
        <v>45281</v>
      </c>
      <c r="C81" s="1" t="n">
        <v>45998</v>
      </c>
      <c r="D81" t="inlineStr">
        <is>
          <t>VÄSTMANLANDS LÄN</t>
        </is>
      </c>
      <c r="E81" t="inlineStr">
        <is>
          <t>VÄSTERÅS</t>
        </is>
      </c>
      <c r="F81" t="inlineStr">
        <is>
          <t>Övriga Aktiebolag</t>
        </is>
      </c>
      <c r="G81" t="n">
        <v>12.5</v>
      </c>
      <c r="H81" t="n">
        <v>2</v>
      </c>
      <c r="I81" t="n">
        <v>0</v>
      </c>
      <c r="J81" t="n">
        <v>1</v>
      </c>
      <c r="K81" t="n">
        <v>1</v>
      </c>
      <c r="L81" t="n">
        <v>0</v>
      </c>
      <c r="M81" t="n">
        <v>0</v>
      </c>
      <c r="N81" t="n">
        <v>0</v>
      </c>
      <c r="O81" t="n">
        <v>2</v>
      </c>
      <c r="P81" t="n">
        <v>1</v>
      </c>
      <c r="Q81" t="n">
        <v>3</v>
      </c>
      <c r="R81" s="2" t="inlineStr">
        <is>
          <t>Backsippa
Vårstarr
Gullviva</t>
        </is>
      </c>
      <c r="S81">
        <f>HYPERLINK("https://klasma.github.io/Logging_1980/artfynd/A 64735-2023 artfynd.xlsx", "A 64735-2023")</f>
        <v/>
      </c>
      <c r="T81">
        <f>HYPERLINK("https://klasma.github.io/Logging_1980/kartor/A 64735-2023 karta.png", "A 64735-2023")</f>
        <v/>
      </c>
      <c r="V81">
        <f>HYPERLINK("https://klasma.github.io/Logging_1980/klagomål/A 64735-2023 FSC-klagomål.docx", "A 64735-2023")</f>
        <v/>
      </c>
      <c r="W81">
        <f>HYPERLINK("https://klasma.github.io/Logging_1980/klagomålsmail/A 64735-2023 FSC-klagomål mail.docx", "A 64735-2023")</f>
        <v/>
      </c>
      <c r="X81">
        <f>HYPERLINK("https://klasma.github.io/Logging_1980/tillsyn/A 64735-2023 tillsynsbegäran.docx", "A 64735-2023")</f>
        <v/>
      </c>
      <c r="Y81">
        <f>HYPERLINK("https://klasma.github.io/Logging_1980/tillsynsmail/A 64735-2023 tillsynsbegäran mail.docx", "A 64735-2023")</f>
        <v/>
      </c>
    </row>
    <row r="82" ht="15" customHeight="1">
      <c r="A82" t="inlineStr">
        <is>
          <t>A 4264-2024</t>
        </is>
      </c>
      <c r="B82" s="1" t="n">
        <v>45324</v>
      </c>
      <c r="C82" s="1" t="n">
        <v>45998</v>
      </c>
      <c r="D82" t="inlineStr">
        <is>
          <t>VÄSTMANLANDS LÄN</t>
        </is>
      </c>
      <c r="E82" t="inlineStr">
        <is>
          <t>SALA</t>
        </is>
      </c>
      <c r="G82" t="n">
        <v>2.5</v>
      </c>
      <c r="H82" t="n">
        <v>0</v>
      </c>
      <c r="I82" t="n">
        <v>1</v>
      </c>
      <c r="J82" t="n">
        <v>2</v>
      </c>
      <c r="K82" t="n">
        <v>0</v>
      </c>
      <c r="L82" t="n">
        <v>0</v>
      </c>
      <c r="M82" t="n">
        <v>0</v>
      </c>
      <c r="N82" t="n">
        <v>0</v>
      </c>
      <c r="O82" t="n">
        <v>2</v>
      </c>
      <c r="P82" t="n">
        <v>0</v>
      </c>
      <c r="Q82" t="n">
        <v>3</v>
      </c>
      <c r="R82" s="2" t="inlineStr">
        <is>
          <t>Brunpudrad nållav
Vedtrappmossa
Dvärghäxört</t>
        </is>
      </c>
      <c r="S82">
        <f>HYPERLINK("https://klasma.github.io/Logging_1981/artfynd/A 4264-2024 artfynd.xlsx", "A 4264-2024")</f>
        <v/>
      </c>
      <c r="T82">
        <f>HYPERLINK("https://klasma.github.io/Logging_1981/kartor/A 4264-2024 karta.png", "A 4264-2024")</f>
        <v/>
      </c>
      <c r="V82">
        <f>HYPERLINK("https://klasma.github.io/Logging_1981/klagomål/A 4264-2024 FSC-klagomål.docx", "A 4264-2024")</f>
        <v/>
      </c>
      <c r="W82">
        <f>HYPERLINK("https://klasma.github.io/Logging_1981/klagomålsmail/A 4264-2024 FSC-klagomål mail.docx", "A 4264-2024")</f>
        <v/>
      </c>
      <c r="X82">
        <f>HYPERLINK("https://klasma.github.io/Logging_1981/tillsyn/A 4264-2024 tillsynsbegäran.docx", "A 4264-2024")</f>
        <v/>
      </c>
      <c r="Y82">
        <f>HYPERLINK("https://klasma.github.io/Logging_1981/tillsynsmail/A 4264-2024 tillsynsbegäran mail.docx", "A 4264-2024")</f>
        <v/>
      </c>
    </row>
    <row r="83" ht="15" customHeight="1">
      <c r="A83" t="inlineStr">
        <is>
          <t>A 42708-2022</t>
        </is>
      </c>
      <c r="B83" s="1" t="n">
        <v>44832</v>
      </c>
      <c r="C83" s="1" t="n">
        <v>45998</v>
      </c>
      <c r="D83" t="inlineStr">
        <is>
          <t>VÄSTMANLANDS LÄN</t>
        </is>
      </c>
      <c r="E83" t="inlineStr">
        <is>
          <t>SURAHAMMAR</t>
        </is>
      </c>
      <c r="G83" t="n">
        <v>27.2</v>
      </c>
      <c r="H83" t="n">
        <v>3</v>
      </c>
      <c r="I83" t="n">
        <v>0</v>
      </c>
      <c r="J83" t="n">
        <v>2</v>
      </c>
      <c r="K83" t="n">
        <v>0</v>
      </c>
      <c r="L83" t="n">
        <v>0</v>
      </c>
      <c r="M83" t="n">
        <v>0</v>
      </c>
      <c r="N83" t="n">
        <v>0</v>
      </c>
      <c r="O83" t="n">
        <v>2</v>
      </c>
      <c r="P83" t="n">
        <v>0</v>
      </c>
      <c r="Q83" t="n">
        <v>3</v>
      </c>
      <c r="R83" s="2" t="inlineStr">
        <is>
          <t>Entita
Spillkråka
Blåsippa</t>
        </is>
      </c>
      <c r="S83">
        <f>HYPERLINK("https://klasma.github.io/Logging_1907/artfynd/A 42708-2022 artfynd.xlsx", "A 42708-2022")</f>
        <v/>
      </c>
      <c r="T83">
        <f>HYPERLINK("https://klasma.github.io/Logging_1907/kartor/A 42708-2022 karta.png", "A 42708-2022")</f>
        <v/>
      </c>
      <c r="V83">
        <f>HYPERLINK("https://klasma.github.io/Logging_1907/klagomål/A 42708-2022 FSC-klagomål.docx", "A 42708-2022")</f>
        <v/>
      </c>
      <c r="W83">
        <f>HYPERLINK("https://klasma.github.io/Logging_1907/klagomålsmail/A 42708-2022 FSC-klagomål mail.docx", "A 42708-2022")</f>
        <v/>
      </c>
      <c r="X83">
        <f>HYPERLINK("https://klasma.github.io/Logging_1907/tillsyn/A 42708-2022 tillsynsbegäran.docx", "A 42708-2022")</f>
        <v/>
      </c>
      <c r="Y83">
        <f>HYPERLINK("https://klasma.github.io/Logging_1907/tillsynsmail/A 42708-2022 tillsynsbegäran mail.docx", "A 42708-2022")</f>
        <v/>
      </c>
      <c r="Z83">
        <f>HYPERLINK("https://klasma.github.io/Logging_1907/fåglar/A 42708-2022 prioriterade fågelarter.docx", "A 42708-2022")</f>
        <v/>
      </c>
    </row>
    <row r="84" ht="15" customHeight="1">
      <c r="A84" t="inlineStr">
        <is>
          <t>A 11804-2022</t>
        </is>
      </c>
      <c r="B84" s="1" t="n">
        <v>44634</v>
      </c>
      <c r="C84" s="1" t="n">
        <v>45998</v>
      </c>
      <c r="D84" t="inlineStr">
        <is>
          <t>VÄSTMANLANDS LÄN</t>
        </is>
      </c>
      <c r="E84" t="inlineStr">
        <is>
          <t>VÄSTERÅS</t>
        </is>
      </c>
      <c r="G84" t="n">
        <v>10.6</v>
      </c>
      <c r="H84" t="n">
        <v>1</v>
      </c>
      <c r="I84" t="n">
        <v>1</v>
      </c>
      <c r="J84" t="n">
        <v>0</v>
      </c>
      <c r="K84" t="n">
        <v>0</v>
      </c>
      <c r="L84" t="n">
        <v>1</v>
      </c>
      <c r="M84" t="n">
        <v>0</v>
      </c>
      <c r="N84" t="n">
        <v>0</v>
      </c>
      <c r="O84" t="n">
        <v>1</v>
      </c>
      <c r="P84" t="n">
        <v>1</v>
      </c>
      <c r="Q84" t="n">
        <v>3</v>
      </c>
      <c r="R84" s="2" t="inlineStr">
        <is>
          <t>Ask
Svart trolldruva
Nattviol</t>
        </is>
      </c>
      <c r="S84">
        <f>HYPERLINK("https://klasma.github.io/Logging_1980/artfynd/A 11804-2022 artfynd.xlsx", "A 11804-2022")</f>
        <v/>
      </c>
      <c r="T84">
        <f>HYPERLINK("https://klasma.github.io/Logging_1980/kartor/A 11804-2022 karta.png", "A 11804-2022")</f>
        <v/>
      </c>
      <c r="V84">
        <f>HYPERLINK("https://klasma.github.io/Logging_1980/klagomål/A 11804-2022 FSC-klagomål.docx", "A 11804-2022")</f>
        <v/>
      </c>
      <c r="W84">
        <f>HYPERLINK("https://klasma.github.io/Logging_1980/klagomålsmail/A 11804-2022 FSC-klagomål mail.docx", "A 11804-2022")</f>
        <v/>
      </c>
      <c r="X84">
        <f>HYPERLINK("https://klasma.github.io/Logging_1980/tillsyn/A 11804-2022 tillsynsbegäran.docx", "A 11804-2022")</f>
        <v/>
      </c>
      <c r="Y84">
        <f>HYPERLINK("https://klasma.github.io/Logging_1980/tillsynsmail/A 11804-2022 tillsynsbegäran mail.docx", "A 11804-2022")</f>
        <v/>
      </c>
    </row>
    <row r="85" ht="15" customHeight="1">
      <c r="A85" t="inlineStr">
        <is>
          <t>A 25672-2024</t>
        </is>
      </c>
      <c r="B85" s="1" t="n">
        <v>45463</v>
      </c>
      <c r="C85" s="1" t="n">
        <v>45998</v>
      </c>
      <c r="D85" t="inlineStr">
        <is>
          <t>VÄSTMANLANDS LÄN</t>
        </is>
      </c>
      <c r="E85" t="inlineStr">
        <is>
          <t>VÄSTERÅS</t>
        </is>
      </c>
      <c r="G85" t="n">
        <v>11.3</v>
      </c>
      <c r="H85" t="n">
        <v>1</v>
      </c>
      <c r="I85" t="n">
        <v>0</v>
      </c>
      <c r="J85" t="n">
        <v>2</v>
      </c>
      <c r="K85" t="n">
        <v>1</v>
      </c>
      <c r="L85" t="n">
        <v>0</v>
      </c>
      <c r="M85" t="n">
        <v>0</v>
      </c>
      <c r="N85" t="n">
        <v>0</v>
      </c>
      <c r="O85" t="n">
        <v>3</v>
      </c>
      <c r="P85" t="n">
        <v>1</v>
      </c>
      <c r="Q85" t="n">
        <v>3</v>
      </c>
      <c r="R85" s="2" t="inlineStr">
        <is>
          <t>Backsippa
Flentimotej
Solvända</t>
        </is>
      </c>
      <c r="S85">
        <f>HYPERLINK("https://klasma.github.io/Logging_1980/artfynd/A 25672-2024 artfynd.xlsx", "A 25672-2024")</f>
        <v/>
      </c>
      <c r="T85">
        <f>HYPERLINK("https://klasma.github.io/Logging_1980/kartor/A 25672-2024 karta.png", "A 25672-2024")</f>
        <v/>
      </c>
      <c r="V85">
        <f>HYPERLINK("https://klasma.github.io/Logging_1980/klagomål/A 25672-2024 FSC-klagomål.docx", "A 25672-2024")</f>
        <v/>
      </c>
      <c r="W85">
        <f>HYPERLINK("https://klasma.github.io/Logging_1980/klagomålsmail/A 25672-2024 FSC-klagomål mail.docx", "A 25672-2024")</f>
        <v/>
      </c>
      <c r="X85">
        <f>HYPERLINK("https://klasma.github.io/Logging_1980/tillsyn/A 25672-2024 tillsynsbegäran.docx", "A 25672-2024")</f>
        <v/>
      </c>
      <c r="Y85">
        <f>HYPERLINK("https://klasma.github.io/Logging_1980/tillsynsmail/A 25672-2024 tillsynsbegäran mail.docx", "A 25672-2024")</f>
        <v/>
      </c>
    </row>
    <row r="86" ht="15" customHeight="1">
      <c r="A86" t="inlineStr">
        <is>
          <t>A 47475-2024</t>
        </is>
      </c>
      <c r="B86" s="1" t="n">
        <v>45587.57552083334</v>
      </c>
      <c r="C86" s="1" t="n">
        <v>45998</v>
      </c>
      <c r="D86" t="inlineStr">
        <is>
          <t>VÄSTMANLANDS LÄN</t>
        </is>
      </c>
      <c r="E86" t="inlineStr">
        <is>
          <t>SALA</t>
        </is>
      </c>
      <c r="G86" t="n">
        <v>1.4</v>
      </c>
      <c r="H86" t="n">
        <v>1</v>
      </c>
      <c r="I86" t="n">
        <v>0</v>
      </c>
      <c r="J86" t="n">
        <v>0</v>
      </c>
      <c r="K86" t="n">
        <v>3</v>
      </c>
      <c r="L86" t="n">
        <v>0</v>
      </c>
      <c r="M86" t="n">
        <v>0</v>
      </c>
      <c r="N86" t="n">
        <v>0</v>
      </c>
      <c r="O86" t="n">
        <v>3</v>
      </c>
      <c r="P86" t="n">
        <v>3</v>
      </c>
      <c r="Q86" t="n">
        <v>3</v>
      </c>
      <c r="R86" s="2" t="inlineStr">
        <is>
          <t>Knärot
Luddig stiftdynlav
Rynkskinn</t>
        </is>
      </c>
      <c r="S86">
        <f>HYPERLINK("https://klasma.github.io/Logging_1981/artfynd/A 47475-2024 artfynd.xlsx", "A 47475-2024")</f>
        <v/>
      </c>
      <c r="T86">
        <f>HYPERLINK("https://klasma.github.io/Logging_1981/kartor/A 47475-2024 karta.png", "A 47475-2024")</f>
        <v/>
      </c>
      <c r="U86">
        <f>HYPERLINK("https://klasma.github.io/Logging_1981/knärot/A 47475-2024 karta knärot.png", "A 47475-2024")</f>
        <v/>
      </c>
      <c r="V86">
        <f>HYPERLINK("https://klasma.github.io/Logging_1981/klagomål/A 47475-2024 FSC-klagomål.docx", "A 47475-2024")</f>
        <v/>
      </c>
      <c r="W86">
        <f>HYPERLINK("https://klasma.github.io/Logging_1981/klagomålsmail/A 47475-2024 FSC-klagomål mail.docx", "A 47475-2024")</f>
        <v/>
      </c>
      <c r="X86">
        <f>HYPERLINK("https://klasma.github.io/Logging_1981/tillsyn/A 47475-2024 tillsynsbegäran.docx", "A 47475-2024")</f>
        <v/>
      </c>
      <c r="Y86">
        <f>HYPERLINK("https://klasma.github.io/Logging_1981/tillsynsmail/A 47475-2024 tillsynsbegäran mail.docx", "A 47475-2024")</f>
        <v/>
      </c>
    </row>
    <row r="87" ht="15" customHeight="1">
      <c r="A87" t="inlineStr">
        <is>
          <t>A 41262-2023</t>
        </is>
      </c>
      <c r="B87" s="1" t="n">
        <v>45174</v>
      </c>
      <c r="C87" s="1" t="n">
        <v>45998</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7771-2024</t>
        </is>
      </c>
      <c r="B88" s="1" t="n">
        <v>45349</v>
      </c>
      <c r="C88" s="1" t="n">
        <v>45998</v>
      </c>
      <c r="D88" t="inlineStr">
        <is>
          <t>VÄSTMANLANDS LÄN</t>
        </is>
      </c>
      <c r="E88" t="inlineStr">
        <is>
          <t>KUNGSÖR</t>
        </is>
      </c>
      <c r="G88" t="n">
        <v>4.1</v>
      </c>
      <c r="H88" t="n">
        <v>2</v>
      </c>
      <c r="I88" t="n">
        <v>1</v>
      </c>
      <c r="J88" t="n">
        <v>1</v>
      </c>
      <c r="K88" t="n">
        <v>0</v>
      </c>
      <c r="L88" t="n">
        <v>0</v>
      </c>
      <c r="M88" t="n">
        <v>0</v>
      </c>
      <c r="N88" t="n">
        <v>0</v>
      </c>
      <c r="O88" t="n">
        <v>1</v>
      </c>
      <c r="P88" t="n">
        <v>0</v>
      </c>
      <c r="Q88" t="n">
        <v>3</v>
      </c>
      <c r="R88" s="2" t="inlineStr">
        <is>
          <t>Spillkråka
Hasselticka
Blåsippa</t>
        </is>
      </c>
      <c r="S88">
        <f>HYPERLINK("https://klasma.github.io/Logging_1960/artfynd/A 7771-2024 artfynd.xlsx", "A 7771-2024")</f>
        <v/>
      </c>
      <c r="T88">
        <f>HYPERLINK("https://klasma.github.io/Logging_1960/kartor/A 7771-2024 karta.png", "A 7771-2024")</f>
        <v/>
      </c>
      <c r="V88">
        <f>HYPERLINK("https://klasma.github.io/Logging_1960/klagomål/A 7771-2024 FSC-klagomål.docx", "A 7771-2024")</f>
        <v/>
      </c>
      <c r="W88">
        <f>HYPERLINK("https://klasma.github.io/Logging_1960/klagomålsmail/A 7771-2024 FSC-klagomål mail.docx", "A 7771-2024")</f>
        <v/>
      </c>
      <c r="X88">
        <f>HYPERLINK("https://klasma.github.io/Logging_1960/tillsyn/A 7771-2024 tillsynsbegäran.docx", "A 7771-2024")</f>
        <v/>
      </c>
      <c r="Y88">
        <f>HYPERLINK("https://klasma.github.io/Logging_1960/tillsynsmail/A 7771-2024 tillsynsbegäran mail.docx", "A 7771-2024")</f>
        <v/>
      </c>
      <c r="Z88">
        <f>HYPERLINK("https://klasma.github.io/Logging_1960/fåglar/A 7771-2024 prioriterade fågelarter.docx", "A 7771-2024")</f>
        <v/>
      </c>
    </row>
    <row r="89" ht="15" customHeight="1">
      <c r="A89" t="inlineStr">
        <is>
          <t>A 39694-2025</t>
        </is>
      </c>
      <c r="B89" s="1" t="n">
        <v>45890</v>
      </c>
      <c r="C89" s="1" t="n">
        <v>45998</v>
      </c>
      <c r="D89" t="inlineStr">
        <is>
          <t>VÄSTMANLANDS LÄN</t>
        </is>
      </c>
      <c r="E89" t="inlineStr">
        <is>
          <t>SURAHAMMAR</t>
        </is>
      </c>
      <c r="F89" t="inlineStr">
        <is>
          <t>Bergvik skog väst AB</t>
        </is>
      </c>
      <c r="G89" t="n">
        <v>2.9</v>
      </c>
      <c r="H89" t="n">
        <v>1</v>
      </c>
      <c r="I89" t="n">
        <v>1</v>
      </c>
      <c r="J89" t="n">
        <v>1</v>
      </c>
      <c r="K89" t="n">
        <v>0</v>
      </c>
      <c r="L89" t="n">
        <v>0</v>
      </c>
      <c r="M89" t="n">
        <v>0</v>
      </c>
      <c r="N89" t="n">
        <v>0</v>
      </c>
      <c r="O89" t="n">
        <v>1</v>
      </c>
      <c r="P89" t="n">
        <v>0</v>
      </c>
      <c r="Q89" t="n">
        <v>3</v>
      </c>
      <c r="R89" s="2" t="inlineStr">
        <is>
          <t>Motaggsvamp
Mindre märgborre
Tjäder</t>
        </is>
      </c>
      <c r="S89">
        <f>HYPERLINK("https://klasma.github.io/Logging_1907/artfynd/A 39694-2025 artfynd.xlsx", "A 39694-2025")</f>
        <v/>
      </c>
      <c r="T89">
        <f>HYPERLINK("https://klasma.github.io/Logging_1907/kartor/A 39694-2025 karta.png", "A 39694-2025")</f>
        <v/>
      </c>
      <c r="V89">
        <f>HYPERLINK("https://klasma.github.io/Logging_1907/klagomål/A 39694-2025 FSC-klagomål.docx", "A 39694-2025")</f>
        <v/>
      </c>
      <c r="W89">
        <f>HYPERLINK("https://klasma.github.io/Logging_1907/klagomålsmail/A 39694-2025 FSC-klagomål mail.docx", "A 39694-2025")</f>
        <v/>
      </c>
      <c r="X89">
        <f>HYPERLINK("https://klasma.github.io/Logging_1907/tillsyn/A 39694-2025 tillsynsbegäran.docx", "A 39694-2025")</f>
        <v/>
      </c>
      <c r="Y89">
        <f>HYPERLINK("https://klasma.github.io/Logging_1907/tillsynsmail/A 39694-2025 tillsynsbegäran mail.docx", "A 39694-2025")</f>
        <v/>
      </c>
      <c r="Z89">
        <f>HYPERLINK("https://klasma.github.io/Logging_1907/fåglar/A 39694-2025 prioriterade fågelarter.docx", "A 39694-2025")</f>
        <v/>
      </c>
    </row>
    <row r="90" ht="15" customHeight="1">
      <c r="A90" t="inlineStr">
        <is>
          <t>A 40895-2025</t>
        </is>
      </c>
      <c r="B90" s="1" t="n">
        <v>45897.61241898148</v>
      </c>
      <c r="C90" s="1" t="n">
        <v>45998</v>
      </c>
      <c r="D90" t="inlineStr">
        <is>
          <t>VÄSTMANLANDS LÄN</t>
        </is>
      </c>
      <c r="E90" t="inlineStr">
        <is>
          <t>SALA</t>
        </is>
      </c>
      <c r="G90" t="n">
        <v>1.5</v>
      </c>
      <c r="H90" t="n">
        <v>2</v>
      </c>
      <c r="I90" t="n">
        <v>1</v>
      </c>
      <c r="J90" t="n">
        <v>0</v>
      </c>
      <c r="K90" t="n">
        <v>1</v>
      </c>
      <c r="L90" t="n">
        <v>0</v>
      </c>
      <c r="M90" t="n">
        <v>0</v>
      </c>
      <c r="N90" t="n">
        <v>0</v>
      </c>
      <c r="O90" t="n">
        <v>1</v>
      </c>
      <c r="P90" t="n">
        <v>1</v>
      </c>
      <c r="Q90" t="n">
        <v>3</v>
      </c>
      <c r="R90" s="2" t="inlineStr">
        <is>
          <t>Knärot
Dropptaggsvamp
Kungsfågel</t>
        </is>
      </c>
      <c r="S90">
        <f>HYPERLINK("https://klasma.github.io/Logging_1981/artfynd/A 40895-2025 artfynd.xlsx", "A 40895-2025")</f>
        <v/>
      </c>
      <c r="T90">
        <f>HYPERLINK("https://klasma.github.io/Logging_1981/kartor/A 40895-2025 karta.png", "A 40895-2025")</f>
        <v/>
      </c>
      <c r="U90">
        <f>HYPERLINK("https://klasma.github.io/Logging_1981/knärot/A 40895-2025 karta knärot.png", "A 40895-2025")</f>
        <v/>
      </c>
      <c r="V90">
        <f>HYPERLINK("https://klasma.github.io/Logging_1981/klagomål/A 40895-2025 FSC-klagomål.docx", "A 40895-2025")</f>
        <v/>
      </c>
      <c r="W90">
        <f>HYPERLINK("https://klasma.github.io/Logging_1981/klagomålsmail/A 40895-2025 FSC-klagomål mail.docx", "A 40895-2025")</f>
        <v/>
      </c>
      <c r="X90">
        <f>HYPERLINK("https://klasma.github.io/Logging_1981/tillsyn/A 40895-2025 tillsynsbegäran.docx", "A 40895-2025")</f>
        <v/>
      </c>
      <c r="Y90">
        <f>HYPERLINK("https://klasma.github.io/Logging_1981/tillsynsmail/A 40895-2025 tillsynsbegäran mail.docx", "A 40895-2025")</f>
        <v/>
      </c>
      <c r="Z90">
        <f>HYPERLINK("https://klasma.github.io/Logging_1981/fåglar/A 40895-2025 prioriterade fågelarter.docx", "A 40895-2025")</f>
        <v/>
      </c>
    </row>
    <row r="91" ht="15" customHeight="1">
      <c r="A91" t="inlineStr">
        <is>
          <t>A 8552-2022</t>
        </is>
      </c>
      <c r="B91" s="1" t="n">
        <v>44613</v>
      </c>
      <c r="C91" s="1" t="n">
        <v>45998</v>
      </c>
      <c r="D91" t="inlineStr">
        <is>
          <t>VÄSTMANLANDS LÄN</t>
        </is>
      </c>
      <c r="E91" t="inlineStr">
        <is>
          <t>SURAHAMMAR</t>
        </is>
      </c>
      <c r="F91" t="inlineStr">
        <is>
          <t>Bergvik skog väst AB</t>
        </is>
      </c>
      <c r="G91" t="n">
        <v>3.2</v>
      </c>
      <c r="H91" t="n">
        <v>2</v>
      </c>
      <c r="I91" t="n">
        <v>1</v>
      </c>
      <c r="J91" t="n">
        <v>2</v>
      </c>
      <c r="K91" t="n">
        <v>0</v>
      </c>
      <c r="L91" t="n">
        <v>0</v>
      </c>
      <c r="M91" t="n">
        <v>0</v>
      </c>
      <c r="N91" t="n">
        <v>0</v>
      </c>
      <c r="O91" t="n">
        <v>2</v>
      </c>
      <c r="P91" t="n">
        <v>0</v>
      </c>
      <c r="Q91" t="n">
        <v>3</v>
      </c>
      <c r="R91" s="2" t="inlineStr">
        <is>
          <t>Spillkråka
Talltita
Mindre märgborre</t>
        </is>
      </c>
      <c r="S91">
        <f>HYPERLINK("https://klasma.github.io/Logging_1907/artfynd/A 8552-2022 artfynd.xlsx", "A 8552-2022")</f>
        <v/>
      </c>
      <c r="T91">
        <f>HYPERLINK("https://klasma.github.io/Logging_1907/kartor/A 8552-2022 karta.png", "A 8552-2022")</f>
        <v/>
      </c>
      <c r="V91">
        <f>HYPERLINK("https://klasma.github.io/Logging_1907/klagomål/A 8552-2022 FSC-klagomål.docx", "A 8552-2022")</f>
        <v/>
      </c>
      <c r="W91">
        <f>HYPERLINK("https://klasma.github.io/Logging_1907/klagomålsmail/A 8552-2022 FSC-klagomål mail.docx", "A 8552-2022")</f>
        <v/>
      </c>
      <c r="X91">
        <f>HYPERLINK("https://klasma.github.io/Logging_1907/tillsyn/A 8552-2022 tillsynsbegäran.docx", "A 8552-2022")</f>
        <v/>
      </c>
      <c r="Y91">
        <f>HYPERLINK("https://klasma.github.io/Logging_1907/tillsynsmail/A 8552-2022 tillsynsbegäran mail.docx", "A 8552-2022")</f>
        <v/>
      </c>
      <c r="Z91">
        <f>HYPERLINK("https://klasma.github.io/Logging_1907/fåglar/A 8552-2022 prioriterade fågelarter.docx", "A 8552-2022")</f>
        <v/>
      </c>
    </row>
    <row r="92" ht="15" customHeight="1">
      <c r="A92" t="inlineStr">
        <is>
          <t>A 49718-2023</t>
        </is>
      </c>
      <c r="B92" s="1" t="n">
        <v>45212</v>
      </c>
      <c r="C92" s="1" t="n">
        <v>45998</v>
      </c>
      <c r="D92" t="inlineStr">
        <is>
          <t>VÄSTMANLANDS LÄN</t>
        </is>
      </c>
      <c r="E92" t="inlineStr">
        <is>
          <t>SURAHAMMAR</t>
        </is>
      </c>
      <c r="G92" t="n">
        <v>3.4</v>
      </c>
      <c r="H92" t="n">
        <v>1</v>
      </c>
      <c r="I92" t="n">
        <v>1</v>
      </c>
      <c r="J92" t="n">
        <v>2</v>
      </c>
      <c r="K92" t="n">
        <v>0</v>
      </c>
      <c r="L92" t="n">
        <v>0</v>
      </c>
      <c r="M92" t="n">
        <v>0</v>
      </c>
      <c r="N92" t="n">
        <v>0</v>
      </c>
      <c r="O92" t="n">
        <v>2</v>
      </c>
      <c r="P92" t="n">
        <v>0</v>
      </c>
      <c r="Q92" t="n">
        <v>3</v>
      </c>
      <c r="R92" s="2" t="inlineStr">
        <is>
          <t>Motaggsvamp
Talltita
Zontaggsvamp</t>
        </is>
      </c>
      <c r="S92">
        <f>HYPERLINK("https://klasma.github.io/Logging_1907/artfynd/A 49718-2023 artfynd.xlsx", "A 49718-2023")</f>
        <v/>
      </c>
      <c r="T92">
        <f>HYPERLINK("https://klasma.github.io/Logging_1907/kartor/A 49718-2023 karta.png", "A 49718-2023")</f>
        <v/>
      </c>
      <c r="V92">
        <f>HYPERLINK("https://klasma.github.io/Logging_1907/klagomål/A 49718-2023 FSC-klagomål.docx", "A 49718-2023")</f>
        <v/>
      </c>
      <c r="W92">
        <f>HYPERLINK("https://klasma.github.io/Logging_1907/klagomålsmail/A 49718-2023 FSC-klagomål mail.docx", "A 49718-2023")</f>
        <v/>
      </c>
      <c r="X92">
        <f>HYPERLINK("https://klasma.github.io/Logging_1907/tillsyn/A 49718-2023 tillsynsbegäran.docx", "A 49718-2023")</f>
        <v/>
      </c>
      <c r="Y92">
        <f>HYPERLINK("https://klasma.github.io/Logging_1907/tillsynsmail/A 49718-2023 tillsynsbegäran mail.docx", "A 49718-2023")</f>
        <v/>
      </c>
      <c r="Z92">
        <f>HYPERLINK("https://klasma.github.io/Logging_1907/fåglar/A 49718-2023 prioriterade fågelarter.docx", "A 49718-2023")</f>
        <v/>
      </c>
    </row>
    <row r="93" ht="15" customHeight="1">
      <c r="A93" t="inlineStr">
        <is>
          <t>A 56759-2025</t>
        </is>
      </c>
      <c r="B93" s="1" t="n">
        <v>45978.37284722222</v>
      </c>
      <c r="C93" s="1" t="n">
        <v>45998</v>
      </c>
      <c r="D93" t="inlineStr">
        <is>
          <t>VÄSTMANLANDS LÄN</t>
        </is>
      </c>
      <c r="E93" t="inlineStr">
        <is>
          <t>HALLSTAHAMMAR</t>
        </is>
      </c>
      <c r="F93" t="inlineStr">
        <is>
          <t>Allmännings- och besparingsskogar</t>
        </is>
      </c>
      <c r="G93" t="n">
        <v>9.6</v>
      </c>
      <c r="H93" t="n">
        <v>0</v>
      </c>
      <c r="I93" t="n">
        <v>2</v>
      </c>
      <c r="J93" t="n">
        <v>1</v>
      </c>
      <c r="K93" t="n">
        <v>0</v>
      </c>
      <c r="L93" t="n">
        <v>0</v>
      </c>
      <c r="M93" t="n">
        <v>0</v>
      </c>
      <c r="N93" t="n">
        <v>0</v>
      </c>
      <c r="O93" t="n">
        <v>1</v>
      </c>
      <c r="P93" t="n">
        <v>0</v>
      </c>
      <c r="Q93" t="n">
        <v>3</v>
      </c>
      <c r="R93" s="2" t="inlineStr">
        <is>
          <t>Dofttaggsvamp
Brandticka
Trådticka</t>
        </is>
      </c>
      <c r="S93">
        <f>HYPERLINK("https://klasma.github.io/Logging_1961/artfynd/A 56759-2025 artfynd.xlsx", "A 56759-2025")</f>
        <v/>
      </c>
      <c r="T93">
        <f>HYPERLINK("https://klasma.github.io/Logging_1961/kartor/A 56759-2025 karta.png", "A 56759-2025")</f>
        <v/>
      </c>
      <c r="V93">
        <f>HYPERLINK("https://klasma.github.io/Logging_1961/klagomål/A 56759-2025 FSC-klagomål.docx", "A 56759-2025")</f>
        <v/>
      </c>
      <c r="W93">
        <f>HYPERLINK("https://klasma.github.io/Logging_1961/klagomålsmail/A 56759-2025 FSC-klagomål mail.docx", "A 56759-2025")</f>
        <v/>
      </c>
      <c r="X93">
        <f>HYPERLINK("https://klasma.github.io/Logging_1961/tillsyn/A 56759-2025 tillsynsbegäran.docx", "A 56759-2025")</f>
        <v/>
      </c>
      <c r="Y93">
        <f>HYPERLINK("https://klasma.github.io/Logging_1961/tillsynsmail/A 56759-2025 tillsynsbegäran mail.docx", "A 56759-2025")</f>
        <v/>
      </c>
    </row>
    <row r="94" ht="15" customHeight="1">
      <c r="A94" t="inlineStr">
        <is>
          <t>A 51033-2025</t>
        </is>
      </c>
      <c r="B94" s="1" t="n">
        <v>45947.40607638889</v>
      </c>
      <c r="C94" s="1" t="n">
        <v>45998</v>
      </c>
      <c r="D94" t="inlineStr">
        <is>
          <t>VÄSTMANLANDS LÄN</t>
        </is>
      </c>
      <c r="E94" t="inlineStr">
        <is>
          <t>FAGERSTA</t>
        </is>
      </c>
      <c r="F94" t="inlineStr">
        <is>
          <t>Kommuner</t>
        </is>
      </c>
      <c r="G94" t="n">
        <v>5.2</v>
      </c>
      <c r="H94" t="n">
        <v>1</v>
      </c>
      <c r="I94" t="n">
        <v>2</v>
      </c>
      <c r="J94" t="n">
        <v>1</v>
      </c>
      <c r="K94" t="n">
        <v>0</v>
      </c>
      <c r="L94" t="n">
        <v>0</v>
      </c>
      <c r="M94" t="n">
        <v>0</v>
      </c>
      <c r="N94" t="n">
        <v>0</v>
      </c>
      <c r="O94" t="n">
        <v>1</v>
      </c>
      <c r="P94" t="n">
        <v>0</v>
      </c>
      <c r="Q94" t="n">
        <v>3</v>
      </c>
      <c r="R94" s="2" t="inlineStr">
        <is>
          <t>Gul taggsvamp
Fjällig taggsvamp s.str.
Grönkulla</t>
        </is>
      </c>
      <c r="S94">
        <f>HYPERLINK("https://klasma.github.io/Logging_1982/artfynd/A 51033-2025 artfynd.xlsx", "A 51033-2025")</f>
        <v/>
      </c>
      <c r="T94">
        <f>HYPERLINK("https://klasma.github.io/Logging_1982/kartor/A 51033-2025 karta.png", "A 51033-2025")</f>
        <v/>
      </c>
      <c r="V94">
        <f>HYPERLINK("https://klasma.github.io/Logging_1982/klagomål/A 51033-2025 FSC-klagomål.docx", "A 51033-2025")</f>
        <v/>
      </c>
      <c r="W94">
        <f>HYPERLINK("https://klasma.github.io/Logging_1982/klagomålsmail/A 51033-2025 FSC-klagomål mail.docx", "A 51033-2025")</f>
        <v/>
      </c>
      <c r="X94">
        <f>HYPERLINK("https://klasma.github.io/Logging_1982/tillsyn/A 51033-2025 tillsynsbegäran.docx", "A 51033-2025")</f>
        <v/>
      </c>
      <c r="Y94">
        <f>HYPERLINK("https://klasma.github.io/Logging_1982/tillsynsmail/A 51033-2025 tillsynsbegäran mail.docx", "A 51033-2025")</f>
        <v/>
      </c>
    </row>
    <row r="95" ht="15" customHeight="1">
      <c r="A95" t="inlineStr">
        <is>
          <t>A 29707-2025</t>
        </is>
      </c>
      <c r="B95" s="1" t="n">
        <v>45825.56100694444</v>
      </c>
      <c r="C95" s="1" t="n">
        <v>45998</v>
      </c>
      <c r="D95" t="inlineStr">
        <is>
          <t>VÄSTMANLANDS LÄN</t>
        </is>
      </c>
      <c r="E95" t="inlineStr">
        <is>
          <t>SURAHAMMAR</t>
        </is>
      </c>
      <c r="F95" t="inlineStr">
        <is>
          <t>Bergvik skog väst AB</t>
        </is>
      </c>
      <c r="G95" t="n">
        <v>5.1</v>
      </c>
      <c r="H95" t="n">
        <v>0</v>
      </c>
      <c r="I95" t="n">
        <v>1</v>
      </c>
      <c r="J95" t="n">
        <v>1</v>
      </c>
      <c r="K95" t="n">
        <v>0</v>
      </c>
      <c r="L95" t="n">
        <v>0</v>
      </c>
      <c r="M95" t="n">
        <v>1</v>
      </c>
      <c r="N95" t="n">
        <v>0</v>
      </c>
      <c r="O95" t="n">
        <v>2</v>
      </c>
      <c r="P95" t="n">
        <v>1</v>
      </c>
      <c r="Q95" t="n">
        <v>3</v>
      </c>
      <c r="R95" s="2" t="inlineStr">
        <is>
          <t>Skogsalm
Veckticka
Rävticka</t>
        </is>
      </c>
      <c r="S95">
        <f>HYPERLINK("https://klasma.github.io/Logging_1907/artfynd/A 29707-2025 artfynd.xlsx", "A 29707-2025")</f>
        <v/>
      </c>
      <c r="T95">
        <f>HYPERLINK("https://klasma.github.io/Logging_1907/kartor/A 29707-2025 karta.png", "A 29707-2025")</f>
        <v/>
      </c>
      <c r="V95">
        <f>HYPERLINK("https://klasma.github.io/Logging_1907/klagomål/A 29707-2025 FSC-klagomål.docx", "A 29707-2025")</f>
        <v/>
      </c>
      <c r="W95">
        <f>HYPERLINK("https://klasma.github.io/Logging_1907/klagomålsmail/A 29707-2025 FSC-klagomål mail.docx", "A 29707-2025")</f>
        <v/>
      </c>
      <c r="X95">
        <f>HYPERLINK("https://klasma.github.io/Logging_1907/tillsyn/A 29707-2025 tillsynsbegäran.docx", "A 29707-2025")</f>
        <v/>
      </c>
      <c r="Y95">
        <f>HYPERLINK("https://klasma.github.io/Logging_1907/tillsynsmail/A 29707-2025 tillsynsbegäran mail.docx", "A 29707-2025")</f>
        <v/>
      </c>
    </row>
    <row r="96" ht="15" customHeight="1">
      <c r="A96" t="inlineStr">
        <is>
          <t>A 34065-2025</t>
        </is>
      </c>
      <c r="B96" s="1" t="n">
        <v>45845.42806712963</v>
      </c>
      <c r="C96" s="1" t="n">
        <v>45998</v>
      </c>
      <c r="D96" t="inlineStr">
        <is>
          <t>VÄSTMANLANDS LÄN</t>
        </is>
      </c>
      <c r="E96" t="inlineStr">
        <is>
          <t>SALA</t>
        </is>
      </c>
      <c r="G96" t="n">
        <v>3</v>
      </c>
      <c r="H96" t="n">
        <v>0</v>
      </c>
      <c r="I96" t="n">
        <v>1</v>
      </c>
      <c r="J96" t="n">
        <v>2</v>
      </c>
      <c r="K96" t="n">
        <v>0</v>
      </c>
      <c r="L96" t="n">
        <v>0</v>
      </c>
      <c r="M96" t="n">
        <v>0</v>
      </c>
      <c r="N96" t="n">
        <v>0</v>
      </c>
      <c r="O96" t="n">
        <v>2</v>
      </c>
      <c r="P96" t="n">
        <v>0</v>
      </c>
      <c r="Q96" t="n">
        <v>3</v>
      </c>
      <c r="R96" s="2" t="inlineStr">
        <is>
          <t>Granticka
Leptoporus mollis
Vedticka</t>
        </is>
      </c>
      <c r="S96">
        <f>HYPERLINK("https://klasma.github.io/Logging_1981/artfynd/A 34065-2025 artfynd.xlsx", "A 34065-2025")</f>
        <v/>
      </c>
      <c r="T96">
        <f>HYPERLINK("https://klasma.github.io/Logging_1981/kartor/A 34065-2025 karta.png", "A 34065-2025")</f>
        <v/>
      </c>
      <c r="V96">
        <f>HYPERLINK("https://klasma.github.io/Logging_1981/klagomål/A 34065-2025 FSC-klagomål.docx", "A 34065-2025")</f>
        <v/>
      </c>
      <c r="W96">
        <f>HYPERLINK("https://klasma.github.io/Logging_1981/klagomålsmail/A 34065-2025 FSC-klagomål mail.docx", "A 34065-2025")</f>
        <v/>
      </c>
      <c r="X96">
        <f>HYPERLINK("https://klasma.github.io/Logging_1981/tillsyn/A 34065-2025 tillsynsbegäran.docx", "A 34065-2025")</f>
        <v/>
      </c>
      <c r="Y96">
        <f>HYPERLINK("https://klasma.github.io/Logging_1981/tillsynsmail/A 34065-2025 tillsynsbegäran mail.docx", "A 34065-2025")</f>
        <v/>
      </c>
    </row>
    <row r="97" ht="15" customHeight="1">
      <c r="A97" t="inlineStr">
        <is>
          <t>A 48128-2023</t>
        </is>
      </c>
      <c r="B97" s="1" t="n">
        <v>45205</v>
      </c>
      <c r="C97" s="1" t="n">
        <v>45998</v>
      </c>
      <c r="D97" t="inlineStr">
        <is>
          <t>VÄSTMANLANDS LÄN</t>
        </is>
      </c>
      <c r="E97" t="inlineStr">
        <is>
          <t>SURAHAMMAR</t>
        </is>
      </c>
      <c r="F97" t="inlineStr">
        <is>
          <t>Allmännings- och besparingsskogar</t>
        </is>
      </c>
      <c r="G97" t="n">
        <v>11.8</v>
      </c>
      <c r="H97" t="n">
        <v>0</v>
      </c>
      <c r="I97" t="n">
        <v>2</v>
      </c>
      <c r="J97" t="n">
        <v>1</v>
      </c>
      <c r="K97" t="n">
        <v>0</v>
      </c>
      <c r="L97" t="n">
        <v>0</v>
      </c>
      <c r="M97" t="n">
        <v>0</v>
      </c>
      <c r="N97" t="n">
        <v>0</v>
      </c>
      <c r="O97" t="n">
        <v>1</v>
      </c>
      <c r="P97" t="n">
        <v>0</v>
      </c>
      <c r="Q97" t="n">
        <v>3</v>
      </c>
      <c r="R97" s="2" t="inlineStr">
        <is>
          <t>Svinrot
Blodticka
Vedticka</t>
        </is>
      </c>
      <c r="S97">
        <f>HYPERLINK("https://klasma.github.io/Logging_1907/artfynd/A 48128-2023 artfynd.xlsx", "A 48128-2023")</f>
        <v/>
      </c>
      <c r="T97">
        <f>HYPERLINK("https://klasma.github.io/Logging_1907/kartor/A 48128-2023 karta.png", "A 48128-2023")</f>
        <v/>
      </c>
      <c r="V97">
        <f>HYPERLINK("https://klasma.github.io/Logging_1907/klagomål/A 48128-2023 FSC-klagomål.docx", "A 48128-2023")</f>
        <v/>
      </c>
      <c r="W97">
        <f>HYPERLINK("https://klasma.github.io/Logging_1907/klagomålsmail/A 48128-2023 FSC-klagomål mail.docx", "A 48128-2023")</f>
        <v/>
      </c>
      <c r="X97">
        <f>HYPERLINK("https://klasma.github.io/Logging_1907/tillsyn/A 48128-2023 tillsynsbegäran.docx", "A 48128-2023")</f>
        <v/>
      </c>
      <c r="Y97">
        <f>HYPERLINK("https://klasma.github.io/Logging_1907/tillsynsmail/A 48128-2023 tillsynsbegäran mail.docx", "A 48128-2023")</f>
        <v/>
      </c>
    </row>
    <row r="98" ht="15" customHeight="1">
      <c r="A98" t="inlineStr">
        <is>
          <t>A 18515-2024</t>
        </is>
      </c>
      <c r="B98" s="1" t="n">
        <v>45425.6046875</v>
      </c>
      <c r="C98" s="1" t="n">
        <v>45998</v>
      </c>
      <c r="D98" t="inlineStr">
        <is>
          <t>VÄSTMANLANDS LÄN</t>
        </is>
      </c>
      <c r="E98" t="inlineStr">
        <is>
          <t>SKINNSKATTEBERG</t>
        </is>
      </c>
      <c r="F98" t="inlineStr">
        <is>
          <t>Sveaskog</t>
        </is>
      </c>
      <c r="G98" t="n">
        <v>21</v>
      </c>
      <c r="H98" t="n">
        <v>3</v>
      </c>
      <c r="I98" t="n">
        <v>1</v>
      </c>
      <c r="J98" t="n">
        <v>0</v>
      </c>
      <c r="K98" t="n">
        <v>0</v>
      </c>
      <c r="L98" t="n">
        <v>0</v>
      </c>
      <c r="M98" t="n">
        <v>0</v>
      </c>
      <c r="N98" t="n">
        <v>0</v>
      </c>
      <c r="O98" t="n">
        <v>0</v>
      </c>
      <c r="P98" t="n">
        <v>0</v>
      </c>
      <c r="Q98" t="n">
        <v>3</v>
      </c>
      <c r="R98" s="2" t="inlineStr">
        <is>
          <t>Plattlummer
Fläcknycklar
Revlummer</t>
        </is>
      </c>
      <c r="S98">
        <f>HYPERLINK("https://klasma.github.io/Logging_1904/artfynd/A 18515-2024 artfynd.xlsx", "A 18515-2024")</f>
        <v/>
      </c>
      <c r="T98">
        <f>HYPERLINK("https://klasma.github.io/Logging_1904/kartor/A 18515-2024 karta.png", "A 18515-2024")</f>
        <v/>
      </c>
      <c r="V98">
        <f>HYPERLINK("https://klasma.github.io/Logging_1904/klagomål/A 18515-2024 FSC-klagomål.docx", "A 18515-2024")</f>
        <v/>
      </c>
      <c r="W98">
        <f>HYPERLINK("https://klasma.github.io/Logging_1904/klagomålsmail/A 18515-2024 FSC-klagomål mail.docx", "A 18515-2024")</f>
        <v/>
      </c>
      <c r="X98">
        <f>HYPERLINK("https://klasma.github.io/Logging_1904/tillsyn/A 18515-2024 tillsynsbegäran.docx", "A 18515-2024")</f>
        <v/>
      </c>
      <c r="Y98">
        <f>HYPERLINK("https://klasma.github.io/Logging_1904/tillsynsmail/A 18515-2024 tillsynsbegäran mail.docx", "A 18515-2024")</f>
        <v/>
      </c>
    </row>
    <row r="99" ht="15" customHeight="1">
      <c r="A99" t="inlineStr">
        <is>
          <t>A 53019-2024</t>
        </is>
      </c>
      <c r="B99" s="1" t="n">
        <v>45610</v>
      </c>
      <c r="C99" s="1" t="n">
        <v>45998</v>
      </c>
      <c r="D99" t="inlineStr">
        <is>
          <t>VÄSTMANLANDS LÄN</t>
        </is>
      </c>
      <c r="E99" t="inlineStr">
        <is>
          <t>SALA</t>
        </is>
      </c>
      <c r="G99" t="n">
        <v>1.1</v>
      </c>
      <c r="H99" t="n">
        <v>2</v>
      </c>
      <c r="I99" t="n">
        <v>0</v>
      </c>
      <c r="J99" t="n">
        <v>1</v>
      </c>
      <c r="K99" t="n">
        <v>1</v>
      </c>
      <c r="L99" t="n">
        <v>0</v>
      </c>
      <c r="M99" t="n">
        <v>0</v>
      </c>
      <c r="N99" t="n">
        <v>0</v>
      </c>
      <c r="O99" t="n">
        <v>2</v>
      </c>
      <c r="P99" t="n">
        <v>1</v>
      </c>
      <c r="Q99" t="n">
        <v>3</v>
      </c>
      <c r="R99" s="2" t="inlineStr">
        <is>
          <t>Knärot
Ullticka
Kungsfågel</t>
        </is>
      </c>
      <c r="S99">
        <f>HYPERLINK("https://klasma.github.io/Logging_1981/artfynd/A 53019-2024 artfynd.xlsx", "A 53019-2024")</f>
        <v/>
      </c>
      <c r="T99">
        <f>HYPERLINK("https://klasma.github.io/Logging_1981/kartor/A 53019-2024 karta.png", "A 53019-2024")</f>
        <v/>
      </c>
      <c r="U99">
        <f>HYPERLINK("https://klasma.github.io/Logging_1981/knärot/A 53019-2024 karta knärot.png", "A 53019-2024")</f>
        <v/>
      </c>
      <c r="V99">
        <f>HYPERLINK("https://klasma.github.io/Logging_1981/klagomål/A 53019-2024 FSC-klagomål.docx", "A 53019-2024")</f>
        <v/>
      </c>
      <c r="W99">
        <f>HYPERLINK("https://klasma.github.io/Logging_1981/klagomålsmail/A 53019-2024 FSC-klagomål mail.docx", "A 53019-2024")</f>
        <v/>
      </c>
      <c r="X99">
        <f>HYPERLINK("https://klasma.github.io/Logging_1981/tillsyn/A 53019-2024 tillsynsbegäran.docx", "A 53019-2024")</f>
        <v/>
      </c>
      <c r="Y99">
        <f>HYPERLINK("https://klasma.github.io/Logging_1981/tillsynsmail/A 53019-2024 tillsynsbegäran mail.docx", "A 53019-2024")</f>
        <v/>
      </c>
      <c r="Z99">
        <f>HYPERLINK("https://klasma.github.io/Logging_1981/fåglar/A 53019-2024 prioriterade fågelarter.docx", "A 53019-2024")</f>
        <v/>
      </c>
    </row>
    <row r="100" ht="15" customHeight="1">
      <c r="A100" t="inlineStr">
        <is>
          <t>A 25843-2021</t>
        </is>
      </c>
      <c r="B100" s="1" t="n">
        <v>44343</v>
      </c>
      <c r="C100" s="1" t="n">
        <v>45998</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52909-2022</t>
        </is>
      </c>
      <c r="B101" s="1" t="n">
        <v>44875</v>
      </c>
      <c r="C101" s="1" t="n">
        <v>45998</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45998</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45998</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45998</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45998</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19656-2025</t>
        </is>
      </c>
      <c r="B106" s="1" t="n">
        <v>45770.67532407407</v>
      </c>
      <c r="C106" s="1" t="n">
        <v>45998</v>
      </c>
      <c r="D106" t="inlineStr">
        <is>
          <t>VÄSTMANLANDS LÄN</t>
        </is>
      </c>
      <c r="E106" t="inlineStr">
        <is>
          <t>SKINNSKATTEBERG</t>
        </is>
      </c>
      <c r="F106" t="inlineStr">
        <is>
          <t>Sveaskog</t>
        </is>
      </c>
      <c r="G106" t="n">
        <v>3.8</v>
      </c>
      <c r="H106" t="n">
        <v>0</v>
      </c>
      <c r="I106" t="n">
        <v>0</v>
      </c>
      <c r="J106" t="n">
        <v>1</v>
      </c>
      <c r="K106" t="n">
        <v>1</v>
      </c>
      <c r="L106" t="n">
        <v>0</v>
      </c>
      <c r="M106" t="n">
        <v>0</v>
      </c>
      <c r="N106" t="n">
        <v>0</v>
      </c>
      <c r="O106" t="n">
        <v>2</v>
      </c>
      <c r="P106" t="n">
        <v>1</v>
      </c>
      <c r="Q106" t="n">
        <v>2</v>
      </c>
      <c r="R106" s="2" t="inlineStr">
        <is>
          <t>Rynkskinn
Ullticka</t>
        </is>
      </c>
      <c r="S106">
        <f>HYPERLINK("https://klasma.github.io/Logging_1904/artfynd/A 19656-2025 artfynd.xlsx", "A 19656-2025")</f>
        <v/>
      </c>
      <c r="T106">
        <f>HYPERLINK("https://klasma.github.io/Logging_1904/kartor/A 19656-2025 karta.png", "A 19656-2025")</f>
        <v/>
      </c>
      <c r="V106">
        <f>HYPERLINK("https://klasma.github.io/Logging_1904/klagomål/A 19656-2025 FSC-klagomål.docx", "A 19656-2025")</f>
        <v/>
      </c>
      <c r="W106">
        <f>HYPERLINK("https://klasma.github.io/Logging_1904/klagomålsmail/A 19656-2025 FSC-klagomål mail.docx", "A 19656-2025")</f>
        <v/>
      </c>
      <c r="X106">
        <f>HYPERLINK("https://klasma.github.io/Logging_1904/tillsyn/A 19656-2025 tillsynsbegäran.docx", "A 19656-2025")</f>
        <v/>
      </c>
      <c r="Y106">
        <f>HYPERLINK("https://klasma.github.io/Logging_1904/tillsynsmail/A 19656-2025 tillsynsbegäran mail.docx", "A 19656-2025")</f>
        <v/>
      </c>
    </row>
    <row r="107" ht="15" customHeight="1">
      <c r="A107" t="inlineStr">
        <is>
          <t>A 41618-2024</t>
        </is>
      </c>
      <c r="B107" s="1" t="n">
        <v>45560</v>
      </c>
      <c r="C107" s="1" t="n">
        <v>45998</v>
      </c>
      <c r="D107" t="inlineStr">
        <is>
          <t>VÄSTMANLANDS LÄN</t>
        </is>
      </c>
      <c r="E107" t="inlineStr">
        <is>
          <t>SKINNSKATTEBERG</t>
        </is>
      </c>
      <c r="F107" t="inlineStr">
        <is>
          <t>Sveaskog</t>
        </is>
      </c>
      <c r="G107" t="n">
        <v>2.6</v>
      </c>
      <c r="H107" t="n">
        <v>0</v>
      </c>
      <c r="I107" t="n">
        <v>1</v>
      </c>
      <c r="J107" t="n">
        <v>1</v>
      </c>
      <c r="K107" t="n">
        <v>0</v>
      </c>
      <c r="L107" t="n">
        <v>0</v>
      </c>
      <c r="M107" t="n">
        <v>0</v>
      </c>
      <c r="N107" t="n">
        <v>0</v>
      </c>
      <c r="O107" t="n">
        <v>1</v>
      </c>
      <c r="P107" t="n">
        <v>0</v>
      </c>
      <c r="Q107" t="n">
        <v>2</v>
      </c>
      <c r="R107" s="2" t="inlineStr">
        <is>
          <t>Motaggsvamp
Dropptaggsvamp</t>
        </is>
      </c>
      <c r="S107">
        <f>HYPERLINK("https://klasma.github.io/Logging_1904/artfynd/A 41618-2024 artfynd.xlsx", "A 41618-2024")</f>
        <v/>
      </c>
      <c r="T107">
        <f>HYPERLINK("https://klasma.github.io/Logging_1904/kartor/A 41618-2024 karta.png", "A 41618-2024")</f>
        <v/>
      </c>
      <c r="V107">
        <f>HYPERLINK("https://klasma.github.io/Logging_1904/klagomål/A 41618-2024 FSC-klagomål.docx", "A 41618-2024")</f>
        <v/>
      </c>
      <c r="W107">
        <f>HYPERLINK("https://klasma.github.io/Logging_1904/klagomålsmail/A 41618-2024 FSC-klagomål mail.docx", "A 41618-2024")</f>
        <v/>
      </c>
      <c r="X107">
        <f>HYPERLINK("https://klasma.github.io/Logging_1904/tillsyn/A 41618-2024 tillsynsbegäran.docx", "A 41618-2024")</f>
        <v/>
      </c>
      <c r="Y107">
        <f>HYPERLINK("https://klasma.github.io/Logging_1904/tillsynsmail/A 41618-2024 tillsynsbegäran mail.docx", "A 41618-2024")</f>
        <v/>
      </c>
    </row>
    <row r="108" ht="15" customHeight="1">
      <c r="A108" t="inlineStr">
        <is>
          <t>A 11846-2024</t>
        </is>
      </c>
      <c r="B108" s="1" t="n">
        <v>45376.4047337963</v>
      </c>
      <c r="C108" s="1" t="n">
        <v>45998</v>
      </c>
      <c r="D108" t="inlineStr">
        <is>
          <t>VÄSTMANLANDS LÄN</t>
        </is>
      </c>
      <c r="E108" t="inlineStr">
        <is>
          <t>SALA</t>
        </is>
      </c>
      <c r="G108" t="n">
        <v>8</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HYPERLINK("https://klasma.github.io/Logging_1981/artfynd/A 11846-2024 artfynd.xlsx", "A 11846-2024")</f>
        <v/>
      </c>
      <c r="T108">
        <f>HYPERLINK("https://klasma.github.io/Logging_1981/kartor/A 11846-2024 karta.png", "A 11846-2024")</f>
        <v/>
      </c>
      <c r="V108">
        <f>HYPERLINK("https://klasma.github.io/Logging_1981/klagomål/A 11846-2024 FSC-klagomål.docx", "A 11846-2024")</f>
        <v/>
      </c>
      <c r="W108">
        <f>HYPERLINK("https://klasma.github.io/Logging_1981/klagomålsmail/A 11846-2024 FSC-klagomål mail.docx", "A 11846-2024")</f>
        <v/>
      </c>
      <c r="X108">
        <f>HYPERLINK("https://klasma.github.io/Logging_1981/tillsyn/A 11846-2024 tillsynsbegäran.docx", "A 11846-2024")</f>
        <v/>
      </c>
      <c r="Y108">
        <f>HYPERLINK("https://klasma.github.io/Logging_1981/tillsynsmail/A 11846-2024 tillsynsbegäran mail.docx", "A 11846-2024")</f>
        <v/>
      </c>
    </row>
    <row r="109" ht="15" customHeight="1">
      <c r="A109" t="inlineStr">
        <is>
          <t>A 47228-2022</t>
        </is>
      </c>
      <c r="B109" s="1" t="n">
        <v>44852</v>
      </c>
      <c r="C109" s="1" t="n">
        <v>45998</v>
      </c>
      <c r="D109" t="inlineStr">
        <is>
          <t>VÄSTMANLANDS LÄN</t>
        </is>
      </c>
      <c r="E109" t="inlineStr">
        <is>
          <t>VÄSTERÅS</t>
        </is>
      </c>
      <c r="G109" t="n">
        <v>11.6</v>
      </c>
      <c r="H109" t="n">
        <v>0</v>
      </c>
      <c r="I109" t="n">
        <v>0</v>
      </c>
      <c r="J109" t="n">
        <v>1</v>
      </c>
      <c r="K109" t="n">
        <v>0</v>
      </c>
      <c r="L109" t="n">
        <v>1</v>
      </c>
      <c r="M109" t="n">
        <v>0</v>
      </c>
      <c r="N109" t="n">
        <v>0</v>
      </c>
      <c r="O109" t="n">
        <v>2</v>
      </c>
      <c r="P109" t="n">
        <v>1</v>
      </c>
      <c r="Q109" t="n">
        <v>2</v>
      </c>
      <c r="R109" s="2" t="inlineStr">
        <is>
          <t>Vithornad barkskinnbagge
Xyletinus ater</t>
        </is>
      </c>
      <c r="S109">
        <f>HYPERLINK("https://klasma.github.io/Logging_1980/artfynd/A 47228-2022 artfynd.xlsx", "A 47228-2022")</f>
        <v/>
      </c>
      <c r="T109">
        <f>HYPERLINK("https://klasma.github.io/Logging_1980/kartor/A 47228-2022 karta.png", "A 47228-2022")</f>
        <v/>
      </c>
      <c r="V109">
        <f>HYPERLINK("https://klasma.github.io/Logging_1980/klagomål/A 47228-2022 FSC-klagomål.docx", "A 47228-2022")</f>
        <v/>
      </c>
      <c r="W109">
        <f>HYPERLINK("https://klasma.github.io/Logging_1980/klagomålsmail/A 47228-2022 FSC-klagomål mail.docx", "A 47228-2022")</f>
        <v/>
      </c>
      <c r="X109">
        <f>HYPERLINK("https://klasma.github.io/Logging_1980/tillsyn/A 47228-2022 tillsynsbegäran.docx", "A 47228-2022")</f>
        <v/>
      </c>
      <c r="Y109">
        <f>HYPERLINK("https://klasma.github.io/Logging_1980/tillsynsmail/A 47228-2022 tillsynsbegäran mail.docx", "A 47228-2022")</f>
        <v/>
      </c>
    </row>
    <row r="110" ht="15" customHeight="1">
      <c r="A110" t="inlineStr">
        <is>
          <t>A 17706-2025</t>
        </is>
      </c>
      <c r="B110" s="1" t="n">
        <v>45758.43244212963</v>
      </c>
      <c r="C110" s="1" t="n">
        <v>45998</v>
      </c>
      <c r="D110" t="inlineStr">
        <is>
          <t>VÄSTMANLANDS LÄN</t>
        </is>
      </c>
      <c r="E110" t="inlineStr">
        <is>
          <t>ARBOGA</t>
        </is>
      </c>
      <c r="G110" t="n">
        <v>14.3</v>
      </c>
      <c r="H110" t="n">
        <v>2</v>
      </c>
      <c r="I110" t="n">
        <v>0</v>
      </c>
      <c r="J110" t="n">
        <v>1</v>
      </c>
      <c r="K110" t="n">
        <v>1</v>
      </c>
      <c r="L110" t="n">
        <v>0</v>
      </c>
      <c r="M110" t="n">
        <v>0</v>
      </c>
      <c r="N110" t="n">
        <v>0</v>
      </c>
      <c r="O110" t="n">
        <v>2</v>
      </c>
      <c r="P110" t="n">
        <v>1</v>
      </c>
      <c r="Q110" t="n">
        <v>2</v>
      </c>
      <c r="R110" s="2" t="inlineStr">
        <is>
          <t>Knärot
Talltita</t>
        </is>
      </c>
      <c r="S110">
        <f>HYPERLINK("https://klasma.github.io/Logging_1984/artfynd/A 17706-2025 artfynd.xlsx", "A 17706-2025")</f>
        <v/>
      </c>
      <c r="T110">
        <f>HYPERLINK("https://klasma.github.io/Logging_1984/kartor/A 17706-2025 karta.png", "A 17706-2025")</f>
        <v/>
      </c>
      <c r="U110">
        <f>HYPERLINK("https://klasma.github.io/Logging_1984/knärot/A 17706-2025 karta knärot.png", "A 17706-2025")</f>
        <v/>
      </c>
      <c r="V110">
        <f>HYPERLINK("https://klasma.github.io/Logging_1984/klagomål/A 17706-2025 FSC-klagomål.docx", "A 17706-2025")</f>
        <v/>
      </c>
      <c r="W110">
        <f>HYPERLINK("https://klasma.github.io/Logging_1984/klagomålsmail/A 17706-2025 FSC-klagomål mail.docx", "A 17706-2025")</f>
        <v/>
      </c>
      <c r="X110">
        <f>HYPERLINK("https://klasma.github.io/Logging_1984/tillsyn/A 17706-2025 tillsynsbegäran.docx", "A 17706-2025")</f>
        <v/>
      </c>
      <c r="Y110">
        <f>HYPERLINK("https://klasma.github.io/Logging_1984/tillsynsmail/A 17706-2025 tillsynsbegäran mail.docx", "A 17706-2025")</f>
        <v/>
      </c>
      <c r="Z110">
        <f>HYPERLINK("https://klasma.github.io/Logging_1984/fåglar/A 17706-2025 prioriterade fågelarter.docx", "A 17706-2025")</f>
        <v/>
      </c>
    </row>
    <row r="111" ht="15" customHeight="1">
      <c r="A111" t="inlineStr">
        <is>
          <t>A 15102-2025</t>
        </is>
      </c>
      <c r="B111" s="1" t="n">
        <v>45744.34585648148</v>
      </c>
      <c r="C111" s="1" t="n">
        <v>45998</v>
      </c>
      <c r="D111" t="inlineStr">
        <is>
          <t>VÄSTMANLANDS LÄN</t>
        </is>
      </c>
      <c r="E111" t="inlineStr">
        <is>
          <t>SALA</t>
        </is>
      </c>
      <c r="F111" t="inlineStr">
        <is>
          <t>Sveaskog</t>
        </is>
      </c>
      <c r="G111" t="n">
        <v>4.2</v>
      </c>
      <c r="H111" t="n">
        <v>2</v>
      </c>
      <c r="I111" t="n">
        <v>0</v>
      </c>
      <c r="J111" t="n">
        <v>1</v>
      </c>
      <c r="K111" t="n">
        <v>0</v>
      </c>
      <c r="L111" t="n">
        <v>0</v>
      </c>
      <c r="M111" t="n">
        <v>0</v>
      </c>
      <c r="N111" t="n">
        <v>0</v>
      </c>
      <c r="O111" t="n">
        <v>1</v>
      </c>
      <c r="P111" t="n">
        <v>0</v>
      </c>
      <c r="Q111" t="n">
        <v>2</v>
      </c>
      <c r="R111" s="2" t="inlineStr">
        <is>
          <t>Spillkråka
Grönsiska</t>
        </is>
      </c>
      <c r="S111">
        <f>HYPERLINK("https://klasma.github.io/Logging_1981/artfynd/A 15102-2025 artfynd.xlsx", "A 15102-2025")</f>
        <v/>
      </c>
      <c r="T111">
        <f>HYPERLINK("https://klasma.github.io/Logging_1981/kartor/A 15102-2025 karta.png", "A 15102-2025")</f>
        <v/>
      </c>
      <c r="V111">
        <f>HYPERLINK("https://klasma.github.io/Logging_1981/klagomål/A 15102-2025 FSC-klagomål.docx", "A 15102-2025")</f>
        <v/>
      </c>
      <c r="W111">
        <f>HYPERLINK("https://klasma.github.io/Logging_1981/klagomålsmail/A 15102-2025 FSC-klagomål mail.docx", "A 15102-2025")</f>
        <v/>
      </c>
      <c r="X111">
        <f>HYPERLINK("https://klasma.github.io/Logging_1981/tillsyn/A 15102-2025 tillsynsbegäran.docx", "A 15102-2025")</f>
        <v/>
      </c>
      <c r="Y111">
        <f>HYPERLINK("https://klasma.github.io/Logging_1981/tillsynsmail/A 15102-2025 tillsynsbegäran mail.docx", "A 15102-2025")</f>
        <v/>
      </c>
      <c r="Z111">
        <f>HYPERLINK("https://klasma.github.io/Logging_1981/fåglar/A 15102-2025 prioriterade fågelarter.docx", "A 15102-2025")</f>
        <v/>
      </c>
    </row>
    <row r="112" ht="15" customHeight="1">
      <c r="A112" t="inlineStr">
        <is>
          <t>A 46872-2024</t>
        </is>
      </c>
      <c r="B112" s="1" t="n">
        <v>45583.63887731481</v>
      </c>
      <c r="C112" s="1" t="n">
        <v>45998</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13058-2025</t>
        </is>
      </c>
      <c r="B113" s="1" t="n">
        <v>45734.59789351852</v>
      </c>
      <c r="C113" s="1" t="n">
        <v>45998</v>
      </c>
      <c r="D113" t="inlineStr">
        <is>
          <t>VÄSTMANLANDS LÄN</t>
        </is>
      </c>
      <c r="E113" t="inlineStr">
        <is>
          <t>KÖPING</t>
        </is>
      </c>
      <c r="F113" t="inlineStr">
        <is>
          <t>Sveaskog</t>
        </is>
      </c>
      <c r="G113" t="n">
        <v>3.9</v>
      </c>
      <c r="H113" t="n">
        <v>0</v>
      </c>
      <c r="I113" t="n">
        <v>2</v>
      </c>
      <c r="J113" t="n">
        <v>0</v>
      </c>
      <c r="K113" t="n">
        <v>0</v>
      </c>
      <c r="L113" t="n">
        <v>0</v>
      </c>
      <c r="M113" t="n">
        <v>0</v>
      </c>
      <c r="N113" t="n">
        <v>0</v>
      </c>
      <c r="O113" t="n">
        <v>0</v>
      </c>
      <c r="P113" t="n">
        <v>0</v>
      </c>
      <c r="Q113" t="n">
        <v>2</v>
      </c>
      <c r="R113" s="2" t="inlineStr">
        <is>
          <t>Scharlakansskål
Scharlakansvårskål agg.</t>
        </is>
      </c>
      <c r="S113">
        <f>HYPERLINK("https://klasma.github.io/Logging_1983/artfynd/A 13058-2025 artfynd.xlsx", "A 13058-2025")</f>
        <v/>
      </c>
      <c r="T113">
        <f>HYPERLINK("https://klasma.github.io/Logging_1983/kartor/A 13058-2025 karta.png", "A 13058-2025")</f>
        <v/>
      </c>
      <c r="V113">
        <f>HYPERLINK("https://klasma.github.io/Logging_1983/klagomål/A 13058-2025 FSC-klagomål.docx", "A 13058-2025")</f>
        <v/>
      </c>
      <c r="W113">
        <f>HYPERLINK("https://klasma.github.io/Logging_1983/klagomålsmail/A 13058-2025 FSC-klagomål mail.docx", "A 13058-2025")</f>
        <v/>
      </c>
      <c r="X113">
        <f>HYPERLINK("https://klasma.github.io/Logging_1983/tillsyn/A 13058-2025 tillsynsbegäran.docx", "A 13058-2025")</f>
        <v/>
      </c>
      <c r="Y113">
        <f>HYPERLINK("https://klasma.github.io/Logging_1983/tillsynsmail/A 13058-2025 tillsynsbegäran mail.docx", "A 13058-2025")</f>
        <v/>
      </c>
    </row>
    <row r="114" ht="15" customHeight="1">
      <c r="A114" t="inlineStr">
        <is>
          <t>A 1500-2022</t>
        </is>
      </c>
      <c r="B114" s="1" t="n">
        <v>44573.54357638889</v>
      </c>
      <c r="C114" s="1" t="n">
        <v>45998</v>
      </c>
      <c r="D114" t="inlineStr">
        <is>
          <t>VÄSTMANLANDS LÄN</t>
        </is>
      </c>
      <c r="E114" t="inlineStr">
        <is>
          <t>SALA</t>
        </is>
      </c>
      <c r="G114" t="n">
        <v>5.8</v>
      </c>
      <c r="H114" t="n">
        <v>2</v>
      </c>
      <c r="I114" t="n">
        <v>0</v>
      </c>
      <c r="J114" t="n">
        <v>0</v>
      </c>
      <c r="K114" t="n">
        <v>1</v>
      </c>
      <c r="L114" t="n">
        <v>0</v>
      </c>
      <c r="M114" t="n">
        <v>0</v>
      </c>
      <c r="N114" t="n">
        <v>0</v>
      </c>
      <c r="O114" t="n">
        <v>1</v>
      </c>
      <c r="P114" t="n">
        <v>1</v>
      </c>
      <c r="Q114" t="n">
        <v>2</v>
      </c>
      <c r="R114" s="2" t="inlineStr">
        <is>
          <t>Knärot
Revlummer</t>
        </is>
      </c>
      <c r="S114">
        <f>HYPERLINK("https://klasma.github.io/Logging_1981/artfynd/A 1500-2022 artfynd.xlsx", "A 1500-2022")</f>
        <v/>
      </c>
      <c r="T114">
        <f>HYPERLINK("https://klasma.github.io/Logging_1981/kartor/A 1500-2022 karta.png", "A 1500-2022")</f>
        <v/>
      </c>
      <c r="U114">
        <f>HYPERLINK("https://klasma.github.io/Logging_1981/knärot/A 1500-2022 karta knärot.png", "A 1500-2022")</f>
        <v/>
      </c>
      <c r="V114">
        <f>HYPERLINK("https://klasma.github.io/Logging_1981/klagomål/A 1500-2022 FSC-klagomål.docx", "A 1500-2022")</f>
        <v/>
      </c>
      <c r="W114">
        <f>HYPERLINK("https://klasma.github.io/Logging_1981/klagomålsmail/A 1500-2022 FSC-klagomål mail.docx", "A 1500-2022")</f>
        <v/>
      </c>
      <c r="X114">
        <f>HYPERLINK("https://klasma.github.io/Logging_1981/tillsyn/A 1500-2022 tillsynsbegäran.docx", "A 1500-2022")</f>
        <v/>
      </c>
      <c r="Y114">
        <f>HYPERLINK("https://klasma.github.io/Logging_1981/tillsynsmail/A 1500-2022 tillsynsbegäran mail.docx", "A 1500-2022")</f>
        <v/>
      </c>
    </row>
    <row r="115" ht="15" customHeight="1">
      <c r="A115" t="inlineStr">
        <is>
          <t>A 37800-2021</t>
        </is>
      </c>
      <c r="B115" s="1" t="n">
        <v>44402</v>
      </c>
      <c r="C115" s="1" t="n">
        <v>45998</v>
      </c>
      <c r="D115" t="inlineStr">
        <is>
          <t>VÄSTMANLANDS LÄN</t>
        </is>
      </c>
      <c r="E115" t="inlineStr">
        <is>
          <t>SURAHAMMAR</t>
        </is>
      </c>
      <c r="F115" t="inlineStr">
        <is>
          <t>Kommuner</t>
        </is>
      </c>
      <c r="G115" t="n">
        <v>1.3</v>
      </c>
      <c r="H115" t="n">
        <v>1</v>
      </c>
      <c r="I115" t="n">
        <v>0</v>
      </c>
      <c r="J115" t="n">
        <v>1</v>
      </c>
      <c r="K115" t="n">
        <v>0</v>
      </c>
      <c r="L115" t="n">
        <v>0</v>
      </c>
      <c r="M115" t="n">
        <v>0</v>
      </c>
      <c r="N115" t="n">
        <v>0</v>
      </c>
      <c r="O115" t="n">
        <v>1</v>
      </c>
      <c r="P115" t="n">
        <v>0</v>
      </c>
      <c r="Q115" t="n">
        <v>2</v>
      </c>
      <c r="R115" s="2" t="inlineStr">
        <is>
          <t>Svinrot
Grönvit nattviol</t>
        </is>
      </c>
      <c r="S115">
        <f>HYPERLINK("https://klasma.github.io/Logging_1907/artfynd/A 37800-2021 artfynd.xlsx", "A 37800-2021")</f>
        <v/>
      </c>
      <c r="T115">
        <f>HYPERLINK("https://klasma.github.io/Logging_1907/kartor/A 37800-2021 karta.png", "A 37800-2021")</f>
        <v/>
      </c>
      <c r="V115">
        <f>HYPERLINK("https://klasma.github.io/Logging_1907/klagomål/A 37800-2021 FSC-klagomål.docx", "A 37800-2021")</f>
        <v/>
      </c>
      <c r="W115">
        <f>HYPERLINK("https://klasma.github.io/Logging_1907/klagomålsmail/A 37800-2021 FSC-klagomål mail.docx", "A 37800-2021")</f>
        <v/>
      </c>
      <c r="X115">
        <f>HYPERLINK("https://klasma.github.io/Logging_1907/tillsyn/A 37800-2021 tillsynsbegäran.docx", "A 37800-2021")</f>
        <v/>
      </c>
      <c r="Y115">
        <f>HYPERLINK("https://klasma.github.io/Logging_1907/tillsynsmail/A 37800-2021 tillsynsbegäran mail.docx", "A 37800-2021")</f>
        <v/>
      </c>
    </row>
    <row r="116" ht="15" customHeight="1">
      <c r="A116" t="inlineStr">
        <is>
          <t>A 21618-2025</t>
        </is>
      </c>
      <c r="B116" s="1" t="n">
        <v>45783</v>
      </c>
      <c r="C116" s="1" t="n">
        <v>45998</v>
      </c>
      <c r="D116" t="inlineStr">
        <is>
          <t>VÄSTMANLANDS LÄN</t>
        </is>
      </c>
      <c r="E116" t="inlineStr">
        <is>
          <t>SURAHAMMAR</t>
        </is>
      </c>
      <c r="F116" t="inlineStr">
        <is>
          <t>Bergvik skog väst AB</t>
        </is>
      </c>
      <c r="G116" t="n">
        <v>1.1</v>
      </c>
      <c r="H116" t="n">
        <v>2</v>
      </c>
      <c r="I116" t="n">
        <v>1</v>
      </c>
      <c r="J116" t="n">
        <v>0</v>
      </c>
      <c r="K116" t="n">
        <v>0</v>
      </c>
      <c r="L116" t="n">
        <v>0</v>
      </c>
      <c r="M116" t="n">
        <v>0</v>
      </c>
      <c r="N116" t="n">
        <v>0</v>
      </c>
      <c r="O116" t="n">
        <v>0</v>
      </c>
      <c r="P116" t="n">
        <v>0</v>
      </c>
      <c r="Q116" t="n">
        <v>2</v>
      </c>
      <c r="R116" s="2" t="inlineStr">
        <is>
          <t>Plattlummer
Mattlummer</t>
        </is>
      </c>
      <c r="S116">
        <f>HYPERLINK("https://klasma.github.io/Logging_1907/artfynd/A 21618-2025 artfynd.xlsx", "A 21618-2025")</f>
        <v/>
      </c>
      <c r="T116">
        <f>HYPERLINK("https://klasma.github.io/Logging_1907/kartor/A 21618-2025 karta.png", "A 21618-2025")</f>
        <v/>
      </c>
      <c r="V116">
        <f>HYPERLINK("https://klasma.github.io/Logging_1907/klagomål/A 21618-2025 FSC-klagomål.docx", "A 21618-2025")</f>
        <v/>
      </c>
      <c r="W116">
        <f>HYPERLINK("https://klasma.github.io/Logging_1907/klagomålsmail/A 21618-2025 FSC-klagomål mail.docx", "A 21618-2025")</f>
        <v/>
      </c>
      <c r="X116">
        <f>HYPERLINK("https://klasma.github.io/Logging_1907/tillsyn/A 21618-2025 tillsynsbegäran.docx", "A 21618-2025")</f>
        <v/>
      </c>
      <c r="Y116">
        <f>HYPERLINK("https://klasma.github.io/Logging_1907/tillsynsmail/A 21618-2025 tillsynsbegäran mail.docx", "A 21618-2025")</f>
        <v/>
      </c>
    </row>
    <row r="117" ht="15" customHeight="1">
      <c r="A117" t="inlineStr">
        <is>
          <t>A 16012-2023</t>
        </is>
      </c>
      <c r="B117" s="1" t="n">
        <v>45026</v>
      </c>
      <c r="C117" s="1" t="n">
        <v>45998</v>
      </c>
      <c r="D117" t="inlineStr">
        <is>
          <t>VÄSTMANLANDS LÄN</t>
        </is>
      </c>
      <c r="E117" t="inlineStr">
        <is>
          <t>KÖPING</t>
        </is>
      </c>
      <c r="G117" t="n">
        <v>19.4</v>
      </c>
      <c r="H117" t="n">
        <v>0</v>
      </c>
      <c r="I117" t="n">
        <v>1</v>
      </c>
      <c r="J117" t="n">
        <v>1</v>
      </c>
      <c r="K117" t="n">
        <v>0</v>
      </c>
      <c r="L117" t="n">
        <v>0</v>
      </c>
      <c r="M117" t="n">
        <v>0</v>
      </c>
      <c r="N117" t="n">
        <v>0</v>
      </c>
      <c r="O117" t="n">
        <v>1</v>
      </c>
      <c r="P117" t="n">
        <v>0</v>
      </c>
      <c r="Q117" t="n">
        <v>2</v>
      </c>
      <c r="R117" s="2" t="inlineStr">
        <is>
          <t>Krusfrö
Kamjordstjärna</t>
        </is>
      </c>
      <c r="S117">
        <f>HYPERLINK("https://klasma.github.io/Logging_1983/artfynd/A 16012-2023 artfynd.xlsx", "A 16012-2023")</f>
        <v/>
      </c>
      <c r="T117">
        <f>HYPERLINK("https://klasma.github.io/Logging_1983/kartor/A 16012-2023 karta.png", "A 16012-2023")</f>
        <v/>
      </c>
      <c r="V117">
        <f>HYPERLINK("https://klasma.github.io/Logging_1983/klagomål/A 16012-2023 FSC-klagomål.docx", "A 16012-2023")</f>
        <v/>
      </c>
      <c r="W117">
        <f>HYPERLINK("https://klasma.github.io/Logging_1983/klagomålsmail/A 16012-2023 FSC-klagomål mail.docx", "A 16012-2023")</f>
        <v/>
      </c>
      <c r="X117">
        <f>HYPERLINK("https://klasma.github.io/Logging_1983/tillsyn/A 16012-2023 tillsynsbegäran.docx", "A 16012-2023")</f>
        <v/>
      </c>
      <c r="Y117">
        <f>HYPERLINK("https://klasma.github.io/Logging_1983/tillsynsmail/A 16012-2023 tillsynsbegäran mail.docx", "A 16012-2023")</f>
        <v/>
      </c>
    </row>
    <row r="118" ht="15" customHeight="1">
      <c r="A118" t="inlineStr">
        <is>
          <t>A 2314-2025</t>
        </is>
      </c>
      <c r="B118" s="1" t="n">
        <v>45673</v>
      </c>
      <c r="C118" s="1" t="n">
        <v>45998</v>
      </c>
      <c r="D118" t="inlineStr">
        <is>
          <t>VÄSTMANLANDS LÄN</t>
        </is>
      </c>
      <c r="E118" t="inlineStr">
        <is>
          <t>FAGERSTA</t>
        </is>
      </c>
      <c r="G118" t="n">
        <v>0.8</v>
      </c>
      <c r="H118" t="n">
        <v>0</v>
      </c>
      <c r="I118" t="n">
        <v>1</v>
      </c>
      <c r="J118" t="n">
        <v>0</v>
      </c>
      <c r="K118" t="n">
        <v>0</v>
      </c>
      <c r="L118" t="n">
        <v>0</v>
      </c>
      <c r="M118" t="n">
        <v>1</v>
      </c>
      <c r="N118" t="n">
        <v>0</v>
      </c>
      <c r="O118" t="n">
        <v>1</v>
      </c>
      <c r="P118" t="n">
        <v>1</v>
      </c>
      <c r="Q118" t="n">
        <v>2</v>
      </c>
      <c r="R118" s="2" t="inlineStr">
        <is>
          <t>Skogsalm
Svart trolldruva</t>
        </is>
      </c>
      <c r="S118">
        <f>HYPERLINK("https://klasma.github.io/Logging_1982/artfynd/A 2314-2025 artfynd.xlsx", "A 2314-2025")</f>
        <v/>
      </c>
      <c r="T118">
        <f>HYPERLINK("https://klasma.github.io/Logging_1982/kartor/A 2314-2025 karta.png", "A 2314-2025")</f>
        <v/>
      </c>
      <c r="V118">
        <f>HYPERLINK("https://klasma.github.io/Logging_1982/klagomål/A 2314-2025 FSC-klagomål.docx", "A 2314-2025")</f>
        <v/>
      </c>
      <c r="W118">
        <f>HYPERLINK("https://klasma.github.io/Logging_1982/klagomålsmail/A 2314-2025 FSC-klagomål mail.docx", "A 2314-2025")</f>
        <v/>
      </c>
      <c r="X118">
        <f>HYPERLINK("https://klasma.github.io/Logging_1982/tillsyn/A 2314-2025 tillsynsbegäran.docx", "A 2314-2025")</f>
        <v/>
      </c>
      <c r="Y118">
        <f>HYPERLINK("https://klasma.github.io/Logging_1982/tillsynsmail/A 2314-2025 tillsynsbegäran mail.docx", "A 2314-2025")</f>
        <v/>
      </c>
    </row>
    <row r="119" ht="15" customHeight="1">
      <c r="A119" t="inlineStr">
        <is>
          <t>A 4082-2025</t>
        </is>
      </c>
      <c r="B119" s="1" t="n">
        <v>45684</v>
      </c>
      <c r="C119" s="1" t="n">
        <v>45998</v>
      </c>
      <c r="D119" t="inlineStr">
        <is>
          <t>VÄSTMANLANDS LÄN</t>
        </is>
      </c>
      <c r="E119" t="inlineStr">
        <is>
          <t>SURAHAMMAR</t>
        </is>
      </c>
      <c r="F119" t="inlineStr">
        <is>
          <t>Bergvik skog väst AB</t>
        </is>
      </c>
      <c r="G119" t="n">
        <v>11.6</v>
      </c>
      <c r="H119" t="n">
        <v>1</v>
      </c>
      <c r="I119" t="n">
        <v>2</v>
      </c>
      <c r="J119" t="n">
        <v>0</v>
      </c>
      <c r="K119" t="n">
        <v>0</v>
      </c>
      <c r="L119" t="n">
        <v>0</v>
      </c>
      <c r="M119" t="n">
        <v>0</v>
      </c>
      <c r="N119" t="n">
        <v>0</v>
      </c>
      <c r="O119" t="n">
        <v>0</v>
      </c>
      <c r="P119" t="n">
        <v>0</v>
      </c>
      <c r="Q119" t="n">
        <v>2</v>
      </c>
      <c r="R119" s="2" t="inlineStr">
        <is>
          <t>Grönpyrola
Plattlummer</t>
        </is>
      </c>
      <c r="S119">
        <f>HYPERLINK("https://klasma.github.io/Logging_1907/artfynd/A 4082-2025 artfynd.xlsx", "A 4082-2025")</f>
        <v/>
      </c>
      <c r="T119">
        <f>HYPERLINK("https://klasma.github.io/Logging_1907/kartor/A 4082-2025 karta.png", "A 4082-2025")</f>
        <v/>
      </c>
      <c r="V119">
        <f>HYPERLINK("https://klasma.github.io/Logging_1907/klagomål/A 4082-2025 FSC-klagomål.docx", "A 4082-2025")</f>
        <v/>
      </c>
      <c r="W119">
        <f>HYPERLINK("https://klasma.github.io/Logging_1907/klagomålsmail/A 4082-2025 FSC-klagomål mail.docx", "A 4082-2025")</f>
        <v/>
      </c>
      <c r="X119">
        <f>HYPERLINK("https://klasma.github.io/Logging_1907/tillsyn/A 4082-2025 tillsynsbegäran.docx", "A 4082-2025")</f>
        <v/>
      </c>
      <c r="Y119">
        <f>HYPERLINK("https://klasma.github.io/Logging_1907/tillsynsmail/A 4082-2025 tillsynsbegäran mail.docx", "A 4082-2025")</f>
        <v/>
      </c>
    </row>
    <row r="120" ht="15" customHeight="1">
      <c r="A120" t="inlineStr">
        <is>
          <t>A 9956-2022</t>
        </is>
      </c>
      <c r="B120" s="1" t="n">
        <v>44621</v>
      </c>
      <c r="C120" s="1" t="n">
        <v>45998</v>
      </c>
      <c r="D120" t="inlineStr">
        <is>
          <t>VÄSTMANLANDS LÄN</t>
        </is>
      </c>
      <c r="E120" t="inlineStr">
        <is>
          <t>FAGERSTA</t>
        </is>
      </c>
      <c r="F120" t="inlineStr">
        <is>
          <t>Kommuner</t>
        </is>
      </c>
      <c r="G120" t="n">
        <v>6.4</v>
      </c>
      <c r="H120" t="n">
        <v>1</v>
      </c>
      <c r="I120" t="n">
        <v>1</v>
      </c>
      <c r="J120" t="n">
        <v>0</v>
      </c>
      <c r="K120" t="n">
        <v>0</v>
      </c>
      <c r="L120" t="n">
        <v>0</v>
      </c>
      <c r="M120" t="n">
        <v>0</v>
      </c>
      <c r="N120" t="n">
        <v>0</v>
      </c>
      <c r="O120" t="n">
        <v>0</v>
      </c>
      <c r="P120" t="n">
        <v>0</v>
      </c>
      <c r="Q120" t="n">
        <v>2</v>
      </c>
      <c r="R120" s="2" t="inlineStr">
        <is>
          <t>Ögonpyrola
Fläcknycklar</t>
        </is>
      </c>
      <c r="S120">
        <f>HYPERLINK("https://klasma.github.io/Logging_1982/artfynd/A 9956-2022 artfynd.xlsx", "A 9956-2022")</f>
        <v/>
      </c>
      <c r="T120">
        <f>HYPERLINK("https://klasma.github.io/Logging_1982/kartor/A 9956-2022 karta.png", "A 9956-2022")</f>
        <v/>
      </c>
      <c r="V120">
        <f>HYPERLINK("https://klasma.github.io/Logging_1982/klagomål/A 9956-2022 FSC-klagomål.docx", "A 9956-2022")</f>
        <v/>
      </c>
      <c r="W120">
        <f>HYPERLINK("https://klasma.github.io/Logging_1982/klagomålsmail/A 9956-2022 FSC-klagomål mail.docx", "A 9956-2022")</f>
        <v/>
      </c>
      <c r="X120">
        <f>HYPERLINK("https://klasma.github.io/Logging_1982/tillsyn/A 9956-2022 tillsynsbegäran.docx", "A 9956-2022")</f>
        <v/>
      </c>
      <c r="Y120">
        <f>HYPERLINK("https://klasma.github.io/Logging_1982/tillsynsmail/A 9956-2022 tillsynsbegäran mail.docx", "A 9956-2022")</f>
        <v/>
      </c>
    </row>
    <row r="121" ht="15" customHeight="1">
      <c r="A121" t="inlineStr">
        <is>
          <t>A 944-2025</t>
        </is>
      </c>
      <c r="B121" s="1" t="n">
        <v>45666</v>
      </c>
      <c r="C121" s="1" t="n">
        <v>45998</v>
      </c>
      <c r="D121" t="inlineStr">
        <is>
          <t>VÄSTMANLANDS LÄN</t>
        </is>
      </c>
      <c r="E121" t="inlineStr">
        <is>
          <t>ARBOGA</t>
        </is>
      </c>
      <c r="G121" t="n">
        <v>1.3</v>
      </c>
      <c r="H121" t="n">
        <v>0</v>
      </c>
      <c r="I121" t="n">
        <v>1</v>
      </c>
      <c r="J121" t="n">
        <v>1</v>
      </c>
      <c r="K121" t="n">
        <v>0</v>
      </c>
      <c r="L121" t="n">
        <v>0</v>
      </c>
      <c r="M121" t="n">
        <v>0</v>
      </c>
      <c r="N121" t="n">
        <v>0</v>
      </c>
      <c r="O121" t="n">
        <v>1</v>
      </c>
      <c r="P121" t="n">
        <v>0</v>
      </c>
      <c r="Q121" t="n">
        <v>2</v>
      </c>
      <c r="R121" s="2" t="inlineStr">
        <is>
          <t>Koralltaggsvamp
Rävticka</t>
        </is>
      </c>
      <c r="S121">
        <f>HYPERLINK("https://klasma.github.io/Logging_1984/artfynd/A 944-2025 artfynd.xlsx", "A 944-2025")</f>
        <v/>
      </c>
      <c r="T121">
        <f>HYPERLINK("https://klasma.github.io/Logging_1984/kartor/A 944-2025 karta.png", "A 944-2025")</f>
        <v/>
      </c>
      <c r="V121">
        <f>HYPERLINK("https://klasma.github.io/Logging_1984/klagomål/A 944-2025 FSC-klagomål.docx", "A 944-2025")</f>
        <v/>
      </c>
      <c r="W121">
        <f>HYPERLINK("https://klasma.github.io/Logging_1984/klagomålsmail/A 944-2025 FSC-klagomål mail.docx", "A 944-2025")</f>
        <v/>
      </c>
      <c r="X121">
        <f>HYPERLINK("https://klasma.github.io/Logging_1984/tillsyn/A 944-2025 tillsynsbegäran.docx", "A 944-2025")</f>
        <v/>
      </c>
      <c r="Y121">
        <f>HYPERLINK("https://klasma.github.io/Logging_1984/tillsynsmail/A 944-2025 tillsynsbegäran mail.docx", "A 944-2025")</f>
        <v/>
      </c>
    </row>
    <row r="122" ht="15" customHeight="1">
      <c r="A122" t="inlineStr">
        <is>
          <t>A 26898-2021</t>
        </is>
      </c>
      <c r="B122" s="1" t="n">
        <v>44349.64474537037</v>
      </c>
      <c r="C122" s="1" t="n">
        <v>45998</v>
      </c>
      <c r="D122" t="inlineStr">
        <is>
          <t>VÄSTMANLANDS LÄN</t>
        </is>
      </c>
      <c r="E122" t="inlineStr">
        <is>
          <t>KÖPING</t>
        </is>
      </c>
      <c r="G122" t="n">
        <v>11.9</v>
      </c>
      <c r="H122" t="n">
        <v>0</v>
      </c>
      <c r="I122" t="n">
        <v>0</v>
      </c>
      <c r="J122" t="n">
        <v>1</v>
      </c>
      <c r="K122" t="n">
        <v>1</v>
      </c>
      <c r="L122" t="n">
        <v>0</v>
      </c>
      <c r="M122" t="n">
        <v>0</v>
      </c>
      <c r="N122" t="n">
        <v>0</v>
      </c>
      <c r="O122" t="n">
        <v>2</v>
      </c>
      <c r="P122" t="n">
        <v>1</v>
      </c>
      <c r="Q122" t="n">
        <v>2</v>
      </c>
      <c r="R122" s="2" t="inlineStr">
        <is>
          <t>Rynkskinn
Ullticka</t>
        </is>
      </c>
      <c r="S122">
        <f>HYPERLINK("https://klasma.github.io/Logging_1983/artfynd/A 26898-2021 artfynd.xlsx", "A 26898-2021")</f>
        <v/>
      </c>
      <c r="T122">
        <f>HYPERLINK("https://klasma.github.io/Logging_1983/kartor/A 26898-2021 karta.png", "A 26898-2021")</f>
        <v/>
      </c>
      <c r="V122">
        <f>HYPERLINK("https://klasma.github.io/Logging_1983/klagomål/A 26898-2021 FSC-klagomål.docx", "A 26898-2021")</f>
        <v/>
      </c>
      <c r="W122">
        <f>HYPERLINK("https://klasma.github.io/Logging_1983/klagomålsmail/A 26898-2021 FSC-klagomål mail.docx", "A 26898-2021")</f>
        <v/>
      </c>
      <c r="X122">
        <f>HYPERLINK("https://klasma.github.io/Logging_1983/tillsyn/A 26898-2021 tillsynsbegäran.docx", "A 26898-2021")</f>
        <v/>
      </c>
      <c r="Y122">
        <f>HYPERLINK("https://klasma.github.io/Logging_1983/tillsynsmail/A 26898-2021 tillsynsbegäran mail.docx", "A 26898-2021")</f>
        <v/>
      </c>
    </row>
    <row r="123" ht="15" customHeight="1">
      <c r="A123" t="inlineStr">
        <is>
          <t>A 13715-2024</t>
        </is>
      </c>
      <c r="B123" s="1" t="n">
        <v>45390</v>
      </c>
      <c r="C123" s="1" t="n">
        <v>45998</v>
      </c>
      <c r="D123" t="inlineStr">
        <is>
          <t>VÄSTMANLANDS LÄN</t>
        </is>
      </c>
      <c r="E123" t="inlineStr">
        <is>
          <t>SKINNSKATTEBERG</t>
        </is>
      </c>
      <c r="F123" t="inlineStr">
        <is>
          <t>Sveaskog</t>
        </is>
      </c>
      <c r="G123" t="n">
        <v>2.2</v>
      </c>
      <c r="H123" t="n">
        <v>2</v>
      </c>
      <c r="I123" t="n">
        <v>0</v>
      </c>
      <c r="J123" t="n">
        <v>1</v>
      </c>
      <c r="K123" t="n">
        <v>0</v>
      </c>
      <c r="L123" t="n">
        <v>0</v>
      </c>
      <c r="M123" t="n">
        <v>0</v>
      </c>
      <c r="N123" t="n">
        <v>0</v>
      </c>
      <c r="O123" t="n">
        <v>1</v>
      </c>
      <c r="P123" t="n">
        <v>0</v>
      </c>
      <c r="Q123" t="n">
        <v>2</v>
      </c>
      <c r="R123" s="2" t="inlineStr">
        <is>
          <t>Järpe
Tjäder</t>
        </is>
      </c>
      <c r="S123">
        <f>HYPERLINK("https://klasma.github.io/Logging_1904/artfynd/A 13715-2024 artfynd.xlsx", "A 13715-2024")</f>
        <v/>
      </c>
      <c r="T123">
        <f>HYPERLINK("https://klasma.github.io/Logging_1904/kartor/A 13715-2024 karta.png", "A 13715-2024")</f>
        <v/>
      </c>
      <c r="V123">
        <f>HYPERLINK("https://klasma.github.io/Logging_1904/klagomål/A 13715-2024 FSC-klagomål.docx", "A 13715-2024")</f>
        <v/>
      </c>
      <c r="W123">
        <f>HYPERLINK("https://klasma.github.io/Logging_1904/klagomålsmail/A 13715-2024 FSC-klagomål mail.docx", "A 13715-2024")</f>
        <v/>
      </c>
      <c r="X123">
        <f>HYPERLINK("https://klasma.github.io/Logging_1904/tillsyn/A 13715-2024 tillsynsbegäran.docx", "A 13715-2024")</f>
        <v/>
      </c>
      <c r="Y123">
        <f>HYPERLINK("https://klasma.github.io/Logging_1904/tillsynsmail/A 13715-2024 tillsynsbegäran mail.docx", "A 13715-2024")</f>
        <v/>
      </c>
      <c r="Z123">
        <f>HYPERLINK("https://klasma.github.io/Logging_1904/fåglar/A 13715-2024 prioriterade fågelarter.docx", "A 13715-2024")</f>
        <v/>
      </c>
    </row>
    <row r="124" ht="15" customHeight="1">
      <c r="A124" t="inlineStr">
        <is>
          <t>A 39250-2024</t>
        </is>
      </c>
      <c r="B124" s="1" t="n">
        <v>45551.31601851852</v>
      </c>
      <c r="C124" s="1" t="n">
        <v>45998</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13834-2025</t>
        </is>
      </c>
      <c r="B125" s="1" t="n">
        <v>45737</v>
      </c>
      <c r="C125" s="1" t="n">
        <v>45998</v>
      </c>
      <c r="D125" t="inlineStr">
        <is>
          <t>VÄSTMANLANDS LÄN</t>
        </is>
      </c>
      <c r="E125" t="inlineStr">
        <is>
          <t>NORBERG</t>
        </is>
      </c>
      <c r="F125" t="inlineStr">
        <is>
          <t>Sveaskog</t>
        </is>
      </c>
      <c r="G125" t="n">
        <v>4.7</v>
      </c>
      <c r="H125" t="n">
        <v>1</v>
      </c>
      <c r="I125" t="n">
        <v>0</v>
      </c>
      <c r="J125" t="n">
        <v>1</v>
      </c>
      <c r="K125" t="n">
        <v>0</v>
      </c>
      <c r="L125" t="n">
        <v>0</v>
      </c>
      <c r="M125" t="n">
        <v>0</v>
      </c>
      <c r="N125" t="n">
        <v>0</v>
      </c>
      <c r="O125" t="n">
        <v>1</v>
      </c>
      <c r="P125" t="n">
        <v>0</v>
      </c>
      <c r="Q125" t="n">
        <v>2</v>
      </c>
      <c r="R125" s="2" t="inlineStr">
        <is>
          <t>Slåtterfibbla
Blåsippa</t>
        </is>
      </c>
      <c r="S125">
        <f>HYPERLINK("https://klasma.github.io/Logging_1962/artfynd/A 13834-2025 artfynd.xlsx", "A 13834-2025")</f>
        <v/>
      </c>
      <c r="T125">
        <f>HYPERLINK("https://klasma.github.io/Logging_1962/kartor/A 13834-2025 karta.png", "A 13834-2025")</f>
        <v/>
      </c>
      <c r="V125">
        <f>HYPERLINK("https://klasma.github.io/Logging_1962/klagomål/A 13834-2025 FSC-klagomål.docx", "A 13834-2025")</f>
        <v/>
      </c>
      <c r="W125">
        <f>HYPERLINK("https://klasma.github.io/Logging_1962/klagomålsmail/A 13834-2025 FSC-klagomål mail.docx", "A 13834-2025")</f>
        <v/>
      </c>
      <c r="X125">
        <f>HYPERLINK("https://klasma.github.io/Logging_1962/tillsyn/A 13834-2025 tillsynsbegäran.docx", "A 13834-2025")</f>
        <v/>
      </c>
      <c r="Y125">
        <f>HYPERLINK("https://klasma.github.io/Logging_1962/tillsynsmail/A 13834-2025 tillsynsbegäran mail.docx", "A 13834-2025")</f>
        <v/>
      </c>
    </row>
    <row r="126" ht="15" customHeight="1">
      <c r="A126" t="inlineStr">
        <is>
          <t>A 59332-2022</t>
        </is>
      </c>
      <c r="B126" s="1" t="n">
        <v>44904</v>
      </c>
      <c r="C126" s="1" t="n">
        <v>45998</v>
      </c>
      <c r="D126" t="inlineStr">
        <is>
          <t>VÄSTMANLANDS LÄN</t>
        </is>
      </c>
      <c r="E126" t="inlineStr">
        <is>
          <t>KUNGSÖR</t>
        </is>
      </c>
      <c r="G126" t="n">
        <v>4.8</v>
      </c>
      <c r="H126" t="n">
        <v>0</v>
      </c>
      <c r="I126" t="n">
        <v>0</v>
      </c>
      <c r="J126" t="n">
        <v>2</v>
      </c>
      <c r="K126" t="n">
        <v>0</v>
      </c>
      <c r="L126" t="n">
        <v>0</v>
      </c>
      <c r="M126" t="n">
        <v>0</v>
      </c>
      <c r="N126" t="n">
        <v>0</v>
      </c>
      <c r="O126" t="n">
        <v>2</v>
      </c>
      <c r="P126" t="n">
        <v>0</v>
      </c>
      <c r="Q126" t="n">
        <v>2</v>
      </c>
      <c r="R126" s="2" t="inlineStr">
        <is>
          <t>Ekticka
Ullticka</t>
        </is>
      </c>
      <c r="S126">
        <f>HYPERLINK("https://klasma.github.io/Logging_1960/artfynd/A 59332-2022 artfynd.xlsx", "A 59332-2022")</f>
        <v/>
      </c>
      <c r="T126">
        <f>HYPERLINK("https://klasma.github.io/Logging_1960/kartor/A 59332-2022 karta.png", "A 59332-2022")</f>
        <v/>
      </c>
      <c r="V126">
        <f>HYPERLINK("https://klasma.github.io/Logging_1960/klagomål/A 59332-2022 FSC-klagomål.docx", "A 59332-2022")</f>
        <v/>
      </c>
      <c r="W126">
        <f>HYPERLINK("https://klasma.github.io/Logging_1960/klagomålsmail/A 59332-2022 FSC-klagomål mail.docx", "A 59332-2022")</f>
        <v/>
      </c>
      <c r="X126">
        <f>HYPERLINK("https://klasma.github.io/Logging_1960/tillsyn/A 59332-2022 tillsynsbegäran.docx", "A 59332-2022")</f>
        <v/>
      </c>
      <c r="Y126">
        <f>HYPERLINK("https://klasma.github.io/Logging_1960/tillsynsmail/A 59332-2022 tillsynsbegäran mail.docx", "A 59332-2022")</f>
        <v/>
      </c>
    </row>
    <row r="127" ht="15" customHeight="1">
      <c r="A127" t="inlineStr">
        <is>
          <t>A 33377-2023</t>
        </is>
      </c>
      <c r="B127" s="1" t="n">
        <v>45128</v>
      </c>
      <c r="C127" s="1" t="n">
        <v>45998</v>
      </c>
      <c r="D127" t="inlineStr">
        <is>
          <t>VÄSTMANLANDS LÄN</t>
        </is>
      </c>
      <c r="E127" t="inlineStr">
        <is>
          <t>NORBERG</t>
        </is>
      </c>
      <c r="F127" t="inlineStr">
        <is>
          <t>Sveaskog</t>
        </is>
      </c>
      <c r="G127" t="n">
        <v>1.7</v>
      </c>
      <c r="H127" t="n">
        <v>0</v>
      </c>
      <c r="I127" t="n">
        <v>0</v>
      </c>
      <c r="J127" t="n">
        <v>2</v>
      </c>
      <c r="K127" t="n">
        <v>0</v>
      </c>
      <c r="L127" t="n">
        <v>0</v>
      </c>
      <c r="M127" t="n">
        <v>0</v>
      </c>
      <c r="N127" t="n">
        <v>0</v>
      </c>
      <c r="O127" t="n">
        <v>2</v>
      </c>
      <c r="P127" t="n">
        <v>0</v>
      </c>
      <c r="Q127" t="n">
        <v>2</v>
      </c>
      <c r="R127" s="2" t="inlineStr">
        <is>
          <t>Dofttaggsvamp
Gul taggsvamp</t>
        </is>
      </c>
      <c r="S127">
        <f>HYPERLINK("https://klasma.github.io/Logging_1962/artfynd/A 33377-2023 artfynd.xlsx", "A 33377-2023")</f>
        <v/>
      </c>
      <c r="T127">
        <f>HYPERLINK("https://klasma.github.io/Logging_1962/kartor/A 33377-2023 karta.png", "A 33377-2023")</f>
        <v/>
      </c>
      <c r="V127">
        <f>HYPERLINK("https://klasma.github.io/Logging_1962/klagomål/A 33377-2023 FSC-klagomål.docx", "A 33377-2023")</f>
        <v/>
      </c>
      <c r="W127">
        <f>HYPERLINK("https://klasma.github.io/Logging_1962/klagomålsmail/A 33377-2023 FSC-klagomål mail.docx", "A 33377-2023")</f>
        <v/>
      </c>
      <c r="X127">
        <f>HYPERLINK("https://klasma.github.io/Logging_1962/tillsyn/A 33377-2023 tillsynsbegäran.docx", "A 33377-2023")</f>
        <v/>
      </c>
      <c r="Y127">
        <f>HYPERLINK("https://klasma.github.io/Logging_1962/tillsynsmail/A 33377-2023 tillsynsbegäran mail.docx", "A 33377-2023")</f>
        <v/>
      </c>
    </row>
    <row r="128" ht="15" customHeight="1">
      <c r="A128" t="inlineStr">
        <is>
          <t>A 40403-2025</t>
        </is>
      </c>
      <c r="B128" s="1" t="n">
        <v>45895</v>
      </c>
      <c r="C128" s="1" t="n">
        <v>45998</v>
      </c>
      <c r="D128" t="inlineStr">
        <is>
          <t>VÄSTMANLANDS LÄN</t>
        </is>
      </c>
      <c r="E128" t="inlineStr">
        <is>
          <t>SURAHAMMAR</t>
        </is>
      </c>
      <c r="F128" t="inlineStr">
        <is>
          <t>Kommuner</t>
        </is>
      </c>
      <c r="G128" t="n">
        <v>3.9</v>
      </c>
      <c r="H128" t="n">
        <v>1</v>
      </c>
      <c r="I128" t="n">
        <v>0</v>
      </c>
      <c r="J128" t="n">
        <v>1</v>
      </c>
      <c r="K128" t="n">
        <v>0</v>
      </c>
      <c r="L128" t="n">
        <v>0</v>
      </c>
      <c r="M128" t="n">
        <v>0</v>
      </c>
      <c r="N128" t="n">
        <v>0</v>
      </c>
      <c r="O128" t="n">
        <v>1</v>
      </c>
      <c r="P128" t="n">
        <v>0</v>
      </c>
      <c r="Q128" t="n">
        <v>2</v>
      </c>
      <c r="R128" s="2" t="inlineStr">
        <is>
          <t>Igelkott
Gröngöling</t>
        </is>
      </c>
      <c r="S128">
        <f>HYPERLINK("https://klasma.github.io/Logging_1907/artfynd/A 40403-2025 artfynd.xlsx", "A 40403-2025")</f>
        <v/>
      </c>
      <c r="T128">
        <f>HYPERLINK("https://klasma.github.io/Logging_1907/kartor/A 40403-2025 karta.png", "A 40403-2025")</f>
        <v/>
      </c>
      <c r="V128">
        <f>HYPERLINK("https://klasma.github.io/Logging_1907/klagomål/A 40403-2025 FSC-klagomål.docx", "A 40403-2025")</f>
        <v/>
      </c>
      <c r="W128">
        <f>HYPERLINK("https://klasma.github.io/Logging_1907/klagomålsmail/A 40403-2025 FSC-klagomål mail.docx", "A 40403-2025")</f>
        <v/>
      </c>
      <c r="X128">
        <f>HYPERLINK("https://klasma.github.io/Logging_1907/tillsyn/A 40403-2025 tillsynsbegäran.docx", "A 40403-2025")</f>
        <v/>
      </c>
      <c r="Y128">
        <f>HYPERLINK("https://klasma.github.io/Logging_1907/tillsynsmail/A 40403-2025 tillsynsbegäran mail.docx", "A 40403-2025")</f>
        <v/>
      </c>
      <c r="Z128">
        <f>HYPERLINK("https://klasma.github.io/Logging_1907/fåglar/A 40403-2025 prioriterade fågelarter.docx", "A 40403-2025")</f>
        <v/>
      </c>
    </row>
    <row r="129" ht="15" customHeight="1">
      <c r="A129" t="inlineStr">
        <is>
          <t>A 16910-2025</t>
        </is>
      </c>
      <c r="B129" s="1" t="n">
        <v>45755.36076388889</v>
      </c>
      <c r="C129" s="1" t="n">
        <v>45998</v>
      </c>
      <c r="D129" t="inlineStr">
        <is>
          <t>VÄSTMANLANDS LÄN</t>
        </is>
      </c>
      <c r="E129" t="inlineStr">
        <is>
          <t>SKINNSKATTEBERG</t>
        </is>
      </c>
      <c r="G129" t="n">
        <v>3.2</v>
      </c>
      <c r="H129" t="n">
        <v>1</v>
      </c>
      <c r="I129" t="n">
        <v>0</v>
      </c>
      <c r="J129" t="n">
        <v>1</v>
      </c>
      <c r="K129" t="n">
        <v>0</v>
      </c>
      <c r="L129" t="n">
        <v>0</v>
      </c>
      <c r="M129" t="n">
        <v>0</v>
      </c>
      <c r="N129" t="n">
        <v>0</v>
      </c>
      <c r="O129" t="n">
        <v>1</v>
      </c>
      <c r="P129" t="n">
        <v>0</v>
      </c>
      <c r="Q129" t="n">
        <v>2</v>
      </c>
      <c r="R129" s="2" t="inlineStr">
        <is>
          <t>Vedtrappmossa
Fläcknycklar</t>
        </is>
      </c>
      <c r="S129">
        <f>HYPERLINK("https://klasma.github.io/Logging_1904/artfynd/A 16910-2025 artfynd.xlsx", "A 16910-2025")</f>
        <v/>
      </c>
      <c r="T129">
        <f>HYPERLINK("https://klasma.github.io/Logging_1904/kartor/A 16910-2025 karta.png", "A 16910-2025")</f>
        <v/>
      </c>
      <c r="V129">
        <f>HYPERLINK("https://klasma.github.io/Logging_1904/klagomål/A 16910-2025 FSC-klagomål.docx", "A 16910-2025")</f>
        <v/>
      </c>
      <c r="W129">
        <f>HYPERLINK("https://klasma.github.io/Logging_1904/klagomålsmail/A 16910-2025 FSC-klagomål mail.docx", "A 16910-2025")</f>
        <v/>
      </c>
      <c r="X129">
        <f>HYPERLINK("https://klasma.github.io/Logging_1904/tillsyn/A 16910-2025 tillsynsbegäran.docx", "A 16910-2025")</f>
        <v/>
      </c>
      <c r="Y129">
        <f>HYPERLINK("https://klasma.github.io/Logging_1904/tillsynsmail/A 16910-2025 tillsynsbegäran mail.docx", "A 16910-2025")</f>
        <v/>
      </c>
    </row>
    <row r="130" ht="15" customHeight="1">
      <c r="A130" t="inlineStr">
        <is>
          <t>A 53048-2025</t>
        </is>
      </c>
      <c r="B130" s="1" t="n">
        <v>45958.36018518519</v>
      </c>
      <c r="C130" s="1" t="n">
        <v>45998</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24872-2025</t>
        </is>
      </c>
      <c r="B131" s="1" t="n">
        <v>45799.49038194444</v>
      </c>
      <c r="C131" s="1" t="n">
        <v>45998</v>
      </c>
      <c r="D131" t="inlineStr">
        <is>
          <t>VÄSTMANLANDS LÄN</t>
        </is>
      </c>
      <c r="E131" t="inlineStr">
        <is>
          <t>SALA</t>
        </is>
      </c>
      <c r="G131" t="n">
        <v>13.9</v>
      </c>
      <c r="H131" t="n">
        <v>1</v>
      </c>
      <c r="I131" t="n">
        <v>0</v>
      </c>
      <c r="J131" t="n">
        <v>1</v>
      </c>
      <c r="K131" t="n">
        <v>1</v>
      </c>
      <c r="L131" t="n">
        <v>0</v>
      </c>
      <c r="M131" t="n">
        <v>0</v>
      </c>
      <c r="N131" t="n">
        <v>0</v>
      </c>
      <c r="O131" t="n">
        <v>2</v>
      </c>
      <c r="P131" t="n">
        <v>1</v>
      </c>
      <c r="Q131" t="n">
        <v>2</v>
      </c>
      <c r="R131" s="2" t="inlineStr">
        <is>
          <t>Knärot
Motaggsvamp</t>
        </is>
      </c>
      <c r="S131">
        <f>HYPERLINK("https://klasma.github.io/Logging_1981/artfynd/A 24872-2025 artfynd.xlsx", "A 24872-2025")</f>
        <v/>
      </c>
      <c r="T131">
        <f>HYPERLINK("https://klasma.github.io/Logging_1981/kartor/A 24872-2025 karta.png", "A 24872-2025")</f>
        <v/>
      </c>
      <c r="U131">
        <f>HYPERLINK("https://klasma.github.io/Logging_1981/knärot/A 24872-2025 karta knärot.png", "A 24872-2025")</f>
        <v/>
      </c>
      <c r="V131">
        <f>HYPERLINK("https://klasma.github.io/Logging_1981/klagomål/A 24872-2025 FSC-klagomål.docx", "A 24872-2025")</f>
        <v/>
      </c>
      <c r="W131">
        <f>HYPERLINK("https://klasma.github.io/Logging_1981/klagomålsmail/A 24872-2025 FSC-klagomål mail.docx", "A 24872-2025")</f>
        <v/>
      </c>
      <c r="X131">
        <f>HYPERLINK("https://klasma.github.io/Logging_1981/tillsyn/A 24872-2025 tillsynsbegäran.docx", "A 24872-2025")</f>
        <v/>
      </c>
      <c r="Y131">
        <f>HYPERLINK("https://klasma.github.io/Logging_1981/tillsynsmail/A 24872-2025 tillsynsbegäran mail.docx", "A 24872-2025")</f>
        <v/>
      </c>
    </row>
    <row r="132" ht="15" customHeight="1">
      <c r="A132" t="inlineStr">
        <is>
          <t>A 50673-2025</t>
        </is>
      </c>
      <c r="B132" s="1" t="n">
        <v>45945.72927083333</v>
      </c>
      <c r="C132" s="1" t="n">
        <v>45998</v>
      </c>
      <c r="D132" t="inlineStr">
        <is>
          <t>VÄSTMANLANDS LÄN</t>
        </is>
      </c>
      <c r="E132" t="inlineStr">
        <is>
          <t>SKINNSKATTEBERG</t>
        </is>
      </c>
      <c r="F132" t="inlineStr">
        <is>
          <t>Sveaskog</t>
        </is>
      </c>
      <c r="G132" t="n">
        <v>4.9</v>
      </c>
      <c r="H132" t="n">
        <v>0</v>
      </c>
      <c r="I132" t="n">
        <v>2</v>
      </c>
      <c r="J132" t="n">
        <v>0</v>
      </c>
      <c r="K132" t="n">
        <v>0</v>
      </c>
      <c r="L132" t="n">
        <v>0</v>
      </c>
      <c r="M132" t="n">
        <v>0</v>
      </c>
      <c r="N132" t="n">
        <v>0</v>
      </c>
      <c r="O132" t="n">
        <v>0</v>
      </c>
      <c r="P132" t="n">
        <v>0</v>
      </c>
      <c r="Q132" t="n">
        <v>2</v>
      </c>
      <c r="R132" s="2" t="inlineStr">
        <is>
          <t>Smal svampklubba
Vedticka</t>
        </is>
      </c>
      <c r="S132">
        <f>HYPERLINK("https://klasma.github.io/Logging_1904/artfynd/A 50673-2025 artfynd.xlsx", "A 50673-2025")</f>
        <v/>
      </c>
      <c r="T132">
        <f>HYPERLINK("https://klasma.github.io/Logging_1904/kartor/A 50673-2025 karta.png", "A 50673-2025")</f>
        <v/>
      </c>
      <c r="V132">
        <f>HYPERLINK("https://klasma.github.io/Logging_1904/klagomål/A 50673-2025 FSC-klagomål.docx", "A 50673-2025")</f>
        <v/>
      </c>
      <c r="W132">
        <f>HYPERLINK("https://klasma.github.io/Logging_1904/klagomålsmail/A 50673-2025 FSC-klagomål mail.docx", "A 50673-2025")</f>
        <v/>
      </c>
      <c r="X132">
        <f>HYPERLINK("https://klasma.github.io/Logging_1904/tillsyn/A 50673-2025 tillsynsbegäran.docx", "A 50673-2025")</f>
        <v/>
      </c>
      <c r="Y132">
        <f>HYPERLINK("https://klasma.github.io/Logging_1904/tillsynsmail/A 50673-2025 tillsynsbegäran mail.docx", "A 50673-2025")</f>
        <v/>
      </c>
    </row>
    <row r="133" ht="15" customHeight="1">
      <c r="A133" t="inlineStr">
        <is>
          <t>A 50674-2025</t>
        </is>
      </c>
      <c r="B133" s="1" t="n">
        <v>45945.73045138889</v>
      </c>
      <c r="C133" s="1" t="n">
        <v>45998</v>
      </c>
      <c r="D133" t="inlineStr">
        <is>
          <t>VÄSTMANLANDS LÄN</t>
        </is>
      </c>
      <c r="E133" t="inlineStr">
        <is>
          <t>SKINNSKATTEBERG</t>
        </is>
      </c>
      <c r="F133" t="inlineStr">
        <is>
          <t>Sveaskog</t>
        </is>
      </c>
      <c r="G133" t="n">
        <v>2</v>
      </c>
      <c r="H133" t="n">
        <v>0</v>
      </c>
      <c r="I133" t="n">
        <v>1</v>
      </c>
      <c r="J133" t="n">
        <v>0</v>
      </c>
      <c r="K133" t="n">
        <v>1</v>
      </c>
      <c r="L133" t="n">
        <v>0</v>
      </c>
      <c r="M133" t="n">
        <v>0</v>
      </c>
      <c r="N133" t="n">
        <v>0</v>
      </c>
      <c r="O133" t="n">
        <v>1</v>
      </c>
      <c r="P133" t="n">
        <v>1</v>
      </c>
      <c r="Q133" t="n">
        <v>2</v>
      </c>
      <c r="R133" s="2" t="inlineStr">
        <is>
          <t>Blå säckmossa
Mörk husmossa</t>
        </is>
      </c>
      <c r="S133">
        <f>HYPERLINK("https://klasma.github.io/Logging_1904/artfynd/A 50674-2025 artfynd.xlsx", "A 50674-2025")</f>
        <v/>
      </c>
      <c r="T133">
        <f>HYPERLINK("https://klasma.github.io/Logging_1904/kartor/A 50674-2025 karta.png", "A 50674-2025")</f>
        <v/>
      </c>
      <c r="V133">
        <f>HYPERLINK("https://klasma.github.io/Logging_1904/klagomål/A 50674-2025 FSC-klagomål.docx", "A 50674-2025")</f>
        <v/>
      </c>
      <c r="W133">
        <f>HYPERLINK("https://klasma.github.io/Logging_1904/klagomålsmail/A 50674-2025 FSC-klagomål mail.docx", "A 50674-2025")</f>
        <v/>
      </c>
      <c r="X133">
        <f>HYPERLINK("https://klasma.github.io/Logging_1904/tillsyn/A 50674-2025 tillsynsbegäran.docx", "A 50674-2025")</f>
        <v/>
      </c>
      <c r="Y133">
        <f>HYPERLINK("https://klasma.github.io/Logging_1904/tillsynsmail/A 50674-2025 tillsynsbegäran mail.docx", "A 50674-2025")</f>
        <v/>
      </c>
    </row>
    <row r="134" ht="15" customHeight="1">
      <c r="A134" t="inlineStr">
        <is>
          <t>A 59826-2025</t>
        </is>
      </c>
      <c r="B134" s="1" t="n">
        <v>45992.65416666667</v>
      </c>
      <c r="C134" s="1" t="n">
        <v>45998</v>
      </c>
      <c r="D134" t="inlineStr">
        <is>
          <t>VÄSTMANLANDS LÄN</t>
        </is>
      </c>
      <c r="E134" t="inlineStr">
        <is>
          <t>SALA</t>
        </is>
      </c>
      <c r="G134" t="n">
        <v>2.7</v>
      </c>
      <c r="H134" t="n">
        <v>0</v>
      </c>
      <c r="I134" t="n">
        <v>1</v>
      </c>
      <c r="J134" t="n">
        <v>1</v>
      </c>
      <c r="K134" t="n">
        <v>0</v>
      </c>
      <c r="L134" t="n">
        <v>0</v>
      </c>
      <c r="M134" t="n">
        <v>0</v>
      </c>
      <c r="N134" t="n">
        <v>0</v>
      </c>
      <c r="O134" t="n">
        <v>1</v>
      </c>
      <c r="P134" t="n">
        <v>0</v>
      </c>
      <c r="Q134" t="n">
        <v>2</v>
      </c>
      <c r="R134" s="2" t="inlineStr">
        <is>
          <t>Motaggsvamp
Gullgröppa</t>
        </is>
      </c>
      <c r="S134">
        <f>HYPERLINK("https://klasma.github.io/Logging_1981/artfynd/A 59826-2025 artfynd.xlsx", "A 59826-2025")</f>
        <v/>
      </c>
      <c r="T134">
        <f>HYPERLINK("https://klasma.github.io/Logging_1981/kartor/A 59826-2025 karta.png", "A 59826-2025")</f>
        <v/>
      </c>
      <c r="V134">
        <f>HYPERLINK("https://klasma.github.io/Logging_1981/klagomål/A 59826-2025 FSC-klagomål.docx", "A 59826-2025")</f>
        <v/>
      </c>
      <c r="W134">
        <f>HYPERLINK("https://klasma.github.io/Logging_1981/klagomålsmail/A 59826-2025 FSC-klagomål mail.docx", "A 59826-2025")</f>
        <v/>
      </c>
      <c r="X134">
        <f>HYPERLINK("https://klasma.github.io/Logging_1981/tillsyn/A 59826-2025 tillsynsbegäran.docx", "A 59826-2025")</f>
        <v/>
      </c>
      <c r="Y134">
        <f>HYPERLINK("https://klasma.github.io/Logging_1981/tillsynsmail/A 59826-2025 tillsynsbegäran mail.docx", "A 59826-2025")</f>
        <v/>
      </c>
    </row>
    <row r="135" ht="15" customHeight="1">
      <c r="A135" t="inlineStr">
        <is>
          <t>A 31706-2025</t>
        </is>
      </c>
      <c r="B135" s="1" t="n">
        <v>45834</v>
      </c>
      <c r="C135" s="1" t="n">
        <v>45998</v>
      </c>
      <c r="D135" t="inlineStr">
        <is>
          <t>VÄSTMANLANDS LÄN</t>
        </is>
      </c>
      <c r="E135" t="inlineStr">
        <is>
          <t>KUNGSÖR</t>
        </is>
      </c>
      <c r="F135" t="inlineStr">
        <is>
          <t>Allmännings- och besparingsskogar</t>
        </is>
      </c>
      <c r="G135" t="n">
        <v>6.1</v>
      </c>
      <c r="H135" t="n">
        <v>1</v>
      </c>
      <c r="I135" t="n">
        <v>1</v>
      </c>
      <c r="J135" t="n">
        <v>0</v>
      </c>
      <c r="K135" t="n">
        <v>0</v>
      </c>
      <c r="L135" t="n">
        <v>0</v>
      </c>
      <c r="M135" t="n">
        <v>0</v>
      </c>
      <c r="N135" t="n">
        <v>0</v>
      </c>
      <c r="O135" t="n">
        <v>0</v>
      </c>
      <c r="P135" t="n">
        <v>0</v>
      </c>
      <c r="Q135" t="n">
        <v>2</v>
      </c>
      <c r="R135" s="2" t="inlineStr">
        <is>
          <t>Blomkålssvamp
Trana</t>
        </is>
      </c>
      <c r="S135">
        <f>HYPERLINK("https://klasma.github.io/Logging_1960/artfynd/A 31706-2025 artfynd.xlsx", "A 31706-2025")</f>
        <v/>
      </c>
      <c r="T135">
        <f>HYPERLINK("https://klasma.github.io/Logging_1960/kartor/A 31706-2025 karta.png", "A 31706-2025")</f>
        <v/>
      </c>
      <c r="V135">
        <f>HYPERLINK("https://klasma.github.io/Logging_1960/klagomål/A 31706-2025 FSC-klagomål.docx", "A 31706-2025")</f>
        <v/>
      </c>
      <c r="W135">
        <f>HYPERLINK("https://klasma.github.io/Logging_1960/klagomålsmail/A 31706-2025 FSC-klagomål mail.docx", "A 31706-2025")</f>
        <v/>
      </c>
      <c r="X135">
        <f>HYPERLINK("https://klasma.github.io/Logging_1960/tillsyn/A 31706-2025 tillsynsbegäran.docx", "A 31706-2025")</f>
        <v/>
      </c>
      <c r="Y135">
        <f>HYPERLINK("https://klasma.github.io/Logging_1960/tillsynsmail/A 31706-2025 tillsynsbegäran mail.docx", "A 31706-2025")</f>
        <v/>
      </c>
      <c r="Z135">
        <f>HYPERLINK("https://klasma.github.io/Logging_1960/fåglar/A 31706-2025 prioriterade fågelarter.docx", "A 31706-2025")</f>
        <v/>
      </c>
    </row>
    <row r="136" ht="15" customHeight="1">
      <c r="A136" t="inlineStr">
        <is>
          <t>A 12444-2024</t>
        </is>
      </c>
      <c r="B136" s="1" t="n">
        <v>45379.46285879629</v>
      </c>
      <c r="C136" s="1" t="n">
        <v>45998</v>
      </c>
      <c r="D136" t="inlineStr">
        <is>
          <t>VÄSTMANLANDS LÄN</t>
        </is>
      </c>
      <c r="E136" t="inlineStr">
        <is>
          <t>SALA</t>
        </is>
      </c>
      <c r="G136" t="n">
        <v>5.5</v>
      </c>
      <c r="H136" t="n">
        <v>0</v>
      </c>
      <c r="I136" t="n">
        <v>1</v>
      </c>
      <c r="J136" t="n">
        <v>1</v>
      </c>
      <c r="K136" t="n">
        <v>0</v>
      </c>
      <c r="L136" t="n">
        <v>0</v>
      </c>
      <c r="M136" t="n">
        <v>0</v>
      </c>
      <c r="N136" t="n">
        <v>0</v>
      </c>
      <c r="O136" t="n">
        <v>1</v>
      </c>
      <c r="P136" t="n">
        <v>0</v>
      </c>
      <c r="Q136" t="n">
        <v>2</v>
      </c>
      <c r="R136" s="2" t="inlineStr">
        <is>
          <t>Ullticka
Stuplav</t>
        </is>
      </c>
      <c r="S136">
        <f>HYPERLINK("https://klasma.github.io/Logging_1981/artfynd/A 12444-2024 artfynd.xlsx", "A 12444-2024")</f>
        <v/>
      </c>
      <c r="T136">
        <f>HYPERLINK("https://klasma.github.io/Logging_1981/kartor/A 12444-2024 karta.png", "A 12444-2024")</f>
        <v/>
      </c>
      <c r="U136">
        <f>HYPERLINK("https://klasma.github.io/Logging_1981/knärot/A 12444-2024 karta knärot.png", "A 12444-2024")</f>
        <v/>
      </c>
      <c r="V136">
        <f>HYPERLINK("https://klasma.github.io/Logging_1981/klagomål/A 12444-2024 FSC-klagomål.docx", "A 12444-2024")</f>
        <v/>
      </c>
      <c r="W136">
        <f>HYPERLINK("https://klasma.github.io/Logging_1981/klagomålsmail/A 12444-2024 FSC-klagomål mail.docx", "A 12444-2024")</f>
        <v/>
      </c>
      <c r="X136">
        <f>HYPERLINK("https://klasma.github.io/Logging_1981/tillsyn/A 12444-2024 tillsynsbegäran.docx", "A 12444-2024")</f>
        <v/>
      </c>
      <c r="Y136">
        <f>HYPERLINK("https://klasma.github.io/Logging_1981/tillsynsmail/A 12444-2024 tillsynsbegäran mail.docx", "A 12444-2024")</f>
        <v/>
      </c>
    </row>
    <row r="137" ht="15" customHeight="1">
      <c r="A137" t="inlineStr">
        <is>
          <t>A 34170-2025</t>
        </is>
      </c>
      <c r="B137" s="1" t="n">
        <v>45845.58730324074</v>
      </c>
      <c r="C137" s="1" t="n">
        <v>45998</v>
      </c>
      <c r="D137" t="inlineStr">
        <is>
          <t>VÄSTMANLANDS LÄN</t>
        </is>
      </c>
      <c r="E137" t="inlineStr">
        <is>
          <t>NORBERG</t>
        </is>
      </c>
      <c r="F137" t="inlineStr">
        <is>
          <t>Sveaskog</t>
        </is>
      </c>
      <c r="G137" t="n">
        <v>11.3</v>
      </c>
      <c r="H137" t="n">
        <v>1</v>
      </c>
      <c r="I137" t="n">
        <v>1</v>
      </c>
      <c r="J137" t="n">
        <v>0</v>
      </c>
      <c r="K137" t="n">
        <v>0</v>
      </c>
      <c r="L137" t="n">
        <v>0</v>
      </c>
      <c r="M137" t="n">
        <v>0</v>
      </c>
      <c r="N137" t="n">
        <v>0</v>
      </c>
      <c r="O137" t="n">
        <v>0</v>
      </c>
      <c r="P137" t="n">
        <v>0</v>
      </c>
      <c r="Q137" t="n">
        <v>2</v>
      </c>
      <c r="R137" s="2" t="inlineStr">
        <is>
          <t>Svart trolldruva
Blåsippa</t>
        </is>
      </c>
      <c r="S137">
        <f>HYPERLINK("https://klasma.github.io/Logging_1962/artfynd/A 34170-2025 artfynd.xlsx", "A 34170-2025")</f>
        <v/>
      </c>
      <c r="T137">
        <f>HYPERLINK("https://klasma.github.io/Logging_1962/kartor/A 34170-2025 karta.png", "A 34170-2025")</f>
        <v/>
      </c>
      <c r="V137">
        <f>HYPERLINK("https://klasma.github.io/Logging_1962/klagomål/A 34170-2025 FSC-klagomål.docx", "A 34170-2025")</f>
        <v/>
      </c>
      <c r="W137">
        <f>HYPERLINK("https://klasma.github.io/Logging_1962/klagomålsmail/A 34170-2025 FSC-klagomål mail.docx", "A 34170-2025")</f>
        <v/>
      </c>
      <c r="X137">
        <f>HYPERLINK("https://klasma.github.io/Logging_1962/tillsyn/A 34170-2025 tillsynsbegäran.docx", "A 34170-2025")</f>
        <v/>
      </c>
      <c r="Y137">
        <f>HYPERLINK("https://klasma.github.io/Logging_1962/tillsynsmail/A 34170-2025 tillsynsbegäran mail.docx", "A 34170-2025")</f>
        <v/>
      </c>
    </row>
    <row r="138" ht="15" customHeight="1">
      <c r="A138" t="inlineStr">
        <is>
          <t>A 62097-2024</t>
        </is>
      </c>
      <c r="B138" s="1" t="n">
        <v>45646</v>
      </c>
      <c r="C138" s="1" t="n">
        <v>45998</v>
      </c>
      <c r="D138" t="inlineStr">
        <is>
          <t>VÄSTMANLANDS LÄN</t>
        </is>
      </c>
      <c r="E138" t="inlineStr">
        <is>
          <t>SURAHAMMAR</t>
        </is>
      </c>
      <c r="F138" t="inlineStr">
        <is>
          <t>Bergvik skog väst AB</t>
        </is>
      </c>
      <c r="G138" t="n">
        <v>21.7</v>
      </c>
      <c r="H138" t="n">
        <v>2</v>
      </c>
      <c r="I138" t="n">
        <v>0</v>
      </c>
      <c r="J138" t="n">
        <v>0</v>
      </c>
      <c r="K138" t="n">
        <v>0</v>
      </c>
      <c r="L138" t="n">
        <v>0</v>
      </c>
      <c r="M138" t="n">
        <v>0</v>
      </c>
      <c r="N138" t="n">
        <v>0</v>
      </c>
      <c r="O138" t="n">
        <v>0</v>
      </c>
      <c r="P138" t="n">
        <v>0</v>
      </c>
      <c r="Q138" t="n">
        <v>2</v>
      </c>
      <c r="R138" s="2" t="inlineStr">
        <is>
          <t>Mattlummer
Revlummer</t>
        </is>
      </c>
      <c r="S138">
        <f>HYPERLINK("https://klasma.github.io/Logging_1907/artfynd/A 62097-2024 artfynd.xlsx", "A 62097-2024")</f>
        <v/>
      </c>
      <c r="T138">
        <f>HYPERLINK("https://klasma.github.io/Logging_1907/kartor/A 62097-2024 karta.png", "A 62097-2024")</f>
        <v/>
      </c>
      <c r="V138">
        <f>HYPERLINK("https://klasma.github.io/Logging_1907/klagomål/A 62097-2024 FSC-klagomål.docx", "A 62097-2024")</f>
        <v/>
      </c>
      <c r="W138">
        <f>HYPERLINK("https://klasma.github.io/Logging_1907/klagomålsmail/A 62097-2024 FSC-klagomål mail.docx", "A 62097-2024")</f>
        <v/>
      </c>
      <c r="X138">
        <f>HYPERLINK("https://klasma.github.io/Logging_1907/tillsyn/A 62097-2024 tillsynsbegäran.docx", "A 62097-2024")</f>
        <v/>
      </c>
      <c r="Y138">
        <f>HYPERLINK("https://klasma.github.io/Logging_1907/tillsynsmail/A 62097-2024 tillsynsbegäran mail.docx", "A 62097-2024")</f>
        <v/>
      </c>
    </row>
    <row r="139" ht="15" customHeight="1">
      <c r="A139" t="inlineStr">
        <is>
          <t>A 13029-2023</t>
        </is>
      </c>
      <c r="B139" s="1" t="n">
        <v>45001</v>
      </c>
      <c r="C139" s="1" t="n">
        <v>45998</v>
      </c>
      <c r="D139" t="inlineStr">
        <is>
          <t>VÄSTMANLANDS LÄN</t>
        </is>
      </c>
      <c r="E139" t="inlineStr">
        <is>
          <t>SALA</t>
        </is>
      </c>
      <c r="G139" t="n">
        <v>2</v>
      </c>
      <c r="H139" t="n">
        <v>0</v>
      </c>
      <c r="I139" t="n">
        <v>0</v>
      </c>
      <c r="J139" t="n">
        <v>2</v>
      </c>
      <c r="K139" t="n">
        <v>0</v>
      </c>
      <c r="L139" t="n">
        <v>0</v>
      </c>
      <c r="M139" t="n">
        <v>0</v>
      </c>
      <c r="N139" t="n">
        <v>0</v>
      </c>
      <c r="O139" t="n">
        <v>2</v>
      </c>
      <c r="P139" t="n">
        <v>0</v>
      </c>
      <c r="Q139" t="n">
        <v>2</v>
      </c>
      <c r="R139" s="2" t="inlineStr">
        <is>
          <t>Krusfrö
Linmåra/småsnärjmåra</t>
        </is>
      </c>
      <c r="S139">
        <f>HYPERLINK("https://klasma.github.io/Logging_1981/artfynd/A 13029-2023 artfynd.xlsx", "A 13029-2023")</f>
        <v/>
      </c>
      <c r="T139">
        <f>HYPERLINK("https://klasma.github.io/Logging_1981/kartor/A 13029-2023 karta.png", "A 13029-2023")</f>
        <v/>
      </c>
      <c r="V139">
        <f>HYPERLINK("https://klasma.github.io/Logging_1981/klagomål/A 13029-2023 FSC-klagomål.docx", "A 13029-2023")</f>
        <v/>
      </c>
      <c r="W139">
        <f>HYPERLINK("https://klasma.github.io/Logging_1981/klagomålsmail/A 13029-2023 FSC-klagomål mail.docx", "A 13029-2023")</f>
        <v/>
      </c>
      <c r="X139">
        <f>HYPERLINK("https://klasma.github.io/Logging_1981/tillsyn/A 13029-2023 tillsynsbegäran.docx", "A 13029-2023")</f>
        <v/>
      </c>
      <c r="Y139">
        <f>HYPERLINK("https://klasma.github.io/Logging_1981/tillsynsmail/A 13029-2023 tillsynsbegäran mail.docx", "A 13029-2023")</f>
        <v/>
      </c>
    </row>
    <row r="140" ht="15" customHeight="1">
      <c r="A140" t="inlineStr">
        <is>
          <t>A 41204-2023</t>
        </is>
      </c>
      <c r="B140" s="1" t="n">
        <v>45174</v>
      </c>
      <c r="C140" s="1" t="n">
        <v>45998</v>
      </c>
      <c r="D140" t="inlineStr">
        <is>
          <t>VÄSTMANLANDS LÄN</t>
        </is>
      </c>
      <c r="E140" t="inlineStr">
        <is>
          <t>SURAHAMMAR</t>
        </is>
      </c>
      <c r="G140" t="n">
        <v>1</v>
      </c>
      <c r="H140" t="n">
        <v>1</v>
      </c>
      <c r="I140" t="n">
        <v>0</v>
      </c>
      <c r="J140" t="n">
        <v>1</v>
      </c>
      <c r="K140" t="n">
        <v>1</v>
      </c>
      <c r="L140" t="n">
        <v>0</v>
      </c>
      <c r="M140" t="n">
        <v>0</v>
      </c>
      <c r="N140" t="n">
        <v>0</v>
      </c>
      <c r="O140" t="n">
        <v>2</v>
      </c>
      <c r="P140" t="n">
        <v>1</v>
      </c>
      <c r="Q140" t="n">
        <v>2</v>
      </c>
      <c r="R140" s="2" t="inlineStr">
        <is>
          <t>Knärot
Vedtrappmossa</t>
        </is>
      </c>
      <c r="S140">
        <f>HYPERLINK("https://klasma.github.io/Logging_1907/artfynd/A 41204-2023 artfynd.xlsx", "A 41204-2023")</f>
        <v/>
      </c>
      <c r="T140">
        <f>HYPERLINK("https://klasma.github.io/Logging_1907/kartor/A 41204-2023 karta.png", "A 41204-2023")</f>
        <v/>
      </c>
      <c r="U140">
        <f>HYPERLINK("https://klasma.github.io/Logging_1907/knärot/A 41204-2023 karta knärot.png", "A 41204-2023")</f>
        <v/>
      </c>
      <c r="V140">
        <f>HYPERLINK("https://klasma.github.io/Logging_1907/klagomål/A 41204-2023 FSC-klagomål.docx", "A 41204-2023")</f>
        <v/>
      </c>
      <c r="W140">
        <f>HYPERLINK("https://klasma.github.io/Logging_1907/klagomålsmail/A 41204-2023 FSC-klagomål mail.docx", "A 41204-2023")</f>
        <v/>
      </c>
      <c r="X140">
        <f>HYPERLINK("https://klasma.github.io/Logging_1907/tillsyn/A 41204-2023 tillsynsbegäran.docx", "A 41204-2023")</f>
        <v/>
      </c>
      <c r="Y140">
        <f>HYPERLINK("https://klasma.github.io/Logging_1907/tillsynsmail/A 41204-2023 tillsynsbegäran mail.docx", "A 41204-2023")</f>
        <v/>
      </c>
    </row>
    <row r="141" ht="15" customHeight="1">
      <c r="A141" t="inlineStr">
        <is>
          <t>A 60242-2021</t>
        </is>
      </c>
      <c r="B141" s="1" t="n">
        <v>44495</v>
      </c>
      <c r="C141" s="1" t="n">
        <v>45998</v>
      </c>
      <c r="D141" t="inlineStr">
        <is>
          <t>VÄSTMANLANDS LÄN</t>
        </is>
      </c>
      <c r="E141" t="inlineStr">
        <is>
          <t>SKINNSKATTEBERG</t>
        </is>
      </c>
      <c r="F141" t="inlineStr">
        <is>
          <t>Sveaskog</t>
        </is>
      </c>
      <c r="G141" t="n">
        <v>0.9</v>
      </c>
      <c r="H141" t="n">
        <v>1</v>
      </c>
      <c r="I141" t="n">
        <v>0</v>
      </c>
      <c r="J141" t="n">
        <v>0</v>
      </c>
      <c r="K141" t="n">
        <v>0</v>
      </c>
      <c r="L141" t="n">
        <v>0</v>
      </c>
      <c r="M141" t="n">
        <v>0</v>
      </c>
      <c r="N141" t="n">
        <v>0</v>
      </c>
      <c r="O141" t="n">
        <v>0</v>
      </c>
      <c r="P141" t="n">
        <v>0</v>
      </c>
      <c r="Q141" t="n">
        <v>1</v>
      </c>
      <c r="R141" s="2" t="inlineStr">
        <is>
          <t>Mattlummer</t>
        </is>
      </c>
      <c r="S141">
        <f>HYPERLINK("https://klasma.github.io/Logging_1904/artfynd/A 60242-2021 artfynd.xlsx", "A 60242-2021")</f>
        <v/>
      </c>
      <c r="T141">
        <f>HYPERLINK("https://klasma.github.io/Logging_1904/kartor/A 60242-2021 karta.png", "A 60242-2021")</f>
        <v/>
      </c>
      <c r="V141">
        <f>HYPERLINK("https://klasma.github.io/Logging_1904/klagomål/A 60242-2021 FSC-klagomål.docx", "A 60242-2021")</f>
        <v/>
      </c>
      <c r="W141">
        <f>HYPERLINK("https://klasma.github.io/Logging_1904/klagomålsmail/A 60242-2021 FSC-klagomål mail.docx", "A 60242-2021")</f>
        <v/>
      </c>
      <c r="X141">
        <f>HYPERLINK("https://klasma.github.io/Logging_1904/tillsyn/A 60242-2021 tillsynsbegäran.docx", "A 60242-2021")</f>
        <v/>
      </c>
      <c r="Y141">
        <f>HYPERLINK("https://klasma.github.io/Logging_1904/tillsynsmail/A 60242-2021 tillsynsbegäran mail.docx", "A 60242-2021")</f>
        <v/>
      </c>
    </row>
    <row r="142" ht="15" customHeight="1">
      <c r="A142" t="inlineStr">
        <is>
          <t>A 9872-2022</t>
        </is>
      </c>
      <c r="B142" s="1" t="n">
        <v>44620.57465277778</v>
      </c>
      <c r="C142" s="1" t="n">
        <v>45998</v>
      </c>
      <c r="D142" t="inlineStr">
        <is>
          <t>VÄSTMANLANDS LÄN</t>
        </is>
      </c>
      <c r="E142" t="inlineStr">
        <is>
          <t>NORBERG</t>
        </is>
      </c>
      <c r="G142" t="n">
        <v>0.7</v>
      </c>
      <c r="H142" t="n">
        <v>1</v>
      </c>
      <c r="I142" t="n">
        <v>0</v>
      </c>
      <c r="J142" t="n">
        <v>0</v>
      </c>
      <c r="K142" t="n">
        <v>0</v>
      </c>
      <c r="L142" t="n">
        <v>0</v>
      </c>
      <c r="M142" t="n">
        <v>0</v>
      </c>
      <c r="N142" t="n">
        <v>0</v>
      </c>
      <c r="O142" t="n">
        <v>0</v>
      </c>
      <c r="P142" t="n">
        <v>0</v>
      </c>
      <c r="Q142" t="n">
        <v>1</v>
      </c>
      <c r="R142" s="2" t="inlineStr">
        <is>
          <t>Mindre vattensalamander</t>
        </is>
      </c>
      <c r="S142">
        <f>HYPERLINK("https://klasma.github.io/Logging_1962/artfynd/A 9872-2022 artfynd.xlsx", "A 9872-2022")</f>
        <v/>
      </c>
      <c r="T142">
        <f>HYPERLINK("https://klasma.github.io/Logging_1962/kartor/A 9872-2022 karta.png", "A 9872-2022")</f>
        <v/>
      </c>
      <c r="V142">
        <f>HYPERLINK("https://klasma.github.io/Logging_1962/klagomål/A 9872-2022 FSC-klagomål.docx", "A 9872-2022")</f>
        <v/>
      </c>
      <c r="W142">
        <f>HYPERLINK("https://klasma.github.io/Logging_1962/klagomålsmail/A 9872-2022 FSC-klagomål mail.docx", "A 9872-2022")</f>
        <v/>
      </c>
      <c r="X142">
        <f>HYPERLINK("https://klasma.github.io/Logging_1962/tillsyn/A 9872-2022 tillsynsbegäran.docx", "A 9872-2022")</f>
        <v/>
      </c>
      <c r="Y142">
        <f>HYPERLINK("https://klasma.github.io/Logging_1962/tillsynsmail/A 9872-2022 tillsynsbegäran mail.docx", "A 9872-2022")</f>
        <v/>
      </c>
    </row>
    <row r="143" ht="15" customHeight="1">
      <c r="A143" t="inlineStr">
        <is>
          <t>A 44970-2021</t>
        </is>
      </c>
      <c r="B143" s="1" t="n">
        <v>44438.74399305556</v>
      </c>
      <c r="C143" s="1" t="n">
        <v>45998</v>
      </c>
      <c r="D143" t="inlineStr">
        <is>
          <t>VÄSTMANLANDS LÄN</t>
        </is>
      </c>
      <c r="E143" t="inlineStr">
        <is>
          <t>SALA</t>
        </is>
      </c>
      <c r="G143" t="n">
        <v>1.2</v>
      </c>
      <c r="H143" t="n">
        <v>1</v>
      </c>
      <c r="I143" t="n">
        <v>0</v>
      </c>
      <c r="J143" t="n">
        <v>0</v>
      </c>
      <c r="K143" t="n">
        <v>0</v>
      </c>
      <c r="L143" t="n">
        <v>0</v>
      </c>
      <c r="M143" t="n">
        <v>0</v>
      </c>
      <c r="N143" t="n">
        <v>0</v>
      </c>
      <c r="O143" t="n">
        <v>0</v>
      </c>
      <c r="P143" t="n">
        <v>0</v>
      </c>
      <c r="Q143" t="n">
        <v>1</v>
      </c>
      <c r="R143" s="2" t="inlineStr">
        <is>
          <t>Revlummer</t>
        </is>
      </c>
      <c r="S143">
        <f>HYPERLINK("https://klasma.github.io/Logging_1981/artfynd/A 44970-2021 artfynd.xlsx", "A 44970-2021")</f>
        <v/>
      </c>
      <c r="T143">
        <f>HYPERLINK("https://klasma.github.io/Logging_1981/kartor/A 44970-2021 karta.png", "A 44970-2021")</f>
        <v/>
      </c>
      <c r="V143">
        <f>HYPERLINK("https://klasma.github.io/Logging_1981/klagomål/A 44970-2021 FSC-klagomål.docx", "A 44970-2021")</f>
        <v/>
      </c>
      <c r="W143">
        <f>HYPERLINK("https://klasma.github.io/Logging_1981/klagomålsmail/A 44970-2021 FSC-klagomål mail.docx", "A 44970-2021")</f>
        <v/>
      </c>
      <c r="X143">
        <f>HYPERLINK("https://klasma.github.io/Logging_1981/tillsyn/A 44970-2021 tillsynsbegäran.docx", "A 44970-2021")</f>
        <v/>
      </c>
      <c r="Y143">
        <f>HYPERLINK("https://klasma.github.io/Logging_1981/tillsynsmail/A 44970-2021 tillsynsbegäran mail.docx", "A 44970-2021")</f>
        <v/>
      </c>
    </row>
    <row r="144" ht="15" customHeight="1">
      <c r="A144" t="inlineStr">
        <is>
          <t>A 28050-2021</t>
        </is>
      </c>
      <c r="B144" s="1" t="n">
        <v>44355</v>
      </c>
      <c r="C144" s="1" t="n">
        <v>45998</v>
      </c>
      <c r="D144" t="inlineStr">
        <is>
          <t>VÄSTMANLANDS LÄN</t>
        </is>
      </c>
      <c r="E144" t="inlineStr">
        <is>
          <t>ARBOGA</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HYPERLINK("https://klasma.github.io/Logging_1984/artfynd/A 28050-2021 artfynd.xlsx", "A 28050-2021")</f>
        <v/>
      </c>
      <c r="T144">
        <f>HYPERLINK("https://klasma.github.io/Logging_1984/kartor/A 28050-2021 karta.png", "A 28050-2021")</f>
        <v/>
      </c>
      <c r="V144">
        <f>HYPERLINK("https://klasma.github.io/Logging_1984/klagomål/A 28050-2021 FSC-klagomål.docx", "A 28050-2021")</f>
        <v/>
      </c>
      <c r="W144">
        <f>HYPERLINK("https://klasma.github.io/Logging_1984/klagomålsmail/A 28050-2021 FSC-klagomål mail.docx", "A 28050-2021")</f>
        <v/>
      </c>
      <c r="X144">
        <f>HYPERLINK("https://klasma.github.io/Logging_1984/tillsyn/A 28050-2021 tillsynsbegäran.docx", "A 28050-2021")</f>
        <v/>
      </c>
      <c r="Y144">
        <f>HYPERLINK("https://klasma.github.io/Logging_1984/tillsynsmail/A 28050-2021 tillsynsbegäran mail.docx", "A 28050-2021")</f>
        <v/>
      </c>
    </row>
    <row r="145" ht="15" customHeight="1">
      <c r="A145" t="inlineStr">
        <is>
          <t>A 42073-2021</t>
        </is>
      </c>
      <c r="B145" s="1" t="n">
        <v>44426</v>
      </c>
      <c r="C145" s="1" t="n">
        <v>45998</v>
      </c>
      <c r="D145" t="inlineStr">
        <is>
          <t>VÄSTMANLANDS LÄN</t>
        </is>
      </c>
      <c r="E145" t="inlineStr">
        <is>
          <t>SKINNSKATTEBERG</t>
        </is>
      </c>
      <c r="F145" t="inlineStr">
        <is>
          <t>Sveaskog</t>
        </is>
      </c>
      <c r="G145" t="n">
        <v>0.8</v>
      </c>
      <c r="H145" t="n">
        <v>1</v>
      </c>
      <c r="I145" t="n">
        <v>0</v>
      </c>
      <c r="J145" t="n">
        <v>0</v>
      </c>
      <c r="K145" t="n">
        <v>0</v>
      </c>
      <c r="L145" t="n">
        <v>0</v>
      </c>
      <c r="M145" t="n">
        <v>0</v>
      </c>
      <c r="N145" t="n">
        <v>0</v>
      </c>
      <c r="O145" t="n">
        <v>0</v>
      </c>
      <c r="P145" t="n">
        <v>0</v>
      </c>
      <c r="Q145" t="n">
        <v>1</v>
      </c>
      <c r="R145" s="2" t="inlineStr">
        <is>
          <t>Fläcknycklar</t>
        </is>
      </c>
      <c r="S145">
        <f>HYPERLINK("https://klasma.github.io/Logging_1904/artfynd/A 42073-2021 artfynd.xlsx", "A 42073-2021")</f>
        <v/>
      </c>
      <c r="T145">
        <f>HYPERLINK("https://klasma.github.io/Logging_1904/kartor/A 42073-2021 karta.png", "A 42073-2021")</f>
        <v/>
      </c>
      <c r="V145">
        <f>HYPERLINK("https://klasma.github.io/Logging_1904/klagomål/A 42073-2021 FSC-klagomål.docx", "A 42073-2021")</f>
        <v/>
      </c>
      <c r="W145">
        <f>HYPERLINK("https://klasma.github.io/Logging_1904/klagomålsmail/A 42073-2021 FSC-klagomål mail.docx", "A 42073-2021")</f>
        <v/>
      </c>
      <c r="X145">
        <f>HYPERLINK("https://klasma.github.io/Logging_1904/tillsyn/A 42073-2021 tillsynsbegäran.docx", "A 42073-2021")</f>
        <v/>
      </c>
      <c r="Y145">
        <f>HYPERLINK("https://klasma.github.io/Logging_1904/tillsynsmail/A 42073-2021 tillsynsbegäran mail.docx", "A 42073-2021")</f>
        <v/>
      </c>
    </row>
    <row r="146" ht="15" customHeight="1">
      <c r="A146" t="inlineStr">
        <is>
          <t>A 24535-2021</t>
        </is>
      </c>
      <c r="B146" s="1" t="n">
        <v>44339</v>
      </c>
      <c r="C146" s="1" t="n">
        <v>45998</v>
      </c>
      <c r="D146" t="inlineStr">
        <is>
          <t>VÄSTMANLANDS LÄN</t>
        </is>
      </c>
      <c r="E146" t="inlineStr">
        <is>
          <t>KÖPING</t>
        </is>
      </c>
      <c r="F146" t="inlineStr">
        <is>
          <t>Sveaskog</t>
        </is>
      </c>
      <c r="G146" t="n">
        <v>4.8</v>
      </c>
      <c r="H146" t="n">
        <v>0</v>
      </c>
      <c r="I146" t="n">
        <v>0</v>
      </c>
      <c r="J146" t="n">
        <v>1</v>
      </c>
      <c r="K146" t="n">
        <v>0</v>
      </c>
      <c r="L146" t="n">
        <v>0</v>
      </c>
      <c r="M146" t="n">
        <v>0</v>
      </c>
      <c r="N146" t="n">
        <v>0</v>
      </c>
      <c r="O146" t="n">
        <v>1</v>
      </c>
      <c r="P146" t="n">
        <v>0</v>
      </c>
      <c r="Q146" t="n">
        <v>1</v>
      </c>
      <c r="R146" s="2" t="inlineStr">
        <is>
          <t>Skrovlig taggsvamp</t>
        </is>
      </c>
      <c r="S146">
        <f>HYPERLINK("https://klasma.github.io/Logging_1983/artfynd/A 24535-2021 artfynd.xlsx", "A 24535-2021")</f>
        <v/>
      </c>
      <c r="T146">
        <f>HYPERLINK("https://klasma.github.io/Logging_1983/kartor/A 24535-2021 karta.png", "A 24535-2021")</f>
        <v/>
      </c>
      <c r="V146">
        <f>HYPERLINK("https://klasma.github.io/Logging_1983/klagomål/A 24535-2021 FSC-klagomål.docx", "A 24535-2021")</f>
        <v/>
      </c>
      <c r="W146">
        <f>HYPERLINK("https://klasma.github.io/Logging_1983/klagomålsmail/A 24535-2021 FSC-klagomål mail.docx", "A 24535-2021")</f>
        <v/>
      </c>
      <c r="X146">
        <f>HYPERLINK("https://klasma.github.io/Logging_1983/tillsyn/A 24535-2021 tillsynsbegäran.docx", "A 24535-2021")</f>
        <v/>
      </c>
      <c r="Y146">
        <f>HYPERLINK("https://klasma.github.io/Logging_1983/tillsynsmail/A 24535-2021 tillsynsbegäran mail.docx", "A 24535-2021")</f>
        <v/>
      </c>
    </row>
    <row r="147" ht="15" customHeight="1">
      <c r="A147" t="inlineStr">
        <is>
          <t>A 38170-2021</t>
        </is>
      </c>
      <c r="B147" s="1" t="n">
        <v>44405.43472222222</v>
      </c>
      <c r="C147" s="1" t="n">
        <v>45998</v>
      </c>
      <c r="D147" t="inlineStr">
        <is>
          <t>VÄSTMANLANDS LÄN</t>
        </is>
      </c>
      <c r="E147" t="inlineStr">
        <is>
          <t>SURAHAMMAR</t>
        </is>
      </c>
      <c r="F147" t="inlineStr">
        <is>
          <t>Sveaskog</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HYPERLINK("https://klasma.github.io/Logging_1907/artfynd/A 38170-2021 artfynd.xlsx", "A 38170-2021")</f>
        <v/>
      </c>
      <c r="T147">
        <f>HYPERLINK("https://klasma.github.io/Logging_1907/kartor/A 38170-2021 karta.png", "A 38170-2021")</f>
        <v/>
      </c>
      <c r="V147">
        <f>HYPERLINK("https://klasma.github.io/Logging_1907/klagomål/A 38170-2021 FSC-klagomål.docx", "A 38170-2021")</f>
        <v/>
      </c>
      <c r="W147">
        <f>HYPERLINK("https://klasma.github.io/Logging_1907/klagomålsmail/A 38170-2021 FSC-klagomål mail.docx", "A 38170-2021")</f>
        <v/>
      </c>
      <c r="X147">
        <f>HYPERLINK("https://klasma.github.io/Logging_1907/tillsyn/A 38170-2021 tillsynsbegäran.docx", "A 38170-2021")</f>
        <v/>
      </c>
      <c r="Y147">
        <f>HYPERLINK("https://klasma.github.io/Logging_1907/tillsynsmail/A 38170-2021 tillsynsbegäran mail.docx", "A 38170-2021")</f>
        <v/>
      </c>
    </row>
    <row r="148" ht="15" customHeight="1">
      <c r="A148" t="inlineStr">
        <is>
          <t>A 36209-2021</t>
        </is>
      </c>
      <c r="B148" s="1" t="n">
        <v>44389</v>
      </c>
      <c r="C148" s="1" t="n">
        <v>45998</v>
      </c>
      <c r="D148" t="inlineStr">
        <is>
          <t>VÄSTMANLANDS LÄN</t>
        </is>
      </c>
      <c r="E148" t="inlineStr">
        <is>
          <t>KÖPING</t>
        </is>
      </c>
      <c r="G148" t="n">
        <v>6.9</v>
      </c>
      <c r="H148" t="n">
        <v>0</v>
      </c>
      <c r="I148" t="n">
        <v>1</v>
      </c>
      <c r="J148" t="n">
        <v>0</v>
      </c>
      <c r="K148" t="n">
        <v>0</v>
      </c>
      <c r="L148" t="n">
        <v>0</v>
      </c>
      <c r="M148" t="n">
        <v>0</v>
      </c>
      <c r="N148" t="n">
        <v>0</v>
      </c>
      <c r="O148" t="n">
        <v>0</v>
      </c>
      <c r="P148" t="n">
        <v>0</v>
      </c>
      <c r="Q148" t="n">
        <v>1</v>
      </c>
      <c r="R148" s="2" t="inlineStr">
        <is>
          <t>Svart trolldruva</t>
        </is>
      </c>
      <c r="S148">
        <f>HYPERLINK("https://klasma.github.io/Logging_1983/artfynd/A 36209-2021 artfynd.xlsx", "A 36209-2021")</f>
        <v/>
      </c>
      <c r="T148">
        <f>HYPERLINK("https://klasma.github.io/Logging_1983/kartor/A 36209-2021 karta.png", "A 36209-2021")</f>
        <v/>
      </c>
      <c r="V148">
        <f>HYPERLINK("https://klasma.github.io/Logging_1983/klagomål/A 36209-2021 FSC-klagomål.docx", "A 36209-2021")</f>
        <v/>
      </c>
      <c r="W148">
        <f>HYPERLINK("https://klasma.github.io/Logging_1983/klagomålsmail/A 36209-2021 FSC-klagomål mail.docx", "A 36209-2021")</f>
        <v/>
      </c>
      <c r="X148">
        <f>HYPERLINK("https://klasma.github.io/Logging_1983/tillsyn/A 36209-2021 tillsynsbegäran.docx", "A 36209-2021")</f>
        <v/>
      </c>
      <c r="Y148">
        <f>HYPERLINK("https://klasma.github.io/Logging_1983/tillsynsmail/A 36209-2021 tillsynsbegäran mail.docx", "A 36209-2021")</f>
        <v/>
      </c>
    </row>
    <row r="149" ht="15" customHeight="1">
      <c r="A149" t="inlineStr">
        <is>
          <t>A 53151-2021</t>
        </is>
      </c>
      <c r="B149" s="1" t="n">
        <v>44468</v>
      </c>
      <c r="C149" s="1" t="n">
        <v>45998</v>
      </c>
      <c r="D149" t="inlineStr">
        <is>
          <t>VÄSTMANLANDS LÄN</t>
        </is>
      </c>
      <c r="E149" t="inlineStr">
        <is>
          <t>KÖPING</t>
        </is>
      </c>
      <c r="F149" t="inlineStr">
        <is>
          <t>Sveaskog</t>
        </is>
      </c>
      <c r="G149" t="n">
        <v>1.1</v>
      </c>
      <c r="H149" t="n">
        <v>0</v>
      </c>
      <c r="I149" t="n">
        <v>1</v>
      </c>
      <c r="J149" t="n">
        <v>0</v>
      </c>
      <c r="K149" t="n">
        <v>0</v>
      </c>
      <c r="L149" t="n">
        <v>0</v>
      </c>
      <c r="M149" t="n">
        <v>0</v>
      </c>
      <c r="N149" t="n">
        <v>0</v>
      </c>
      <c r="O149" t="n">
        <v>0</v>
      </c>
      <c r="P149" t="n">
        <v>0</v>
      </c>
      <c r="Q149" t="n">
        <v>1</v>
      </c>
      <c r="R149" s="2" t="inlineStr">
        <is>
          <t>Skinnlav</t>
        </is>
      </c>
      <c r="S149">
        <f>HYPERLINK("https://klasma.github.io/Logging_1983/artfynd/A 53151-2021 artfynd.xlsx", "A 53151-2021")</f>
        <v/>
      </c>
      <c r="T149">
        <f>HYPERLINK("https://klasma.github.io/Logging_1983/kartor/A 53151-2021 karta.png", "A 53151-2021")</f>
        <v/>
      </c>
      <c r="V149">
        <f>HYPERLINK("https://klasma.github.io/Logging_1983/klagomål/A 53151-2021 FSC-klagomål.docx", "A 53151-2021")</f>
        <v/>
      </c>
      <c r="W149">
        <f>HYPERLINK("https://klasma.github.io/Logging_1983/klagomålsmail/A 53151-2021 FSC-klagomål mail.docx", "A 53151-2021")</f>
        <v/>
      </c>
      <c r="X149">
        <f>HYPERLINK("https://klasma.github.io/Logging_1983/tillsyn/A 53151-2021 tillsynsbegäran.docx", "A 53151-2021")</f>
        <v/>
      </c>
      <c r="Y149">
        <f>HYPERLINK("https://klasma.github.io/Logging_1983/tillsynsmail/A 53151-2021 tillsynsbegäran mail.docx", "A 53151-2021")</f>
        <v/>
      </c>
    </row>
    <row r="150" ht="15" customHeight="1">
      <c r="A150" t="inlineStr">
        <is>
          <t>A 43705-2022</t>
        </is>
      </c>
      <c r="B150" s="1" t="n">
        <v>44837</v>
      </c>
      <c r="C150" s="1" t="n">
        <v>45998</v>
      </c>
      <c r="D150" t="inlineStr">
        <is>
          <t>VÄSTMANLANDS LÄN</t>
        </is>
      </c>
      <c r="E150" t="inlineStr">
        <is>
          <t>SALA</t>
        </is>
      </c>
      <c r="G150" t="n">
        <v>2.9</v>
      </c>
      <c r="H150" t="n">
        <v>1</v>
      </c>
      <c r="I150" t="n">
        <v>0</v>
      </c>
      <c r="J150" t="n">
        <v>0</v>
      </c>
      <c r="K150" t="n">
        <v>1</v>
      </c>
      <c r="L150" t="n">
        <v>0</v>
      </c>
      <c r="M150" t="n">
        <v>0</v>
      </c>
      <c r="N150" t="n">
        <v>0</v>
      </c>
      <c r="O150" t="n">
        <v>1</v>
      </c>
      <c r="P150" t="n">
        <v>1</v>
      </c>
      <c r="Q150" t="n">
        <v>1</v>
      </c>
      <c r="R150" s="2" t="inlineStr">
        <is>
          <t>Knärot</t>
        </is>
      </c>
      <c r="S150">
        <f>HYPERLINK("https://klasma.github.io/Logging_1981/artfynd/A 43705-2022 artfynd.xlsx", "A 43705-2022")</f>
        <v/>
      </c>
      <c r="T150">
        <f>HYPERLINK("https://klasma.github.io/Logging_1981/kartor/A 43705-2022 karta.png", "A 43705-2022")</f>
        <v/>
      </c>
      <c r="U150">
        <f>HYPERLINK("https://klasma.github.io/Logging_1981/knärot/A 43705-2022 karta knärot.png", "A 43705-2022")</f>
        <v/>
      </c>
      <c r="V150">
        <f>HYPERLINK("https://klasma.github.io/Logging_1981/klagomål/A 43705-2022 FSC-klagomål.docx", "A 43705-2022")</f>
        <v/>
      </c>
      <c r="W150">
        <f>HYPERLINK("https://klasma.github.io/Logging_1981/klagomålsmail/A 43705-2022 FSC-klagomål mail.docx", "A 43705-2022")</f>
        <v/>
      </c>
      <c r="X150">
        <f>HYPERLINK("https://klasma.github.io/Logging_1981/tillsyn/A 43705-2022 tillsynsbegäran.docx", "A 43705-2022")</f>
        <v/>
      </c>
      <c r="Y150">
        <f>HYPERLINK("https://klasma.github.io/Logging_1981/tillsynsmail/A 43705-2022 tillsynsbegäran mail.docx", "A 43705-2022")</f>
        <v/>
      </c>
    </row>
    <row r="151" ht="15" customHeight="1">
      <c r="A151" t="inlineStr">
        <is>
          <t>A 67611-2021</t>
        </is>
      </c>
      <c r="B151" s="1" t="n">
        <v>44524</v>
      </c>
      <c r="C151" s="1" t="n">
        <v>45998</v>
      </c>
      <c r="D151" t="inlineStr">
        <is>
          <t>VÄSTMANLANDS LÄN</t>
        </is>
      </c>
      <c r="E151" t="inlineStr">
        <is>
          <t>SURAHAMMAR</t>
        </is>
      </c>
      <c r="F151" t="inlineStr">
        <is>
          <t>Kommuner</t>
        </is>
      </c>
      <c r="G151" t="n">
        <v>3.8</v>
      </c>
      <c r="H151" t="n">
        <v>0</v>
      </c>
      <c r="I151" t="n">
        <v>0</v>
      </c>
      <c r="J151" t="n">
        <v>1</v>
      </c>
      <c r="K151" t="n">
        <v>0</v>
      </c>
      <c r="L151" t="n">
        <v>0</v>
      </c>
      <c r="M151" t="n">
        <v>0</v>
      </c>
      <c r="N151" t="n">
        <v>0</v>
      </c>
      <c r="O151" t="n">
        <v>1</v>
      </c>
      <c r="P151" t="n">
        <v>0</v>
      </c>
      <c r="Q151" t="n">
        <v>1</v>
      </c>
      <c r="R151" s="2" t="inlineStr">
        <is>
          <t>Brödmärgsticka</t>
        </is>
      </c>
      <c r="S151">
        <f>HYPERLINK("https://klasma.github.io/Logging_1907/artfynd/A 67611-2021 artfynd.xlsx", "A 67611-2021")</f>
        <v/>
      </c>
      <c r="T151">
        <f>HYPERLINK("https://klasma.github.io/Logging_1907/kartor/A 67611-2021 karta.png", "A 67611-2021")</f>
        <v/>
      </c>
      <c r="V151">
        <f>HYPERLINK("https://klasma.github.io/Logging_1907/klagomål/A 67611-2021 FSC-klagomål.docx", "A 67611-2021")</f>
        <v/>
      </c>
      <c r="W151">
        <f>HYPERLINK("https://klasma.github.io/Logging_1907/klagomålsmail/A 67611-2021 FSC-klagomål mail.docx", "A 67611-2021")</f>
        <v/>
      </c>
      <c r="X151">
        <f>HYPERLINK("https://klasma.github.io/Logging_1907/tillsyn/A 67611-2021 tillsynsbegäran.docx", "A 67611-2021")</f>
        <v/>
      </c>
      <c r="Y151">
        <f>HYPERLINK("https://klasma.github.io/Logging_1907/tillsynsmail/A 67611-2021 tillsynsbegäran mail.docx", "A 67611-2021")</f>
        <v/>
      </c>
    </row>
    <row r="152" ht="15" customHeight="1">
      <c r="A152" t="inlineStr">
        <is>
          <t>A 18717-2021</t>
        </is>
      </c>
      <c r="B152" s="1" t="n">
        <v>44306</v>
      </c>
      <c r="C152" s="1" t="n">
        <v>45998</v>
      </c>
      <c r="D152" t="inlineStr">
        <is>
          <t>VÄSTMANLANDS LÄN</t>
        </is>
      </c>
      <c r="E152" t="inlineStr">
        <is>
          <t>SURAHAMMAR</t>
        </is>
      </c>
      <c r="F152" t="inlineStr">
        <is>
          <t>Bergvik skog väst AB</t>
        </is>
      </c>
      <c r="G152" t="n">
        <v>18</v>
      </c>
      <c r="H152" t="n">
        <v>1</v>
      </c>
      <c r="I152" t="n">
        <v>0</v>
      </c>
      <c r="J152" t="n">
        <v>0</v>
      </c>
      <c r="K152" t="n">
        <v>0</v>
      </c>
      <c r="L152" t="n">
        <v>0</v>
      </c>
      <c r="M152" t="n">
        <v>0</v>
      </c>
      <c r="N152" t="n">
        <v>0</v>
      </c>
      <c r="O152" t="n">
        <v>0</v>
      </c>
      <c r="P152" t="n">
        <v>0</v>
      </c>
      <c r="Q152" t="n">
        <v>1</v>
      </c>
      <c r="R152" s="2" t="inlineStr">
        <is>
          <t>Revlummer</t>
        </is>
      </c>
      <c r="S152">
        <f>HYPERLINK("https://klasma.github.io/Logging_1907/artfynd/A 18717-2021 artfynd.xlsx", "A 18717-2021")</f>
        <v/>
      </c>
      <c r="T152">
        <f>HYPERLINK("https://klasma.github.io/Logging_1907/kartor/A 18717-2021 karta.png", "A 18717-2021")</f>
        <v/>
      </c>
      <c r="V152">
        <f>HYPERLINK("https://klasma.github.io/Logging_1907/klagomål/A 18717-2021 FSC-klagomål.docx", "A 18717-2021")</f>
        <v/>
      </c>
      <c r="W152">
        <f>HYPERLINK("https://klasma.github.io/Logging_1907/klagomålsmail/A 18717-2021 FSC-klagomål mail.docx", "A 18717-2021")</f>
        <v/>
      </c>
      <c r="X152">
        <f>HYPERLINK("https://klasma.github.io/Logging_1907/tillsyn/A 18717-2021 tillsynsbegäran.docx", "A 18717-2021")</f>
        <v/>
      </c>
      <c r="Y152">
        <f>HYPERLINK("https://klasma.github.io/Logging_1907/tillsynsmail/A 18717-2021 tillsynsbegäran mail.docx", "A 18717-2021")</f>
        <v/>
      </c>
    </row>
    <row r="153" ht="15" customHeight="1">
      <c r="A153" t="inlineStr">
        <is>
          <t>A 26700-2022</t>
        </is>
      </c>
      <c r="B153" s="1" t="n">
        <v>44739</v>
      </c>
      <c r="C153" s="1" t="n">
        <v>45998</v>
      </c>
      <c r="D153" t="inlineStr">
        <is>
          <t>VÄSTMANLANDS LÄN</t>
        </is>
      </c>
      <c r="E153" t="inlineStr">
        <is>
          <t>SURAHAMMAR</t>
        </is>
      </c>
      <c r="F153" t="inlineStr">
        <is>
          <t>Kommuner</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HYPERLINK("https://klasma.github.io/Logging_1907/artfynd/A 26700-2022 artfynd.xlsx", "A 26700-2022")</f>
        <v/>
      </c>
      <c r="T153">
        <f>HYPERLINK("https://klasma.github.io/Logging_1907/kartor/A 26700-2022 karta.png", "A 26700-2022")</f>
        <v/>
      </c>
      <c r="V153">
        <f>HYPERLINK("https://klasma.github.io/Logging_1907/klagomål/A 26700-2022 FSC-klagomål.docx", "A 26700-2022")</f>
        <v/>
      </c>
      <c r="W153">
        <f>HYPERLINK("https://klasma.github.io/Logging_1907/klagomålsmail/A 26700-2022 FSC-klagomål mail.docx", "A 26700-2022")</f>
        <v/>
      </c>
      <c r="X153">
        <f>HYPERLINK("https://klasma.github.io/Logging_1907/tillsyn/A 26700-2022 tillsynsbegäran.docx", "A 26700-2022")</f>
        <v/>
      </c>
      <c r="Y153">
        <f>HYPERLINK("https://klasma.github.io/Logging_1907/tillsynsmail/A 26700-2022 tillsynsbegäran mail.docx", "A 26700-2022")</f>
        <v/>
      </c>
    </row>
    <row r="154" ht="15" customHeight="1">
      <c r="A154" t="inlineStr">
        <is>
          <t>A 28435-2022</t>
        </is>
      </c>
      <c r="B154" s="1" t="n">
        <v>44747</v>
      </c>
      <c r="C154" s="1" t="n">
        <v>45998</v>
      </c>
      <c r="D154" t="inlineStr">
        <is>
          <t>VÄSTMANLANDS LÄN</t>
        </is>
      </c>
      <c r="E154" t="inlineStr">
        <is>
          <t>FAGERSTA</t>
        </is>
      </c>
      <c r="F154" t="inlineStr">
        <is>
          <t>Sveaskog</t>
        </is>
      </c>
      <c r="G154" t="n">
        <v>0.9</v>
      </c>
      <c r="H154" t="n">
        <v>0</v>
      </c>
      <c r="I154" t="n">
        <v>0</v>
      </c>
      <c r="J154" t="n">
        <v>1</v>
      </c>
      <c r="K154" t="n">
        <v>0</v>
      </c>
      <c r="L154" t="n">
        <v>0</v>
      </c>
      <c r="M154" t="n">
        <v>0</v>
      </c>
      <c r="N154" t="n">
        <v>0</v>
      </c>
      <c r="O154" t="n">
        <v>1</v>
      </c>
      <c r="P154" t="n">
        <v>0</v>
      </c>
      <c r="Q154" t="n">
        <v>1</v>
      </c>
      <c r="R154" s="2" t="inlineStr">
        <is>
          <t>Stjärntagging</t>
        </is>
      </c>
      <c r="S154">
        <f>HYPERLINK("https://klasma.github.io/Logging_1982/artfynd/A 28435-2022 artfynd.xlsx", "A 28435-2022")</f>
        <v/>
      </c>
      <c r="T154">
        <f>HYPERLINK("https://klasma.github.io/Logging_1982/kartor/A 28435-2022 karta.png", "A 28435-2022")</f>
        <v/>
      </c>
      <c r="V154">
        <f>HYPERLINK("https://klasma.github.io/Logging_1982/klagomål/A 28435-2022 FSC-klagomål.docx", "A 28435-2022")</f>
        <v/>
      </c>
      <c r="W154">
        <f>HYPERLINK("https://klasma.github.io/Logging_1982/klagomålsmail/A 28435-2022 FSC-klagomål mail.docx", "A 28435-2022")</f>
        <v/>
      </c>
      <c r="X154">
        <f>HYPERLINK("https://klasma.github.io/Logging_1982/tillsyn/A 28435-2022 tillsynsbegäran.docx", "A 28435-2022")</f>
        <v/>
      </c>
      <c r="Y154">
        <f>HYPERLINK("https://klasma.github.io/Logging_1982/tillsynsmail/A 28435-2022 tillsynsbegäran mail.docx", "A 28435-2022")</f>
        <v/>
      </c>
    </row>
    <row r="155" ht="15" customHeight="1">
      <c r="A155" t="inlineStr">
        <is>
          <t>A 69022-2021</t>
        </is>
      </c>
      <c r="B155" s="1" t="n">
        <v>44530</v>
      </c>
      <c r="C155" s="1" t="n">
        <v>45998</v>
      </c>
      <c r="D155" t="inlineStr">
        <is>
          <t>VÄSTMANLANDS LÄN</t>
        </is>
      </c>
      <c r="E155" t="inlineStr">
        <is>
          <t>KÖPING</t>
        </is>
      </c>
      <c r="G155" t="n">
        <v>3.1</v>
      </c>
      <c r="H155" t="n">
        <v>0</v>
      </c>
      <c r="I155" t="n">
        <v>1</v>
      </c>
      <c r="J155" t="n">
        <v>0</v>
      </c>
      <c r="K155" t="n">
        <v>0</v>
      </c>
      <c r="L155" t="n">
        <v>0</v>
      </c>
      <c r="M155" t="n">
        <v>0</v>
      </c>
      <c r="N155" t="n">
        <v>0</v>
      </c>
      <c r="O155" t="n">
        <v>0</v>
      </c>
      <c r="P155" t="n">
        <v>0</v>
      </c>
      <c r="Q155" t="n">
        <v>1</v>
      </c>
      <c r="R155" s="2" t="inlineStr">
        <is>
          <t>Skinnlav</t>
        </is>
      </c>
      <c r="S155">
        <f>HYPERLINK("https://klasma.github.io/Logging_1983/artfynd/A 69022-2021 artfynd.xlsx", "A 69022-2021")</f>
        <v/>
      </c>
      <c r="T155">
        <f>HYPERLINK("https://klasma.github.io/Logging_1983/kartor/A 69022-2021 karta.png", "A 69022-2021")</f>
        <v/>
      </c>
      <c r="V155">
        <f>HYPERLINK("https://klasma.github.io/Logging_1983/klagomål/A 69022-2021 FSC-klagomål.docx", "A 69022-2021")</f>
        <v/>
      </c>
      <c r="W155">
        <f>HYPERLINK("https://klasma.github.io/Logging_1983/klagomålsmail/A 69022-2021 FSC-klagomål mail.docx", "A 69022-2021")</f>
        <v/>
      </c>
      <c r="X155">
        <f>HYPERLINK("https://klasma.github.io/Logging_1983/tillsyn/A 69022-2021 tillsynsbegäran.docx", "A 69022-2021")</f>
        <v/>
      </c>
      <c r="Y155">
        <f>HYPERLINK("https://klasma.github.io/Logging_1983/tillsynsmail/A 69022-2021 tillsynsbegäran mail.docx", "A 69022-2021")</f>
        <v/>
      </c>
    </row>
    <row r="156" ht="15" customHeight="1">
      <c r="A156" t="inlineStr">
        <is>
          <t>A 69362-2020</t>
        </is>
      </c>
      <c r="B156" s="1" t="n">
        <v>44193</v>
      </c>
      <c r="C156" s="1" t="n">
        <v>45998</v>
      </c>
      <c r="D156" t="inlineStr">
        <is>
          <t>VÄSTMANLANDS LÄN</t>
        </is>
      </c>
      <c r="E156" t="inlineStr">
        <is>
          <t>SALA</t>
        </is>
      </c>
      <c r="G156" t="n">
        <v>13.7</v>
      </c>
      <c r="H156" t="n">
        <v>1</v>
      </c>
      <c r="I156" t="n">
        <v>0</v>
      </c>
      <c r="J156" t="n">
        <v>1</v>
      </c>
      <c r="K156" t="n">
        <v>0</v>
      </c>
      <c r="L156" t="n">
        <v>0</v>
      </c>
      <c r="M156" t="n">
        <v>0</v>
      </c>
      <c r="N156" t="n">
        <v>0</v>
      </c>
      <c r="O156" t="n">
        <v>1</v>
      </c>
      <c r="P156" t="n">
        <v>0</v>
      </c>
      <c r="Q156" t="n">
        <v>1</v>
      </c>
      <c r="R156" s="2" t="inlineStr">
        <is>
          <t>Havsörn</t>
        </is>
      </c>
      <c r="S156">
        <f>HYPERLINK("https://klasma.github.io/Logging_1981/artfynd/A 69362-2020 artfynd.xlsx", "A 69362-2020")</f>
        <v/>
      </c>
      <c r="T156">
        <f>HYPERLINK("https://klasma.github.io/Logging_1981/kartor/A 69362-2020 karta.png", "A 69362-2020")</f>
        <v/>
      </c>
      <c r="V156">
        <f>HYPERLINK("https://klasma.github.io/Logging_1981/klagomål/A 69362-2020 FSC-klagomål.docx", "A 69362-2020")</f>
        <v/>
      </c>
      <c r="W156">
        <f>HYPERLINK("https://klasma.github.io/Logging_1981/klagomålsmail/A 69362-2020 FSC-klagomål mail.docx", "A 69362-2020")</f>
        <v/>
      </c>
      <c r="X156">
        <f>HYPERLINK("https://klasma.github.io/Logging_1981/tillsyn/A 69362-2020 tillsynsbegäran.docx", "A 69362-2020")</f>
        <v/>
      </c>
      <c r="Y156">
        <f>HYPERLINK("https://klasma.github.io/Logging_1981/tillsynsmail/A 69362-2020 tillsynsbegäran mail.docx", "A 69362-2020")</f>
        <v/>
      </c>
      <c r="Z156">
        <f>HYPERLINK("https://klasma.github.io/Logging_1981/fåglar/A 69362-2020 prioriterade fågelarter.docx", "A 69362-2020")</f>
        <v/>
      </c>
    </row>
    <row r="157" ht="15" customHeight="1">
      <c r="A157" t="inlineStr">
        <is>
          <t>A 47136-2021</t>
        </is>
      </c>
      <c r="B157" s="1" t="n">
        <v>44446</v>
      </c>
      <c r="C157" s="1" t="n">
        <v>45998</v>
      </c>
      <c r="D157" t="inlineStr">
        <is>
          <t>VÄSTMANLANDS LÄN</t>
        </is>
      </c>
      <c r="E157" t="inlineStr">
        <is>
          <t>SKINNSKATTEBERG</t>
        </is>
      </c>
      <c r="G157" t="n">
        <v>5</v>
      </c>
      <c r="H157" t="n">
        <v>0</v>
      </c>
      <c r="I157" t="n">
        <v>0</v>
      </c>
      <c r="J157" t="n">
        <v>1</v>
      </c>
      <c r="K157" t="n">
        <v>0</v>
      </c>
      <c r="L157" t="n">
        <v>0</v>
      </c>
      <c r="M157" t="n">
        <v>0</v>
      </c>
      <c r="N157" t="n">
        <v>0</v>
      </c>
      <c r="O157" t="n">
        <v>1</v>
      </c>
      <c r="P157" t="n">
        <v>0</v>
      </c>
      <c r="Q157" t="n">
        <v>1</v>
      </c>
      <c r="R157" s="2" t="inlineStr">
        <is>
          <t>Ullticka</t>
        </is>
      </c>
      <c r="S157">
        <f>HYPERLINK("https://klasma.github.io/Logging_1904/artfynd/A 47136-2021 artfynd.xlsx", "A 47136-2021")</f>
        <v/>
      </c>
      <c r="T157">
        <f>HYPERLINK("https://klasma.github.io/Logging_1904/kartor/A 47136-2021 karta.png", "A 47136-2021")</f>
        <v/>
      </c>
      <c r="V157">
        <f>HYPERLINK("https://klasma.github.io/Logging_1904/klagomål/A 47136-2021 FSC-klagomål.docx", "A 47136-2021")</f>
        <v/>
      </c>
      <c r="W157">
        <f>HYPERLINK("https://klasma.github.io/Logging_1904/klagomålsmail/A 47136-2021 FSC-klagomål mail.docx", "A 47136-2021")</f>
        <v/>
      </c>
      <c r="X157">
        <f>HYPERLINK("https://klasma.github.io/Logging_1904/tillsyn/A 47136-2021 tillsynsbegäran.docx", "A 47136-2021")</f>
        <v/>
      </c>
      <c r="Y157">
        <f>HYPERLINK("https://klasma.github.io/Logging_1904/tillsynsmail/A 47136-2021 tillsynsbegäran mail.docx", "A 47136-2021")</f>
        <v/>
      </c>
    </row>
    <row r="158" ht="15" customHeight="1">
      <c r="A158" t="inlineStr">
        <is>
          <t>A 45826-2021</t>
        </is>
      </c>
      <c r="B158" s="1" t="n">
        <v>44441</v>
      </c>
      <c r="C158" s="1" t="n">
        <v>45998</v>
      </c>
      <c r="D158" t="inlineStr">
        <is>
          <t>VÄSTMANLANDS LÄN</t>
        </is>
      </c>
      <c r="E158" t="inlineStr">
        <is>
          <t>KÖPING</t>
        </is>
      </c>
      <c r="G158" t="n">
        <v>9</v>
      </c>
      <c r="H158" t="n">
        <v>1</v>
      </c>
      <c r="I158" t="n">
        <v>0</v>
      </c>
      <c r="J158" t="n">
        <v>0</v>
      </c>
      <c r="K158" t="n">
        <v>0</v>
      </c>
      <c r="L158" t="n">
        <v>0</v>
      </c>
      <c r="M158" t="n">
        <v>0</v>
      </c>
      <c r="N158" t="n">
        <v>0</v>
      </c>
      <c r="O158" t="n">
        <v>0</v>
      </c>
      <c r="P158" t="n">
        <v>0</v>
      </c>
      <c r="Q158" t="n">
        <v>1</v>
      </c>
      <c r="R158" s="2" t="inlineStr">
        <is>
          <t>Fläcknycklar</t>
        </is>
      </c>
      <c r="S158">
        <f>HYPERLINK("https://klasma.github.io/Logging_1983/artfynd/A 45826-2021 artfynd.xlsx", "A 45826-2021")</f>
        <v/>
      </c>
      <c r="T158">
        <f>HYPERLINK("https://klasma.github.io/Logging_1983/kartor/A 45826-2021 karta.png", "A 45826-2021")</f>
        <v/>
      </c>
      <c r="V158">
        <f>HYPERLINK("https://klasma.github.io/Logging_1983/klagomål/A 45826-2021 FSC-klagomål.docx", "A 45826-2021")</f>
        <v/>
      </c>
      <c r="W158">
        <f>HYPERLINK("https://klasma.github.io/Logging_1983/klagomålsmail/A 45826-2021 FSC-klagomål mail.docx", "A 45826-2021")</f>
        <v/>
      </c>
      <c r="X158">
        <f>HYPERLINK("https://klasma.github.io/Logging_1983/tillsyn/A 45826-2021 tillsynsbegäran.docx", "A 45826-2021")</f>
        <v/>
      </c>
      <c r="Y158">
        <f>HYPERLINK("https://klasma.github.io/Logging_1983/tillsynsmail/A 45826-2021 tillsynsbegäran mail.docx", "A 45826-2021")</f>
        <v/>
      </c>
    </row>
    <row r="159" ht="15" customHeight="1">
      <c r="A159" t="inlineStr">
        <is>
          <t>A 55157-2023</t>
        </is>
      </c>
      <c r="B159" s="1" t="n">
        <v>45237</v>
      </c>
      <c r="C159" s="1" t="n">
        <v>45998</v>
      </c>
      <c r="D159" t="inlineStr">
        <is>
          <t>VÄSTMANLANDS LÄN</t>
        </is>
      </c>
      <c r="E159" t="inlineStr">
        <is>
          <t>KÖPING</t>
        </is>
      </c>
      <c r="G159" t="n">
        <v>6.7</v>
      </c>
      <c r="H159" t="n">
        <v>1</v>
      </c>
      <c r="I159" t="n">
        <v>0</v>
      </c>
      <c r="J159" t="n">
        <v>0</v>
      </c>
      <c r="K159" t="n">
        <v>0</v>
      </c>
      <c r="L159" t="n">
        <v>0</v>
      </c>
      <c r="M159" t="n">
        <v>0</v>
      </c>
      <c r="N159" t="n">
        <v>0</v>
      </c>
      <c r="O159" t="n">
        <v>0</v>
      </c>
      <c r="P159" t="n">
        <v>0</v>
      </c>
      <c r="Q159" t="n">
        <v>1</v>
      </c>
      <c r="R159" s="2" t="inlineStr">
        <is>
          <t>Nattviol</t>
        </is>
      </c>
      <c r="S159">
        <f>HYPERLINK("https://klasma.github.io/Logging_1983/artfynd/A 55157-2023 artfynd.xlsx", "A 55157-2023")</f>
        <v/>
      </c>
      <c r="T159">
        <f>HYPERLINK("https://klasma.github.io/Logging_1983/kartor/A 55157-2023 karta.png", "A 55157-2023")</f>
        <v/>
      </c>
      <c r="V159">
        <f>HYPERLINK("https://klasma.github.io/Logging_1983/klagomål/A 55157-2023 FSC-klagomål.docx", "A 55157-2023")</f>
        <v/>
      </c>
      <c r="W159">
        <f>HYPERLINK("https://klasma.github.io/Logging_1983/klagomålsmail/A 55157-2023 FSC-klagomål mail.docx", "A 55157-2023")</f>
        <v/>
      </c>
      <c r="X159">
        <f>HYPERLINK("https://klasma.github.io/Logging_1983/tillsyn/A 55157-2023 tillsynsbegäran.docx", "A 55157-2023")</f>
        <v/>
      </c>
      <c r="Y159">
        <f>HYPERLINK("https://klasma.github.io/Logging_1983/tillsynsmail/A 55157-2023 tillsynsbegäran mail.docx", "A 55157-2023")</f>
        <v/>
      </c>
    </row>
    <row r="160" ht="15" customHeight="1">
      <c r="A160" t="inlineStr">
        <is>
          <t>A 7536-2022</t>
        </is>
      </c>
      <c r="B160" s="1" t="n">
        <v>44607</v>
      </c>
      <c r="C160" s="1" t="n">
        <v>45998</v>
      </c>
      <c r="D160" t="inlineStr">
        <is>
          <t>VÄSTMANLANDS LÄN</t>
        </is>
      </c>
      <c r="E160" t="inlineStr">
        <is>
          <t>VÄSTERÅS</t>
        </is>
      </c>
      <c r="G160" t="n">
        <v>2.3</v>
      </c>
      <c r="H160" t="n">
        <v>1</v>
      </c>
      <c r="I160" t="n">
        <v>0</v>
      </c>
      <c r="J160" t="n">
        <v>0</v>
      </c>
      <c r="K160" t="n">
        <v>0</v>
      </c>
      <c r="L160" t="n">
        <v>1</v>
      </c>
      <c r="M160" t="n">
        <v>0</v>
      </c>
      <c r="N160" t="n">
        <v>0</v>
      </c>
      <c r="O160" t="n">
        <v>1</v>
      </c>
      <c r="P160" t="n">
        <v>1</v>
      </c>
      <c r="Q160" t="n">
        <v>1</v>
      </c>
      <c r="R160" s="2" t="inlineStr">
        <is>
          <t>Grönfink</t>
        </is>
      </c>
      <c r="S160">
        <f>HYPERLINK("https://klasma.github.io/Logging_1980/artfynd/A 7536-2022 artfynd.xlsx", "A 7536-2022")</f>
        <v/>
      </c>
      <c r="T160">
        <f>HYPERLINK("https://klasma.github.io/Logging_1980/kartor/A 7536-2022 karta.png", "A 7536-2022")</f>
        <v/>
      </c>
      <c r="V160">
        <f>HYPERLINK("https://klasma.github.io/Logging_1980/klagomål/A 7536-2022 FSC-klagomål.docx", "A 7536-2022")</f>
        <v/>
      </c>
      <c r="W160">
        <f>HYPERLINK("https://klasma.github.io/Logging_1980/klagomålsmail/A 7536-2022 FSC-klagomål mail.docx", "A 7536-2022")</f>
        <v/>
      </c>
      <c r="X160">
        <f>HYPERLINK("https://klasma.github.io/Logging_1980/tillsyn/A 7536-2022 tillsynsbegäran.docx", "A 7536-2022")</f>
        <v/>
      </c>
      <c r="Y160">
        <f>HYPERLINK("https://klasma.github.io/Logging_1980/tillsynsmail/A 7536-2022 tillsynsbegäran mail.docx", "A 7536-2022")</f>
        <v/>
      </c>
      <c r="Z160">
        <f>HYPERLINK("https://klasma.github.io/Logging_1980/fåglar/A 7536-2022 prioriterade fågelarter.docx", "A 7536-2022")</f>
        <v/>
      </c>
    </row>
    <row r="161" ht="15" customHeight="1">
      <c r="A161" t="inlineStr">
        <is>
          <t>A 20257-2025</t>
        </is>
      </c>
      <c r="B161" s="1" t="n">
        <v>45773.34196759259</v>
      </c>
      <c r="C161" s="1" t="n">
        <v>45998</v>
      </c>
      <c r="D161" t="inlineStr">
        <is>
          <t>VÄSTMANLANDS LÄN</t>
        </is>
      </c>
      <c r="E161" t="inlineStr">
        <is>
          <t>NORBERG</t>
        </is>
      </c>
      <c r="F161" t="inlineStr">
        <is>
          <t>Sveaskog</t>
        </is>
      </c>
      <c r="G161" t="n">
        <v>1.5</v>
      </c>
      <c r="H161" t="n">
        <v>1</v>
      </c>
      <c r="I161" t="n">
        <v>1</v>
      </c>
      <c r="J161" t="n">
        <v>0</v>
      </c>
      <c r="K161" t="n">
        <v>0</v>
      </c>
      <c r="L161" t="n">
        <v>0</v>
      </c>
      <c r="M161" t="n">
        <v>0</v>
      </c>
      <c r="N161" t="n">
        <v>0</v>
      </c>
      <c r="O161" t="n">
        <v>0</v>
      </c>
      <c r="P161" t="n">
        <v>0</v>
      </c>
      <c r="Q161" t="n">
        <v>1</v>
      </c>
      <c r="R161" s="2" t="inlineStr">
        <is>
          <t>Plattlummer</t>
        </is>
      </c>
      <c r="S161">
        <f>HYPERLINK("https://klasma.github.io/Logging_1962/artfynd/A 20257-2025 artfynd.xlsx", "A 20257-2025")</f>
        <v/>
      </c>
      <c r="T161">
        <f>HYPERLINK("https://klasma.github.io/Logging_1962/kartor/A 20257-2025 karta.png", "A 20257-2025")</f>
        <v/>
      </c>
      <c r="V161">
        <f>HYPERLINK("https://klasma.github.io/Logging_1962/klagomål/A 20257-2025 FSC-klagomål.docx", "A 20257-2025")</f>
        <v/>
      </c>
      <c r="W161">
        <f>HYPERLINK("https://klasma.github.io/Logging_1962/klagomålsmail/A 20257-2025 FSC-klagomål mail.docx", "A 20257-2025")</f>
        <v/>
      </c>
      <c r="X161">
        <f>HYPERLINK("https://klasma.github.io/Logging_1962/tillsyn/A 20257-2025 tillsynsbegäran.docx", "A 20257-2025")</f>
        <v/>
      </c>
      <c r="Y161">
        <f>HYPERLINK("https://klasma.github.io/Logging_1962/tillsynsmail/A 20257-2025 tillsynsbegäran mail.docx", "A 20257-2025")</f>
        <v/>
      </c>
    </row>
    <row r="162" ht="15" customHeight="1">
      <c r="A162" t="inlineStr">
        <is>
          <t>A 37464-2021</t>
        </is>
      </c>
      <c r="B162" s="1" t="n">
        <v>44398</v>
      </c>
      <c r="C162" s="1" t="n">
        <v>45998</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6603-2025</t>
        </is>
      </c>
      <c r="B163" s="1" t="n">
        <v>45700.3262962963</v>
      </c>
      <c r="C163" s="1" t="n">
        <v>45998</v>
      </c>
      <c r="D163" t="inlineStr">
        <is>
          <t>VÄSTMANLANDS LÄN</t>
        </is>
      </c>
      <c r="E163" t="inlineStr">
        <is>
          <t>KÖPING</t>
        </is>
      </c>
      <c r="G163" t="n">
        <v>12.1</v>
      </c>
      <c r="H163" t="n">
        <v>0</v>
      </c>
      <c r="I163" t="n">
        <v>0</v>
      </c>
      <c r="J163" t="n">
        <v>1</v>
      </c>
      <c r="K163" t="n">
        <v>0</v>
      </c>
      <c r="L163" t="n">
        <v>0</v>
      </c>
      <c r="M163" t="n">
        <v>0</v>
      </c>
      <c r="N163" t="n">
        <v>0</v>
      </c>
      <c r="O163" t="n">
        <v>1</v>
      </c>
      <c r="P163" t="n">
        <v>0</v>
      </c>
      <c r="Q163" t="n">
        <v>1</v>
      </c>
      <c r="R163" s="2" t="inlineStr">
        <is>
          <t>Motaggsvamp</t>
        </is>
      </c>
      <c r="S163">
        <f>HYPERLINK("https://klasma.github.io/Logging_1983/artfynd/A 6603-2025 artfynd.xlsx", "A 6603-2025")</f>
        <v/>
      </c>
      <c r="T163">
        <f>HYPERLINK("https://klasma.github.io/Logging_1983/kartor/A 6603-2025 karta.png", "A 6603-2025")</f>
        <v/>
      </c>
      <c r="V163">
        <f>HYPERLINK("https://klasma.github.io/Logging_1983/klagomål/A 6603-2025 FSC-klagomål.docx", "A 6603-2025")</f>
        <v/>
      </c>
      <c r="W163">
        <f>HYPERLINK("https://klasma.github.io/Logging_1983/klagomålsmail/A 6603-2025 FSC-klagomål mail.docx", "A 6603-2025")</f>
        <v/>
      </c>
      <c r="X163">
        <f>HYPERLINK("https://klasma.github.io/Logging_1983/tillsyn/A 6603-2025 tillsynsbegäran.docx", "A 6603-2025")</f>
        <v/>
      </c>
      <c r="Y163">
        <f>HYPERLINK("https://klasma.github.io/Logging_1983/tillsynsmail/A 6603-2025 tillsynsbegäran mail.docx", "A 6603-2025")</f>
        <v/>
      </c>
    </row>
    <row r="164" ht="15" customHeight="1">
      <c r="A164" t="inlineStr">
        <is>
          <t>A 12887-2024</t>
        </is>
      </c>
      <c r="B164" s="1" t="n">
        <v>45385</v>
      </c>
      <c r="C164" s="1" t="n">
        <v>45998</v>
      </c>
      <c r="D164" t="inlineStr">
        <is>
          <t>VÄSTMANLANDS LÄN</t>
        </is>
      </c>
      <c r="E164" t="inlineStr">
        <is>
          <t>SKINNSKATTEBERG</t>
        </is>
      </c>
      <c r="F164" t="inlineStr">
        <is>
          <t>Sveaskog</t>
        </is>
      </c>
      <c r="G164" t="n">
        <v>6.5</v>
      </c>
      <c r="H164" t="n">
        <v>1</v>
      </c>
      <c r="I164" t="n">
        <v>0</v>
      </c>
      <c r="J164" t="n">
        <v>0</v>
      </c>
      <c r="K164" t="n">
        <v>0</v>
      </c>
      <c r="L164" t="n">
        <v>0</v>
      </c>
      <c r="M164" t="n">
        <v>0</v>
      </c>
      <c r="N164" t="n">
        <v>0</v>
      </c>
      <c r="O164" t="n">
        <v>0</v>
      </c>
      <c r="P164" t="n">
        <v>0</v>
      </c>
      <c r="Q164" t="n">
        <v>1</v>
      </c>
      <c r="R164" s="2" t="inlineStr">
        <is>
          <t>Sparvuggla</t>
        </is>
      </c>
      <c r="S164">
        <f>HYPERLINK("https://klasma.github.io/Logging_1904/artfynd/A 12887-2024 artfynd.xlsx", "A 12887-2024")</f>
        <v/>
      </c>
      <c r="T164">
        <f>HYPERLINK("https://klasma.github.io/Logging_1904/kartor/A 12887-2024 karta.png", "A 12887-2024")</f>
        <v/>
      </c>
      <c r="V164">
        <f>HYPERLINK("https://klasma.github.io/Logging_1904/klagomål/A 12887-2024 FSC-klagomål.docx", "A 12887-2024")</f>
        <v/>
      </c>
      <c r="W164">
        <f>HYPERLINK("https://klasma.github.io/Logging_1904/klagomålsmail/A 12887-2024 FSC-klagomål mail.docx", "A 12887-2024")</f>
        <v/>
      </c>
      <c r="X164">
        <f>HYPERLINK("https://klasma.github.io/Logging_1904/tillsyn/A 12887-2024 tillsynsbegäran.docx", "A 12887-2024")</f>
        <v/>
      </c>
      <c r="Y164">
        <f>HYPERLINK("https://klasma.github.io/Logging_1904/tillsynsmail/A 12887-2024 tillsynsbegäran mail.docx", "A 12887-2024")</f>
        <v/>
      </c>
      <c r="Z164">
        <f>HYPERLINK("https://klasma.github.io/Logging_1904/fåglar/A 12887-2024 prioriterade fågelarter.docx", "A 12887-2024")</f>
        <v/>
      </c>
    </row>
    <row r="165" ht="15" customHeight="1">
      <c r="A165" t="inlineStr">
        <is>
          <t>A 14775-2023</t>
        </is>
      </c>
      <c r="B165" s="1" t="n">
        <v>45014</v>
      </c>
      <c r="C165" s="1" t="n">
        <v>45998</v>
      </c>
      <c r="D165" t="inlineStr">
        <is>
          <t>VÄSTMANLANDS LÄN</t>
        </is>
      </c>
      <c r="E165" t="inlineStr">
        <is>
          <t>SALA</t>
        </is>
      </c>
      <c r="G165" t="n">
        <v>1.3</v>
      </c>
      <c r="H165" t="n">
        <v>1</v>
      </c>
      <c r="I165" t="n">
        <v>0</v>
      </c>
      <c r="J165" t="n">
        <v>0</v>
      </c>
      <c r="K165" t="n">
        <v>1</v>
      </c>
      <c r="L165" t="n">
        <v>0</v>
      </c>
      <c r="M165" t="n">
        <v>0</v>
      </c>
      <c r="N165" t="n">
        <v>0</v>
      </c>
      <c r="O165" t="n">
        <v>1</v>
      </c>
      <c r="P165" t="n">
        <v>1</v>
      </c>
      <c r="Q165" t="n">
        <v>1</v>
      </c>
      <c r="R165" s="2" t="inlineStr">
        <is>
          <t>Knärot</t>
        </is>
      </c>
      <c r="S165">
        <f>HYPERLINK("https://klasma.github.io/Logging_1981/artfynd/A 14775-2023 artfynd.xlsx", "A 14775-2023")</f>
        <v/>
      </c>
      <c r="T165">
        <f>HYPERLINK("https://klasma.github.io/Logging_1981/kartor/A 14775-2023 karta.png", "A 14775-2023")</f>
        <v/>
      </c>
      <c r="U165">
        <f>HYPERLINK("https://klasma.github.io/Logging_1981/knärot/A 14775-2023 karta knärot.png", "A 14775-2023")</f>
        <v/>
      </c>
      <c r="V165">
        <f>HYPERLINK("https://klasma.github.io/Logging_1981/klagomål/A 14775-2023 FSC-klagomål.docx", "A 14775-2023")</f>
        <v/>
      </c>
      <c r="W165">
        <f>HYPERLINK("https://klasma.github.io/Logging_1981/klagomålsmail/A 14775-2023 FSC-klagomål mail.docx", "A 14775-2023")</f>
        <v/>
      </c>
      <c r="X165">
        <f>HYPERLINK("https://klasma.github.io/Logging_1981/tillsyn/A 14775-2023 tillsynsbegäran.docx", "A 14775-2023")</f>
        <v/>
      </c>
      <c r="Y165">
        <f>HYPERLINK("https://klasma.github.io/Logging_1981/tillsynsmail/A 14775-2023 tillsynsbegäran mail.docx", "A 14775-2023")</f>
        <v/>
      </c>
    </row>
    <row r="166" ht="15" customHeight="1">
      <c r="A166" t="inlineStr">
        <is>
          <t>A 23893-2023</t>
        </is>
      </c>
      <c r="B166" s="1" t="n">
        <v>45078</v>
      </c>
      <c r="C166" s="1" t="n">
        <v>45998</v>
      </c>
      <c r="D166" t="inlineStr">
        <is>
          <t>VÄSTMANLANDS LÄN</t>
        </is>
      </c>
      <c r="E166" t="inlineStr">
        <is>
          <t>SKINNSKATTEBERG</t>
        </is>
      </c>
      <c r="G166" t="n">
        <v>1.6</v>
      </c>
      <c r="H166" t="n">
        <v>1</v>
      </c>
      <c r="I166" t="n">
        <v>0</v>
      </c>
      <c r="J166" t="n">
        <v>0</v>
      </c>
      <c r="K166" t="n">
        <v>1</v>
      </c>
      <c r="L166" t="n">
        <v>0</v>
      </c>
      <c r="M166" t="n">
        <v>0</v>
      </c>
      <c r="N166" t="n">
        <v>0</v>
      </c>
      <c r="O166" t="n">
        <v>1</v>
      </c>
      <c r="P166" t="n">
        <v>1</v>
      </c>
      <c r="Q166" t="n">
        <v>1</v>
      </c>
      <c r="R166" s="2" t="inlineStr">
        <is>
          <t>Knärot</t>
        </is>
      </c>
      <c r="S166">
        <f>HYPERLINK("https://klasma.github.io/Logging_1904/artfynd/A 23893-2023 artfynd.xlsx", "A 23893-2023")</f>
        <v/>
      </c>
      <c r="T166">
        <f>HYPERLINK("https://klasma.github.io/Logging_1904/kartor/A 23893-2023 karta.png", "A 23893-2023")</f>
        <v/>
      </c>
      <c r="U166">
        <f>HYPERLINK("https://klasma.github.io/Logging_1904/knärot/A 23893-2023 karta knärot.png", "A 23893-2023")</f>
        <v/>
      </c>
      <c r="V166">
        <f>HYPERLINK("https://klasma.github.io/Logging_1904/klagomål/A 23893-2023 FSC-klagomål.docx", "A 23893-2023")</f>
        <v/>
      </c>
      <c r="W166">
        <f>HYPERLINK("https://klasma.github.io/Logging_1904/klagomålsmail/A 23893-2023 FSC-klagomål mail.docx", "A 23893-2023")</f>
        <v/>
      </c>
      <c r="X166">
        <f>HYPERLINK("https://klasma.github.io/Logging_1904/tillsyn/A 23893-2023 tillsynsbegäran.docx", "A 23893-2023")</f>
        <v/>
      </c>
      <c r="Y166">
        <f>HYPERLINK("https://klasma.github.io/Logging_1904/tillsynsmail/A 23893-2023 tillsynsbegäran mail.docx", "A 23893-2023")</f>
        <v/>
      </c>
    </row>
    <row r="167" ht="15" customHeight="1">
      <c r="A167" t="inlineStr">
        <is>
          <t>A 20064-2024</t>
        </is>
      </c>
      <c r="B167" s="1" t="n">
        <v>45434</v>
      </c>
      <c r="C167" s="1" t="n">
        <v>45998</v>
      </c>
      <c r="D167" t="inlineStr">
        <is>
          <t>VÄSTMANLANDS LÄN</t>
        </is>
      </c>
      <c r="E167" t="inlineStr">
        <is>
          <t>ARBOGA</t>
        </is>
      </c>
      <c r="G167" t="n">
        <v>7.1</v>
      </c>
      <c r="H167" t="n">
        <v>0</v>
      </c>
      <c r="I167" t="n">
        <v>0</v>
      </c>
      <c r="J167" t="n">
        <v>0</v>
      </c>
      <c r="K167" t="n">
        <v>0</v>
      </c>
      <c r="L167" t="n">
        <v>1</v>
      </c>
      <c r="M167" t="n">
        <v>0</v>
      </c>
      <c r="N167" t="n">
        <v>0</v>
      </c>
      <c r="O167" t="n">
        <v>1</v>
      </c>
      <c r="P167" t="n">
        <v>1</v>
      </c>
      <c r="Q167" t="n">
        <v>1</v>
      </c>
      <c r="R167" s="2" t="inlineStr">
        <is>
          <t>Ask</t>
        </is>
      </c>
      <c r="S167">
        <f>HYPERLINK("https://klasma.github.io/Logging_1984/artfynd/A 20064-2024 artfynd.xlsx", "A 20064-2024")</f>
        <v/>
      </c>
      <c r="T167">
        <f>HYPERLINK("https://klasma.github.io/Logging_1984/kartor/A 20064-2024 karta.png", "A 20064-2024")</f>
        <v/>
      </c>
      <c r="V167">
        <f>HYPERLINK("https://klasma.github.io/Logging_1984/klagomål/A 20064-2024 FSC-klagomål.docx", "A 20064-2024")</f>
        <v/>
      </c>
      <c r="W167">
        <f>HYPERLINK("https://klasma.github.io/Logging_1984/klagomålsmail/A 20064-2024 FSC-klagomål mail.docx", "A 20064-2024")</f>
        <v/>
      </c>
      <c r="X167">
        <f>HYPERLINK("https://klasma.github.io/Logging_1984/tillsyn/A 20064-2024 tillsynsbegäran.docx", "A 20064-2024")</f>
        <v/>
      </c>
      <c r="Y167">
        <f>HYPERLINK("https://klasma.github.io/Logging_1984/tillsynsmail/A 20064-2024 tillsynsbegäran mail.docx", "A 20064-2024")</f>
        <v/>
      </c>
    </row>
    <row r="168" ht="15" customHeight="1">
      <c r="A168" t="inlineStr">
        <is>
          <t>A 13066-2025</t>
        </is>
      </c>
      <c r="B168" s="1" t="n">
        <v>45734.6059837963</v>
      </c>
      <c r="C168" s="1" t="n">
        <v>45998</v>
      </c>
      <c r="D168" t="inlineStr">
        <is>
          <t>VÄSTMANLANDS LÄN</t>
        </is>
      </c>
      <c r="E168" t="inlineStr">
        <is>
          <t>KÖPING</t>
        </is>
      </c>
      <c r="F168" t="inlineStr">
        <is>
          <t>Sveaskog</t>
        </is>
      </c>
      <c r="G168" t="n">
        <v>0.7</v>
      </c>
      <c r="H168" t="n">
        <v>1</v>
      </c>
      <c r="I168" t="n">
        <v>0</v>
      </c>
      <c r="J168" t="n">
        <v>0</v>
      </c>
      <c r="K168" t="n">
        <v>0</v>
      </c>
      <c r="L168" t="n">
        <v>0</v>
      </c>
      <c r="M168" t="n">
        <v>0</v>
      </c>
      <c r="N168" t="n">
        <v>0</v>
      </c>
      <c r="O168" t="n">
        <v>0</v>
      </c>
      <c r="P168" t="n">
        <v>0</v>
      </c>
      <c r="Q168" t="n">
        <v>1</v>
      </c>
      <c r="R168" s="2" t="inlineStr">
        <is>
          <t>Revlummer</t>
        </is>
      </c>
      <c r="S168">
        <f>HYPERLINK("https://klasma.github.io/Logging_1983/artfynd/A 13066-2025 artfynd.xlsx", "A 13066-2025")</f>
        <v/>
      </c>
      <c r="T168">
        <f>HYPERLINK("https://klasma.github.io/Logging_1983/kartor/A 13066-2025 karta.png", "A 13066-2025")</f>
        <v/>
      </c>
      <c r="V168">
        <f>HYPERLINK("https://klasma.github.io/Logging_1983/klagomål/A 13066-2025 FSC-klagomål.docx", "A 13066-2025")</f>
        <v/>
      </c>
      <c r="W168">
        <f>HYPERLINK("https://klasma.github.io/Logging_1983/klagomålsmail/A 13066-2025 FSC-klagomål mail.docx", "A 13066-2025")</f>
        <v/>
      </c>
      <c r="X168">
        <f>HYPERLINK("https://klasma.github.io/Logging_1983/tillsyn/A 13066-2025 tillsynsbegäran.docx", "A 13066-2025")</f>
        <v/>
      </c>
      <c r="Y168">
        <f>HYPERLINK("https://klasma.github.io/Logging_1983/tillsynsmail/A 13066-2025 tillsynsbegäran mail.docx", "A 13066-2025")</f>
        <v/>
      </c>
    </row>
    <row r="169" ht="15" customHeight="1">
      <c r="A169" t="inlineStr">
        <is>
          <t>A 16524-2024</t>
        </is>
      </c>
      <c r="B169" s="1" t="n">
        <v>45408.41627314815</v>
      </c>
      <c r="C169" s="1" t="n">
        <v>45998</v>
      </c>
      <c r="D169" t="inlineStr">
        <is>
          <t>VÄSTMANLANDS LÄN</t>
        </is>
      </c>
      <c r="E169" t="inlineStr">
        <is>
          <t>SKINNSKATTEBERG</t>
        </is>
      </c>
      <c r="F169" t="inlineStr">
        <is>
          <t>Sveaskog</t>
        </is>
      </c>
      <c r="G169" t="n">
        <v>3.1</v>
      </c>
      <c r="H169" t="n">
        <v>0</v>
      </c>
      <c r="I169" t="n">
        <v>1</v>
      </c>
      <c r="J169" t="n">
        <v>0</v>
      </c>
      <c r="K169" t="n">
        <v>0</v>
      </c>
      <c r="L169" t="n">
        <v>0</v>
      </c>
      <c r="M169" t="n">
        <v>0</v>
      </c>
      <c r="N169" t="n">
        <v>0</v>
      </c>
      <c r="O169" t="n">
        <v>0</v>
      </c>
      <c r="P169" t="n">
        <v>0</v>
      </c>
      <c r="Q169" t="n">
        <v>1</v>
      </c>
      <c r="R169" s="2" t="inlineStr">
        <is>
          <t>Grönpyrola</t>
        </is>
      </c>
      <c r="S169">
        <f>HYPERLINK("https://klasma.github.io/Logging_1904/artfynd/A 16524-2024 artfynd.xlsx", "A 16524-2024")</f>
        <v/>
      </c>
      <c r="T169">
        <f>HYPERLINK("https://klasma.github.io/Logging_1904/kartor/A 16524-2024 karta.png", "A 16524-2024")</f>
        <v/>
      </c>
      <c r="V169">
        <f>HYPERLINK("https://klasma.github.io/Logging_1904/klagomål/A 16524-2024 FSC-klagomål.docx", "A 16524-2024")</f>
        <v/>
      </c>
      <c r="W169">
        <f>HYPERLINK("https://klasma.github.io/Logging_1904/klagomålsmail/A 16524-2024 FSC-klagomål mail.docx", "A 16524-2024")</f>
        <v/>
      </c>
      <c r="X169">
        <f>HYPERLINK("https://klasma.github.io/Logging_1904/tillsyn/A 16524-2024 tillsynsbegäran.docx", "A 16524-2024")</f>
        <v/>
      </c>
      <c r="Y169">
        <f>HYPERLINK("https://klasma.github.io/Logging_1904/tillsynsmail/A 16524-2024 tillsynsbegäran mail.docx", "A 16524-2024")</f>
        <v/>
      </c>
    </row>
    <row r="170" ht="15" customHeight="1">
      <c r="A170" t="inlineStr">
        <is>
          <t>A 56362-2023</t>
        </is>
      </c>
      <c r="B170" s="1" t="n">
        <v>45236</v>
      </c>
      <c r="C170" s="1" t="n">
        <v>45998</v>
      </c>
      <c r="D170" t="inlineStr">
        <is>
          <t>VÄSTMANLANDS LÄN</t>
        </is>
      </c>
      <c r="E170" t="inlineStr">
        <is>
          <t>SURAHAMMAR</t>
        </is>
      </c>
      <c r="F170" t="inlineStr">
        <is>
          <t>Bergvik skog väst AB</t>
        </is>
      </c>
      <c r="G170" t="n">
        <v>15.2</v>
      </c>
      <c r="H170" t="n">
        <v>0</v>
      </c>
      <c r="I170" t="n">
        <v>1</v>
      </c>
      <c r="J170" t="n">
        <v>0</v>
      </c>
      <c r="K170" t="n">
        <v>0</v>
      </c>
      <c r="L170" t="n">
        <v>0</v>
      </c>
      <c r="M170" t="n">
        <v>0</v>
      </c>
      <c r="N170" t="n">
        <v>0</v>
      </c>
      <c r="O170" t="n">
        <v>0</v>
      </c>
      <c r="P170" t="n">
        <v>0</v>
      </c>
      <c r="Q170" t="n">
        <v>1</v>
      </c>
      <c r="R170" s="2" t="inlineStr">
        <is>
          <t>Grönpyrola</t>
        </is>
      </c>
      <c r="S170">
        <f>HYPERLINK("https://klasma.github.io/Logging_1907/artfynd/A 56362-2023 artfynd.xlsx", "A 56362-2023")</f>
        <v/>
      </c>
      <c r="T170">
        <f>HYPERLINK("https://klasma.github.io/Logging_1907/kartor/A 56362-2023 karta.png", "A 56362-2023")</f>
        <v/>
      </c>
      <c r="V170">
        <f>HYPERLINK("https://klasma.github.io/Logging_1907/klagomål/A 56362-2023 FSC-klagomål.docx", "A 56362-2023")</f>
        <v/>
      </c>
      <c r="W170">
        <f>HYPERLINK("https://klasma.github.io/Logging_1907/klagomålsmail/A 56362-2023 FSC-klagomål mail.docx", "A 56362-2023")</f>
        <v/>
      </c>
      <c r="X170">
        <f>HYPERLINK("https://klasma.github.io/Logging_1907/tillsyn/A 56362-2023 tillsynsbegäran.docx", "A 56362-2023")</f>
        <v/>
      </c>
      <c r="Y170">
        <f>HYPERLINK("https://klasma.github.io/Logging_1907/tillsynsmail/A 56362-2023 tillsynsbegäran mail.docx", "A 56362-2023")</f>
        <v/>
      </c>
    </row>
    <row r="171" ht="15" customHeight="1">
      <c r="A171" t="inlineStr">
        <is>
          <t>A 40411-2021</t>
        </is>
      </c>
      <c r="B171" s="1" t="n">
        <v>44419</v>
      </c>
      <c r="C171" s="1" t="n">
        <v>45998</v>
      </c>
      <c r="D171" t="inlineStr">
        <is>
          <t>VÄSTMANLANDS LÄN</t>
        </is>
      </c>
      <c r="E171" t="inlineStr">
        <is>
          <t>SURAHAMMAR</t>
        </is>
      </c>
      <c r="F171" t="inlineStr">
        <is>
          <t>Sveaskog</t>
        </is>
      </c>
      <c r="G171" t="n">
        <v>2.4</v>
      </c>
      <c r="H171" t="n">
        <v>1</v>
      </c>
      <c r="I171" t="n">
        <v>0</v>
      </c>
      <c r="J171" t="n">
        <v>0</v>
      </c>
      <c r="K171" t="n">
        <v>0</v>
      </c>
      <c r="L171" t="n">
        <v>0</v>
      </c>
      <c r="M171" t="n">
        <v>0</v>
      </c>
      <c r="N171" t="n">
        <v>0</v>
      </c>
      <c r="O171" t="n">
        <v>0</v>
      </c>
      <c r="P171" t="n">
        <v>0</v>
      </c>
      <c r="Q171" t="n">
        <v>1</v>
      </c>
      <c r="R171" s="2" t="inlineStr">
        <is>
          <t>Kopparödla</t>
        </is>
      </c>
      <c r="S171">
        <f>HYPERLINK("https://klasma.github.io/Logging_1907/artfynd/A 40411-2021 artfynd.xlsx", "A 40411-2021")</f>
        <v/>
      </c>
      <c r="T171">
        <f>HYPERLINK("https://klasma.github.io/Logging_1907/kartor/A 40411-2021 karta.png", "A 40411-2021")</f>
        <v/>
      </c>
      <c r="V171">
        <f>HYPERLINK("https://klasma.github.io/Logging_1907/klagomål/A 40411-2021 FSC-klagomål.docx", "A 40411-2021")</f>
        <v/>
      </c>
      <c r="W171">
        <f>HYPERLINK("https://klasma.github.io/Logging_1907/klagomålsmail/A 40411-2021 FSC-klagomål mail.docx", "A 40411-2021")</f>
        <v/>
      </c>
      <c r="X171">
        <f>HYPERLINK("https://klasma.github.io/Logging_1907/tillsyn/A 40411-2021 tillsynsbegäran.docx", "A 40411-2021")</f>
        <v/>
      </c>
      <c r="Y171">
        <f>HYPERLINK("https://klasma.github.io/Logging_1907/tillsynsmail/A 40411-2021 tillsynsbegäran mail.docx", "A 40411-2021")</f>
        <v/>
      </c>
    </row>
    <row r="172" ht="15" customHeight="1">
      <c r="A172" t="inlineStr">
        <is>
          <t>A 56704-2022</t>
        </is>
      </c>
      <c r="B172" s="1" t="n">
        <v>44893.78075231481</v>
      </c>
      <c r="C172" s="1" t="n">
        <v>45998</v>
      </c>
      <c r="D172" t="inlineStr">
        <is>
          <t>VÄSTMANLANDS LÄN</t>
        </is>
      </c>
      <c r="E172" t="inlineStr">
        <is>
          <t>SALA</t>
        </is>
      </c>
      <c r="G172" t="n">
        <v>3.2</v>
      </c>
      <c r="H172" t="n">
        <v>1</v>
      </c>
      <c r="I172" t="n">
        <v>0</v>
      </c>
      <c r="J172" t="n">
        <v>0</v>
      </c>
      <c r="K172" t="n">
        <v>1</v>
      </c>
      <c r="L172" t="n">
        <v>0</v>
      </c>
      <c r="M172" t="n">
        <v>0</v>
      </c>
      <c r="N172" t="n">
        <v>0</v>
      </c>
      <c r="O172" t="n">
        <v>1</v>
      </c>
      <c r="P172" t="n">
        <v>1</v>
      </c>
      <c r="Q172" t="n">
        <v>1</v>
      </c>
      <c r="R172" s="2" t="inlineStr">
        <is>
          <t>Knärot</t>
        </is>
      </c>
      <c r="S172">
        <f>HYPERLINK("https://klasma.github.io/Logging_1981/artfynd/A 56704-2022 artfynd.xlsx", "A 56704-2022")</f>
        <v/>
      </c>
      <c r="T172">
        <f>HYPERLINK("https://klasma.github.io/Logging_1981/kartor/A 56704-2022 karta.png", "A 56704-2022")</f>
        <v/>
      </c>
      <c r="U172">
        <f>HYPERLINK("https://klasma.github.io/Logging_1981/knärot/A 56704-2022 karta knärot.png", "A 56704-2022")</f>
        <v/>
      </c>
      <c r="V172">
        <f>HYPERLINK("https://klasma.github.io/Logging_1981/klagomål/A 56704-2022 FSC-klagomål.docx", "A 56704-2022")</f>
        <v/>
      </c>
      <c r="W172">
        <f>HYPERLINK("https://klasma.github.io/Logging_1981/klagomålsmail/A 56704-2022 FSC-klagomål mail.docx", "A 56704-2022")</f>
        <v/>
      </c>
      <c r="X172">
        <f>HYPERLINK("https://klasma.github.io/Logging_1981/tillsyn/A 56704-2022 tillsynsbegäran.docx", "A 56704-2022")</f>
        <v/>
      </c>
      <c r="Y172">
        <f>HYPERLINK("https://klasma.github.io/Logging_1981/tillsynsmail/A 56704-2022 tillsynsbegäran mail.docx", "A 56704-2022")</f>
        <v/>
      </c>
    </row>
    <row r="173" ht="15" customHeight="1">
      <c r="A173" t="inlineStr">
        <is>
          <t>A 39099-2022</t>
        </is>
      </c>
      <c r="B173" s="1" t="n">
        <v>44817</v>
      </c>
      <c r="C173" s="1" t="n">
        <v>45998</v>
      </c>
      <c r="D173" t="inlineStr">
        <is>
          <t>VÄSTMANLANDS LÄN</t>
        </is>
      </c>
      <c r="E173" t="inlineStr">
        <is>
          <t>SURAHAMMAR</t>
        </is>
      </c>
      <c r="F173" t="inlineStr">
        <is>
          <t>Bergvik skog väst AB</t>
        </is>
      </c>
      <c r="G173" t="n">
        <v>7.4</v>
      </c>
      <c r="H173" t="n">
        <v>0</v>
      </c>
      <c r="I173" t="n">
        <v>1</v>
      </c>
      <c r="J173" t="n">
        <v>0</v>
      </c>
      <c r="K173" t="n">
        <v>0</v>
      </c>
      <c r="L173" t="n">
        <v>0</v>
      </c>
      <c r="M173" t="n">
        <v>0</v>
      </c>
      <c r="N173" t="n">
        <v>0</v>
      </c>
      <c r="O173" t="n">
        <v>0</v>
      </c>
      <c r="P173" t="n">
        <v>0</v>
      </c>
      <c r="Q173" t="n">
        <v>1</v>
      </c>
      <c r="R173" s="2" t="inlineStr">
        <is>
          <t>Stekelbock</t>
        </is>
      </c>
      <c r="S173">
        <f>HYPERLINK("https://klasma.github.io/Logging_1907/artfynd/A 39099-2022 artfynd.xlsx", "A 39099-2022")</f>
        <v/>
      </c>
      <c r="T173">
        <f>HYPERLINK("https://klasma.github.io/Logging_1907/kartor/A 39099-2022 karta.png", "A 39099-2022")</f>
        <v/>
      </c>
      <c r="V173">
        <f>HYPERLINK("https://klasma.github.io/Logging_1907/klagomål/A 39099-2022 FSC-klagomål.docx", "A 39099-2022")</f>
        <v/>
      </c>
      <c r="W173">
        <f>HYPERLINK("https://klasma.github.io/Logging_1907/klagomålsmail/A 39099-2022 FSC-klagomål mail.docx", "A 39099-2022")</f>
        <v/>
      </c>
      <c r="X173">
        <f>HYPERLINK("https://klasma.github.io/Logging_1907/tillsyn/A 39099-2022 tillsynsbegäran.docx", "A 39099-2022")</f>
        <v/>
      </c>
      <c r="Y173">
        <f>HYPERLINK("https://klasma.github.io/Logging_1907/tillsynsmail/A 39099-2022 tillsynsbegäran mail.docx", "A 39099-2022")</f>
        <v/>
      </c>
    </row>
    <row r="174" ht="15" customHeight="1">
      <c r="A174" t="inlineStr">
        <is>
          <t>A 19361-2025</t>
        </is>
      </c>
      <c r="B174" s="1" t="n">
        <v>45769.63357638889</v>
      </c>
      <c r="C174" s="1" t="n">
        <v>45998</v>
      </c>
      <c r="D174" t="inlineStr">
        <is>
          <t>VÄSTMANLANDS LÄN</t>
        </is>
      </c>
      <c r="E174" t="inlineStr">
        <is>
          <t>SALA</t>
        </is>
      </c>
      <c r="F174" t="inlineStr">
        <is>
          <t>Bergvik skog öst AB</t>
        </is>
      </c>
      <c r="G174" t="n">
        <v>8.9</v>
      </c>
      <c r="H174" t="n">
        <v>0</v>
      </c>
      <c r="I174" t="n">
        <v>0</v>
      </c>
      <c r="J174" t="n">
        <v>1</v>
      </c>
      <c r="K174" t="n">
        <v>0</v>
      </c>
      <c r="L174" t="n">
        <v>0</v>
      </c>
      <c r="M174" t="n">
        <v>0</v>
      </c>
      <c r="N174" t="n">
        <v>0</v>
      </c>
      <c r="O174" t="n">
        <v>1</v>
      </c>
      <c r="P174" t="n">
        <v>0</v>
      </c>
      <c r="Q174" t="n">
        <v>1</v>
      </c>
      <c r="R174" s="2" t="inlineStr">
        <is>
          <t>Garnlav</t>
        </is>
      </c>
      <c r="S174">
        <f>HYPERLINK("https://klasma.github.io/Logging_1981/artfynd/A 19361-2025 artfynd.xlsx", "A 19361-2025")</f>
        <v/>
      </c>
      <c r="T174">
        <f>HYPERLINK("https://klasma.github.io/Logging_1981/kartor/A 19361-2025 karta.png", "A 19361-2025")</f>
        <v/>
      </c>
      <c r="V174">
        <f>HYPERLINK("https://klasma.github.io/Logging_1981/klagomål/A 19361-2025 FSC-klagomål.docx", "A 19361-2025")</f>
        <v/>
      </c>
      <c r="W174">
        <f>HYPERLINK("https://klasma.github.io/Logging_1981/klagomålsmail/A 19361-2025 FSC-klagomål mail.docx", "A 19361-2025")</f>
        <v/>
      </c>
      <c r="X174">
        <f>HYPERLINK("https://klasma.github.io/Logging_1981/tillsyn/A 19361-2025 tillsynsbegäran.docx", "A 19361-2025")</f>
        <v/>
      </c>
      <c r="Y174">
        <f>HYPERLINK("https://klasma.github.io/Logging_1981/tillsynsmail/A 19361-2025 tillsynsbegäran mail.docx", "A 19361-2025")</f>
        <v/>
      </c>
    </row>
    <row r="175" ht="15" customHeight="1">
      <c r="A175" t="inlineStr">
        <is>
          <t>A 41570-2021</t>
        </is>
      </c>
      <c r="B175" s="1" t="n">
        <v>44425</v>
      </c>
      <c r="C175" s="1" t="n">
        <v>45998</v>
      </c>
      <c r="D175" t="inlineStr">
        <is>
          <t>VÄSTMANLANDS LÄN</t>
        </is>
      </c>
      <c r="E175" t="inlineStr">
        <is>
          <t>SALA</t>
        </is>
      </c>
      <c r="G175" t="n">
        <v>1.4</v>
      </c>
      <c r="H175" t="n">
        <v>0</v>
      </c>
      <c r="I175" t="n">
        <v>0</v>
      </c>
      <c r="J175" t="n">
        <v>1</v>
      </c>
      <c r="K175" t="n">
        <v>0</v>
      </c>
      <c r="L175" t="n">
        <v>0</v>
      </c>
      <c r="M175" t="n">
        <v>0</v>
      </c>
      <c r="N175" t="n">
        <v>0</v>
      </c>
      <c r="O175" t="n">
        <v>1</v>
      </c>
      <c r="P175" t="n">
        <v>0</v>
      </c>
      <c r="Q175" t="n">
        <v>1</v>
      </c>
      <c r="R175" s="2" t="inlineStr">
        <is>
          <t>Vedtrappmossa</t>
        </is>
      </c>
      <c r="S175">
        <f>HYPERLINK("https://klasma.github.io/Logging_1981/artfynd/A 41570-2021 artfynd.xlsx", "A 41570-2021")</f>
        <v/>
      </c>
      <c r="T175">
        <f>HYPERLINK("https://klasma.github.io/Logging_1981/kartor/A 41570-2021 karta.png", "A 41570-2021")</f>
        <v/>
      </c>
      <c r="V175">
        <f>HYPERLINK("https://klasma.github.io/Logging_1981/klagomål/A 41570-2021 FSC-klagomål.docx", "A 41570-2021")</f>
        <v/>
      </c>
      <c r="W175">
        <f>HYPERLINK("https://klasma.github.io/Logging_1981/klagomålsmail/A 41570-2021 FSC-klagomål mail.docx", "A 41570-2021")</f>
        <v/>
      </c>
      <c r="X175">
        <f>HYPERLINK("https://klasma.github.io/Logging_1981/tillsyn/A 41570-2021 tillsynsbegäran.docx", "A 41570-2021")</f>
        <v/>
      </c>
      <c r="Y175">
        <f>HYPERLINK("https://klasma.github.io/Logging_1981/tillsynsmail/A 41570-2021 tillsynsbegäran mail.docx", "A 41570-2021")</f>
        <v/>
      </c>
    </row>
    <row r="176" ht="15" customHeight="1">
      <c r="A176" t="inlineStr">
        <is>
          <t>A 33231-2024</t>
        </is>
      </c>
      <c r="B176" s="1" t="n">
        <v>45518</v>
      </c>
      <c r="C176" s="1" t="n">
        <v>45998</v>
      </c>
      <c r="D176" t="inlineStr">
        <is>
          <t>VÄSTMANLANDS LÄN</t>
        </is>
      </c>
      <c r="E176" t="inlineStr">
        <is>
          <t>SURAHAMMAR</t>
        </is>
      </c>
      <c r="F176" t="inlineStr">
        <is>
          <t>Bergvik skog väst AB</t>
        </is>
      </c>
      <c r="G176" t="n">
        <v>1.5</v>
      </c>
      <c r="H176" t="n">
        <v>1</v>
      </c>
      <c r="I176" t="n">
        <v>0</v>
      </c>
      <c r="J176" t="n">
        <v>0</v>
      </c>
      <c r="K176" t="n">
        <v>0</v>
      </c>
      <c r="L176" t="n">
        <v>0</v>
      </c>
      <c r="M176" t="n">
        <v>0</v>
      </c>
      <c r="N176" t="n">
        <v>0</v>
      </c>
      <c r="O176" t="n">
        <v>0</v>
      </c>
      <c r="P176" t="n">
        <v>0</v>
      </c>
      <c r="Q176" t="n">
        <v>1</v>
      </c>
      <c r="R176" s="2" t="inlineStr">
        <is>
          <t>Mindre vattensalamander</t>
        </is>
      </c>
      <c r="S176">
        <f>HYPERLINK("https://klasma.github.io/Logging_1907/artfynd/A 33231-2024 artfynd.xlsx", "A 33231-2024")</f>
        <v/>
      </c>
      <c r="T176">
        <f>HYPERLINK("https://klasma.github.io/Logging_1907/kartor/A 33231-2024 karta.png", "A 33231-2024")</f>
        <v/>
      </c>
      <c r="V176">
        <f>HYPERLINK("https://klasma.github.io/Logging_1907/klagomål/A 33231-2024 FSC-klagomål.docx", "A 33231-2024")</f>
        <v/>
      </c>
      <c r="W176">
        <f>HYPERLINK("https://klasma.github.io/Logging_1907/klagomålsmail/A 33231-2024 FSC-klagomål mail.docx", "A 33231-2024")</f>
        <v/>
      </c>
      <c r="X176">
        <f>HYPERLINK("https://klasma.github.io/Logging_1907/tillsyn/A 33231-2024 tillsynsbegäran.docx", "A 33231-2024")</f>
        <v/>
      </c>
      <c r="Y176">
        <f>HYPERLINK("https://klasma.github.io/Logging_1907/tillsynsmail/A 33231-2024 tillsynsbegäran mail.docx", "A 33231-2024")</f>
        <v/>
      </c>
    </row>
    <row r="177" ht="15" customHeight="1">
      <c r="A177" t="inlineStr">
        <is>
          <t>A 38127-2021</t>
        </is>
      </c>
      <c r="B177" s="1" t="n">
        <v>44405</v>
      </c>
      <c r="C177" s="1" t="n">
        <v>45998</v>
      </c>
      <c r="D177" t="inlineStr">
        <is>
          <t>VÄSTMANLANDS LÄN</t>
        </is>
      </c>
      <c r="E177" t="inlineStr">
        <is>
          <t>FAGERSTA</t>
        </is>
      </c>
      <c r="F177" t="inlineStr">
        <is>
          <t>Sveaskog</t>
        </is>
      </c>
      <c r="G177" t="n">
        <v>2.8</v>
      </c>
      <c r="H177" t="n">
        <v>1</v>
      </c>
      <c r="I177" t="n">
        <v>0</v>
      </c>
      <c r="J177" t="n">
        <v>0</v>
      </c>
      <c r="K177" t="n">
        <v>1</v>
      </c>
      <c r="L177" t="n">
        <v>0</v>
      </c>
      <c r="M177" t="n">
        <v>0</v>
      </c>
      <c r="N177" t="n">
        <v>0</v>
      </c>
      <c r="O177" t="n">
        <v>1</v>
      </c>
      <c r="P177" t="n">
        <v>1</v>
      </c>
      <c r="Q177" t="n">
        <v>1</v>
      </c>
      <c r="R177" s="2" t="inlineStr">
        <is>
          <t>Knärot</t>
        </is>
      </c>
      <c r="S177">
        <f>HYPERLINK("https://klasma.github.io/Logging_1982/artfynd/A 38127-2021 artfynd.xlsx", "A 38127-2021")</f>
        <v/>
      </c>
      <c r="T177">
        <f>HYPERLINK("https://klasma.github.io/Logging_1982/kartor/A 38127-2021 karta.png", "A 38127-2021")</f>
        <v/>
      </c>
      <c r="U177">
        <f>HYPERLINK("https://klasma.github.io/Logging_1982/knärot/A 38127-2021 karta knärot.png", "A 38127-2021")</f>
        <v/>
      </c>
      <c r="V177">
        <f>HYPERLINK("https://klasma.github.io/Logging_1982/klagomål/A 38127-2021 FSC-klagomål.docx", "A 38127-2021")</f>
        <v/>
      </c>
      <c r="W177">
        <f>HYPERLINK("https://klasma.github.io/Logging_1982/klagomålsmail/A 38127-2021 FSC-klagomål mail.docx", "A 38127-2021")</f>
        <v/>
      </c>
      <c r="X177">
        <f>HYPERLINK("https://klasma.github.io/Logging_1982/tillsyn/A 38127-2021 tillsynsbegäran.docx", "A 38127-2021")</f>
        <v/>
      </c>
      <c r="Y177">
        <f>HYPERLINK("https://klasma.github.io/Logging_1982/tillsynsmail/A 38127-2021 tillsynsbegäran mail.docx", "A 38127-2021")</f>
        <v/>
      </c>
    </row>
    <row r="178" ht="15" customHeight="1">
      <c r="A178" t="inlineStr">
        <is>
          <t>A 30074-2023</t>
        </is>
      </c>
      <c r="B178" s="1" t="n">
        <v>45110</v>
      </c>
      <c r="C178" s="1" t="n">
        <v>45998</v>
      </c>
      <c r="D178" t="inlineStr">
        <is>
          <t>VÄSTMANLANDS LÄN</t>
        </is>
      </c>
      <c r="E178" t="inlineStr">
        <is>
          <t>SURAHAMMAR</t>
        </is>
      </c>
      <c r="F178" t="inlineStr">
        <is>
          <t>Sveaskog</t>
        </is>
      </c>
      <c r="G178" t="n">
        <v>1.1</v>
      </c>
      <c r="H178" t="n">
        <v>1</v>
      </c>
      <c r="I178" t="n">
        <v>0</v>
      </c>
      <c r="J178" t="n">
        <v>0</v>
      </c>
      <c r="K178" t="n">
        <v>0</v>
      </c>
      <c r="L178" t="n">
        <v>0</v>
      </c>
      <c r="M178" t="n">
        <v>0</v>
      </c>
      <c r="N178" t="n">
        <v>0</v>
      </c>
      <c r="O178" t="n">
        <v>0</v>
      </c>
      <c r="P178" t="n">
        <v>0</v>
      </c>
      <c r="Q178" t="n">
        <v>1</v>
      </c>
      <c r="R178" s="2" t="inlineStr">
        <is>
          <t>Revlummer</t>
        </is>
      </c>
      <c r="S178">
        <f>HYPERLINK("https://klasma.github.io/Logging_1907/artfynd/A 30074-2023 artfynd.xlsx", "A 30074-2023")</f>
        <v/>
      </c>
      <c r="T178">
        <f>HYPERLINK("https://klasma.github.io/Logging_1907/kartor/A 30074-2023 karta.png", "A 30074-2023")</f>
        <v/>
      </c>
      <c r="V178">
        <f>HYPERLINK("https://klasma.github.io/Logging_1907/klagomål/A 30074-2023 FSC-klagomål.docx", "A 30074-2023")</f>
        <v/>
      </c>
      <c r="W178">
        <f>HYPERLINK("https://klasma.github.io/Logging_1907/klagomålsmail/A 30074-2023 FSC-klagomål mail.docx", "A 30074-2023")</f>
        <v/>
      </c>
      <c r="X178">
        <f>HYPERLINK("https://klasma.github.io/Logging_1907/tillsyn/A 30074-2023 tillsynsbegäran.docx", "A 30074-2023")</f>
        <v/>
      </c>
      <c r="Y178">
        <f>HYPERLINK("https://klasma.github.io/Logging_1907/tillsynsmail/A 30074-2023 tillsynsbegäran mail.docx", "A 30074-2023")</f>
        <v/>
      </c>
    </row>
    <row r="179" ht="15" customHeight="1">
      <c r="A179" t="inlineStr">
        <is>
          <t>A 13973-2021</t>
        </is>
      </c>
      <c r="B179" s="1" t="n">
        <v>44277</v>
      </c>
      <c r="C179" s="1" t="n">
        <v>45998</v>
      </c>
      <c r="D179" t="inlineStr">
        <is>
          <t>VÄSTMANLANDS LÄN</t>
        </is>
      </c>
      <c r="E179" t="inlineStr">
        <is>
          <t>SALA</t>
        </is>
      </c>
      <c r="G179" t="n">
        <v>2</v>
      </c>
      <c r="H179" t="n">
        <v>1</v>
      </c>
      <c r="I179" t="n">
        <v>0</v>
      </c>
      <c r="J179" t="n">
        <v>0</v>
      </c>
      <c r="K179" t="n">
        <v>0</v>
      </c>
      <c r="L179" t="n">
        <v>0</v>
      </c>
      <c r="M179" t="n">
        <v>0</v>
      </c>
      <c r="N179" t="n">
        <v>0</v>
      </c>
      <c r="O179" t="n">
        <v>0</v>
      </c>
      <c r="P179" t="n">
        <v>0</v>
      </c>
      <c r="Q179" t="n">
        <v>1</v>
      </c>
      <c r="R179" s="2" t="inlineStr">
        <is>
          <t>Blåsippa</t>
        </is>
      </c>
      <c r="S179">
        <f>HYPERLINK("https://klasma.github.io/Logging_1981/artfynd/A 13973-2021 artfynd.xlsx", "A 13973-2021")</f>
        <v/>
      </c>
      <c r="T179">
        <f>HYPERLINK("https://klasma.github.io/Logging_1981/kartor/A 13973-2021 karta.png", "A 13973-2021")</f>
        <v/>
      </c>
      <c r="V179">
        <f>HYPERLINK("https://klasma.github.io/Logging_1981/klagomål/A 13973-2021 FSC-klagomål.docx", "A 13973-2021")</f>
        <v/>
      </c>
      <c r="W179">
        <f>HYPERLINK("https://klasma.github.io/Logging_1981/klagomålsmail/A 13973-2021 FSC-klagomål mail.docx", "A 13973-2021")</f>
        <v/>
      </c>
      <c r="X179">
        <f>HYPERLINK("https://klasma.github.io/Logging_1981/tillsyn/A 13973-2021 tillsynsbegäran.docx", "A 13973-2021")</f>
        <v/>
      </c>
      <c r="Y179">
        <f>HYPERLINK("https://klasma.github.io/Logging_1981/tillsynsmail/A 13973-2021 tillsynsbegäran mail.docx", "A 13973-2021")</f>
        <v/>
      </c>
    </row>
    <row r="180" ht="15" customHeight="1">
      <c r="A180" t="inlineStr">
        <is>
          <t>A 49630-2024</t>
        </is>
      </c>
      <c r="B180" s="1" t="n">
        <v>45596</v>
      </c>
      <c r="C180" s="1" t="n">
        <v>45998</v>
      </c>
      <c r="D180" t="inlineStr">
        <is>
          <t>VÄSTMANLANDS LÄN</t>
        </is>
      </c>
      <c r="E180" t="inlineStr">
        <is>
          <t>SKINNSKATTEBERG</t>
        </is>
      </c>
      <c r="F180" t="inlineStr">
        <is>
          <t>Sveaskog</t>
        </is>
      </c>
      <c r="G180" t="n">
        <v>7.3</v>
      </c>
      <c r="H180" t="n">
        <v>1</v>
      </c>
      <c r="I180" t="n">
        <v>0</v>
      </c>
      <c r="J180" t="n">
        <v>0</v>
      </c>
      <c r="K180" t="n">
        <v>0</v>
      </c>
      <c r="L180" t="n">
        <v>0</v>
      </c>
      <c r="M180" t="n">
        <v>0</v>
      </c>
      <c r="N180" t="n">
        <v>0</v>
      </c>
      <c r="O180" t="n">
        <v>0</v>
      </c>
      <c r="P180" t="n">
        <v>0</v>
      </c>
      <c r="Q180" t="n">
        <v>1</v>
      </c>
      <c r="R180" s="2" t="inlineStr">
        <is>
          <t>Fläcknycklar</t>
        </is>
      </c>
      <c r="S180">
        <f>HYPERLINK("https://klasma.github.io/Logging_1904/artfynd/A 49630-2024 artfynd.xlsx", "A 49630-2024")</f>
        <v/>
      </c>
      <c r="T180">
        <f>HYPERLINK("https://klasma.github.io/Logging_1904/kartor/A 49630-2024 karta.png", "A 49630-2024")</f>
        <v/>
      </c>
      <c r="V180">
        <f>HYPERLINK("https://klasma.github.io/Logging_1904/klagomål/A 49630-2024 FSC-klagomål.docx", "A 49630-2024")</f>
        <v/>
      </c>
      <c r="W180">
        <f>HYPERLINK("https://klasma.github.io/Logging_1904/klagomålsmail/A 49630-2024 FSC-klagomål mail.docx", "A 49630-2024")</f>
        <v/>
      </c>
      <c r="X180">
        <f>HYPERLINK("https://klasma.github.io/Logging_1904/tillsyn/A 49630-2024 tillsynsbegäran.docx", "A 49630-2024")</f>
        <v/>
      </c>
      <c r="Y180">
        <f>HYPERLINK("https://klasma.github.io/Logging_1904/tillsynsmail/A 49630-2024 tillsynsbegäran mail.docx", "A 49630-2024")</f>
        <v/>
      </c>
    </row>
    <row r="181" ht="15" customHeight="1">
      <c r="A181" t="inlineStr">
        <is>
          <t>A 59566-2021</t>
        </is>
      </c>
      <c r="B181" s="1" t="n">
        <v>44491.60883101852</v>
      </c>
      <c r="C181" s="1" t="n">
        <v>45998</v>
      </c>
      <c r="D181" t="inlineStr">
        <is>
          <t>VÄSTMANLANDS LÄN</t>
        </is>
      </c>
      <c r="E181" t="inlineStr">
        <is>
          <t>VÄSTERÅS</t>
        </is>
      </c>
      <c r="G181" t="n">
        <v>2.1</v>
      </c>
      <c r="H181" t="n">
        <v>0</v>
      </c>
      <c r="I181" t="n">
        <v>1</v>
      </c>
      <c r="J181" t="n">
        <v>0</v>
      </c>
      <c r="K181" t="n">
        <v>0</v>
      </c>
      <c r="L181" t="n">
        <v>0</v>
      </c>
      <c r="M181" t="n">
        <v>0</v>
      </c>
      <c r="N181" t="n">
        <v>0</v>
      </c>
      <c r="O181" t="n">
        <v>0</v>
      </c>
      <c r="P181" t="n">
        <v>0</v>
      </c>
      <c r="Q181" t="n">
        <v>1</v>
      </c>
      <c r="R181" s="2" t="inlineStr">
        <is>
          <t>Vanlig flatbagge</t>
        </is>
      </c>
      <c r="S181">
        <f>HYPERLINK("https://klasma.github.io/Logging_1980/artfynd/A 59566-2021 artfynd.xlsx", "A 59566-2021")</f>
        <v/>
      </c>
      <c r="T181">
        <f>HYPERLINK("https://klasma.github.io/Logging_1980/kartor/A 59566-2021 karta.png", "A 59566-2021")</f>
        <v/>
      </c>
      <c r="V181">
        <f>HYPERLINK("https://klasma.github.io/Logging_1980/klagomål/A 59566-2021 FSC-klagomål.docx", "A 59566-2021")</f>
        <v/>
      </c>
      <c r="W181">
        <f>HYPERLINK("https://klasma.github.io/Logging_1980/klagomålsmail/A 59566-2021 FSC-klagomål mail.docx", "A 59566-2021")</f>
        <v/>
      </c>
      <c r="X181">
        <f>HYPERLINK("https://klasma.github.io/Logging_1980/tillsyn/A 59566-2021 tillsynsbegäran.docx", "A 59566-2021")</f>
        <v/>
      </c>
      <c r="Y181">
        <f>HYPERLINK("https://klasma.github.io/Logging_1980/tillsynsmail/A 59566-2021 tillsynsbegäran mail.docx", "A 59566-2021")</f>
        <v/>
      </c>
    </row>
    <row r="182" ht="15" customHeight="1">
      <c r="A182" t="inlineStr">
        <is>
          <t>A 31176-2024</t>
        </is>
      </c>
      <c r="B182" s="1" t="n">
        <v>45503</v>
      </c>
      <c r="C182" s="1" t="n">
        <v>45998</v>
      </c>
      <c r="D182" t="inlineStr">
        <is>
          <t>VÄSTMANLANDS LÄN</t>
        </is>
      </c>
      <c r="E182" t="inlineStr">
        <is>
          <t>SURAHAMMAR</t>
        </is>
      </c>
      <c r="F182" t="inlineStr">
        <is>
          <t>Allmännings- och besparingsskogar</t>
        </is>
      </c>
      <c r="G182" t="n">
        <v>10.7</v>
      </c>
      <c r="H182" t="n">
        <v>0</v>
      </c>
      <c r="I182" t="n">
        <v>0</v>
      </c>
      <c r="J182" t="n">
        <v>1</v>
      </c>
      <c r="K182" t="n">
        <v>0</v>
      </c>
      <c r="L182" t="n">
        <v>0</v>
      </c>
      <c r="M182" t="n">
        <v>0</v>
      </c>
      <c r="N182" t="n">
        <v>0</v>
      </c>
      <c r="O182" t="n">
        <v>1</v>
      </c>
      <c r="P182" t="n">
        <v>0</v>
      </c>
      <c r="Q182" t="n">
        <v>1</v>
      </c>
      <c r="R182" s="2" t="inlineStr">
        <is>
          <t>Doftskinn</t>
        </is>
      </c>
      <c r="S182">
        <f>HYPERLINK("https://klasma.github.io/Logging_1907/artfynd/A 31176-2024 artfynd.xlsx", "A 31176-2024")</f>
        <v/>
      </c>
      <c r="T182">
        <f>HYPERLINK("https://klasma.github.io/Logging_1907/kartor/A 31176-2024 karta.png", "A 31176-2024")</f>
        <v/>
      </c>
      <c r="V182">
        <f>HYPERLINK("https://klasma.github.io/Logging_1907/klagomål/A 31176-2024 FSC-klagomål.docx", "A 31176-2024")</f>
        <v/>
      </c>
      <c r="W182">
        <f>HYPERLINK("https://klasma.github.io/Logging_1907/klagomålsmail/A 31176-2024 FSC-klagomål mail.docx", "A 31176-2024")</f>
        <v/>
      </c>
      <c r="X182">
        <f>HYPERLINK("https://klasma.github.io/Logging_1907/tillsyn/A 31176-2024 tillsynsbegäran.docx", "A 31176-2024")</f>
        <v/>
      </c>
      <c r="Y182">
        <f>HYPERLINK("https://klasma.github.io/Logging_1907/tillsynsmail/A 31176-2024 tillsynsbegäran mail.docx", "A 31176-2024")</f>
        <v/>
      </c>
    </row>
    <row r="183" ht="15" customHeight="1">
      <c r="A183" t="inlineStr">
        <is>
          <t>A 29985-2022</t>
        </is>
      </c>
      <c r="B183" s="1" t="n">
        <v>44756</v>
      </c>
      <c r="C183" s="1" t="n">
        <v>45998</v>
      </c>
      <c r="D183" t="inlineStr">
        <is>
          <t>VÄSTMANLANDS LÄN</t>
        </is>
      </c>
      <c r="E183" t="inlineStr">
        <is>
          <t>SALA</t>
        </is>
      </c>
      <c r="F183" t="inlineStr">
        <is>
          <t>Kommuner</t>
        </is>
      </c>
      <c r="G183" t="n">
        <v>1</v>
      </c>
      <c r="H183" t="n">
        <v>1</v>
      </c>
      <c r="I183" t="n">
        <v>1</v>
      </c>
      <c r="J183" t="n">
        <v>0</v>
      </c>
      <c r="K183" t="n">
        <v>0</v>
      </c>
      <c r="L183" t="n">
        <v>0</v>
      </c>
      <c r="M183" t="n">
        <v>0</v>
      </c>
      <c r="N183" t="n">
        <v>0</v>
      </c>
      <c r="O183" t="n">
        <v>0</v>
      </c>
      <c r="P183" t="n">
        <v>0</v>
      </c>
      <c r="Q183" t="n">
        <v>1</v>
      </c>
      <c r="R183" s="2" t="inlineStr">
        <is>
          <t>Skogsknipprot</t>
        </is>
      </c>
      <c r="S183">
        <f>HYPERLINK("https://klasma.github.io/Logging_1981/artfynd/A 29985-2022 artfynd.xlsx", "A 29985-2022")</f>
        <v/>
      </c>
      <c r="T183">
        <f>HYPERLINK("https://klasma.github.io/Logging_1981/kartor/A 29985-2022 karta.png", "A 29985-2022")</f>
        <v/>
      </c>
      <c r="V183">
        <f>HYPERLINK("https://klasma.github.io/Logging_1981/klagomål/A 29985-2022 FSC-klagomål.docx", "A 29985-2022")</f>
        <v/>
      </c>
      <c r="W183">
        <f>HYPERLINK("https://klasma.github.io/Logging_1981/klagomålsmail/A 29985-2022 FSC-klagomål mail.docx", "A 29985-2022")</f>
        <v/>
      </c>
      <c r="X183">
        <f>HYPERLINK("https://klasma.github.io/Logging_1981/tillsyn/A 29985-2022 tillsynsbegäran.docx", "A 29985-2022")</f>
        <v/>
      </c>
      <c r="Y183">
        <f>HYPERLINK("https://klasma.github.io/Logging_1981/tillsynsmail/A 29985-2022 tillsynsbegäran mail.docx", "A 29985-2022")</f>
        <v/>
      </c>
    </row>
    <row r="184" ht="15" customHeight="1">
      <c r="A184" t="inlineStr">
        <is>
          <t>A 17632-2022</t>
        </is>
      </c>
      <c r="B184" s="1" t="n">
        <v>44680</v>
      </c>
      <c r="C184" s="1" t="n">
        <v>45998</v>
      </c>
      <c r="D184" t="inlineStr">
        <is>
          <t>VÄSTMANLANDS LÄN</t>
        </is>
      </c>
      <c r="E184" t="inlineStr">
        <is>
          <t>SURAHAMMAR</t>
        </is>
      </c>
      <c r="G184" t="n">
        <v>5.2</v>
      </c>
      <c r="H184" t="n">
        <v>0</v>
      </c>
      <c r="I184" t="n">
        <v>1</v>
      </c>
      <c r="J184" t="n">
        <v>0</v>
      </c>
      <c r="K184" t="n">
        <v>0</v>
      </c>
      <c r="L184" t="n">
        <v>0</v>
      </c>
      <c r="M184" t="n">
        <v>0</v>
      </c>
      <c r="N184" t="n">
        <v>0</v>
      </c>
      <c r="O184" t="n">
        <v>0</v>
      </c>
      <c r="P184" t="n">
        <v>0</v>
      </c>
      <c r="Q184" t="n">
        <v>1</v>
      </c>
      <c r="R184" s="2" t="inlineStr">
        <is>
          <t>Blodticka</t>
        </is>
      </c>
      <c r="S184">
        <f>HYPERLINK("https://klasma.github.io/Logging_1907/artfynd/A 17632-2022 artfynd.xlsx", "A 17632-2022")</f>
        <v/>
      </c>
      <c r="T184">
        <f>HYPERLINK("https://klasma.github.io/Logging_1907/kartor/A 17632-2022 karta.png", "A 17632-2022")</f>
        <v/>
      </c>
      <c r="V184">
        <f>HYPERLINK("https://klasma.github.io/Logging_1907/klagomål/A 17632-2022 FSC-klagomål.docx", "A 17632-2022")</f>
        <v/>
      </c>
      <c r="W184">
        <f>HYPERLINK("https://klasma.github.io/Logging_1907/klagomålsmail/A 17632-2022 FSC-klagomål mail.docx", "A 17632-2022")</f>
        <v/>
      </c>
      <c r="X184">
        <f>HYPERLINK("https://klasma.github.io/Logging_1907/tillsyn/A 17632-2022 tillsynsbegäran.docx", "A 17632-2022")</f>
        <v/>
      </c>
      <c r="Y184">
        <f>HYPERLINK("https://klasma.github.io/Logging_1907/tillsynsmail/A 17632-2022 tillsynsbegäran mail.docx", "A 17632-2022")</f>
        <v/>
      </c>
    </row>
    <row r="185" ht="15" customHeight="1">
      <c r="A185" t="inlineStr">
        <is>
          <t>A 36596-2024</t>
        </is>
      </c>
      <c r="B185" s="1" t="n">
        <v>45537.55462962963</v>
      </c>
      <c r="C185" s="1" t="n">
        <v>45998</v>
      </c>
      <c r="D185" t="inlineStr">
        <is>
          <t>VÄSTMANLANDS LÄN</t>
        </is>
      </c>
      <c r="E185" t="inlineStr">
        <is>
          <t>SKINNSKATTEBERG</t>
        </is>
      </c>
      <c r="F185" t="inlineStr">
        <is>
          <t>Sveaskog</t>
        </is>
      </c>
      <c r="G185" t="n">
        <v>0.8</v>
      </c>
      <c r="H185" t="n">
        <v>0</v>
      </c>
      <c r="I185" t="n">
        <v>0</v>
      </c>
      <c r="J185" t="n">
        <v>0</v>
      </c>
      <c r="K185" t="n">
        <v>1</v>
      </c>
      <c r="L185" t="n">
        <v>0</v>
      </c>
      <c r="M185" t="n">
        <v>0</v>
      </c>
      <c r="N185" t="n">
        <v>0</v>
      </c>
      <c r="O185" t="n">
        <v>1</v>
      </c>
      <c r="P185" t="n">
        <v>1</v>
      </c>
      <c r="Q185" t="n">
        <v>1</v>
      </c>
      <c r="R185" s="2" t="inlineStr">
        <is>
          <t>Lakritsmusseron</t>
        </is>
      </c>
      <c r="S185">
        <f>HYPERLINK("https://klasma.github.io/Logging_1904/artfynd/A 36596-2024 artfynd.xlsx", "A 36596-2024")</f>
        <v/>
      </c>
      <c r="T185">
        <f>HYPERLINK("https://klasma.github.io/Logging_1904/kartor/A 36596-2024 karta.png", "A 36596-2024")</f>
        <v/>
      </c>
      <c r="V185">
        <f>HYPERLINK("https://klasma.github.io/Logging_1904/klagomål/A 36596-2024 FSC-klagomål.docx", "A 36596-2024")</f>
        <v/>
      </c>
      <c r="W185">
        <f>HYPERLINK("https://klasma.github.io/Logging_1904/klagomålsmail/A 36596-2024 FSC-klagomål mail.docx", "A 36596-2024")</f>
        <v/>
      </c>
      <c r="X185">
        <f>HYPERLINK("https://klasma.github.io/Logging_1904/tillsyn/A 36596-2024 tillsynsbegäran.docx", "A 36596-2024")</f>
        <v/>
      </c>
      <c r="Y185">
        <f>HYPERLINK("https://klasma.github.io/Logging_1904/tillsynsmail/A 36596-2024 tillsynsbegäran mail.docx", "A 36596-2024")</f>
        <v/>
      </c>
    </row>
    <row r="186" ht="15" customHeight="1">
      <c r="A186" t="inlineStr">
        <is>
          <t>A 43413-2024</t>
        </is>
      </c>
      <c r="B186" s="1" t="n">
        <v>45568</v>
      </c>
      <c r="C186" s="1" t="n">
        <v>45998</v>
      </c>
      <c r="D186" t="inlineStr">
        <is>
          <t>VÄSTMANLANDS LÄN</t>
        </is>
      </c>
      <c r="E186" t="inlineStr">
        <is>
          <t>SKINNSKATTEBERG</t>
        </is>
      </c>
      <c r="F186" t="inlineStr">
        <is>
          <t>Sveaskog</t>
        </is>
      </c>
      <c r="G186" t="n">
        <v>1.9</v>
      </c>
      <c r="H186" t="n">
        <v>0</v>
      </c>
      <c r="I186" t="n">
        <v>0</v>
      </c>
      <c r="J186" t="n">
        <v>1</v>
      </c>
      <c r="K186" t="n">
        <v>0</v>
      </c>
      <c r="L186" t="n">
        <v>0</v>
      </c>
      <c r="M186" t="n">
        <v>0</v>
      </c>
      <c r="N186" t="n">
        <v>0</v>
      </c>
      <c r="O186" t="n">
        <v>1</v>
      </c>
      <c r="P186" t="n">
        <v>0</v>
      </c>
      <c r="Q186" t="n">
        <v>1</v>
      </c>
      <c r="R186" s="2" t="inlineStr">
        <is>
          <t>Orange taggsvamp</t>
        </is>
      </c>
      <c r="S186">
        <f>HYPERLINK("https://klasma.github.io/Logging_1904/artfynd/A 43413-2024 artfynd.xlsx", "A 43413-2024")</f>
        <v/>
      </c>
      <c r="T186">
        <f>HYPERLINK("https://klasma.github.io/Logging_1904/kartor/A 43413-2024 karta.png", "A 43413-2024")</f>
        <v/>
      </c>
      <c r="V186">
        <f>HYPERLINK("https://klasma.github.io/Logging_1904/klagomål/A 43413-2024 FSC-klagomål.docx", "A 43413-2024")</f>
        <v/>
      </c>
      <c r="W186">
        <f>HYPERLINK("https://klasma.github.io/Logging_1904/klagomålsmail/A 43413-2024 FSC-klagomål mail.docx", "A 43413-2024")</f>
        <v/>
      </c>
      <c r="X186">
        <f>HYPERLINK("https://klasma.github.io/Logging_1904/tillsyn/A 43413-2024 tillsynsbegäran.docx", "A 43413-2024")</f>
        <v/>
      </c>
      <c r="Y186">
        <f>HYPERLINK("https://klasma.github.io/Logging_1904/tillsynsmail/A 43413-2024 tillsynsbegäran mail.docx", "A 43413-2024")</f>
        <v/>
      </c>
    </row>
    <row r="187" ht="15" customHeight="1">
      <c r="A187" t="inlineStr">
        <is>
          <t>A 7919-2022</t>
        </is>
      </c>
      <c r="B187" s="1" t="n">
        <v>44608</v>
      </c>
      <c r="C187" s="1" t="n">
        <v>45998</v>
      </c>
      <c r="D187" t="inlineStr">
        <is>
          <t>VÄSTMANLANDS LÄN</t>
        </is>
      </c>
      <c r="E187" t="inlineStr">
        <is>
          <t>SALA</t>
        </is>
      </c>
      <c r="F187" t="inlineStr">
        <is>
          <t>Bergvik skog öst AB</t>
        </is>
      </c>
      <c r="G187" t="n">
        <v>4.5</v>
      </c>
      <c r="H187" t="n">
        <v>1</v>
      </c>
      <c r="I187" t="n">
        <v>0</v>
      </c>
      <c r="J187" t="n">
        <v>1</v>
      </c>
      <c r="K187" t="n">
        <v>0</v>
      </c>
      <c r="L187" t="n">
        <v>0</v>
      </c>
      <c r="M187" t="n">
        <v>0</v>
      </c>
      <c r="N187" t="n">
        <v>0</v>
      </c>
      <c r="O187" t="n">
        <v>1</v>
      </c>
      <c r="P187" t="n">
        <v>0</v>
      </c>
      <c r="Q187" t="n">
        <v>1</v>
      </c>
      <c r="R187" s="2" t="inlineStr">
        <is>
          <t>Ävjepilört</t>
        </is>
      </c>
      <c r="S187">
        <f>HYPERLINK("https://klasma.github.io/Logging_1981/artfynd/A 7919-2022 artfynd.xlsx", "A 7919-2022")</f>
        <v/>
      </c>
      <c r="T187">
        <f>HYPERLINK("https://klasma.github.io/Logging_1981/kartor/A 7919-2022 karta.png", "A 7919-2022")</f>
        <v/>
      </c>
      <c r="V187">
        <f>HYPERLINK("https://klasma.github.io/Logging_1981/klagomål/A 7919-2022 FSC-klagomål.docx", "A 7919-2022")</f>
        <v/>
      </c>
      <c r="W187">
        <f>HYPERLINK("https://klasma.github.io/Logging_1981/klagomålsmail/A 7919-2022 FSC-klagomål mail.docx", "A 7919-2022")</f>
        <v/>
      </c>
      <c r="X187">
        <f>HYPERLINK("https://klasma.github.io/Logging_1981/tillsyn/A 7919-2022 tillsynsbegäran.docx", "A 7919-2022")</f>
        <v/>
      </c>
      <c r="Y187">
        <f>HYPERLINK("https://klasma.github.io/Logging_1981/tillsynsmail/A 7919-2022 tillsynsbegäran mail.docx", "A 7919-2022")</f>
        <v/>
      </c>
    </row>
    <row r="188" ht="15" customHeight="1">
      <c r="A188" t="inlineStr">
        <is>
          <t>A 36595-2024</t>
        </is>
      </c>
      <c r="B188" s="1" t="n">
        <v>45537.55276620371</v>
      </c>
      <c r="C188" s="1" t="n">
        <v>45998</v>
      </c>
      <c r="D188" t="inlineStr">
        <is>
          <t>VÄSTMANLANDS LÄN</t>
        </is>
      </c>
      <c r="E188" t="inlineStr">
        <is>
          <t>SKINNSKATTEBERG</t>
        </is>
      </c>
      <c r="F188" t="inlineStr">
        <is>
          <t>Sveaskog</t>
        </is>
      </c>
      <c r="G188" t="n">
        <v>1</v>
      </c>
      <c r="H188" t="n">
        <v>0</v>
      </c>
      <c r="I188" t="n">
        <v>0</v>
      </c>
      <c r="J188" t="n">
        <v>0</v>
      </c>
      <c r="K188" t="n">
        <v>1</v>
      </c>
      <c r="L188" t="n">
        <v>0</v>
      </c>
      <c r="M188" t="n">
        <v>0</v>
      </c>
      <c r="N188" t="n">
        <v>0</v>
      </c>
      <c r="O188" t="n">
        <v>1</v>
      </c>
      <c r="P188" t="n">
        <v>1</v>
      </c>
      <c r="Q188" t="n">
        <v>1</v>
      </c>
      <c r="R188" s="2" t="inlineStr">
        <is>
          <t>Lammticka</t>
        </is>
      </c>
      <c r="S188">
        <f>HYPERLINK("https://klasma.github.io/Logging_1904/artfynd/A 36595-2024 artfynd.xlsx", "A 36595-2024")</f>
        <v/>
      </c>
      <c r="T188">
        <f>HYPERLINK("https://klasma.github.io/Logging_1904/kartor/A 36595-2024 karta.png", "A 36595-2024")</f>
        <v/>
      </c>
      <c r="U188">
        <f>HYPERLINK("https://klasma.github.io/Logging_1904/knärot/A 36595-2024 karta knärot.png", "A 36595-2024")</f>
        <v/>
      </c>
      <c r="V188">
        <f>HYPERLINK("https://klasma.github.io/Logging_1904/klagomål/A 36595-2024 FSC-klagomål.docx", "A 36595-2024")</f>
        <v/>
      </c>
      <c r="W188">
        <f>HYPERLINK("https://klasma.github.io/Logging_1904/klagomålsmail/A 36595-2024 FSC-klagomål mail.docx", "A 36595-2024")</f>
        <v/>
      </c>
      <c r="X188">
        <f>HYPERLINK("https://klasma.github.io/Logging_1904/tillsyn/A 36595-2024 tillsynsbegäran.docx", "A 36595-2024")</f>
        <v/>
      </c>
      <c r="Y188">
        <f>HYPERLINK("https://klasma.github.io/Logging_1904/tillsynsmail/A 36595-2024 tillsynsbegäran mail.docx", "A 36595-2024")</f>
        <v/>
      </c>
    </row>
    <row r="189" ht="15" customHeight="1">
      <c r="A189" t="inlineStr">
        <is>
          <t>A 37166-2024</t>
        </is>
      </c>
      <c r="B189" s="1" t="n">
        <v>45539</v>
      </c>
      <c r="C189" s="1" t="n">
        <v>45998</v>
      </c>
      <c r="D189" t="inlineStr">
        <is>
          <t>VÄSTMANLANDS LÄN</t>
        </is>
      </c>
      <c r="E189" t="inlineStr">
        <is>
          <t>SALA</t>
        </is>
      </c>
      <c r="G189" t="n">
        <v>1.3</v>
      </c>
      <c r="H189" t="n">
        <v>1</v>
      </c>
      <c r="I189" t="n">
        <v>0</v>
      </c>
      <c r="J189" t="n">
        <v>0</v>
      </c>
      <c r="K189" t="n">
        <v>1</v>
      </c>
      <c r="L189" t="n">
        <v>0</v>
      </c>
      <c r="M189" t="n">
        <v>0</v>
      </c>
      <c r="N189" t="n">
        <v>0</v>
      </c>
      <c r="O189" t="n">
        <v>1</v>
      </c>
      <c r="P189" t="n">
        <v>1</v>
      </c>
      <c r="Q189" t="n">
        <v>1</v>
      </c>
      <c r="R189" s="2" t="inlineStr">
        <is>
          <t>Knärot</t>
        </is>
      </c>
      <c r="S189">
        <f>HYPERLINK("https://klasma.github.io/Logging_1981/artfynd/A 37166-2024 artfynd.xlsx", "A 37166-2024")</f>
        <v/>
      </c>
      <c r="T189">
        <f>HYPERLINK("https://klasma.github.io/Logging_1981/kartor/A 37166-2024 karta.png", "A 37166-2024")</f>
        <v/>
      </c>
      <c r="U189">
        <f>HYPERLINK("https://klasma.github.io/Logging_1981/knärot/A 37166-2024 karta knärot.png", "A 37166-2024")</f>
        <v/>
      </c>
      <c r="V189">
        <f>HYPERLINK("https://klasma.github.io/Logging_1981/klagomål/A 37166-2024 FSC-klagomål.docx", "A 37166-2024")</f>
        <v/>
      </c>
      <c r="W189">
        <f>HYPERLINK("https://klasma.github.io/Logging_1981/klagomålsmail/A 37166-2024 FSC-klagomål mail.docx", "A 37166-2024")</f>
        <v/>
      </c>
      <c r="X189">
        <f>HYPERLINK("https://klasma.github.io/Logging_1981/tillsyn/A 37166-2024 tillsynsbegäran.docx", "A 37166-2024")</f>
        <v/>
      </c>
      <c r="Y189">
        <f>HYPERLINK("https://klasma.github.io/Logging_1981/tillsynsmail/A 37166-2024 tillsynsbegäran mail.docx", "A 37166-2024")</f>
        <v/>
      </c>
    </row>
    <row r="190" ht="15" customHeight="1">
      <c r="A190" t="inlineStr">
        <is>
          <t>A 25583-2024</t>
        </is>
      </c>
      <c r="B190" s="1" t="n">
        <v>45463</v>
      </c>
      <c r="C190" s="1" t="n">
        <v>45998</v>
      </c>
      <c r="D190" t="inlineStr">
        <is>
          <t>VÄSTMANLANDS LÄN</t>
        </is>
      </c>
      <c r="E190" t="inlineStr">
        <is>
          <t>SURAHAMMAR</t>
        </is>
      </c>
      <c r="F190" t="inlineStr">
        <is>
          <t>Bergvik skog väst AB</t>
        </is>
      </c>
      <c r="G190" t="n">
        <v>7.8</v>
      </c>
      <c r="H190" t="n">
        <v>1</v>
      </c>
      <c r="I190" t="n">
        <v>0</v>
      </c>
      <c r="J190" t="n">
        <v>0</v>
      </c>
      <c r="K190" t="n">
        <v>0</v>
      </c>
      <c r="L190" t="n">
        <v>0</v>
      </c>
      <c r="M190" t="n">
        <v>0</v>
      </c>
      <c r="N190" t="n">
        <v>0</v>
      </c>
      <c r="O190" t="n">
        <v>0</v>
      </c>
      <c r="P190" t="n">
        <v>0</v>
      </c>
      <c r="Q190" t="n">
        <v>1</v>
      </c>
      <c r="R190" s="2" t="inlineStr">
        <is>
          <t>Blåsippa</t>
        </is>
      </c>
      <c r="S190">
        <f>HYPERLINK("https://klasma.github.io/Logging_1907/artfynd/A 25583-2024 artfynd.xlsx", "A 25583-2024")</f>
        <v/>
      </c>
      <c r="T190">
        <f>HYPERLINK("https://klasma.github.io/Logging_1907/kartor/A 25583-2024 karta.png", "A 25583-2024")</f>
        <v/>
      </c>
      <c r="V190">
        <f>HYPERLINK("https://klasma.github.io/Logging_1907/klagomål/A 25583-2024 FSC-klagomål.docx", "A 25583-2024")</f>
        <v/>
      </c>
      <c r="W190">
        <f>HYPERLINK("https://klasma.github.io/Logging_1907/klagomålsmail/A 25583-2024 FSC-klagomål mail.docx", "A 25583-2024")</f>
        <v/>
      </c>
      <c r="X190">
        <f>HYPERLINK("https://klasma.github.io/Logging_1907/tillsyn/A 25583-2024 tillsynsbegäran.docx", "A 25583-2024")</f>
        <v/>
      </c>
      <c r="Y190">
        <f>HYPERLINK("https://klasma.github.io/Logging_1907/tillsynsmail/A 25583-2024 tillsynsbegäran mail.docx", "A 25583-2024")</f>
        <v/>
      </c>
    </row>
    <row r="191" ht="15" customHeight="1">
      <c r="A191" t="inlineStr">
        <is>
          <t>A 53870-2022</t>
        </is>
      </c>
      <c r="B191" s="1" t="n">
        <v>44880</v>
      </c>
      <c r="C191" s="1" t="n">
        <v>45998</v>
      </c>
      <c r="D191" t="inlineStr">
        <is>
          <t>VÄSTMANLANDS LÄN</t>
        </is>
      </c>
      <c r="E191" t="inlineStr">
        <is>
          <t>KUNGSÖR</t>
        </is>
      </c>
      <c r="F191" t="inlineStr">
        <is>
          <t>Allmännings- och besparingsskogar</t>
        </is>
      </c>
      <c r="G191" t="n">
        <v>2.3</v>
      </c>
      <c r="H191" t="n">
        <v>1</v>
      </c>
      <c r="I191" t="n">
        <v>0</v>
      </c>
      <c r="J191" t="n">
        <v>0</v>
      </c>
      <c r="K191" t="n">
        <v>0</v>
      </c>
      <c r="L191" t="n">
        <v>0</v>
      </c>
      <c r="M191" t="n">
        <v>0</v>
      </c>
      <c r="N191" t="n">
        <v>0</v>
      </c>
      <c r="O191" t="n">
        <v>0</v>
      </c>
      <c r="P191" t="n">
        <v>0</v>
      </c>
      <c r="Q191" t="n">
        <v>1</v>
      </c>
      <c r="R191" s="2" t="inlineStr">
        <is>
          <t>Blåsippa</t>
        </is>
      </c>
      <c r="S191">
        <f>HYPERLINK("https://klasma.github.io/Logging_1960/artfynd/A 53870-2022 artfynd.xlsx", "A 53870-2022")</f>
        <v/>
      </c>
      <c r="T191">
        <f>HYPERLINK("https://klasma.github.io/Logging_1960/kartor/A 53870-2022 karta.png", "A 53870-2022")</f>
        <v/>
      </c>
      <c r="V191">
        <f>HYPERLINK("https://klasma.github.io/Logging_1960/klagomål/A 53870-2022 FSC-klagomål.docx", "A 53870-2022")</f>
        <v/>
      </c>
      <c r="W191">
        <f>HYPERLINK("https://klasma.github.io/Logging_1960/klagomålsmail/A 53870-2022 FSC-klagomål mail.docx", "A 53870-2022")</f>
        <v/>
      </c>
      <c r="X191">
        <f>HYPERLINK("https://klasma.github.io/Logging_1960/tillsyn/A 53870-2022 tillsynsbegäran.docx", "A 53870-2022")</f>
        <v/>
      </c>
      <c r="Y191">
        <f>HYPERLINK("https://klasma.github.io/Logging_1960/tillsynsmail/A 53870-2022 tillsynsbegäran mail.docx", "A 53870-2022")</f>
        <v/>
      </c>
    </row>
    <row r="192" ht="15" customHeight="1">
      <c r="A192" t="inlineStr">
        <is>
          <t>A 56825-2021</t>
        </is>
      </c>
      <c r="B192" s="1" t="n">
        <v>44480</v>
      </c>
      <c r="C192" s="1" t="n">
        <v>45998</v>
      </c>
      <c r="D192" t="inlineStr">
        <is>
          <t>VÄSTMANLANDS LÄN</t>
        </is>
      </c>
      <c r="E192" t="inlineStr">
        <is>
          <t>NORBERG</t>
        </is>
      </c>
      <c r="G192" t="n">
        <v>2.4</v>
      </c>
      <c r="H192" t="n">
        <v>1</v>
      </c>
      <c r="I192" t="n">
        <v>0</v>
      </c>
      <c r="J192" t="n">
        <v>0</v>
      </c>
      <c r="K192" t="n">
        <v>0</v>
      </c>
      <c r="L192" t="n">
        <v>0</v>
      </c>
      <c r="M192" t="n">
        <v>0</v>
      </c>
      <c r="N192" t="n">
        <v>0</v>
      </c>
      <c r="O192" t="n">
        <v>0</v>
      </c>
      <c r="P192" t="n">
        <v>0</v>
      </c>
      <c r="Q192" t="n">
        <v>1</v>
      </c>
      <c r="R192" s="2" t="inlineStr">
        <is>
          <t>Blåsippa</t>
        </is>
      </c>
      <c r="S192">
        <f>HYPERLINK("https://klasma.github.io/Logging_1962/artfynd/A 56825-2021 artfynd.xlsx", "A 56825-2021")</f>
        <v/>
      </c>
      <c r="T192">
        <f>HYPERLINK("https://klasma.github.io/Logging_1962/kartor/A 56825-2021 karta.png", "A 56825-2021")</f>
        <v/>
      </c>
      <c r="V192">
        <f>HYPERLINK("https://klasma.github.io/Logging_1962/klagomål/A 56825-2021 FSC-klagomål.docx", "A 56825-2021")</f>
        <v/>
      </c>
      <c r="W192">
        <f>HYPERLINK("https://klasma.github.io/Logging_1962/klagomålsmail/A 56825-2021 FSC-klagomål mail.docx", "A 56825-2021")</f>
        <v/>
      </c>
      <c r="X192">
        <f>HYPERLINK("https://klasma.github.io/Logging_1962/tillsyn/A 56825-2021 tillsynsbegäran.docx", "A 56825-2021")</f>
        <v/>
      </c>
      <c r="Y192">
        <f>HYPERLINK("https://klasma.github.io/Logging_1962/tillsynsmail/A 56825-2021 tillsynsbegäran mail.docx", "A 56825-2021")</f>
        <v/>
      </c>
    </row>
    <row r="193" ht="15" customHeight="1">
      <c r="A193" t="inlineStr">
        <is>
          <t>A 47133-2024</t>
        </is>
      </c>
      <c r="B193" s="1" t="n">
        <v>45586.57997685186</v>
      </c>
      <c r="C193" s="1" t="n">
        <v>45998</v>
      </c>
      <c r="D193" t="inlineStr">
        <is>
          <t>VÄSTMANLANDS LÄN</t>
        </is>
      </c>
      <c r="E193" t="inlineStr">
        <is>
          <t>SKINNSKATTEBERG</t>
        </is>
      </c>
      <c r="F193" t="inlineStr">
        <is>
          <t>Sveaskog</t>
        </is>
      </c>
      <c r="G193" t="n">
        <v>3.7</v>
      </c>
      <c r="H193" t="n">
        <v>0</v>
      </c>
      <c r="I193" t="n">
        <v>0</v>
      </c>
      <c r="J193" t="n">
        <v>1</v>
      </c>
      <c r="K193" t="n">
        <v>0</v>
      </c>
      <c r="L193" t="n">
        <v>0</v>
      </c>
      <c r="M193" t="n">
        <v>0</v>
      </c>
      <c r="N193" t="n">
        <v>0</v>
      </c>
      <c r="O193" t="n">
        <v>1</v>
      </c>
      <c r="P193" t="n">
        <v>0</v>
      </c>
      <c r="Q193" t="n">
        <v>1</v>
      </c>
      <c r="R193" s="2" t="inlineStr">
        <is>
          <t>Motaggsvamp</t>
        </is>
      </c>
      <c r="S193">
        <f>HYPERLINK("https://klasma.github.io/Logging_1904/artfynd/A 47133-2024 artfynd.xlsx", "A 47133-2024")</f>
        <v/>
      </c>
      <c r="T193">
        <f>HYPERLINK("https://klasma.github.io/Logging_1904/kartor/A 47133-2024 karta.png", "A 47133-2024")</f>
        <v/>
      </c>
      <c r="V193">
        <f>HYPERLINK("https://klasma.github.io/Logging_1904/klagomål/A 47133-2024 FSC-klagomål.docx", "A 47133-2024")</f>
        <v/>
      </c>
      <c r="W193">
        <f>HYPERLINK("https://klasma.github.io/Logging_1904/klagomålsmail/A 47133-2024 FSC-klagomål mail.docx", "A 47133-2024")</f>
        <v/>
      </c>
      <c r="X193">
        <f>HYPERLINK("https://klasma.github.io/Logging_1904/tillsyn/A 47133-2024 tillsynsbegäran.docx", "A 47133-2024")</f>
        <v/>
      </c>
      <c r="Y193">
        <f>HYPERLINK("https://klasma.github.io/Logging_1904/tillsynsmail/A 47133-2024 tillsynsbegäran mail.docx", "A 47133-2024")</f>
        <v/>
      </c>
    </row>
    <row r="194" ht="15" customHeight="1">
      <c r="A194" t="inlineStr">
        <is>
          <t>A 22840-2023</t>
        </is>
      </c>
      <c r="B194" s="1" t="n">
        <v>45072</v>
      </c>
      <c r="C194" s="1" t="n">
        <v>45998</v>
      </c>
      <c r="D194" t="inlineStr">
        <is>
          <t>VÄSTMANLANDS LÄN</t>
        </is>
      </c>
      <c r="E194" t="inlineStr">
        <is>
          <t>SURAHAMMAR</t>
        </is>
      </c>
      <c r="G194" t="n">
        <v>4.3</v>
      </c>
      <c r="H194" t="n">
        <v>1</v>
      </c>
      <c r="I194" t="n">
        <v>0</v>
      </c>
      <c r="J194" t="n">
        <v>0</v>
      </c>
      <c r="K194" t="n">
        <v>0</v>
      </c>
      <c r="L194" t="n">
        <v>0</v>
      </c>
      <c r="M194" t="n">
        <v>0</v>
      </c>
      <c r="N194" t="n">
        <v>0</v>
      </c>
      <c r="O194" t="n">
        <v>0</v>
      </c>
      <c r="P194" t="n">
        <v>0</v>
      </c>
      <c r="Q194" t="n">
        <v>1</v>
      </c>
      <c r="R194" s="2" t="inlineStr">
        <is>
          <t>Fläcknycklar</t>
        </is>
      </c>
      <c r="S194">
        <f>HYPERLINK("https://klasma.github.io/Logging_1907/artfynd/A 22840-2023 artfynd.xlsx", "A 22840-2023")</f>
        <v/>
      </c>
      <c r="T194">
        <f>HYPERLINK("https://klasma.github.io/Logging_1907/kartor/A 22840-2023 karta.png", "A 22840-2023")</f>
        <v/>
      </c>
      <c r="V194">
        <f>HYPERLINK("https://klasma.github.io/Logging_1907/klagomål/A 22840-2023 FSC-klagomål.docx", "A 22840-2023")</f>
        <v/>
      </c>
      <c r="W194">
        <f>HYPERLINK("https://klasma.github.io/Logging_1907/klagomålsmail/A 22840-2023 FSC-klagomål mail.docx", "A 22840-2023")</f>
        <v/>
      </c>
      <c r="X194">
        <f>HYPERLINK("https://klasma.github.io/Logging_1907/tillsyn/A 22840-2023 tillsynsbegäran.docx", "A 22840-2023")</f>
        <v/>
      </c>
      <c r="Y194">
        <f>HYPERLINK("https://klasma.github.io/Logging_1907/tillsynsmail/A 22840-2023 tillsynsbegäran mail.docx", "A 22840-2023")</f>
        <v/>
      </c>
    </row>
    <row r="195" ht="15" customHeight="1">
      <c r="A195" t="inlineStr">
        <is>
          <t>A 19205-2024</t>
        </is>
      </c>
      <c r="B195" s="1" t="n">
        <v>45428.53730324074</v>
      </c>
      <c r="C195" s="1" t="n">
        <v>45998</v>
      </c>
      <c r="D195" t="inlineStr">
        <is>
          <t>VÄSTMANLANDS LÄN</t>
        </is>
      </c>
      <c r="E195" t="inlineStr">
        <is>
          <t>SKINNSKATTEBERG</t>
        </is>
      </c>
      <c r="F195" t="inlineStr">
        <is>
          <t>Sveaskog</t>
        </is>
      </c>
      <c r="G195" t="n">
        <v>3.4</v>
      </c>
      <c r="H195" t="n">
        <v>1</v>
      </c>
      <c r="I195" t="n">
        <v>0</v>
      </c>
      <c r="J195" t="n">
        <v>1</v>
      </c>
      <c r="K195" t="n">
        <v>0</v>
      </c>
      <c r="L195" t="n">
        <v>0</v>
      </c>
      <c r="M195" t="n">
        <v>0</v>
      </c>
      <c r="N195" t="n">
        <v>0</v>
      </c>
      <c r="O195" t="n">
        <v>1</v>
      </c>
      <c r="P195" t="n">
        <v>0</v>
      </c>
      <c r="Q195" t="n">
        <v>1</v>
      </c>
      <c r="R195" s="2" t="inlineStr">
        <is>
          <t>Järpe</t>
        </is>
      </c>
      <c r="S195">
        <f>HYPERLINK("https://klasma.github.io/Logging_1904/artfynd/A 19205-2024 artfynd.xlsx", "A 19205-2024")</f>
        <v/>
      </c>
      <c r="T195">
        <f>HYPERLINK("https://klasma.github.io/Logging_1904/kartor/A 19205-2024 karta.png", "A 19205-2024")</f>
        <v/>
      </c>
      <c r="V195">
        <f>HYPERLINK("https://klasma.github.io/Logging_1904/klagomål/A 19205-2024 FSC-klagomål.docx", "A 19205-2024")</f>
        <v/>
      </c>
      <c r="W195">
        <f>HYPERLINK("https://klasma.github.io/Logging_1904/klagomålsmail/A 19205-2024 FSC-klagomål mail.docx", "A 19205-2024")</f>
        <v/>
      </c>
      <c r="X195">
        <f>HYPERLINK("https://klasma.github.io/Logging_1904/tillsyn/A 19205-2024 tillsynsbegäran.docx", "A 19205-2024")</f>
        <v/>
      </c>
      <c r="Y195">
        <f>HYPERLINK("https://klasma.github.io/Logging_1904/tillsynsmail/A 19205-2024 tillsynsbegäran mail.docx", "A 19205-2024")</f>
        <v/>
      </c>
      <c r="Z195">
        <f>HYPERLINK("https://klasma.github.io/Logging_1904/fåglar/A 19205-2024 prioriterade fågelarter.docx", "A 19205-2024")</f>
        <v/>
      </c>
    </row>
    <row r="196" ht="15" customHeight="1">
      <c r="A196" t="inlineStr">
        <is>
          <t>A 47695-2023</t>
        </is>
      </c>
      <c r="B196" s="1" t="n">
        <v>45203</v>
      </c>
      <c r="C196" s="1" t="n">
        <v>45998</v>
      </c>
      <c r="D196" t="inlineStr">
        <is>
          <t>VÄSTMANLANDS LÄN</t>
        </is>
      </c>
      <c r="E196" t="inlineStr">
        <is>
          <t>VÄSTERÅS</t>
        </is>
      </c>
      <c r="G196" t="n">
        <v>6</v>
      </c>
      <c r="H196" t="n">
        <v>0</v>
      </c>
      <c r="I196" t="n">
        <v>1</v>
      </c>
      <c r="J196" t="n">
        <v>0</v>
      </c>
      <c r="K196" t="n">
        <v>0</v>
      </c>
      <c r="L196" t="n">
        <v>0</v>
      </c>
      <c r="M196" t="n">
        <v>0</v>
      </c>
      <c r="N196" t="n">
        <v>0</v>
      </c>
      <c r="O196" t="n">
        <v>0</v>
      </c>
      <c r="P196" t="n">
        <v>0</v>
      </c>
      <c r="Q196" t="n">
        <v>1</v>
      </c>
      <c r="R196" s="2" t="inlineStr">
        <is>
          <t>Hasselticka</t>
        </is>
      </c>
      <c r="S196">
        <f>HYPERLINK("https://klasma.github.io/Logging_1980/artfynd/A 47695-2023 artfynd.xlsx", "A 47695-2023")</f>
        <v/>
      </c>
      <c r="T196">
        <f>HYPERLINK("https://klasma.github.io/Logging_1980/kartor/A 47695-2023 karta.png", "A 47695-2023")</f>
        <v/>
      </c>
      <c r="V196">
        <f>HYPERLINK("https://klasma.github.io/Logging_1980/klagomål/A 47695-2023 FSC-klagomål.docx", "A 47695-2023")</f>
        <v/>
      </c>
      <c r="W196">
        <f>HYPERLINK("https://klasma.github.io/Logging_1980/klagomålsmail/A 47695-2023 FSC-klagomål mail.docx", "A 47695-2023")</f>
        <v/>
      </c>
      <c r="X196">
        <f>HYPERLINK("https://klasma.github.io/Logging_1980/tillsyn/A 47695-2023 tillsynsbegäran.docx", "A 47695-2023")</f>
        <v/>
      </c>
      <c r="Y196">
        <f>HYPERLINK("https://klasma.github.io/Logging_1980/tillsynsmail/A 47695-2023 tillsynsbegäran mail.docx", "A 47695-2023")</f>
        <v/>
      </c>
    </row>
    <row r="197" ht="15" customHeight="1">
      <c r="A197" t="inlineStr">
        <is>
          <t>A 13971-2023</t>
        </is>
      </c>
      <c r="B197" s="1" t="n">
        <v>45007</v>
      </c>
      <c r="C197" s="1" t="n">
        <v>45998</v>
      </c>
      <c r="D197" t="inlineStr">
        <is>
          <t>VÄSTMANLANDS LÄN</t>
        </is>
      </c>
      <c r="E197" t="inlineStr">
        <is>
          <t>SURAHAMMAR</t>
        </is>
      </c>
      <c r="F197" t="inlineStr">
        <is>
          <t>Bergvik skog väst AB</t>
        </is>
      </c>
      <c r="G197" t="n">
        <v>2.9</v>
      </c>
      <c r="H197" t="n">
        <v>1</v>
      </c>
      <c r="I197" t="n">
        <v>0</v>
      </c>
      <c r="J197" t="n">
        <v>0</v>
      </c>
      <c r="K197" t="n">
        <v>0</v>
      </c>
      <c r="L197" t="n">
        <v>0</v>
      </c>
      <c r="M197" t="n">
        <v>0</v>
      </c>
      <c r="N197" t="n">
        <v>0</v>
      </c>
      <c r="O197" t="n">
        <v>0</v>
      </c>
      <c r="P197" t="n">
        <v>0</v>
      </c>
      <c r="Q197" t="n">
        <v>1</v>
      </c>
      <c r="R197" s="2" t="inlineStr">
        <is>
          <t>Fläcknycklar</t>
        </is>
      </c>
      <c r="S197">
        <f>HYPERLINK("https://klasma.github.io/Logging_1907/artfynd/A 13971-2023 artfynd.xlsx", "A 13971-2023")</f>
        <v/>
      </c>
      <c r="T197">
        <f>HYPERLINK("https://klasma.github.io/Logging_1907/kartor/A 13971-2023 karta.png", "A 13971-2023")</f>
        <v/>
      </c>
      <c r="V197">
        <f>HYPERLINK("https://klasma.github.io/Logging_1907/klagomål/A 13971-2023 FSC-klagomål.docx", "A 13971-2023")</f>
        <v/>
      </c>
      <c r="W197">
        <f>HYPERLINK("https://klasma.github.io/Logging_1907/klagomålsmail/A 13971-2023 FSC-klagomål mail.docx", "A 13971-2023")</f>
        <v/>
      </c>
      <c r="X197">
        <f>HYPERLINK("https://klasma.github.io/Logging_1907/tillsyn/A 13971-2023 tillsynsbegäran.docx", "A 13971-2023")</f>
        <v/>
      </c>
      <c r="Y197">
        <f>HYPERLINK("https://klasma.github.io/Logging_1907/tillsynsmail/A 13971-2023 tillsynsbegäran mail.docx", "A 13971-2023")</f>
        <v/>
      </c>
    </row>
    <row r="198" ht="15" customHeight="1">
      <c r="A198" t="inlineStr">
        <is>
          <t>A 29727-2023</t>
        </is>
      </c>
      <c r="B198" s="1" t="n">
        <v>45107</v>
      </c>
      <c r="C198" s="1" t="n">
        <v>45998</v>
      </c>
      <c r="D198" t="inlineStr">
        <is>
          <t>VÄSTMANLANDS LÄN</t>
        </is>
      </c>
      <c r="E198" t="inlineStr">
        <is>
          <t>SALA</t>
        </is>
      </c>
      <c r="G198" t="n">
        <v>1.9</v>
      </c>
      <c r="H198" t="n">
        <v>0</v>
      </c>
      <c r="I198" t="n">
        <v>0</v>
      </c>
      <c r="J198" t="n">
        <v>1</v>
      </c>
      <c r="K198" t="n">
        <v>0</v>
      </c>
      <c r="L198" t="n">
        <v>0</v>
      </c>
      <c r="M198" t="n">
        <v>0</v>
      </c>
      <c r="N198" t="n">
        <v>0</v>
      </c>
      <c r="O198" t="n">
        <v>1</v>
      </c>
      <c r="P198" t="n">
        <v>0</v>
      </c>
      <c r="Q198" t="n">
        <v>1</v>
      </c>
      <c r="R198" s="2" t="inlineStr">
        <is>
          <t>Vedtrappmossa</t>
        </is>
      </c>
      <c r="S198">
        <f>HYPERLINK("https://klasma.github.io/Logging_1981/artfynd/A 29727-2023 artfynd.xlsx", "A 29727-2023")</f>
        <v/>
      </c>
      <c r="T198">
        <f>HYPERLINK("https://klasma.github.io/Logging_1981/kartor/A 29727-2023 karta.png", "A 29727-2023")</f>
        <v/>
      </c>
      <c r="V198">
        <f>HYPERLINK("https://klasma.github.io/Logging_1981/klagomål/A 29727-2023 FSC-klagomål.docx", "A 29727-2023")</f>
        <v/>
      </c>
      <c r="W198">
        <f>HYPERLINK("https://klasma.github.io/Logging_1981/klagomålsmail/A 29727-2023 FSC-klagomål mail.docx", "A 29727-2023")</f>
        <v/>
      </c>
      <c r="X198">
        <f>HYPERLINK("https://klasma.github.io/Logging_1981/tillsyn/A 29727-2023 tillsynsbegäran.docx", "A 29727-2023")</f>
        <v/>
      </c>
      <c r="Y198">
        <f>HYPERLINK("https://klasma.github.io/Logging_1981/tillsynsmail/A 29727-2023 tillsynsbegäran mail.docx", "A 29727-2023")</f>
        <v/>
      </c>
    </row>
    <row r="199" ht="15" customHeight="1">
      <c r="A199" t="inlineStr">
        <is>
          <t>A 30759-2022</t>
        </is>
      </c>
      <c r="B199" s="1" t="n">
        <v>44764</v>
      </c>
      <c r="C199" s="1" t="n">
        <v>45998</v>
      </c>
      <c r="D199" t="inlineStr">
        <is>
          <t>VÄSTMANLANDS LÄN</t>
        </is>
      </c>
      <c r="E199" t="inlineStr">
        <is>
          <t>VÄSTERÅS</t>
        </is>
      </c>
      <c r="F199" t="inlineStr">
        <is>
          <t>Kommuner</t>
        </is>
      </c>
      <c r="G199" t="n">
        <v>0.8</v>
      </c>
      <c r="H199" t="n">
        <v>1</v>
      </c>
      <c r="I199" t="n">
        <v>0</v>
      </c>
      <c r="J199" t="n">
        <v>0</v>
      </c>
      <c r="K199" t="n">
        <v>0</v>
      </c>
      <c r="L199" t="n">
        <v>0</v>
      </c>
      <c r="M199" t="n">
        <v>0</v>
      </c>
      <c r="N199" t="n">
        <v>0</v>
      </c>
      <c r="O199" t="n">
        <v>0</v>
      </c>
      <c r="P199" t="n">
        <v>0</v>
      </c>
      <c r="Q199" t="n">
        <v>1</v>
      </c>
      <c r="R199" s="2" t="inlineStr">
        <is>
          <t>Blåsippa</t>
        </is>
      </c>
      <c r="S199">
        <f>HYPERLINK("https://klasma.github.io/Logging_1980/artfynd/A 30759-2022 artfynd.xlsx", "A 30759-2022")</f>
        <v/>
      </c>
      <c r="T199">
        <f>HYPERLINK("https://klasma.github.io/Logging_1980/kartor/A 30759-2022 karta.png", "A 30759-2022")</f>
        <v/>
      </c>
      <c r="V199">
        <f>HYPERLINK("https://klasma.github.io/Logging_1980/klagomål/A 30759-2022 FSC-klagomål.docx", "A 30759-2022")</f>
        <v/>
      </c>
      <c r="W199">
        <f>HYPERLINK("https://klasma.github.io/Logging_1980/klagomålsmail/A 30759-2022 FSC-klagomål mail.docx", "A 30759-2022")</f>
        <v/>
      </c>
      <c r="X199">
        <f>HYPERLINK("https://klasma.github.io/Logging_1980/tillsyn/A 30759-2022 tillsynsbegäran.docx", "A 30759-2022")</f>
        <v/>
      </c>
      <c r="Y199">
        <f>HYPERLINK("https://klasma.github.io/Logging_1980/tillsynsmail/A 30759-2022 tillsynsbegäran mail.docx", "A 30759-2022")</f>
        <v/>
      </c>
    </row>
    <row r="200" ht="15" customHeight="1">
      <c r="A200" t="inlineStr">
        <is>
          <t>A 42765-2022</t>
        </is>
      </c>
      <c r="B200" s="1" t="n">
        <v>44832</v>
      </c>
      <c r="C200" s="1" t="n">
        <v>45998</v>
      </c>
      <c r="D200" t="inlineStr">
        <is>
          <t>VÄSTMANLANDS LÄN</t>
        </is>
      </c>
      <c r="E200" t="inlineStr">
        <is>
          <t>SURAHAMMAR</t>
        </is>
      </c>
      <c r="G200" t="n">
        <v>1.8</v>
      </c>
      <c r="H200" t="n">
        <v>1</v>
      </c>
      <c r="I200" t="n">
        <v>0</v>
      </c>
      <c r="J200" t="n">
        <v>0</v>
      </c>
      <c r="K200" t="n">
        <v>0</v>
      </c>
      <c r="L200" t="n">
        <v>0</v>
      </c>
      <c r="M200" t="n">
        <v>0</v>
      </c>
      <c r="N200" t="n">
        <v>0</v>
      </c>
      <c r="O200" t="n">
        <v>0</v>
      </c>
      <c r="P200" t="n">
        <v>0</v>
      </c>
      <c r="Q200" t="n">
        <v>1</v>
      </c>
      <c r="R200" s="2" t="inlineStr">
        <is>
          <t>Blåsippa</t>
        </is>
      </c>
      <c r="S200">
        <f>HYPERLINK("https://klasma.github.io/Logging_1907/artfynd/A 42765-2022 artfynd.xlsx", "A 42765-2022")</f>
        <v/>
      </c>
      <c r="T200">
        <f>HYPERLINK("https://klasma.github.io/Logging_1907/kartor/A 42765-2022 karta.png", "A 42765-2022")</f>
        <v/>
      </c>
      <c r="V200">
        <f>HYPERLINK("https://klasma.github.io/Logging_1907/klagomål/A 42765-2022 FSC-klagomål.docx", "A 42765-2022")</f>
        <v/>
      </c>
      <c r="W200">
        <f>HYPERLINK("https://klasma.github.io/Logging_1907/klagomålsmail/A 42765-2022 FSC-klagomål mail.docx", "A 42765-2022")</f>
        <v/>
      </c>
      <c r="X200">
        <f>HYPERLINK("https://klasma.github.io/Logging_1907/tillsyn/A 42765-2022 tillsynsbegäran.docx", "A 42765-2022")</f>
        <v/>
      </c>
      <c r="Y200">
        <f>HYPERLINK("https://klasma.github.io/Logging_1907/tillsynsmail/A 42765-2022 tillsynsbegäran mail.docx", "A 42765-2022")</f>
        <v/>
      </c>
    </row>
    <row r="201" ht="15" customHeight="1">
      <c r="A201" t="inlineStr">
        <is>
          <t>A 61254-2023</t>
        </is>
      </c>
      <c r="B201" s="1" t="n">
        <v>45264</v>
      </c>
      <c r="C201" s="1" t="n">
        <v>45998</v>
      </c>
      <c r="D201" t="inlineStr">
        <is>
          <t>VÄSTMANLANDS LÄN</t>
        </is>
      </c>
      <c r="E201" t="inlineStr">
        <is>
          <t>VÄSTERÅS</t>
        </is>
      </c>
      <c r="G201" t="n">
        <v>0.8</v>
      </c>
      <c r="H201" t="n">
        <v>1</v>
      </c>
      <c r="I201" t="n">
        <v>0</v>
      </c>
      <c r="J201" t="n">
        <v>0</v>
      </c>
      <c r="K201" t="n">
        <v>0</v>
      </c>
      <c r="L201" t="n">
        <v>0</v>
      </c>
      <c r="M201" t="n">
        <v>0</v>
      </c>
      <c r="N201" t="n">
        <v>0</v>
      </c>
      <c r="O201" t="n">
        <v>0</v>
      </c>
      <c r="P201" t="n">
        <v>0</v>
      </c>
      <c r="Q201" t="n">
        <v>1</v>
      </c>
      <c r="R201" s="2" t="inlineStr">
        <is>
          <t>Mistel</t>
        </is>
      </c>
      <c r="S201">
        <f>HYPERLINK("https://klasma.github.io/Logging_1980/artfynd/A 61254-2023 artfynd.xlsx", "A 61254-2023")</f>
        <v/>
      </c>
      <c r="T201">
        <f>HYPERLINK("https://klasma.github.io/Logging_1980/kartor/A 61254-2023 karta.png", "A 61254-2023")</f>
        <v/>
      </c>
      <c r="V201">
        <f>HYPERLINK("https://klasma.github.io/Logging_1980/klagomål/A 61254-2023 FSC-klagomål.docx", "A 61254-2023")</f>
        <v/>
      </c>
      <c r="W201">
        <f>HYPERLINK("https://klasma.github.io/Logging_1980/klagomålsmail/A 61254-2023 FSC-klagomål mail.docx", "A 61254-2023")</f>
        <v/>
      </c>
      <c r="X201">
        <f>HYPERLINK("https://klasma.github.io/Logging_1980/tillsyn/A 61254-2023 tillsynsbegäran.docx", "A 61254-2023")</f>
        <v/>
      </c>
      <c r="Y201">
        <f>HYPERLINK("https://klasma.github.io/Logging_1980/tillsynsmail/A 61254-2023 tillsynsbegäran mail.docx", "A 61254-2023")</f>
        <v/>
      </c>
    </row>
    <row r="202" ht="15" customHeight="1">
      <c r="A202" t="inlineStr">
        <is>
          <t>A 61212-2022</t>
        </is>
      </c>
      <c r="B202" s="1" t="n">
        <v>44908</v>
      </c>
      <c r="C202" s="1" t="n">
        <v>45998</v>
      </c>
      <c r="D202" t="inlineStr">
        <is>
          <t>VÄSTMANLANDS LÄN</t>
        </is>
      </c>
      <c r="E202" t="inlineStr">
        <is>
          <t>SKINNSKATTEBERG</t>
        </is>
      </c>
      <c r="G202" t="n">
        <v>17.4</v>
      </c>
      <c r="H202" t="n">
        <v>1</v>
      </c>
      <c r="I202" t="n">
        <v>0</v>
      </c>
      <c r="J202" t="n">
        <v>0</v>
      </c>
      <c r="K202" t="n">
        <v>0</v>
      </c>
      <c r="L202" t="n">
        <v>0</v>
      </c>
      <c r="M202" t="n">
        <v>0</v>
      </c>
      <c r="N202" t="n">
        <v>0</v>
      </c>
      <c r="O202" t="n">
        <v>0</v>
      </c>
      <c r="P202" t="n">
        <v>0</v>
      </c>
      <c r="Q202" t="n">
        <v>1</v>
      </c>
      <c r="R202" s="2" t="inlineStr">
        <is>
          <t>Blåsippa</t>
        </is>
      </c>
      <c r="S202">
        <f>HYPERLINK("https://klasma.github.io/Logging_1904/artfynd/A 61212-2022 artfynd.xlsx", "A 61212-2022")</f>
        <v/>
      </c>
      <c r="T202">
        <f>HYPERLINK("https://klasma.github.io/Logging_1904/kartor/A 61212-2022 karta.png", "A 61212-2022")</f>
        <v/>
      </c>
      <c r="V202">
        <f>HYPERLINK("https://klasma.github.io/Logging_1904/klagomål/A 61212-2022 FSC-klagomål.docx", "A 61212-2022")</f>
        <v/>
      </c>
      <c r="W202">
        <f>HYPERLINK("https://klasma.github.io/Logging_1904/klagomålsmail/A 61212-2022 FSC-klagomål mail.docx", "A 61212-2022")</f>
        <v/>
      </c>
      <c r="X202">
        <f>HYPERLINK("https://klasma.github.io/Logging_1904/tillsyn/A 61212-2022 tillsynsbegäran.docx", "A 61212-2022")</f>
        <v/>
      </c>
      <c r="Y202">
        <f>HYPERLINK("https://klasma.github.io/Logging_1904/tillsynsmail/A 61212-2022 tillsynsbegäran mail.docx", "A 61212-2022")</f>
        <v/>
      </c>
    </row>
    <row r="203" ht="15" customHeight="1">
      <c r="A203" t="inlineStr">
        <is>
          <t>A 55550-2023</t>
        </is>
      </c>
      <c r="B203" s="1" t="n">
        <v>45232</v>
      </c>
      <c r="C203" s="1" t="n">
        <v>45998</v>
      </c>
      <c r="D203" t="inlineStr">
        <is>
          <t>VÄSTMANLANDS LÄN</t>
        </is>
      </c>
      <c r="E203" t="inlineStr">
        <is>
          <t>SALA</t>
        </is>
      </c>
      <c r="G203" t="n">
        <v>9.9</v>
      </c>
      <c r="H203" t="n">
        <v>1</v>
      </c>
      <c r="I203" t="n">
        <v>0</v>
      </c>
      <c r="J203" t="n">
        <v>0</v>
      </c>
      <c r="K203" t="n">
        <v>1</v>
      </c>
      <c r="L203" t="n">
        <v>0</v>
      </c>
      <c r="M203" t="n">
        <v>0</v>
      </c>
      <c r="N203" t="n">
        <v>0</v>
      </c>
      <c r="O203" t="n">
        <v>1</v>
      </c>
      <c r="P203" t="n">
        <v>1</v>
      </c>
      <c r="Q203" t="n">
        <v>1</v>
      </c>
      <c r="R203" s="2" t="inlineStr">
        <is>
          <t>Knärot</t>
        </is>
      </c>
      <c r="S203">
        <f>HYPERLINK("https://klasma.github.io/Logging_1981/artfynd/A 55550-2023 artfynd.xlsx", "A 55550-2023")</f>
        <v/>
      </c>
      <c r="T203">
        <f>HYPERLINK("https://klasma.github.io/Logging_1981/kartor/A 55550-2023 karta.png", "A 55550-2023")</f>
        <v/>
      </c>
      <c r="U203">
        <f>HYPERLINK("https://klasma.github.io/Logging_1981/knärot/A 55550-2023 karta knärot.png", "A 55550-2023")</f>
        <v/>
      </c>
      <c r="V203">
        <f>HYPERLINK("https://klasma.github.io/Logging_1981/klagomål/A 55550-2023 FSC-klagomål.docx", "A 55550-2023")</f>
        <v/>
      </c>
      <c r="W203">
        <f>HYPERLINK("https://klasma.github.io/Logging_1981/klagomålsmail/A 55550-2023 FSC-klagomål mail.docx", "A 55550-2023")</f>
        <v/>
      </c>
      <c r="X203">
        <f>HYPERLINK("https://klasma.github.io/Logging_1981/tillsyn/A 55550-2023 tillsynsbegäran.docx", "A 55550-2023")</f>
        <v/>
      </c>
      <c r="Y203">
        <f>HYPERLINK("https://klasma.github.io/Logging_1981/tillsynsmail/A 55550-2023 tillsynsbegäran mail.docx", "A 55550-2023")</f>
        <v/>
      </c>
    </row>
    <row r="204" ht="15" customHeight="1">
      <c r="A204" t="inlineStr">
        <is>
          <t>A 28794-2023</t>
        </is>
      </c>
      <c r="B204" s="1" t="n">
        <v>45104</v>
      </c>
      <c r="C204" s="1" t="n">
        <v>45998</v>
      </c>
      <c r="D204" t="inlineStr">
        <is>
          <t>VÄSTMANLANDS LÄN</t>
        </is>
      </c>
      <c r="E204" t="inlineStr">
        <is>
          <t>FAGERSTA</t>
        </is>
      </c>
      <c r="G204" t="n">
        <v>12.2</v>
      </c>
      <c r="H204" t="n">
        <v>1</v>
      </c>
      <c r="I204" t="n">
        <v>0</v>
      </c>
      <c r="J204" t="n">
        <v>1</v>
      </c>
      <c r="K204" t="n">
        <v>0</v>
      </c>
      <c r="L204" t="n">
        <v>0</v>
      </c>
      <c r="M204" t="n">
        <v>0</v>
      </c>
      <c r="N204" t="n">
        <v>0</v>
      </c>
      <c r="O204" t="n">
        <v>1</v>
      </c>
      <c r="P204" t="n">
        <v>0</v>
      </c>
      <c r="Q204" t="n">
        <v>1</v>
      </c>
      <c r="R204" s="2" t="inlineStr">
        <is>
          <t>Spillkråka</t>
        </is>
      </c>
      <c r="S204">
        <f>HYPERLINK("https://klasma.github.io/Logging_1982/artfynd/A 28794-2023 artfynd.xlsx", "A 28794-2023")</f>
        <v/>
      </c>
      <c r="T204">
        <f>HYPERLINK("https://klasma.github.io/Logging_1982/kartor/A 28794-2023 karta.png", "A 28794-2023")</f>
        <v/>
      </c>
      <c r="V204">
        <f>HYPERLINK("https://klasma.github.io/Logging_1982/klagomål/A 28794-2023 FSC-klagomål.docx", "A 28794-2023")</f>
        <v/>
      </c>
      <c r="W204">
        <f>HYPERLINK("https://klasma.github.io/Logging_1982/klagomålsmail/A 28794-2023 FSC-klagomål mail.docx", "A 28794-2023")</f>
        <v/>
      </c>
      <c r="X204">
        <f>HYPERLINK("https://klasma.github.io/Logging_1982/tillsyn/A 28794-2023 tillsynsbegäran.docx", "A 28794-2023")</f>
        <v/>
      </c>
      <c r="Y204">
        <f>HYPERLINK("https://klasma.github.io/Logging_1982/tillsynsmail/A 28794-2023 tillsynsbegäran mail.docx", "A 28794-2023")</f>
        <v/>
      </c>
      <c r="Z204">
        <f>HYPERLINK("https://klasma.github.io/Logging_1982/fåglar/A 28794-2023 prioriterade fågelarter.docx", "A 28794-2023")</f>
        <v/>
      </c>
    </row>
    <row r="205" ht="15" customHeight="1">
      <c r="A205" t="inlineStr">
        <is>
          <t>A 44356-2024</t>
        </is>
      </c>
      <c r="B205" s="1" t="n">
        <v>45573</v>
      </c>
      <c r="C205" s="1" t="n">
        <v>45998</v>
      </c>
      <c r="D205" t="inlineStr">
        <is>
          <t>VÄSTMANLANDS LÄN</t>
        </is>
      </c>
      <c r="E205" t="inlineStr">
        <is>
          <t>SURAHAMMAR</t>
        </is>
      </c>
      <c r="F205" t="inlineStr">
        <is>
          <t>Sveaskog</t>
        </is>
      </c>
      <c r="G205" t="n">
        <v>0.7</v>
      </c>
      <c r="H205" t="n">
        <v>1</v>
      </c>
      <c r="I205" t="n">
        <v>0</v>
      </c>
      <c r="J205" t="n">
        <v>0</v>
      </c>
      <c r="K205" t="n">
        <v>0</v>
      </c>
      <c r="L205" t="n">
        <v>0</v>
      </c>
      <c r="M205" t="n">
        <v>0</v>
      </c>
      <c r="N205" t="n">
        <v>0</v>
      </c>
      <c r="O205" t="n">
        <v>0</v>
      </c>
      <c r="P205" t="n">
        <v>0</v>
      </c>
      <c r="Q205" t="n">
        <v>1</v>
      </c>
      <c r="R205" s="2" t="inlineStr">
        <is>
          <t>Revlummer</t>
        </is>
      </c>
      <c r="S205">
        <f>HYPERLINK("https://klasma.github.io/Logging_1907/artfynd/A 44356-2024 artfynd.xlsx", "A 44356-2024")</f>
        <v/>
      </c>
      <c r="T205">
        <f>HYPERLINK("https://klasma.github.io/Logging_1907/kartor/A 44356-2024 karta.png", "A 44356-2024")</f>
        <v/>
      </c>
      <c r="V205">
        <f>HYPERLINK("https://klasma.github.io/Logging_1907/klagomål/A 44356-2024 FSC-klagomål.docx", "A 44356-2024")</f>
        <v/>
      </c>
      <c r="W205">
        <f>HYPERLINK("https://klasma.github.io/Logging_1907/klagomålsmail/A 44356-2024 FSC-klagomål mail.docx", "A 44356-2024")</f>
        <v/>
      </c>
      <c r="X205">
        <f>HYPERLINK("https://klasma.github.io/Logging_1907/tillsyn/A 44356-2024 tillsynsbegäran.docx", "A 44356-2024")</f>
        <v/>
      </c>
      <c r="Y205">
        <f>HYPERLINK("https://klasma.github.io/Logging_1907/tillsynsmail/A 44356-2024 tillsynsbegäran mail.docx", "A 44356-2024")</f>
        <v/>
      </c>
    </row>
    <row r="206" ht="15" customHeight="1">
      <c r="A206" t="inlineStr">
        <is>
          <t>A 20704-2025</t>
        </is>
      </c>
      <c r="B206" s="1" t="n">
        <v>45776</v>
      </c>
      <c r="C206" s="1" t="n">
        <v>45998</v>
      </c>
      <c r="D206" t="inlineStr">
        <is>
          <t>VÄSTMANLANDS LÄN</t>
        </is>
      </c>
      <c r="E206" t="inlineStr">
        <is>
          <t>KÖPING</t>
        </is>
      </c>
      <c r="G206" t="n">
        <v>2.7</v>
      </c>
      <c r="H206" t="n">
        <v>0</v>
      </c>
      <c r="I206" t="n">
        <v>1</v>
      </c>
      <c r="J206" t="n">
        <v>0</v>
      </c>
      <c r="K206" t="n">
        <v>0</v>
      </c>
      <c r="L206" t="n">
        <v>0</v>
      </c>
      <c r="M206" t="n">
        <v>0</v>
      </c>
      <c r="N206" t="n">
        <v>0</v>
      </c>
      <c r="O206" t="n">
        <v>0</v>
      </c>
      <c r="P206" t="n">
        <v>0</v>
      </c>
      <c r="Q206" t="n">
        <v>1</v>
      </c>
      <c r="R206" s="2" t="inlineStr">
        <is>
          <t>Tibast</t>
        </is>
      </c>
      <c r="S206">
        <f>HYPERLINK("https://klasma.github.io/Logging_1983/artfynd/A 20704-2025 artfynd.xlsx", "A 20704-2025")</f>
        <v/>
      </c>
      <c r="T206">
        <f>HYPERLINK("https://klasma.github.io/Logging_1983/kartor/A 20704-2025 karta.png", "A 20704-2025")</f>
        <v/>
      </c>
      <c r="V206">
        <f>HYPERLINK("https://klasma.github.io/Logging_1983/klagomål/A 20704-2025 FSC-klagomål.docx", "A 20704-2025")</f>
        <v/>
      </c>
      <c r="W206">
        <f>HYPERLINK("https://klasma.github.io/Logging_1983/klagomålsmail/A 20704-2025 FSC-klagomål mail.docx", "A 20704-2025")</f>
        <v/>
      </c>
      <c r="X206">
        <f>HYPERLINK("https://klasma.github.io/Logging_1983/tillsyn/A 20704-2025 tillsynsbegäran.docx", "A 20704-2025")</f>
        <v/>
      </c>
      <c r="Y206">
        <f>HYPERLINK("https://klasma.github.io/Logging_1983/tillsynsmail/A 20704-2025 tillsynsbegäran mail.docx", "A 20704-2025")</f>
        <v/>
      </c>
    </row>
    <row r="207" ht="15" customHeight="1">
      <c r="A207" t="inlineStr">
        <is>
          <t>A 20926-2025</t>
        </is>
      </c>
      <c r="B207" s="1" t="n">
        <v>45777</v>
      </c>
      <c r="C207" s="1" t="n">
        <v>45998</v>
      </c>
      <c r="D207" t="inlineStr">
        <is>
          <t>VÄSTMANLANDS LÄN</t>
        </is>
      </c>
      <c r="E207" t="inlineStr">
        <is>
          <t>SKINNSKATTEBERG</t>
        </is>
      </c>
      <c r="F207" t="inlineStr">
        <is>
          <t>Sveaskog</t>
        </is>
      </c>
      <c r="G207" t="n">
        <v>3.9</v>
      </c>
      <c r="H207" t="n">
        <v>0</v>
      </c>
      <c r="I207" t="n">
        <v>0</v>
      </c>
      <c r="J207" t="n">
        <v>1</v>
      </c>
      <c r="K207" t="n">
        <v>0</v>
      </c>
      <c r="L207" t="n">
        <v>0</v>
      </c>
      <c r="M207" t="n">
        <v>0</v>
      </c>
      <c r="N207" t="n">
        <v>0</v>
      </c>
      <c r="O207" t="n">
        <v>1</v>
      </c>
      <c r="P207" t="n">
        <v>0</v>
      </c>
      <c r="Q207" t="n">
        <v>1</v>
      </c>
      <c r="R207" s="2" t="inlineStr">
        <is>
          <t>Vedskivlav</t>
        </is>
      </c>
      <c r="S207">
        <f>HYPERLINK("https://klasma.github.io/Logging_1904/artfynd/A 20926-2025 artfynd.xlsx", "A 20926-2025")</f>
        <v/>
      </c>
      <c r="T207">
        <f>HYPERLINK("https://klasma.github.io/Logging_1904/kartor/A 20926-2025 karta.png", "A 20926-2025")</f>
        <v/>
      </c>
      <c r="V207">
        <f>HYPERLINK("https://klasma.github.io/Logging_1904/klagomål/A 20926-2025 FSC-klagomål.docx", "A 20926-2025")</f>
        <v/>
      </c>
      <c r="W207">
        <f>HYPERLINK("https://klasma.github.io/Logging_1904/klagomålsmail/A 20926-2025 FSC-klagomål mail.docx", "A 20926-2025")</f>
        <v/>
      </c>
      <c r="X207">
        <f>HYPERLINK("https://klasma.github.io/Logging_1904/tillsyn/A 20926-2025 tillsynsbegäran.docx", "A 20926-2025")</f>
        <v/>
      </c>
      <c r="Y207">
        <f>HYPERLINK("https://klasma.github.io/Logging_1904/tillsynsmail/A 20926-2025 tillsynsbegäran mail.docx", "A 20926-2025")</f>
        <v/>
      </c>
    </row>
    <row r="208" ht="15" customHeight="1">
      <c r="A208" t="inlineStr">
        <is>
          <t>A 20953-2025</t>
        </is>
      </c>
      <c r="B208" s="1" t="n">
        <v>45777.44048611111</v>
      </c>
      <c r="C208" s="1" t="n">
        <v>45998</v>
      </c>
      <c r="D208" t="inlineStr">
        <is>
          <t>VÄSTMANLANDS LÄN</t>
        </is>
      </c>
      <c r="E208" t="inlineStr">
        <is>
          <t>SKINNSKATTEBERG</t>
        </is>
      </c>
      <c r="F208" t="inlineStr">
        <is>
          <t>Sveaskog</t>
        </is>
      </c>
      <c r="G208" t="n">
        <v>6.9</v>
      </c>
      <c r="H208" t="n">
        <v>0</v>
      </c>
      <c r="I208" t="n">
        <v>0</v>
      </c>
      <c r="J208" t="n">
        <v>1</v>
      </c>
      <c r="K208" t="n">
        <v>0</v>
      </c>
      <c r="L208" t="n">
        <v>0</v>
      </c>
      <c r="M208" t="n">
        <v>0</v>
      </c>
      <c r="N208" t="n">
        <v>0</v>
      </c>
      <c r="O208" t="n">
        <v>1</v>
      </c>
      <c r="P208" t="n">
        <v>0</v>
      </c>
      <c r="Q208" t="n">
        <v>1</v>
      </c>
      <c r="R208" s="2" t="inlineStr">
        <is>
          <t>Motaggsvamp</t>
        </is>
      </c>
      <c r="S208">
        <f>HYPERLINK("https://klasma.github.io/Logging_1904/artfynd/A 20953-2025 artfynd.xlsx", "A 20953-2025")</f>
        <v/>
      </c>
      <c r="T208">
        <f>HYPERLINK("https://klasma.github.io/Logging_1904/kartor/A 20953-2025 karta.png", "A 20953-2025")</f>
        <v/>
      </c>
      <c r="V208">
        <f>HYPERLINK("https://klasma.github.io/Logging_1904/klagomål/A 20953-2025 FSC-klagomål.docx", "A 20953-2025")</f>
        <v/>
      </c>
      <c r="W208">
        <f>HYPERLINK("https://klasma.github.io/Logging_1904/klagomålsmail/A 20953-2025 FSC-klagomål mail.docx", "A 20953-2025")</f>
        <v/>
      </c>
      <c r="X208">
        <f>HYPERLINK("https://klasma.github.io/Logging_1904/tillsyn/A 20953-2025 tillsynsbegäran.docx", "A 20953-2025")</f>
        <v/>
      </c>
      <c r="Y208">
        <f>HYPERLINK("https://klasma.github.io/Logging_1904/tillsynsmail/A 20953-2025 tillsynsbegäran mail.docx", "A 20953-2025")</f>
        <v/>
      </c>
    </row>
    <row r="209" ht="15" customHeight="1">
      <c r="A209" t="inlineStr">
        <is>
          <t>A 12905-2022</t>
        </is>
      </c>
      <c r="B209" s="1" t="n">
        <v>44641</v>
      </c>
      <c r="C209" s="1" t="n">
        <v>45998</v>
      </c>
      <c r="D209" t="inlineStr">
        <is>
          <t>VÄSTMANLANDS LÄN</t>
        </is>
      </c>
      <c r="E209" t="inlineStr">
        <is>
          <t>VÄSTERÅS</t>
        </is>
      </c>
      <c r="F209" t="inlineStr">
        <is>
          <t>Övriga Aktiebolag</t>
        </is>
      </c>
      <c r="G209" t="n">
        <v>23.9</v>
      </c>
      <c r="H209" t="n">
        <v>0</v>
      </c>
      <c r="I209" t="n">
        <v>0</v>
      </c>
      <c r="J209" t="n">
        <v>0</v>
      </c>
      <c r="K209" t="n">
        <v>0</v>
      </c>
      <c r="L209" t="n">
        <v>1</v>
      </c>
      <c r="M209" t="n">
        <v>0</v>
      </c>
      <c r="N209" t="n">
        <v>0</v>
      </c>
      <c r="O209" t="n">
        <v>1</v>
      </c>
      <c r="P209" t="n">
        <v>1</v>
      </c>
      <c r="Q209" t="n">
        <v>1</v>
      </c>
      <c r="R209" s="2" t="inlineStr">
        <is>
          <t>Ask</t>
        </is>
      </c>
      <c r="S209">
        <f>HYPERLINK("https://klasma.github.io/Logging_1980/artfynd/A 12905-2022 artfynd.xlsx", "A 12905-2022")</f>
        <v/>
      </c>
      <c r="T209">
        <f>HYPERLINK("https://klasma.github.io/Logging_1980/kartor/A 12905-2022 karta.png", "A 12905-2022")</f>
        <v/>
      </c>
      <c r="V209">
        <f>HYPERLINK("https://klasma.github.io/Logging_1980/klagomål/A 12905-2022 FSC-klagomål.docx", "A 12905-2022")</f>
        <v/>
      </c>
      <c r="W209">
        <f>HYPERLINK("https://klasma.github.io/Logging_1980/klagomålsmail/A 12905-2022 FSC-klagomål mail.docx", "A 12905-2022")</f>
        <v/>
      </c>
      <c r="X209">
        <f>HYPERLINK("https://klasma.github.io/Logging_1980/tillsyn/A 12905-2022 tillsynsbegäran.docx", "A 12905-2022")</f>
        <v/>
      </c>
      <c r="Y209">
        <f>HYPERLINK("https://klasma.github.io/Logging_1980/tillsynsmail/A 12905-2022 tillsynsbegäran mail.docx", "A 12905-2022")</f>
        <v/>
      </c>
    </row>
    <row r="210" ht="15" customHeight="1">
      <c r="A210" t="inlineStr">
        <is>
          <t>A 43175-2023</t>
        </is>
      </c>
      <c r="B210" s="1" t="n">
        <v>45183</v>
      </c>
      <c r="C210" s="1" t="n">
        <v>45998</v>
      </c>
      <c r="D210" t="inlineStr">
        <is>
          <t>VÄSTMANLANDS LÄN</t>
        </is>
      </c>
      <c r="E210" t="inlineStr">
        <is>
          <t>SALA</t>
        </is>
      </c>
      <c r="G210" t="n">
        <v>5.6</v>
      </c>
      <c r="H210" t="n">
        <v>0</v>
      </c>
      <c r="I210" t="n">
        <v>1</v>
      </c>
      <c r="J210" t="n">
        <v>0</v>
      </c>
      <c r="K210" t="n">
        <v>0</v>
      </c>
      <c r="L210" t="n">
        <v>0</v>
      </c>
      <c r="M210" t="n">
        <v>0</v>
      </c>
      <c r="N210" t="n">
        <v>0</v>
      </c>
      <c r="O210" t="n">
        <v>0</v>
      </c>
      <c r="P210" t="n">
        <v>0</v>
      </c>
      <c r="Q210" t="n">
        <v>1</v>
      </c>
      <c r="R210" s="2" t="inlineStr">
        <is>
          <t>Grönpyrola</t>
        </is>
      </c>
      <c r="S210">
        <f>HYPERLINK("https://klasma.github.io/Logging_1981/artfynd/A 43175-2023 artfynd.xlsx", "A 43175-2023")</f>
        <v/>
      </c>
      <c r="T210">
        <f>HYPERLINK("https://klasma.github.io/Logging_1981/kartor/A 43175-2023 karta.png", "A 43175-2023")</f>
        <v/>
      </c>
      <c r="V210">
        <f>HYPERLINK("https://klasma.github.io/Logging_1981/klagomål/A 43175-2023 FSC-klagomål.docx", "A 43175-2023")</f>
        <v/>
      </c>
      <c r="W210">
        <f>HYPERLINK("https://klasma.github.io/Logging_1981/klagomålsmail/A 43175-2023 FSC-klagomål mail.docx", "A 43175-2023")</f>
        <v/>
      </c>
      <c r="X210">
        <f>HYPERLINK("https://klasma.github.io/Logging_1981/tillsyn/A 43175-2023 tillsynsbegäran.docx", "A 43175-2023")</f>
        <v/>
      </c>
      <c r="Y210">
        <f>HYPERLINK("https://klasma.github.io/Logging_1981/tillsynsmail/A 43175-2023 tillsynsbegäran mail.docx", "A 43175-2023")</f>
        <v/>
      </c>
    </row>
    <row r="211" ht="15" customHeight="1">
      <c r="A211" t="inlineStr">
        <is>
          <t>A 19201-2024</t>
        </is>
      </c>
      <c r="B211" s="1" t="n">
        <v>45428.53546296297</v>
      </c>
      <c r="C211" s="1" t="n">
        <v>45998</v>
      </c>
      <c r="D211" t="inlineStr">
        <is>
          <t>VÄSTMANLANDS LÄN</t>
        </is>
      </c>
      <c r="E211" t="inlineStr">
        <is>
          <t>SKINNSKATTEBERG</t>
        </is>
      </c>
      <c r="F211" t="inlineStr">
        <is>
          <t>Sveaskog</t>
        </is>
      </c>
      <c r="G211" t="n">
        <v>2.3</v>
      </c>
      <c r="H211" t="n">
        <v>1</v>
      </c>
      <c r="I211" t="n">
        <v>0</v>
      </c>
      <c r="J211" t="n">
        <v>1</v>
      </c>
      <c r="K211" t="n">
        <v>0</v>
      </c>
      <c r="L211" t="n">
        <v>0</v>
      </c>
      <c r="M211" t="n">
        <v>0</v>
      </c>
      <c r="N211" t="n">
        <v>0</v>
      </c>
      <c r="O211" t="n">
        <v>1</v>
      </c>
      <c r="P211" t="n">
        <v>0</v>
      </c>
      <c r="Q211" t="n">
        <v>1</v>
      </c>
      <c r="R211" s="2" t="inlineStr">
        <is>
          <t>Spillkråka</t>
        </is>
      </c>
      <c r="S211">
        <f>HYPERLINK("https://klasma.github.io/Logging_1904/artfynd/A 19201-2024 artfynd.xlsx", "A 19201-2024")</f>
        <v/>
      </c>
      <c r="T211">
        <f>HYPERLINK("https://klasma.github.io/Logging_1904/kartor/A 19201-2024 karta.png", "A 19201-2024")</f>
        <v/>
      </c>
      <c r="V211">
        <f>HYPERLINK("https://klasma.github.io/Logging_1904/klagomål/A 19201-2024 FSC-klagomål.docx", "A 19201-2024")</f>
        <v/>
      </c>
      <c r="W211">
        <f>HYPERLINK("https://klasma.github.io/Logging_1904/klagomålsmail/A 19201-2024 FSC-klagomål mail.docx", "A 19201-2024")</f>
        <v/>
      </c>
      <c r="X211">
        <f>HYPERLINK("https://klasma.github.io/Logging_1904/tillsyn/A 19201-2024 tillsynsbegäran.docx", "A 19201-2024")</f>
        <v/>
      </c>
      <c r="Y211">
        <f>HYPERLINK("https://klasma.github.io/Logging_1904/tillsynsmail/A 19201-2024 tillsynsbegäran mail.docx", "A 19201-2024")</f>
        <v/>
      </c>
      <c r="Z211">
        <f>HYPERLINK("https://klasma.github.io/Logging_1904/fåglar/A 19201-2024 prioriterade fågelarter.docx", "A 19201-2024")</f>
        <v/>
      </c>
    </row>
    <row r="212" ht="15" customHeight="1">
      <c r="A212" t="inlineStr">
        <is>
          <t>A 18371-2025</t>
        </is>
      </c>
      <c r="B212" s="1" t="n">
        <v>45762.56619212963</v>
      </c>
      <c r="C212" s="1" t="n">
        <v>45998</v>
      </c>
      <c r="D212" t="inlineStr">
        <is>
          <t>VÄSTMANLANDS LÄN</t>
        </is>
      </c>
      <c r="E212" t="inlineStr">
        <is>
          <t>KÖPING</t>
        </is>
      </c>
      <c r="G212" t="n">
        <v>0.8</v>
      </c>
      <c r="H212" t="n">
        <v>1</v>
      </c>
      <c r="I212" t="n">
        <v>0</v>
      </c>
      <c r="J212" t="n">
        <v>0</v>
      </c>
      <c r="K212" t="n">
        <v>0</v>
      </c>
      <c r="L212" t="n">
        <v>0</v>
      </c>
      <c r="M212" t="n">
        <v>0</v>
      </c>
      <c r="N212" t="n">
        <v>0</v>
      </c>
      <c r="O212" t="n">
        <v>0</v>
      </c>
      <c r="P212" t="n">
        <v>0</v>
      </c>
      <c r="Q212" t="n">
        <v>1</v>
      </c>
      <c r="R212" s="2" t="inlineStr">
        <is>
          <t>Blåsippa</t>
        </is>
      </c>
      <c r="S212">
        <f>HYPERLINK("https://klasma.github.io/Logging_1983/artfynd/A 18371-2025 artfynd.xlsx", "A 18371-2025")</f>
        <v/>
      </c>
      <c r="T212">
        <f>HYPERLINK("https://klasma.github.io/Logging_1983/kartor/A 18371-2025 karta.png", "A 18371-2025")</f>
        <v/>
      </c>
      <c r="V212">
        <f>HYPERLINK("https://klasma.github.io/Logging_1983/klagomål/A 18371-2025 FSC-klagomål.docx", "A 18371-2025")</f>
        <v/>
      </c>
      <c r="W212">
        <f>HYPERLINK("https://klasma.github.io/Logging_1983/klagomålsmail/A 18371-2025 FSC-klagomål mail.docx", "A 18371-2025")</f>
        <v/>
      </c>
      <c r="X212">
        <f>HYPERLINK("https://klasma.github.io/Logging_1983/tillsyn/A 18371-2025 tillsynsbegäran.docx", "A 18371-2025")</f>
        <v/>
      </c>
      <c r="Y212">
        <f>HYPERLINK("https://klasma.github.io/Logging_1983/tillsynsmail/A 18371-2025 tillsynsbegäran mail.docx", "A 18371-2025")</f>
        <v/>
      </c>
    </row>
    <row r="213" ht="15" customHeight="1">
      <c r="A213" t="inlineStr">
        <is>
          <t>A 21738-2025</t>
        </is>
      </c>
      <c r="B213" s="1" t="n">
        <v>45783.59173611111</v>
      </c>
      <c r="C213" s="1" t="n">
        <v>45998</v>
      </c>
      <c r="D213" t="inlineStr">
        <is>
          <t>VÄSTMANLANDS LÄN</t>
        </is>
      </c>
      <c r="E213" t="inlineStr">
        <is>
          <t>SALA</t>
        </is>
      </c>
      <c r="G213" t="n">
        <v>2.1</v>
      </c>
      <c r="H213" t="n">
        <v>0</v>
      </c>
      <c r="I213" t="n">
        <v>0</v>
      </c>
      <c r="J213" t="n">
        <v>1</v>
      </c>
      <c r="K213" t="n">
        <v>0</v>
      </c>
      <c r="L213" t="n">
        <v>0</v>
      </c>
      <c r="M213" t="n">
        <v>0</v>
      </c>
      <c r="N213" t="n">
        <v>0</v>
      </c>
      <c r="O213" t="n">
        <v>1</v>
      </c>
      <c r="P213" t="n">
        <v>0</v>
      </c>
      <c r="Q213" t="n">
        <v>1</v>
      </c>
      <c r="R213" s="2" t="inlineStr">
        <is>
          <t>Motaggsvamp</t>
        </is>
      </c>
      <c r="S213">
        <f>HYPERLINK("https://klasma.github.io/Logging_1981/artfynd/A 21738-2025 artfynd.xlsx", "A 21738-2025")</f>
        <v/>
      </c>
      <c r="T213">
        <f>HYPERLINK("https://klasma.github.io/Logging_1981/kartor/A 21738-2025 karta.png", "A 21738-2025")</f>
        <v/>
      </c>
      <c r="V213">
        <f>HYPERLINK("https://klasma.github.io/Logging_1981/klagomål/A 21738-2025 FSC-klagomål.docx", "A 21738-2025")</f>
        <v/>
      </c>
      <c r="W213">
        <f>HYPERLINK("https://klasma.github.io/Logging_1981/klagomålsmail/A 21738-2025 FSC-klagomål mail.docx", "A 21738-2025")</f>
        <v/>
      </c>
      <c r="X213">
        <f>HYPERLINK("https://klasma.github.io/Logging_1981/tillsyn/A 21738-2025 tillsynsbegäran.docx", "A 21738-2025")</f>
        <v/>
      </c>
      <c r="Y213">
        <f>HYPERLINK("https://klasma.github.io/Logging_1981/tillsynsmail/A 21738-2025 tillsynsbegäran mail.docx", "A 21738-2025")</f>
        <v/>
      </c>
    </row>
    <row r="214" ht="15" customHeight="1">
      <c r="A214" t="inlineStr">
        <is>
          <t>A 10364-2021</t>
        </is>
      </c>
      <c r="B214" s="1" t="n">
        <v>44257</v>
      </c>
      <c r="C214" s="1" t="n">
        <v>45998</v>
      </c>
      <c r="D214" t="inlineStr">
        <is>
          <t>VÄSTMANLANDS LÄN</t>
        </is>
      </c>
      <c r="E214" t="inlineStr">
        <is>
          <t>ARBOGA</t>
        </is>
      </c>
      <c r="F214" t="inlineStr">
        <is>
          <t>Sveaskog</t>
        </is>
      </c>
      <c r="G214" t="n">
        <v>2</v>
      </c>
      <c r="H214" t="n">
        <v>0</v>
      </c>
      <c r="I214" t="n">
        <v>0</v>
      </c>
      <c r="J214" t="n">
        <v>1</v>
      </c>
      <c r="K214" t="n">
        <v>0</v>
      </c>
      <c r="L214" t="n">
        <v>0</v>
      </c>
      <c r="M214" t="n">
        <v>0</v>
      </c>
      <c r="N214" t="n">
        <v>0</v>
      </c>
      <c r="O214" t="n">
        <v>1</v>
      </c>
      <c r="P214" t="n">
        <v>0</v>
      </c>
      <c r="Q214" t="n">
        <v>1</v>
      </c>
      <c r="R214" s="2" t="inlineStr">
        <is>
          <t>Mindre timmerman</t>
        </is>
      </c>
      <c r="S214">
        <f>HYPERLINK("https://klasma.github.io/Logging_1984/artfynd/A 10364-2021 artfynd.xlsx", "A 10364-2021")</f>
        <v/>
      </c>
      <c r="T214">
        <f>HYPERLINK("https://klasma.github.io/Logging_1984/kartor/A 10364-2021 karta.png", "A 10364-2021")</f>
        <v/>
      </c>
      <c r="V214">
        <f>HYPERLINK("https://klasma.github.io/Logging_1984/klagomål/A 10364-2021 FSC-klagomål.docx", "A 10364-2021")</f>
        <v/>
      </c>
      <c r="W214">
        <f>HYPERLINK("https://klasma.github.io/Logging_1984/klagomålsmail/A 10364-2021 FSC-klagomål mail.docx", "A 10364-2021")</f>
        <v/>
      </c>
      <c r="X214">
        <f>HYPERLINK("https://klasma.github.io/Logging_1984/tillsyn/A 10364-2021 tillsynsbegäran.docx", "A 10364-2021")</f>
        <v/>
      </c>
      <c r="Y214">
        <f>HYPERLINK("https://klasma.github.io/Logging_1984/tillsynsmail/A 10364-2021 tillsynsbegäran mail.docx", "A 10364-2021")</f>
        <v/>
      </c>
    </row>
    <row r="215" ht="15" customHeight="1">
      <c r="A215" t="inlineStr">
        <is>
          <t>A 51122-2024</t>
        </is>
      </c>
      <c r="B215" s="1" t="n">
        <v>45603</v>
      </c>
      <c r="C215" s="1" t="n">
        <v>45998</v>
      </c>
      <c r="D215" t="inlineStr">
        <is>
          <t>VÄSTMANLANDS LÄN</t>
        </is>
      </c>
      <c r="E215" t="inlineStr">
        <is>
          <t>FAGERSTA</t>
        </is>
      </c>
      <c r="F215" t="inlineStr">
        <is>
          <t>Sveaskog</t>
        </is>
      </c>
      <c r="G215" t="n">
        <v>8</v>
      </c>
      <c r="H215" t="n">
        <v>0</v>
      </c>
      <c r="I215" t="n">
        <v>0</v>
      </c>
      <c r="J215" t="n">
        <v>1</v>
      </c>
      <c r="K215" t="n">
        <v>0</v>
      </c>
      <c r="L215" t="n">
        <v>0</v>
      </c>
      <c r="M215" t="n">
        <v>0</v>
      </c>
      <c r="N215" t="n">
        <v>0</v>
      </c>
      <c r="O215" t="n">
        <v>1</v>
      </c>
      <c r="P215" t="n">
        <v>0</v>
      </c>
      <c r="Q215" t="n">
        <v>1</v>
      </c>
      <c r="R215" s="2" t="inlineStr">
        <is>
          <t>Brunklöver</t>
        </is>
      </c>
      <c r="S215">
        <f>HYPERLINK("https://klasma.github.io/Logging_1982/artfynd/A 51122-2024 artfynd.xlsx", "A 51122-2024")</f>
        <v/>
      </c>
      <c r="T215">
        <f>HYPERLINK("https://klasma.github.io/Logging_1982/kartor/A 51122-2024 karta.png", "A 51122-2024")</f>
        <v/>
      </c>
      <c r="V215">
        <f>HYPERLINK("https://klasma.github.io/Logging_1982/klagomål/A 51122-2024 FSC-klagomål.docx", "A 51122-2024")</f>
        <v/>
      </c>
      <c r="W215">
        <f>HYPERLINK("https://klasma.github.io/Logging_1982/klagomålsmail/A 51122-2024 FSC-klagomål mail.docx", "A 51122-2024")</f>
        <v/>
      </c>
      <c r="X215">
        <f>HYPERLINK("https://klasma.github.io/Logging_1982/tillsyn/A 51122-2024 tillsynsbegäran.docx", "A 51122-2024")</f>
        <v/>
      </c>
      <c r="Y215">
        <f>HYPERLINK("https://klasma.github.io/Logging_1982/tillsynsmail/A 51122-2024 tillsynsbegäran mail.docx", "A 51122-2024")</f>
        <v/>
      </c>
    </row>
    <row r="216" ht="15" customHeight="1">
      <c r="A216" t="inlineStr">
        <is>
          <t>A 55684-2023</t>
        </is>
      </c>
      <c r="B216" s="1" t="n">
        <v>45232</v>
      </c>
      <c r="C216" s="1" t="n">
        <v>45998</v>
      </c>
      <c r="D216" t="inlineStr">
        <is>
          <t>VÄSTMANLANDS LÄN</t>
        </is>
      </c>
      <c r="E216" t="inlineStr">
        <is>
          <t>VÄSTERÅS</t>
        </is>
      </c>
      <c r="F216" t="inlineStr">
        <is>
          <t>Övriga Aktiebolag</t>
        </is>
      </c>
      <c r="G216" t="n">
        <v>29.4</v>
      </c>
      <c r="H216" t="n">
        <v>0</v>
      </c>
      <c r="I216" t="n">
        <v>0</v>
      </c>
      <c r="J216" t="n">
        <v>1</v>
      </c>
      <c r="K216" t="n">
        <v>0</v>
      </c>
      <c r="L216" t="n">
        <v>0</v>
      </c>
      <c r="M216" t="n">
        <v>0</v>
      </c>
      <c r="N216" t="n">
        <v>0</v>
      </c>
      <c r="O216" t="n">
        <v>1</v>
      </c>
      <c r="P216" t="n">
        <v>0</v>
      </c>
      <c r="Q216" t="n">
        <v>1</v>
      </c>
      <c r="R216" s="2" t="inlineStr">
        <is>
          <t>Mindre timmerman</t>
        </is>
      </c>
      <c r="S216">
        <f>HYPERLINK("https://klasma.github.io/Logging_1980/artfynd/A 55684-2023 artfynd.xlsx", "A 55684-2023")</f>
        <v/>
      </c>
      <c r="T216">
        <f>HYPERLINK("https://klasma.github.io/Logging_1980/kartor/A 55684-2023 karta.png", "A 55684-2023")</f>
        <v/>
      </c>
      <c r="V216">
        <f>HYPERLINK("https://klasma.github.io/Logging_1980/klagomål/A 55684-2023 FSC-klagomål.docx", "A 55684-2023")</f>
        <v/>
      </c>
      <c r="W216">
        <f>HYPERLINK("https://klasma.github.io/Logging_1980/klagomålsmail/A 55684-2023 FSC-klagomål mail.docx", "A 55684-2023")</f>
        <v/>
      </c>
      <c r="X216">
        <f>HYPERLINK("https://klasma.github.io/Logging_1980/tillsyn/A 55684-2023 tillsynsbegäran.docx", "A 55684-2023")</f>
        <v/>
      </c>
      <c r="Y216">
        <f>HYPERLINK("https://klasma.github.io/Logging_1980/tillsynsmail/A 55684-2023 tillsynsbegäran mail.docx", "A 55684-2023")</f>
        <v/>
      </c>
    </row>
    <row r="217" ht="15" customHeight="1">
      <c r="A217" t="inlineStr">
        <is>
          <t>A 10900-2022</t>
        </is>
      </c>
      <c r="B217" s="1" t="n">
        <v>44627.9190625</v>
      </c>
      <c r="C217" s="1" t="n">
        <v>45998</v>
      </c>
      <c r="D217" t="inlineStr">
        <is>
          <t>VÄSTMANLANDS LÄN</t>
        </is>
      </c>
      <c r="E217" t="inlineStr">
        <is>
          <t>KÖPING</t>
        </is>
      </c>
      <c r="G217" t="n">
        <v>1.5</v>
      </c>
      <c r="H217" t="n">
        <v>0</v>
      </c>
      <c r="I217" t="n">
        <v>0</v>
      </c>
      <c r="J217" t="n">
        <v>1</v>
      </c>
      <c r="K217" t="n">
        <v>0</v>
      </c>
      <c r="L217" t="n">
        <v>0</v>
      </c>
      <c r="M217" t="n">
        <v>0</v>
      </c>
      <c r="N217" t="n">
        <v>0</v>
      </c>
      <c r="O217" t="n">
        <v>1</v>
      </c>
      <c r="P217" t="n">
        <v>0</v>
      </c>
      <c r="Q217" t="n">
        <v>1</v>
      </c>
      <c r="R217" s="2" t="inlineStr">
        <is>
          <t>Klofibbla</t>
        </is>
      </c>
      <c r="S217">
        <f>HYPERLINK("https://klasma.github.io/Logging_1983/artfynd/A 10900-2022 artfynd.xlsx", "A 10900-2022")</f>
        <v/>
      </c>
      <c r="T217">
        <f>HYPERLINK("https://klasma.github.io/Logging_1983/kartor/A 10900-2022 karta.png", "A 10900-2022")</f>
        <v/>
      </c>
      <c r="V217">
        <f>HYPERLINK("https://klasma.github.io/Logging_1983/klagomål/A 10900-2022 FSC-klagomål.docx", "A 10900-2022")</f>
        <v/>
      </c>
      <c r="W217">
        <f>HYPERLINK("https://klasma.github.io/Logging_1983/klagomålsmail/A 10900-2022 FSC-klagomål mail.docx", "A 10900-2022")</f>
        <v/>
      </c>
      <c r="X217">
        <f>HYPERLINK("https://klasma.github.io/Logging_1983/tillsyn/A 10900-2022 tillsynsbegäran.docx", "A 10900-2022")</f>
        <v/>
      </c>
      <c r="Y217">
        <f>HYPERLINK("https://klasma.github.io/Logging_1983/tillsynsmail/A 10900-2022 tillsynsbegäran mail.docx", "A 10900-2022")</f>
        <v/>
      </c>
    </row>
    <row r="218" ht="15" customHeight="1">
      <c r="A218" t="inlineStr">
        <is>
          <t>A 6249-2024</t>
        </is>
      </c>
      <c r="B218" s="1" t="n">
        <v>45337</v>
      </c>
      <c r="C218" s="1" t="n">
        <v>45998</v>
      </c>
      <c r="D218" t="inlineStr">
        <is>
          <t>VÄSTMANLANDS LÄN</t>
        </is>
      </c>
      <c r="E218" t="inlineStr">
        <is>
          <t>VÄSTERÅS</t>
        </is>
      </c>
      <c r="G218" t="n">
        <v>6.5</v>
      </c>
      <c r="H218" t="n">
        <v>1</v>
      </c>
      <c r="I218" t="n">
        <v>0</v>
      </c>
      <c r="J218" t="n">
        <v>0</v>
      </c>
      <c r="K218" t="n">
        <v>0</v>
      </c>
      <c r="L218" t="n">
        <v>1</v>
      </c>
      <c r="M218" t="n">
        <v>0</v>
      </c>
      <c r="N218" t="n">
        <v>0</v>
      </c>
      <c r="O218" t="n">
        <v>1</v>
      </c>
      <c r="P218" t="n">
        <v>1</v>
      </c>
      <c r="Q218" t="n">
        <v>1</v>
      </c>
      <c r="R218" s="2" t="inlineStr">
        <is>
          <t>Grönfink</t>
        </is>
      </c>
      <c r="S218">
        <f>HYPERLINK("https://klasma.github.io/Logging_1980/artfynd/A 6249-2024 artfynd.xlsx", "A 6249-2024")</f>
        <v/>
      </c>
      <c r="T218">
        <f>HYPERLINK("https://klasma.github.io/Logging_1980/kartor/A 6249-2024 karta.png", "A 6249-2024")</f>
        <v/>
      </c>
      <c r="V218">
        <f>HYPERLINK("https://klasma.github.io/Logging_1980/klagomål/A 6249-2024 FSC-klagomål.docx", "A 6249-2024")</f>
        <v/>
      </c>
      <c r="W218">
        <f>HYPERLINK("https://klasma.github.io/Logging_1980/klagomålsmail/A 6249-2024 FSC-klagomål mail.docx", "A 6249-2024")</f>
        <v/>
      </c>
      <c r="X218">
        <f>HYPERLINK("https://klasma.github.io/Logging_1980/tillsyn/A 6249-2024 tillsynsbegäran.docx", "A 6249-2024")</f>
        <v/>
      </c>
      <c r="Y218">
        <f>HYPERLINK("https://klasma.github.io/Logging_1980/tillsynsmail/A 6249-2024 tillsynsbegäran mail.docx", "A 6249-2024")</f>
        <v/>
      </c>
      <c r="Z218">
        <f>HYPERLINK("https://klasma.github.io/Logging_1980/fåglar/A 6249-2024 prioriterade fågelarter.docx", "A 6249-2024")</f>
        <v/>
      </c>
    </row>
    <row r="219" ht="15" customHeight="1">
      <c r="A219" t="inlineStr">
        <is>
          <t>A 17613-2025</t>
        </is>
      </c>
      <c r="B219" s="1" t="n">
        <v>45757.798125</v>
      </c>
      <c r="C219" s="1" t="n">
        <v>45998</v>
      </c>
      <c r="D219" t="inlineStr">
        <is>
          <t>VÄSTMANLANDS LÄN</t>
        </is>
      </c>
      <c r="E219" t="inlineStr">
        <is>
          <t>FAGERSTA</t>
        </is>
      </c>
      <c r="F219" t="inlineStr">
        <is>
          <t>Sveaskog</t>
        </is>
      </c>
      <c r="G219" t="n">
        <v>6.5</v>
      </c>
      <c r="H219" t="n">
        <v>1</v>
      </c>
      <c r="I219" t="n">
        <v>1</v>
      </c>
      <c r="J219" t="n">
        <v>0</v>
      </c>
      <c r="K219" t="n">
        <v>0</v>
      </c>
      <c r="L219" t="n">
        <v>0</v>
      </c>
      <c r="M219" t="n">
        <v>0</v>
      </c>
      <c r="N219" t="n">
        <v>0</v>
      </c>
      <c r="O219" t="n">
        <v>0</v>
      </c>
      <c r="P219" t="n">
        <v>0</v>
      </c>
      <c r="Q219" t="n">
        <v>1</v>
      </c>
      <c r="R219" s="2" t="inlineStr">
        <is>
          <t>Korallrot</t>
        </is>
      </c>
      <c r="S219">
        <f>HYPERLINK("https://klasma.github.io/Logging_1982/artfynd/A 17613-2025 artfynd.xlsx", "A 17613-2025")</f>
        <v/>
      </c>
      <c r="T219">
        <f>HYPERLINK("https://klasma.github.io/Logging_1982/kartor/A 17613-2025 karta.png", "A 17613-2025")</f>
        <v/>
      </c>
      <c r="V219">
        <f>HYPERLINK("https://klasma.github.io/Logging_1982/klagomål/A 17613-2025 FSC-klagomål.docx", "A 17613-2025")</f>
        <v/>
      </c>
      <c r="W219">
        <f>HYPERLINK("https://klasma.github.io/Logging_1982/klagomålsmail/A 17613-2025 FSC-klagomål mail.docx", "A 17613-2025")</f>
        <v/>
      </c>
      <c r="X219">
        <f>HYPERLINK("https://klasma.github.io/Logging_1982/tillsyn/A 17613-2025 tillsynsbegäran.docx", "A 17613-2025")</f>
        <v/>
      </c>
      <c r="Y219">
        <f>HYPERLINK("https://klasma.github.io/Logging_1982/tillsynsmail/A 17613-2025 tillsynsbegäran mail.docx", "A 17613-2025")</f>
        <v/>
      </c>
    </row>
    <row r="220" ht="15" customHeight="1">
      <c r="A220" t="inlineStr">
        <is>
          <t>A 19550-2025</t>
        </is>
      </c>
      <c r="B220" s="1" t="n">
        <v>45770</v>
      </c>
      <c r="C220" s="1" t="n">
        <v>45998</v>
      </c>
      <c r="D220" t="inlineStr">
        <is>
          <t>VÄSTMANLANDS LÄN</t>
        </is>
      </c>
      <c r="E220" t="inlineStr">
        <is>
          <t>FAGERSTA</t>
        </is>
      </c>
      <c r="G220" t="n">
        <v>16.4</v>
      </c>
      <c r="H220" t="n">
        <v>1</v>
      </c>
      <c r="I220" t="n">
        <v>0</v>
      </c>
      <c r="J220" t="n">
        <v>0</v>
      </c>
      <c r="K220" t="n">
        <v>0</v>
      </c>
      <c r="L220" t="n">
        <v>0</v>
      </c>
      <c r="M220" t="n">
        <v>0</v>
      </c>
      <c r="N220" t="n">
        <v>0</v>
      </c>
      <c r="O220" t="n">
        <v>0</v>
      </c>
      <c r="P220" t="n">
        <v>0</v>
      </c>
      <c r="Q220" t="n">
        <v>1</v>
      </c>
      <c r="R220" s="2" t="inlineStr">
        <is>
          <t>Fläcknycklar</t>
        </is>
      </c>
      <c r="S220">
        <f>HYPERLINK("https://klasma.github.io/Logging_1982/artfynd/A 19550-2025 artfynd.xlsx", "A 19550-2025")</f>
        <v/>
      </c>
      <c r="T220">
        <f>HYPERLINK("https://klasma.github.io/Logging_1982/kartor/A 19550-2025 karta.png", "A 19550-2025")</f>
        <v/>
      </c>
      <c r="V220">
        <f>HYPERLINK("https://klasma.github.io/Logging_1982/klagomål/A 19550-2025 FSC-klagomål.docx", "A 19550-2025")</f>
        <v/>
      </c>
      <c r="W220">
        <f>HYPERLINK("https://klasma.github.io/Logging_1982/klagomålsmail/A 19550-2025 FSC-klagomål mail.docx", "A 19550-2025")</f>
        <v/>
      </c>
      <c r="X220">
        <f>HYPERLINK("https://klasma.github.io/Logging_1982/tillsyn/A 19550-2025 tillsynsbegäran.docx", "A 19550-2025")</f>
        <v/>
      </c>
      <c r="Y220">
        <f>HYPERLINK("https://klasma.github.io/Logging_1982/tillsynsmail/A 19550-2025 tillsynsbegäran mail.docx", "A 19550-2025")</f>
        <v/>
      </c>
    </row>
    <row r="221" ht="15" customHeight="1">
      <c r="A221" t="inlineStr">
        <is>
          <t>A 61099-2024</t>
        </is>
      </c>
      <c r="B221" s="1" t="n">
        <v>45644</v>
      </c>
      <c r="C221" s="1" t="n">
        <v>45998</v>
      </c>
      <c r="D221" t="inlineStr">
        <is>
          <t>VÄSTMANLANDS LÄN</t>
        </is>
      </c>
      <c r="E221" t="inlineStr">
        <is>
          <t>NORBERG</t>
        </is>
      </c>
      <c r="G221" t="n">
        <v>0.4</v>
      </c>
      <c r="H221" t="n">
        <v>1</v>
      </c>
      <c r="I221" t="n">
        <v>0</v>
      </c>
      <c r="J221" t="n">
        <v>0</v>
      </c>
      <c r="K221" t="n">
        <v>0</v>
      </c>
      <c r="L221" t="n">
        <v>0</v>
      </c>
      <c r="M221" t="n">
        <v>0</v>
      </c>
      <c r="N221" t="n">
        <v>0</v>
      </c>
      <c r="O221" t="n">
        <v>0</v>
      </c>
      <c r="P221" t="n">
        <v>0</v>
      </c>
      <c r="Q221" t="n">
        <v>1</v>
      </c>
      <c r="R221" s="2" t="inlineStr">
        <is>
          <t>Blåsippa</t>
        </is>
      </c>
      <c r="S221">
        <f>HYPERLINK("https://klasma.github.io/Logging_1962/artfynd/A 61099-2024 artfynd.xlsx", "A 61099-2024")</f>
        <v/>
      </c>
      <c r="T221">
        <f>HYPERLINK("https://klasma.github.io/Logging_1962/kartor/A 61099-2024 karta.png", "A 61099-2024")</f>
        <v/>
      </c>
      <c r="V221">
        <f>HYPERLINK("https://klasma.github.io/Logging_1962/klagomål/A 61099-2024 FSC-klagomål.docx", "A 61099-2024")</f>
        <v/>
      </c>
      <c r="W221">
        <f>HYPERLINK("https://klasma.github.io/Logging_1962/klagomålsmail/A 61099-2024 FSC-klagomål mail.docx", "A 61099-2024")</f>
        <v/>
      </c>
      <c r="X221">
        <f>HYPERLINK("https://klasma.github.io/Logging_1962/tillsyn/A 61099-2024 tillsynsbegäran.docx", "A 61099-2024")</f>
        <v/>
      </c>
      <c r="Y221">
        <f>HYPERLINK("https://klasma.github.io/Logging_1962/tillsynsmail/A 61099-2024 tillsynsbegäran mail.docx", "A 61099-2024")</f>
        <v/>
      </c>
    </row>
    <row r="222" ht="15" customHeight="1">
      <c r="A222" t="inlineStr">
        <is>
          <t>A 43451-2024</t>
        </is>
      </c>
      <c r="B222" s="1" t="n">
        <v>45568</v>
      </c>
      <c r="C222" s="1" t="n">
        <v>45998</v>
      </c>
      <c r="D222" t="inlineStr">
        <is>
          <t>VÄSTMANLANDS LÄN</t>
        </is>
      </c>
      <c r="E222" t="inlineStr">
        <is>
          <t>SURAHAMMAR</t>
        </is>
      </c>
      <c r="F222" t="inlineStr">
        <is>
          <t>Bergvik skog väst AB</t>
        </is>
      </c>
      <c r="G222" t="n">
        <v>2.9</v>
      </c>
      <c r="H222" t="n">
        <v>0</v>
      </c>
      <c r="I222" t="n">
        <v>0</v>
      </c>
      <c r="J222" t="n">
        <v>1</v>
      </c>
      <c r="K222" t="n">
        <v>0</v>
      </c>
      <c r="L222" t="n">
        <v>0</v>
      </c>
      <c r="M222" t="n">
        <v>0</v>
      </c>
      <c r="N222" t="n">
        <v>0</v>
      </c>
      <c r="O222" t="n">
        <v>1</v>
      </c>
      <c r="P222" t="n">
        <v>0</v>
      </c>
      <c r="Q222" t="n">
        <v>1</v>
      </c>
      <c r="R222" s="2" t="inlineStr">
        <is>
          <t>Ullticka</t>
        </is>
      </c>
      <c r="S222">
        <f>HYPERLINK("https://klasma.github.io/Logging_1907/artfynd/A 43451-2024 artfynd.xlsx", "A 43451-2024")</f>
        <v/>
      </c>
      <c r="T222">
        <f>HYPERLINK("https://klasma.github.io/Logging_1907/kartor/A 43451-2024 karta.png", "A 43451-2024")</f>
        <v/>
      </c>
      <c r="V222">
        <f>HYPERLINK("https://klasma.github.io/Logging_1907/klagomål/A 43451-2024 FSC-klagomål.docx", "A 43451-2024")</f>
        <v/>
      </c>
      <c r="W222">
        <f>HYPERLINK("https://klasma.github.io/Logging_1907/klagomålsmail/A 43451-2024 FSC-klagomål mail.docx", "A 43451-2024")</f>
        <v/>
      </c>
      <c r="X222">
        <f>HYPERLINK("https://klasma.github.io/Logging_1907/tillsyn/A 43451-2024 tillsynsbegäran.docx", "A 43451-2024")</f>
        <v/>
      </c>
      <c r="Y222">
        <f>HYPERLINK("https://klasma.github.io/Logging_1907/tillsynsmail/A 43451-2024 tillsynsbegäran mail.docx", "A 43451-2024")</f>
        <v/>
      </c>
    </row>
    <row r="223" ht="15" customHeight="1">
      <c r="A223" t="inlineStr">
        <is>
          <t>A 9803-2025</t>
        </is>
      </c>
      <c r="B223" s="1" t="n">
        <v>45716.55532407408</v>
      </c>
      <c r="C223" s="1" t="n">
        <v>45998</v>
      </c>
      <c r="D223" t="inlineStr">
        <is>
          <t>VÄSTMANLANDS LÄN</t>
        </is>
      </c>
      <c r="E223" t="inlineStr">
        <is>
          <t>FAGERSTA</t>
        </is>
      </c>
      <c r="F223" t="inlineStr">
        <is>
          <t>Sveaskog</t>
        </is>
      </c>
      <c r="G223" t="n">
        <v>4.5</v>
      </c>
      <c r="H223" t="n">
        <v>1</v>
      </c>
      <c r="I223" t="n">
        <v>0</v>
      </c>
      <c r="J223" t="n">
        <v>0</v>
      </c>
      <c r="K223" t="n">
        <v>1</v>
      </c>
      <c r="L223" t="n">
        <v>0</v>
      </c>
      <c r="M223" t="n">
        <v>0</v>
      </c>
      <c r="N223" t="n">
        <v>0</v>
      </c>
      <c r="O223" t="n">
        <v>1</v>
      </c>
      <c r="P223" t="n">
        <v>1</v>
      </c>
      <c r="Q223" t="n">
        <v>1</v>
      </c>
      <c r="R223" s="2" t="inlineStr">
        <is>
          <t>Tallbit</t>
        </is>
      </c>
      <c r="S223">
        <f>HYPERLINK("https://klasma.github.io/Logging_1982/artfynd/A 9803-2025 artfynd.xlsx", "A 9803-2025")</f>
        <v/>
      </c>
      <c r="T223">
        <f>HYPERLINK("https://klasma.github.io/Logging_1982/kartor/A 9803-2025 karta.png", "A 9803-2025")</f>
        <v/>
      </c>
      <c r="V223">
        <f>HYPERLINK("https://klasma.github.io/Logging_1982/klagomål/A 9803-2025 FSC-klagomål.docx", "A 9803-2025")</f>
        <v/>
      </c>
      <c r="W223">
        <f>HYPERLINK("https://klasma.github.io/Logging_1982/klagomålsmail/A 9803-2025 FSC-klagomål mail.docx", "A 9803-2025")</f>
        <v/>
      </c>
      <c r="X223">
        <f>HYPERLINK("https://klasma.github.io/Logging_1982/tillsyn/A 9803-2025 tillsynsbegäran.docx", "A 9803-2025")</f>
        <v/>
      </c>
      <c r="Y223">
        <f>HYPERLINK("https://klasma.github.io/Logging_1982/tillsynsmail/A 9803-2025 tillsynsbegäran mail.docx", "A 9803-2025")</f>
        <v/>
      </c>
      <c r="Z223">
        <f>HYPERLINK("https://klasma.github.io/Logging_1982/fåglar/A 9803-2025 prioriterade fågelarter.docx", "A 9803-2025")</f>
        <v/>
      </c>
    </row>
    <row r="224" ht="15" customHeight="1">
      <c r="A224" t="inlineStr">
        <is>
          <t>A 54868-2024</t>
        </is>
      </c>
      <c r="B224" s="1" t="n">
        <v>45618.59756944444</v>
      </c>
      <c r="C224" s="1" t="n">
        <v>45998</v>
      </c>
      <c r="D224" t="inlineStr">
        <is>
          <t>VÄSTMANLANDS LÄN</t>
        </is>
      </c>
      <c r="E224" t="inlineStr">
        <is>
          <t>KÖPING</t>
        </is>
      </c>
      <c r="F224" t="inlineStr">
        <is>
          <t>Sveaskog</t>
        </is>
      </c>
      <c r="G224" t="n">
        <v>6.4</v>
      </c>
      <c r="H224" t="n">
        <v>0</v>
      </c>
      <c r="I224" t="n">
        <v>0</v>
      </c>
      <c r="J224" t="n">
        <v>1</v>
      </c>
      <c r="K224" t="n">
        <v>0</v>
      </c>
      <c r="L224" t="n">
        <v>0</v>
      </c>
      <c r="M224" t="n">
        <v>0</v>
      </c>
      <c r="N224" t="n">
        <v>0</v>
      </c>
      <c r="O224" t="n">
        <v>1</v>
      </c>
      <c r="P224" t="n">
        <v>0</v>
      </c>
      <c r="Q224" t="n">
        <v>1</v>
      </c>
      <c r="R224" s="2" t="inlineStr">
        <is>
          <t>Skogsklocka</t>
        </is>
      </c>
      <c r="S224">
        <f>HYPERLINK("https://klasma.github.io/Logging_1983/artfynd/A 54868-2024 artfynd.xlsx", "A 54868-2024")</f>
        <v/>
      </c>
      <c r="T224">
        <f>HYPERLINK("https://klasma.github.io/Logging_1983/kartor/A 54868-2024 karta.png", "A 54868-2024")</f>
        <v/>
      </c>
      <c r="V224">
        <f>HYPERLINK("https://klasma.github.io/Logging_1983/klagomål/A 54868-2024 FSC-klagomål.docx", "A 54868-2024")</f>
        <v/>
      </c>
      <c r="W224">
        <f>HYPERLINK("https://klasma.github.io/Logging_1983/klagomålsmail/A 54868-2024 FSC-klagomål mail.docx", "A 54868-2024")</f>
        <v/>
      </c>
      <c r="X224">
        <f>HYPERLINK("https://klasma.github.io/Logging_1983/tillsyn/A 54868-2024 tillsynsbegäran.docx", "A 54868-2024")</f>
        <v/>
      </c>
      <c r="Y224">
        <f>HYPERLINK("https://klasma.github.io/Logging_1983/tillsynsmail/A 54868-2024 tillsynsbegäran mail.docx", "A 54868-2024")</f>
        <v/>
      </c>
    </row>
    <row r="225" ht="15" customHeight="1">
      <c r="A225" t="inlineStr">
        <is>
          <t>A 15107-2025</t>
        </is>
      </c>
      <c r="B225" s="1" t="n">
        <v>45744.34909722222</v>
      </c>
      <c r="C225" s="1" t="n">
        <v>45998</v>
      </c>
      <c r="D225" t="inlineStr">
        <is>
          <t>VÄSTMANLANDS LÄN</t>
        </is>
      </c>
      <c r="E225" t="inlineStr">
        <is>
          <t>NORBERG</t>
        </is>
      </c>
      <c r="F225" t="inlineStr">
        <is>
          <t>Sveaskog</t>
        </is>
      </c>
      <c r="G225" t="n">
        <v>0.9</v>
      </c>
      <c r="H225" t="n">
        <v>1</v>
      </c>
      <c r="I225" t="n">
        <v>0</v>
      </c>
      <c r="J225" t="n">
        <v>0</v>
      </c>
      <c r="K225" t="n">
        <v>0</v>
      </c>
      <c r="L225" t="n">
        <v>0</v>
      </c>
      <c r="M225" t="n">
        <v>0</v>
      </c>
      <c r="N225" t="n">
        <v>0</v>
      </c>
      <c r="O225" t="n">
        <v>0</v>
      </c>
      <c r="P225" t="n">
        <v>0</v>
      </c>
      <c r="Q225" t="n">
        <v>1</v>
      </c>
      <c r="R225" s="2" t="inlineStr">
        <is>
          <t>Blåsippa</t>
        </is>
      </c>
      <c r="S225">
        <f>HYPERLINK("https://klasma.github.io/Logging_1962/artfynd/A 15107-2025 artfynd.xlsx", "A 15107-2025")</f>
        <v/>
      </c>
      <c r="T225">
        <f>HYPERLINK("https://klasma.github.io/Logging_1962/kartor/A 15107-2025 karta.png", "A 15107-2025")</f>
        <v/>
      </c>
      <c r="V225">
        <f>HYPERLINK("https://klasma.github.io/Logging_1962/klagomål/A 15107-2025 FSC-klagomål.docx", "A 15107-2025")</f>
        <v/>
      </c>
      <c r="W225">
        <f>HYPERLINK("https://klasma.github.io/Logging_1962/klagomålsmail/A 15107-2025 FSC-klagomål mail.docx", "A 15107-2025")</f>
        <v/>
      </c>
      <c r="X225">
        <f>HYPERLINK("https://klasma.github.io/Logging_1962/tillsyn/A 15107-2025 tillsynsbegäran.docx", "A 15107-2025")</f>
        <v/>
      </c>
      <c r="Y225">
        <f>HYPERLINK("https://klasma.github.io/Logging_1962/tillsynsmail/A 15107-2025 tillsynsbegäran mail.docx", "A 15107-2025")</f>
        <v/>
      </c>
    </row>
    <row r="226" ht="15" customHeight="1">
      <c r="A226" t="inlineStr">
        <is>
          <t>A 31242-2025</t>
        </is>
      </c>
      <c r="B226" s="1" t="n">
        <v>45832</v>
      </c>
      <c r="C226" s="1" t="n">
        <v>45998</v>
      </c>
      <c r="D226" t="inlineStr">
        <is>
          <t>VÄSTMANLANDS LÄN</t>
        </is>
      </c>
      <c r="E226" t="inlineStr">
        <is>
          <t>KÖPING</t>
        </is>
      </c>
      <c r="F226" t="inlineStr">
        <is>
          <t>Allmännings- och besparingsskogar</t>
        </is>
      </c>
      <c r="G226" t="n">
        <v>4.7</v>
      </c>
      <c r="H226" t="n">
        <v>1</v>
      </c>
      <c r="I226" t="n">
        <v>0</v>
      </c>
      <c r="J226" t="n">
        <v>0</v>
      </c>
      <c r="K226" t="n">
        <v>1</v>
      </c>
      <c r="L226" t="n">
        <v>0</v>
      </c>
      <c r="M226" t="n">
        <v>0</v>
      </c>
      <c r="N226" t="n">
        <v>0</v>
      </c>
      <c r="O226" t="n">
        <v>1</v>
      </c>
      <c r="P226" t="n">
        <v>1</v>
      </c>
      <c r="Q226" t="n">
        <v>1</v>
      </c>
      <c r="R226" s="2" t="inlineStr">
        <is>
          <t>Knärot</t>
        </is>
      </c>
      <c r="S226">
        <f>HYPERLINK("https://klasma.github.io/Logging_1983/artfynd/A 31242-2025 artfynd.xlsx", "A 31242-2025")</f>
        <v/>
      </c>
      <c r="T226">
        <f>HYPERLINK("https://klasma.github.io/Logging_1983/kartor/A 31242-2025 karta.png", "A 31242-2025")</f>
        <v/>
      </c>
      <c r="U226">
        <f>HYPERLINK("https://klasma.github.io/Logging_1983/knärot/A 31242-2025 karta knärot.png", "A 31242-2025")</f>
        <v/>
      </c>
      <c r="V226">
        <f>HYPERLINK("https://klasma.github.io/Logging_1983/klagomål/A 31242-2025 FSC-klagomål.docx", "A 31242-2025")</f>
        <v/>
      </c>
      <c r="W226">
        <f>HYPERLINK("https://klasma.github.io/Logging_1983/klagomålsmail/A 31242-2025 FSC-klagomål mail.docx", "A 31242-2025")</f>
        <v/>
      </c>
      <c r="X226">
        <f>HYPERLINK("https://klasma.github.io/Logging_1983/tillsyn/A 31242-2025 tillsynsbegäran.docx", "A 31242-2025")</f>
        <v/>
      </c>
      <c r="Y226">
        <f>HYPERLINK("https://klasma.github.io/Logging_1983/tillsynsmail/A 31242-2025 tillsynsbegäran mail.docx", "A 31242-2025")</f>
        <v/>
      </c>
    </row>
    <row r="227" ht="15" customHeight="1">
      <c r="A227" t="inlineStr">
        <is>
          <t>A 30986-2025</t>
        </is>
      </c>
      <c r="B227" s="1" t="n">
        <v>45832.4766087963</v>
      </c>
      <c r="C227" s="1" t="n">
        <v>45998</v>
      </c>
      <c r="D227" t="inlineStr">
        <is>
          <t>VÄSTMANLANDS LÄN</t>
        </is>
      </c>
      <c r="E227" t="inlineStr">
        <is>
          <t>SKINNSKATTEBERG</t>
        </is>
      </c>
      <c r="F227" t="inlineStr">
        <is>
          <t>Sveaskog</t>
        </is>
      </c>
      <c r="G227" t="n">
        <v>6</v>
      </c>
      <c r="H227" t="n">
        <v>0</v>
      </c>
      <c r="I227" t="n">
        <v>1</v>
      </c>
      <c r="J227" t="n">
        <v>0</v>
      </c>
      <c r="K227" t="n">
        <v>0</v>
      </c>
      <c r="L227" t="n">
        <v>0</v>
      </c>
      <c r="M227" t="n">
        <v>0</v>
      </c>
      <c r="N227" t="n">
        <v>0</v>
      </c>
      <c r="O227" t="n">
        <v>0</v>
      </c>
      <c r="P227" t="n">
        <v>0</v>
      </c>
      <c r="Q227" t="n">
        <v>1</v>
      </c>
      <c r="R227" s="2" t="inlineStr">
        <is>
          <t>Toppvaxing</t>
        </is>
      </c>
      <c r="S227">
        <f>HYPERLINK("https://klasma.github.io/Logging_1904/artfynd/A 30986-2025 artfynd.xlsx", "A 30986-2025")</f>
        <v/>
      </c>
      <c r="T227">
        <f>HYPERLINK("https://klasma.github.io/Logging_1904/kartor/A 30986-2025 karta.png", "A 30986-2025")</f>
        <v/>
      </c>
      <c r="V227">
        <f>HYPERLINK("https://klasma.github.io/Logging_1904/klagomål/A 30986-2025 FSC-klagomål.docx", "A 30986-2025")</f>
        <v/>
      </c>
      <c r="W227">
        <f>HYPERLINK("https://klasma.github.io/Logging_1904/klagomålsmail/A 30986-2025 FSC-klagomål mail.docx", "A 30986-2025")</f>
        <v/>
      </c>
      <c r="X227">
        <f>HYPERLINK("https://klasma.github.io/Logging_1904/tillsyn/A 30986-2025 tillsynsbegäran.docx", "A 30986-2025")</f>
        <v/>
      </c>
      <c r="Y227">
        <f>HYPERLINK("https://klasma.github.io/Logging_1904/tillsynsmail/A 30986-2025 tillsynsbegäran mail.docx", "A 30986-2025")</f>
        <v/>
      </c>
    </row>
    <row r="228" ht="15" customHeight="1">
      <c r="A228" t="inlineStr">
        <is>
          <t>A 29532-2022</t>
        </is>
      </c>
      <c r="B228" s="1" t="n">
        <v>44753</v>
      </c>
      <c r="C228" s="1" t="n">
        <v>45998</v>
      </c>
      <c r="D228" t="inlineStr">
        <is>
          <t>VÄSTMANLANDS LÄN</t>
        </is>
      </c>
      <c r="E228" t="inlineStr">
        <is>
          <t>FAGERSTA</t>
        </is>
      </c>
      <c r="G228" t="n">
        <v>4.7</v>
      </c>
      <c r="H228" t="n">
        <v>0</v>
      </c>
      <c r="I228" t="n">
        <v>1</v>
      </c>
      <c r="J228" t="n">
        <v>0</v>
      </c>
      <c r="K228" t="n">
        <v>0</v>
      </c>
      <c r="L228" t="n">
        <v>0</v>
      </c>
      <c r="M228" t="n">
        <v>0</v>
      </c>
      <c r="N228" t="n">
        <v>0</v>
      </c>
      <c r="O228" t="n">
        <v>0</v>
      </c>
      <c r="P228" t="n">
        <v>0</v>
      </c>
      <c r="Q228" t="n">
        <v>1</v>
      </c>
      <c r="R228" s="2" t="inlineStr">
        <is>
          <t>Hagfingersvamp</t>
        </is>
      </c>
      <c r="S228">
        <f>HYPERLINK("https://klasma.github.io/Logging_1982/artfynd/A 29532-2022 artfynd.xlsx", "A 29532-2022")</f>
        <v/>
      </c>
      <c r="T228">
        <f>HYPERLINK("https://klasma.github.io/Logging_1982/kartor/A 29532-2022 karta.png", "A 29532-2022")</f>
        <v/>
      </c>
      <c r="V228">
        <f>HYPERLINK("https://klasma.github.io/Logging_1982/klagomål/A 29532-2022 FSC-klagomål.docx", "A 29532-2022")</f>
        <v/>
      </c>
      <c r="W228">
        <f>HYPERLINK("https://klasma.github.io/Logging_1982/klagomålsmail/A 29532-2022 FSC-klagomål mail.docx", "A 29532-2022")</f>
        <v/>
      </c>
      <c r="X228">
        <f>HYPERLINK("https://klasma.github.io/Logging_1982/tillsyn/A 29532-2022 tillsynsbegäran.docx", "A 29532-2022")</f>
        <v/>
      </c>
      <c r="Y228">
        <f>HYPERLINK("https://klasma.github.io/Logging_1982/tillsynsmail/A 29532-2022 tillsynsbegäran mail.docx", "A 29532-2022")</f>
        <v/>
      </c>
    </row>
    <row r="229" ht="15" customHeight="1">
      <c r="A229" t="inlineStr">
        <is>
          <t>A 38255-2025</t>
        </is>
      </c>
      <c r="B229" s="1" t="n">
        <v>45883.38020833334</v>
      </c>
      <c r="C229" s="1" t="n">
        <v>45998</v>
      </c>
      <c r="D229" t="inlineStr">
        <is>
          <t>VÄSTMANLANDS LÄN</t>
        </is>
      </c>
      <c r="E229" t="inlineStr">
        <is>
          <t>SALA</t>
        </is>
      </c>
      <c r="G229" t="n">
        <v>0.9</v>
      </c>
      <c r="H229" t="n">
        <v>1</v>
      </c>
      <c r="I229" t="n">
        <v>0</v>
      </c>
      <c r="J229" t="n">
        <v>0</v>
      </c>
      <c r="K229" t="n">
        <v>1</v>
      </c>
      <c r="L229" t="n">
        <v>0</v>
      </c>
      <c r="M229" t="n">
        <v>0</v>
      </c>
      <c r="N229" t="n">
        <v>0</v>
      </c>
      <c r="O229" t="n">
        <v>1</v>
      </c>
      <c r="P229" t="n">
        <v>1</v>
      </c>
      <c r="Q229" t="n">
        <v>1</v>
      </c>
      <c r="R229" s="2" t="inlineStr">
        <is>
          <t>Knärot</t>
        </is>
      </c>
      <c r="S229">
        <f>HYPERLINK("https://klasma.github.io/Logging_1981/artfynd/A 38255-2025 artfynd.xlsx", "A 38255-2025")</f>
        <v/>
      </c>
      <c r="T229">
        <f>HYPERLINK("https://klasma.github.io/Logging_1981/kartor/A 38255-2025 karta.png", "A 38255-2025")</f>
        <v/>
      </c>
      <c r="U229">
        <f>HYPERLINK("https://klasma.github.io/Logging_1981/knärot/A 38255-2025 karta knärot.png", "A 38255-2025")</f>
        <v/>
      </c>
      <c r="V229">
        <f>HYPERLINK("https://klasma.github.io/Logging_1981/klagomål/A 38255-2025 FSC-klagomål.docx", "A 38255-2025")</f>
        <v/>
      </c>
      <c r="W229">
        <f>HYPERLINK("https://klasma.github.io/Logging_1981/klagomålsmail/A 38255-2025 FSC-klagomål mail.docx", "A 38255-2025")</f>
        <v/>
      </c>
      <c r="X229">
        <f>HYPERLINK("https://klasma.github.io/Logging_1981/tillsyn/A 38255-2025 tillsynsbegäran.docx", "A 38255-2025")</f>
        <v/>
      </c>
      <c r="Y229">
        <f>HYPERLINK("https://klasma.github.io/Logging_1981/tillsynsmail/A 38255-2025 tillsynsbegäran mail.docx", "A 38255-2025")</f>
        <v/>
      </c>
    </row>
    <row r="230" ht="15" customHeight="1">
      <c r="A230" t="inlineStr">
        <is>
          <t>A 69777-2021</t>
        </is>
      </c>
      <c r="B230" s="1" t="n">
        <v>44532</v>
      </c>
      <c r="C230" s="1" t="n">
        <v>45998</v>
      </c>
      <c r="D230" t="inlineStr">
        <is>
          <t>VÄSTMANLANDS LÄN</t>
        </is>
      </c>
      <c r="E230" t="inlineStr">
        <is>
          <t>SURAHAMMAR</t>
        </is>
      </c>
      <c r="G230" t="n">
        <v>2.3</v>
      </c>
      <c r="H230" t="n">
        <v>1</v>
      </c>
      <c r="I230" t="n">
        <v>0</v>
      </c>
      <c r="J230" t="n">
        <v>0</v>
      </c>
      <c r="K230" t="n">
        <v>1</v>
      </c>
      <c r="L230" t="n">
        <v>0</v>
      </c>
      <c r="M230" t="n">
        <v>0</v>
      </c>
      <c r="N230" t="n">
        <v>0</v>
      </c>
      <c r="O230" t="n">
        <v>1</v>
      </c>
      <c r="P230" t="n">
        <v>1</v>
      </c>
      <c r="Q230" t="n">
        <v>1</v>
      </c>
      <c r="R230" s="2" t="inlineStr">
        <is>
          <t>Bombmurkla</t>
        </is>
      </c>
      <c r="S230">
        <f>HYPERLINK("https://klasma.github.io/Logging_1907/artfynd/A 69777-2021 artfynd.xlsx", "A 69777-2021")</f>
        <v/>
      </c>
      <c r="T230">
        <f>HYPERLINK("https://klasma.github.io/Logging_1907/kartor/A 69777-2021 karta.png", "A 69777-2021")</f>
        <v/>
      </c>
      <c r="V230">
        <f>HYPERLINK("https://klasma.github.io/Logging_1907/klagomål/A 69777-2021 FSC-klagomål.docx", "A 69777-2021")</f>
        <v/>
      </c>
      <c r="W230">
        <f>HYPERLINK("https://klasma.github.io/Logging_1907/klagomålsmail/A 69777-2021 FSC-klagomål mail.docx", "A 69777-2021")</f>
        <v/>
      </c>
      <c r="X230">
        <f>HYPERLINK("https://klasma.github.io/Logging_1907/tillsyn/A 69777-2021 tillsynsbegäran.docx", "A 69777-2021")</f>
        <v/>
      </c>
      <c r="Y230">
        <f>HYPERLINK("https://klasma.github.io/Logging_1907/tillsynsmail/A 69777-2021 tillsynsbegäran mail.docx", "A 69777-2021")</f>
        <v/>
      </c>
    </row>
    <row r="231" ht="15" customHeight="1">
      <c r="A231" t="inlineStr">
        <is>
          <t>A 22950-2025</t>
        </is>
      </c>
      <c r="B231" s="1" t="n">
        <v>45790.50728009259</v>
      </c>
      <c r="C231" s="1" t="n">
        <v>45998</v>
      </c>
      <c r="D231" t="inlineStr">
        <is>
          <t>VÄSTMANLANDS LÄN</t>
        </is>
      </c>
      <c r="E231" t="inlineStr">
        <is>
          <t>SALA</t>
        </is>
      </c>
      <c r="G231" t="n">
        <v>6.2</v>
      </c>
      <c r="H231" t="n">
        <v>1</v>
      </c>
      <c r="I231" t="n">
        <v>0</v>
      </c>
      <c r="J231" t="n">
        <v>1</v>
      </c>
      <c r="K231" t="n">
        <v>0</v>
      </c>
      <c r="L231" t="n">
        <v>0</v>
      </c>
      <c r="M231" t="n">
        <v>0</v>
      </c>
      <c r="N231" t="n">
        <v>0</v>
      </c>
      <c r="O231" t="n">
        <v>1</v>
      </c>
      <c r="P231" t="n">
        <v>0</v>
      </c>
      <c r="Q231" t="n">
        <v>1</v>
      </c>
      <c r="R231" s="2" t="inlineStr">
        <is>
          <t>Svartvit flugsnappare</t>
        </is>
      </c>
      <c r="S231">
        <f>HYPERLINK("https://klasma.github.io/Logging_1981/artfynd/A 22950-2025 artfynd.xlsx", "A 22950-2025")</f>
        <v/>
      </c>
      <c r="T231">
        <f>HYPERLINK("https://klasma.github.io/Logging_1981/kartor/A 22950-2025 karta.png", "A 22950-2025")</f>
        <v/>
      </c>
      <c r="V231">
        <f>HYPERLINK("https://klasma.github.io/Logging_1981/klagomål/A 22950-2025 FSC-klagomål.docx", "A 22950-2025")</f>
        <v/>
      </c>
      <c r="W231">
        <f>HYPERLINK("https://klasma.github.io/Logging_1981/klagomålsmail/A 22950-2025 FSC-klagomål mail.docx", "A 22950-2025")</f>
        <v/>
      </c>
      <c r="X231">
        <f>HYPERLINK("https://klasma.github.io/Logging_1981/tillsyn/A 22950-2025 tillsynsbegäran.docx", "A 22950-2025")</f>
        <v/>
      </c>
      <c r="Y231">
        <f>HYPERLINK("https://klasma.github.io/Logging_1981/tillsynsmail/A 22950-2025 tillsynsbegäran mail.docx", "A 22950-2025")</f>
        <v/>
      </c>
      <c r="Z231">
        <f>HYPERLINK("https://klasma.github.io/Logging_1981/fåglar/A 22950-2025 prioriterade fågelarter.docx", "A 22950-2025")</f>
        <v/>
      </c>
    </row>
    <row r="232" ht="15" customHeight="1">
      <c r="A232" t="inlineStr">
        <is>
          <t>A 14001-2023</t>
        </is>
      </c>
      <c r="B232" s="1" t="n">
        <v>45007</v>
      </c>
      <c r="C232" s="1" t="n">
        <v>45998</v>
      </c>
      <c r="D232" t="inlineStr">
        <is>
          <t>VÄSTMANLANDS LÄN</t>
        </is>
      </c>
      <c r="E232" t="inlineStr">
        <is>
          <t>SURAHAMMAR</t>
        </is>
      </c>
      <c r="F232" t="inlineStr">
        <is>
          <t>Bergvik skog väst AB</t>
        </is>
      </c>
      <c r="G232" t="n">
        <v>1</v>
      </c>
      <c r="H232" t="n">
        <v>0</v>
      </c>
      <c r="I232" t="n">
        <v>0</v>
      </c>
      <c r="J232" t="n">
        <v>1</v>
      </c>
      <c r="K232" t="n">
        <v>0</v>
      </c>
      <c r="L232" t="n">
        <v>0</v>
      </c>
      <c r="M232" t="n">
        <v>0</v>
      </c>
      <c r="N232" t="n">
        <v>0</v>
      </c>
      <c r="O232" t="n">
        <v>1</v>
      </c>
      <c r="P232" t="n">
        <v>0</v>
      </c>
      <c r="Q232" t="n">
        <v>1</v>
      </c>
      <c r="R232" s="2" t="inlineStr">
        <is>
          <t>Motaggsvamp</t>
        </is>
      </c>
      <c r="S232">
        <f>HYPERLINK("https://klasma.github.io/Logging_1907/artfynd/A 14001-2023 artfynd.xlsx", "A 14001-2023")</f>
        <v/>
      </c>
      <c r="T232">
        <f>HYPERLINK("https://klasma.github.io/Logging_1907/kartor/A 14001-2023 karta.png", "A 14001-2023")</f>
        <v/>
      </c>
      <c r="V232">
        <f>HYPERLINK("https://klasma.github.io/Logging_1907/klagomål/A 14001-2023 FSC-klagomål.docx", "A 14001-2023")</f>
        <v/>
      </c>
      <c r="W232">
        <f>HYPERLINK("https://klasma.github.io/Logging_1907/klagomålsmail/A 14001-2023 FSC-klagomål mail.docx", "A 14001-2023")</f>
        <v/>
      </c>
      <c r="X232">
        <f>HYPERLINK("https://klasma.github.io/Logging_1907/tillsyn/A 14001-2023 tillsynsbegäran.docx", "A 14001-2023")</f>
        <v/>
      </c>
      <c r="Y232">
        <f>HYPERLINK("https://klasma.github.io/Logging_1907/tillsynsmail/A 14001-2023 tillsynsbegäran mail.docx", "A 14001-2023")</f>
        <v/>
      </c>
    </row>
    <row r="233" ht="15" customHeight="1">
      <c r="A233" t="inlineStr">
        <is>
          <t>A 23574-2025</t>
        </is>
      </c>
      <c r="B233" s="1" t="n">
        <v>45792.61555555555</v>
      </c>
      <c r="C233" s="1" t="n">
        <v>45998</v>
      </c>
      <c r="D233" t="inlineStr">
        <is>
          <t>VÄSTMANLANDS LÄN</t>
        </is>
      </c>
      <c r="E233" t="inlineStr">
        <is>
          <t>SKINNSKATTEBERG</t>
        </is>
      </c>
      <c r="F233" t="inlineStr">
        <is>
          <t>Sveaskog</t>
        </is>
      </c>
      <c r="G233" t="n">
        <v>5.4</v>
      </c>
      <c r="H233" t="n">
        <v>0</v>
      </c>
      <c r="I233" t="n">
        <v>0</v>
      </c>
      <c r="J233" t="n">
        <v>1</v>
      </c>
      <c r="K233" t="n">
        <v>0</v>
      </c>
      <c r="L233" t="n">
        <v>0</v>
      </c>
      <c r="M233" t="n">
        <v>0</v>
      </c>
      <c r="N233" t="n">
        <v>0</v>
      </c>
      <c r="O233" t="n">
        <v>1</v>
      </c>
      <c r="P233" t="n">
        <v>0</v>
      </c>
      <c r="Q233" t="n">
        <v>1</v>
      </c>
      <c r="R233" s="2" t="inlineStr">
        <is>
          <t>Motaggsvamp</t>
        </is>
      </c>
      <c r="S233">
        <f>HYPERLINK("https://klasma.github.io/Logging_1904/artfynd/A 23574-2025 artfynd.xlsx", "A 23574-2025")</f>
        <v/>
      </c>
      <c r="T233">
        <f>HYPERLINK("https://klasma.github.io/Logging_1904/kartor/A 23574-2025 karta.png", "A 23574-2025")</f>
        <v/>
      </c>
      <c r="V233">
        <f>HYPERLINK("https://klasma.github.io/Logging_1904/klagomål/A 23574-2025 FSC-klagomål.docx", "A 23574-2025")</f>
        <v/>
      </c>
      <c r="W233">
        <f>HYPERLINK("https://klasma.github.io/Logging_1904/klagomålsmail/A 23574-2025 FSC-klagomål mail.docx", "A 23574-2025")</f>
        <v/>
      </c>
      <c r="X233">
        <f>HYPERLINK("https://klasma.github.io/Logging_1904/tillsyn/A 23574-2025 tillsynsbegäran.docx", "A 23574-2025")</f>
        <v/>
      </c>
      <c r="Y233">
        <f>HYPERLINK("https://klasma.github.io/Logging_1904/tillsynsmail/A 23574-2025 tillsynsbegäran mail.docx", "A 23574-2025")</f>
        <v/>
      </c>
    </row>
    <row r="234" ht="15" customHeight="1">
      <c r="A234" t="inlineStr">
        <is>
          <t>A 60852-2024</t>
        </is>
      </c>
      <c r="B234" s="1" t="n">
        <v>45644</v>
      </c>
      <c r="C234" s="1" t="n">
        <v>45998</v>
      </c>
      <c r="D234" t="inlineStr">
        <is>
          <t>VÄSTMANLANDS LÄN</t>
        </is>
      </c>
      <c r="E234" t="inlineStr">
        <is>
          <t>SALA</t>
        </is>
      </c>
      <c r="G234" t="n">
        <v>7.6</v>
      </c>
      <c r="H234" t="n">
        <v>1</v>
      </c>
      <c r="I234" t="n">
        <v>0</v>
      </c>
      <c r="J234" t="n">
        <v>0</v>
      </c>
      <c r="K234" t="n">
        <v>0</v>
      </c>
      <c r="L234" t="n">
        <v>0</v>
      </c>
      <c r="M234" t="n">
        <v>0</v>
      </c>
      <c r="N234" t="n">
        <v>0</v>
      </c>
      <c r="O234" t="n">
        <v>0</v>
      </c>
      <c r="P234" t="n">
        <v>0</v>
      </c>
      <c r="Q234" t="n">
        <v>1</v>
      </c>
      <c r="R234" s="2" t="inlineStr">
        <is>
          <t>Blåsippa</t>
        </is>
      </c>
      <c r="S234">
        <f>HYPERLINK("https://klasma.github.io/Logging_1981/artfynd/A 60852-2024 artfynd.xlsx", "A 60852-2024")</f>
        <v/>
      </c>
      <c r="T234">
        <f>HYPERLINK("https://klasma.github.io/Logging_1981/kartor/A 60852-2024 karta.png", "A 60852-2024")</f>
        <v/>
      </c>
      <c r="V234">
        <f>HYPERLINK("https://klasma.github.io/Logging_1981/klagomål/A 60852-2024 FSC-klagomål.docx", "A 60852-2024")</f>
        <v/>
      </c>
      <c r="W234">
        <f>HYPERLINK("https://klasma.github.io/Logging_1981/klagomålsmail/A 60852-2024 FSC-klagomål mail.docx", "A 60852-2024")</f>
        <v/>
      </c>
      <c r="X234">
        <f>HYPERLINK("https://klasma.github.io/Logging_1981/tillsyn/A 60852-2024 tillsynsbegäran.docx", "A 60852-2024")</f>
        <v/>
      </c>
      <c r="Y234">
        <f>HYPERLINK("https://klasma.github.io/Logging_1981/tillsynsmail/A 60852-2024 tillsynsbegäran mail.docx", "A 60852-2024")</f>
        <v/>
      </c>
    </row>
    <row r="235" ht="15" customHeight="1">
      <c r="A235" t="inlineStr">
        <is>
          <t>A 55995-2025</t>
        </is>
      </c>
      <c r="B235" s="1" t="n">
        <v>45973.56733796297</v>
      </c>
      <c r="C235" s="1" t="n">
        <v>45998</v>
      </c>
      <c r="D235" t="inlineStr">
        <is>
          <t>VÄSTMANLANDS LÄN</t>
        </is>
      </c>
      <c r="E235" t="inlineStr">
        <is>
          <t>SALA</t>
        </is>
      </c>
      <c r="F235" t="inlineStr">
        <is>
          <t>Sveaskog</t>
        </is>
      </c>
      <c r="G235" t="n">
        <v>4.5</v>
      </c>
      <c r="H235" t="n">
        <v>1</v>
      </c>
      <c r="I235" t="n">
        <v>0</v>
      </c>
      <c r="J235" t="n">
        <v>0</v>
      </c>
      <c r="K235" t="n">
        <v>0</v>
      </c>
      <c r="L235" t="n">
        <v>0</v>
      </c>
      <c r="M235" t="n">
        <v>0</v>
      </c>
      <c r="N235" t="n">
        <v>0</v>
      </c>
      <c r="O235" t="n">
        <v>0</v>
      </c>
      <c r="P235" t="n">
        <v>0</v>
      </c>
      <c r="Q235" t="n">
        <v>1</v>
      </c>
      <c r="R235" s="2" t="inlineStr">
        <is>
          <t>Fläcknycklar</t>
        </is>
      </c>
      <c r="S235">
        <f>HYPERLINK("https://klasma.github.io/Logging_1981/artfynd/A 55995-2025 artfynd.xlsx", "A 55995-2025")</f>
        <v/>
      </c>
      <c r="T235">
        <f>HYPERLINK("https://klasma.github.io/Logging_1981/kartor/A 55995-2025 karta.png", "A 55995-2025")</f>
        <v/>
      </c>
      <c r="V235">
        <f>HYPERLINK("https://klasma.github.io/Logging_1981/klagomål/A 55995-2025 FSC-klagomål.docx", "A 55995-2025")</f>
        <v/>
      </c>
      <c r="W235">
        <f>HYPERLINK("https://klasma.github.io/Logging_1981/klagomålsmail/A 55995-2025 FSC-klagomål mail.docx", "A 55995-2025")</f>
        <v/>
      </c>
      <c r="X235">
        <f>HYPERLINK("https://klasma.github.io/Logging_1981/tillsyn/A 55995-2025 tillsynsbegäran.docx", "A 55995-2025")</f>
        <v/>
      </c>
      <c r="Y235">
        <f>HYPERLINK("https://klasma.github.io/Logging_1981/tillsynsmail/A 55995-2025 tillsynsbegäran mail.docx", "A 55995-2025")</f>
        <v/>
      </c>
    </row>
    <row r="236" ht="15" customHeight="1">
      <c r="A236" t="inlineStr">
        <is>
          <t>A 47573-2025</t>
        </is>
      </c>
      <c r="B236" s="1" t="n">
        <v>45931.39806712963</v>
      </c>
      <c r="C236" s="1" t="n">
        <v>45998</v>
      </c>
      <c r="D236" t="inlineStr">
        <is>
          <t>VÄSTMANLANDS LÄN</t>
        </is>
      </c>
      <c r="E236" t="inlineStr">
        <is>
          <t>KÖPING</t>
        </is>
      </c>
      <c r="F236" t="inlineStr">
        <is>
          <t>Sveaskog</t>
        </is>
      </c>
      <c r="G236" t="n">
        <v>4</v>
      </c>
      <c r="H236" t="n">
        <v>0</v>
      </c>
      <c r="I236" t="n">
        <v>0</v>
      </c>
      <c r="J236" t="n">
        <v>1</v>
      </c>
      <c r="K236" t="n">
        <v>0</v>
      </c>
      <c r="L236" t="n">
        <v>0</v>
      </c>
      <c r="M236" t="n">
        <v>0</v>
      </c>
      <c r="N236" t="n">
        <v>0</v>
      </c>
      <c r="O236" t="n">
        <v>1</v>
      </c>
      <c r="P236" t="n">
        <v>0</v>
      </c>
      <c r="Q236" t="n">
        <v>1</v>
      </c>
      <c r="R236" s="2" t="inlineStr">
        <is>
          <t>Motaggsvamp</t>
        </is>
      </c>
      <c r="S236">
        <f>HYPERLINK("https://klasma.github.io/Logging_1983/artfynd/A 47573-2025 artfynd.xlsx", "A 47573-2025")</f>
        <v/>
      </c>
      <c r="T236">
        <f>HYPERLINK("https://klasma.github.io/Logging_1983/kartor/A 47573-2025 karta.png", "A 47573-2025")</f>
        <v/>
      </c>
      <c r="V236">
        <f>HYPERLINK("https://klasma.github.io/Logging_1983/klagomål/A 47573-2025 FSC-klagomål.docx", "A 47573-2025")</f>
        <v/>
      </c>
      <c r="W236">
        <f>HYPERLINK("https://klasma.github.io/Logging_1983/klagomålsmail/A 47573-2025 FSC-klagomål mail.docx", "A 47573-2025")</f>
        <v/>
      </c>
      <c r="X236">
        <f>HYPERLINK("https://klasma.github.io/Logging_1983/tillsyn/A 47573-2025 tillsynsbegäran.docx", "A 47573-2025")</f>
        <v/>
      </c>
      <c r="Y236">
        <f>HYPERLINK("https://klasma.github.io/Logging_1983/tillsynsmail/A 47573-2025 tillsynsbegäran mail.docx", "A 47573-2025")</f>
        <v/>
      </c>
    </row>
    <row r="237" ht="15" customHeight="1">
      <c r="A237" t="inlineStr">
        <is>
          <t>A 40696-2025</t>
        </is>
      </c>
      <c r="B237" s="1" t="n">
        <v>45897.28859953704</v>
      </c>
      <c r="C237" s="1" t="n">
        <v>45998</v>
      </c>
      <c r="D237" t="inlineStr">
        <is>
          <t>VÄSTMANLANDS LÄN</t>
        </is>
      </c>
      <c r="E237" t="inlineStr">
        <is>
          <t>KÖPING</t>
        </is>
      </c>
      <c r="G237" t="n">
        <v>4.5</v>
      </c>
      <c r="H237" t="n">
        <v>0</v>
      </c>
      <c r="I237" t="n">
        <v>1</v>
      </c>
      <c r="J237" t="n">
        <v>0</v>
      </c>
      <c r="K237" t="n">
        <v>0</v>
      </c>
      <c r="L237" t="n">
        <v>0</v>
      </c>
      <c r="M237" t="n">
        <v>0</v>
      </c>
      <c r="N237" t="n">
        <v>0</v>
      </c>
      <c r="O237" t="n">
        <v>0</v>
      </c>
      <c r="P237" t="n">
        <v>0</v>
      </c>
      <c r="Q237" t="n">
        <v>1</v>
      </c>
      <c r="R237" s="2" t="inlineStr">
        <is>
          <t>Tibast</t>
        </is>
      </c>
      <c r="S237">
        <f>HYPERLINK("https://klasma.github.io/Logging_1983/artfynd/A 40696-2025 artfynd.xlsx", "A 40696-2025")</f>
        <v/>
      </c>
      <c r="T237">
        <f>HYPERLINK("https://klasma.github.io/Logging_1983/kartor/A 40696-2025 karta.png", "A 40696-2025")</f>
        <v/>
      </c>
      <c r="V237">
        <f>HYPERLINK("https://klasma.github.io/Logging_1983/klagomål/A 40696-2025 FSC-klagomål.docx", "A 40696-2025")</f>
        <v/>
      </c>
      <c r="W237">
        <f>HYPERLINK("https://klasma.github.io/Logging_1983/klagomålsmail/A 40696-2025 FSC-klagomål mail.docx", "A 40696-2025")</f>
        <v/>
      </c>
      <c r="X237">
        <f>HYPERLINK("https://klasma.github.io/Logging_1983/tillsyn/A 40696-2025 tillsynsbegäran.docx", "A 40696-2025")</f>
        <v/>
      </c>
      <c r="Y237">
        <f>HYPERLINK("https://klasma.github.io/Logging_1983/tillsynsmail/A 40696-2025 tillsynsbegäran mail.docx", "A 40696-2025")</f>
        <v/>
      </c>
    </row>
    <row r="238" ht="15" customHeight="1">
      <c r="A238" t="inlineStr">
        <is>
          <t>A 48705-2025</t>
        </is>
      </c>
      <c r="B238" s="1" t="n">
        <v>45936.62290509259</v>
      </c>
      <c r="C238" s="1" t="n">
        <v>45998</v>
      </c>
      <c r="D238" t="inlineStr">
        <is>
          <t>VÄSTMANLANDS LÄN</t>
        </is>
      </c>
      <c r="E238" t="inlineStr">
        <is>
          <t>SALA</t>
        </is>
      </c>
      <c r="G238" t="n">
        <v>4.4</v>
      </c>
      <c r="H238" t="n">
        <v>1</v>
      </c>
      <c r="I238" t="n">
        <v>1</v>
      </c>
      <c r="J238" t="n">
        <v>0</v>
      </c>
      <c r="K238" t="n">
        <v>0</v>
      </c>
      <c r="L238" t="n">
        <v>0</v>
      </c>
      <c r="M238" t="n">
        <v>0</v>
      </c>
      <c r="N238" t="n">
        <v>0</v>
      </c>
      <c r="O238" t="n">
        <v>0</v>
      </c>
      <c r="P238" t="n">
        <v>0</v>
      </c>
      <c r="Q238" t="n">
        <v>1</v>
      </c>
      <c r="R238" s="2" t="inlineStr">
        <is>
          <t>Plattlummer</t>
        </is>
      </c>
      <c r="S238">
        <f>HYPERLINK("https://klasma.github.io/Logging_1981/artfynd/A 48705-2025 artfynd.xlsx", "A 48705-2025")</f>
        <v/>
      </c>
      <c r="T238">
        <f>HYPERLINK("https://klasma.github.io/Logging_1981/kartor/A 48705-2025 karta.png", "A 48705-2025")</f>
        <v/>
      </c>
      <c r="V238">
        <f>HYPERLINK("https://klasma.github.io/Logging_1981/klagomål/A 48705-2025 FSC-klagomål.docx", "A 48705-2025")</f>
        <v/>
      </c>
      <c r="W238">
        <f>HYPERLINK("https://klasma.github.io/Logging_1981/klagomålsmail/A 48705-2025 FSC-klagomål mail.docx", "A 48705-2025")</f>
        <v/>
      </c>
      <c r="X238">
        <f>HYPERLINK("https://klasma.github.io/Logging_1981/tillsyn/A 48705-2025 tillsynsbegäran.docx", "A 48705-2025")</f>
        <v/>
      </c>
      <c r="Y238">
        <f>HYPERLINK("https://klasma.github.io/Logging_1981/tillsynsmail/A 48705-2025 tillsynsbegäran mail.docx", "A 48705-2025")</f>
        <v/>
      </c>
    </row>
    <row r="239" ht="15" customHeight="1">
      <c r="A239" t="inlineStr">
        <is>
          <t>A 42089-2025</t>
        </is>
      </c>
      <c r="B239" s="1" t="n">
        <v>45902</v>
      </c>
      <c r="C239" s="1" t="n">
        <v>45998</v>
      </c>
      <c r="D239" t="inlineStr">
        <is>
          <t>VÄSTMANLANDS LÄN</t>
        </is>
      </c>
      <c r="E239" t="inlineStr">
        <is>
          <t>SURAHAMMAR</t>
        </is>
      </c>
      <c r="G239" t="n">
        <v>2.2</v>
      </c>
      <c r="H239" t="n">
        <v>0</v>
      </c>
      <c r="I239" t="n">
        <v>0</v>
      </c>
      <c r="J239" t="n">
        <v>1</v>
      </c>
      <c r="K239" t="n">
        <v>0</v>
      </c>
      <c r="L239" t="n">
        <v>0</v>
      </c>
      <c r="M239" t="n">
        <v>0</v>
      </c>
      <c r="N239" t="n">
        <v>0</v>
      </c>
      <c r="O239" t="n">
        <v>1</v>
      </c>
      <c r="P239" t="n">
        <v>0</v>
      </c>
      <c r="Q239" t="n">
        <v>1</v>
      </c>
      <c r="R239" s="2" t="inlineStr">
        <is>
          <t>Motaggsvamp</t>
        </is>
      </c>
      <c r="S239">
        <f>HYPERLINK("https://klasma.github.io/Logging_1907/artfynd/A 42089-2025 artfynd.xlsx", "A 42089-2025")</f>
        <v/>
      </c>
      <c r="T239">
        <f>HYPERLINK("https://klasma.github.io/Logging_1907/kartor/A 42089-2025 karta.png", "A 42089-2025")</f>
        <v/>
      </c>
      <c r="V239">
        <f>HYPERLINK("https://klasma.github.io/Logging_1907/klagomål/A 42089-2025 FSC-klagomål.docx", "A 42089-2025")</f>
        <v/>
      </c>
      <c r="W239">
        <f>HYPERLINK("https://klasma.github.io/Logging_1907/klagomålsmail/A 42089-2025 FSC-klagomål mail.docx", "A 42089-2025")</f>
        <v/>
      </c>
      <c r="X239">
        <f>HYPERLINK("https://klasma.github.io/Logging_1907/tillsyn/A 42089-2025 tillsynsbegäran.docx", "A 42089-2025")</f>
        <v/>
      </c>
      <c r="Y239">
        <f>HYPERLINK("https://klasma.github.io/Logging_1907/tillsynsmail/A 42089-2025 tillsynsbegäran mail.docx", "A 42089-2025")</f>
        <v/>
      </c>
    </row>
    <row r="240" ht="15" customHeight="1">
      <c r="A240" t="inlineStr">
        <is>
          <t>A 43119-2025</t>
        </is>
      </c>
      <c r="B240" s="1" t="n">
        <v>45909.67291666667</v>
      </c>
      <c r="C240" s="1" t="n">
        <v>45998</v>
      </c>
      <c r="D240" t="inlineStr">
        <is>
          <t>VÄSTMANLANDS LÄN</t>
        </is>
      </c>
      <c r="E240" t="inlineStr">
        <is>
          <t>VÄSTERÅS</t>
        </is>
      </c>
      <c r="G240" t="n">
        <v>5.1</v>
      </c>
      <c r="H240" t="n">
        <v>0</v>
      </c>
      <c r="I240" t="n">
        <v>0</v>
      </c>
      <c r="J240" t="n">
        <v>0</v>
      </c>
      <c r="K240" t="n">
        <v>0</v>
      </c>
      <c r="L240" t="n">
        <v>1</v>
      </c>
      <c r="M240" t="n">
        <v>0</v>
      </c>
      <c r="N240" t="n">
        <v>0</v>
      </c>
      <c r="O240" t="n">
        <v>1</v>
      </c>
      <c r="P240" t="n">
        <v>1</v>
      </c>
      <c r="Q240" t="n">
        <v>1</v>
      </c>
      <c r="R240" s="2" t="inlineStr">
        <is>
          <t>Ask</t>
        </is>
      </c>
      <c r="S240">
        <f>HYPERLINK("https://klasma.github.io/Logging_1980/artfynd/A 43119-2025 artfynd.xlsx", "A 43119-2025")</f>
        <v/>
      </c>
      <c r="T240">
        <f>HYPERLINK("https://klasma.github.io/Logging_1980/kartor/A 43119-2025 karta.png", "A 43119-2025")</f>
        <v/>
      </c>
      <c r="V240">
        <f>HYPERLINK("https://klasma.github.io/Logging_1980/klagomål/A 43119-2025 FSC-klagomål.docx", "A 43119-2025")</f>
        <v/>
      </c>
      <c r="W240">
        <f>HYPERLINK("https://klasma.github.io/Logging_1980/klagomålsmail/A 43119-2025 FSC-klagomål mail.docx", "A 43119-2025")</f>
        <v/>
      </c>
      <c r="X240">
        <f>HYPERLINK("https://klasma.github.io/Logging_1980/tillsyn/A 43119-2025 tillsynsbegäran.docx", "A 43119-2025")</f>
        <v/>
      </c>
      <c r="Y240">
        <f>HYPERLINK("https://klasma.github.io/Logging_1980/tillsynsmail/A 43119-2025 tillsynsbegäran mail.docx", "A 43119-2025")</f>
        <v/>
      </c>
    </row>
    <row r="241" ht="15" customHeight="1">
      <c r="A241" t="inlineStr">
        <is>
          <t>A 31263-2024</t>
        </is>
      </c>
      <c r="B241" s="1" t="n">
        <v>45503</v>
      </c>
      <c r="C241" s="1" t="n">
        <v>45998</v>
      </c>
      <c r="D241" t="inlineStr">
        <is>
          <t>VÄSTMANLANDS LÄN</t>
        </is>
      </c>
      <c r="E241" t="inlineStr">
        <is>
          <t>KÖPING</t>
        </is>
      </c>
      <c r="G241" t="n">
        <v>12.4</v>
      </c>
      <c r="H241" t="n">
        <v>0</v>
      </c>
      <c r="I241" t="n">
        <v>0</v>
      </c>
      <c r="J241" t="n">
        <v>1</v>
      </c>
      <c r="K241" t="n">
        <v>0</v>
      </c>
      <c r="L241" t="n">
        <v>0</v>
      </c>
      <c r="M241" t="n">
        <v>0</v>
      </c>
      <c r="N241" t="n">
        <v>0</v>
      </c>
      <c r="O241" t="n">
        <v>1</v>
      </c>
      <c r="P241" t="n">
        <v>0</v>
      </c>
      <c r="Q241" t="n">
        <v>1</v>
      </c>
      <c r="R241" s="2" t="inlineStr">
        <is>
          <t>Mindre bastardsvärmare</t>
        </is>
      </c>
      <c r="S241">
        <f>HYPERLINK("https://klasma.github.io/Logging_1983/artfynd/A 31263-2024 artfynd.xlsx", "A 31263-2024")</f>
        <v/>
      </c>
      <c r="T241">
        <f>HYPERLINK("https://klasma.github.io/Logging_1983/kartor/A 31263-2024 karta.png", "A 31263-2024")</f>
        <v/>
      </c>
      <c r="V241">
        <f>HYPERLINK("https://klasma.github.io/Logging_1983/klagomål/A 31263-2024 FSC-klagomål.docx", "A 31263-2024")</f>
        <v/>
      </c>
      <c r="W241">
        <f>HYPERLINK("https://klasma.github.io/Logging_1983/klagomålsmail/A 31263-2024 FSC-klagomål mail.docx", "A 31263-2024")</f>
        <v/>
      </c>
      <c r="X241">
        <f>HYPERLINK("https://klasma.github.io/Logging_1983/tillsyn/A 31263-2024 tillsynsbegäran.docx", "A 31263-2024")</f>
        <v/>
      </c>
      <c r="Y241">
        <f>HYPERLINK("https://klasma.github.io/Logging_1983/tillsynsmail/A 31263-2024 tillsynsbegäran mail.docx", "A 31263-2024")</f>
        <v/>
      </c>
    </row>
    <row r="242" ht="15" customHeight="1">
      <c r="A242" t="inlineStr">
        <is>
          <t>A 41468-2024</t>
        </is>
      </c>
      <c r="B242" s="1" t="n">
        <v>45560</v>
      </c>
      <c r="C242" s="1" t="n">
        <v>45998</v>
      </c>
      <c r="D242" t="inlineStr">
        <is>
          <t>VÄSTMANLANDS LÄN</t>
        </is>
      </c>
      <c r="E242" t="inlineStr">
        <is>
          <t>NORBERG</t>
        </is>
      </c>
      <c r="F242" t="inlineStr">
        <is>
          <t>Bergvik skog väst AB</t>
        </is>
      </c>
      <c r="G242" t="n">
        <v>14.2</v>
      </c>
      <c r="H242" t="n">
        <v>1</v>
      </c>
      <c r="I242" t="n">
        <v>0</v>
      </c>
      <c r="J242" t="n">
        <v>0</v>
      </c>
      <c r="K242" t="n">
        <v>1</v>
      </c>
      <c r="L242" t="n">
        <v>0</v>
      </c>
      <c r="M242" t="n">
        <v>0</v>
      </c>
      <c r="N242" t="n">
        <v>0</v>
      </c>
      <c r="O242" t="n">
        <v>1</v>
      </c>
      <c r="P242" t="n">
        <v>1</v>
      </c>
      <c r="Q242" t="n">
        <v>1</v>
      </c>
      <c r="R242" s="2" t="inlineStr">
        <is>
          <t>Knärot</t>
        </is>
      </c>
      <c r="S242">
        <f>HYPERLINK("https://klasma.github.io/Logging_1962/artfynd/A 41468-2024 artfynd.xlsx", "A 41468-2024")</f>
        <v/>
      </c>
      <c r="T242">
        <f>HYPERLINK("https://klasma.github.io/Logging_1962/kartor/A 41468-2024 karta.png", "A 41468-2024")</f>
        <v/>
      </c>
      <c r="U242">
        <f>HYPERLINK("https://klasma.github.io/Logging_1962/knärot/A 41468-2024 karta knärot.png", "A 41468-2024")</f>
        <v/>
      </c>
      <c r="V242">
        <f>HYPERLINK("https://klasma.github.io/Logging_1962/klagomål/A 41468-2024 FSC-klagomål.docx", "A 41468-2024")</f>
        <v/>
      </c>
      <c r="W242">
        <f>HYPERLINK("https://klasma.github.io/Logging_1962/klagomålsmail/A 41468-2024 FSC-klagomål mail.docx", "A 41468-2024")</f>
        <v/>
      </c>
      <c r="X242">
        <f>HYPERLINK("https://klasma.github.io/Logging_1962/tillsyn/A 41468-2024 tillsynsbegäran.docx", "A 41468-2024")</f>
        <v/>
      </c>
      <c r="Y242">
        <f>HYPERLINK("https://klasma.github.io/Logging_1962/tillsynsmail/A 41468-2024 tillsynsbegäran mail.docx", "A 41468-2024")</f>
        <v/>
      </c>
    </row>
    <row r="243" ht="15" customHeight="1">
      <c r="A243" t="inlineStr">
        <is>
          <t>A 56279-2025</t>
        </is>
      </c>
      <c r="B243" s="1" t="n">
        <v>45974</v>
      </c>
      <c r="C243" s="1" t="n">
        <v>45998</v>
      </c>
      <c r="D243" t="inlineStr">
        <is>
          <t>VÄSTMANLANDS LÄN</t>
        </is>
      </c>
      <c r="E243" t="inlineStr">
        <is>
          <t>KÖPING</t>
        </is>
      </c>
      <c r="F243" t="inlineStr">
        <is>
          <t>Sveaskog</t>
        </is>
      </c>
      <c r="G243" t="n">
        <v>2.1</v>
      </c>
      <c r="H243" t="n">
        <v>1</v>
      </c>
      <c r="I243" t="n">
        <v>0</v>
      </c>
      <c r="J243" t="n">
        <v>0</v>
      </c>
      <c r="K243" t="n">
        <v>0</v>
      </c>
      <c r="L243" t="n">
        <v>0</v>
      </c>
      <c r="M243" t="n">
        <v>0</v>
      </c>
      <c r="N243" t="n">
        <v>0</v>
      </c>
      <c r="O243" t="n">
        <v>0</v>
      </c>
      <c r="P243" t="n">
        <v>0</v>
      </c>
      <c r="Q243" t="n">
        <v>1</v>
      </c>
      <c r="R243" s="2" t="inlineStr">
        <is>
          <t>Tjäder</t>
        </is>
      </c>
      <c r="S243">
        <f>HYPERLINK("https://klasma.github.io/Logging_1983/artfynd/A 56279-2025 artfynd.xlsx", "A 56279-2025")</f>
        <v/>
      </c>
      <c r="T243">
        <f>HYPERLINK("https://klasma.github.io/Logging_1983/kartor/A 56279-2025 karta.png", "A 56279-2025")</f>
        <v/>
      </c>
      <c r="V243">
        <f>HYPERLINK("https://klasma.github.io/Logging_1983/klagomål/A 56279-2025 FSC-klagomål.docx", "A 56279-2025")</f>
        <v/>
      </c>
      <c r="W243">
        <f>HYPERLINK("https://klasma.github.io/Logging_1983/klagomålsmail/A 56279-2025 FSC-klagomål mail.docx", "A 56279-2025")</f>
        <v/>
      </c>
      <c r="X243">
        <f>HYPERLINK("https://klasma.github.io/Logging_1983/tillsyn/A 56279-2025 tillsynsbegäran.docx", "A 56279-2025")</f>
        <v/>
      </c>
      <c r="Y243">
        <f>HYPERLINK("https://klasma.github.io/Logging_1983/tillsynsmail/A 56279-2025 tillsynsbegäran mail.docx", "A 56279-2025")</f>
        <v/>
      </c>
      <c r="Z243">
        <f>HYPERLINK("https://klasma.github.io/Logging_1983/fåglar/A 56279-2025 prioriterade fågelarter.docx", "A 56279-2025")</f>
        <v/>
      </c>
    </row>
    <row r="244" ht="15" customHeight="1">
      <c r="A244" t="inlineStr">
        <is>
          <t>A 48826-2025</t>
        </is>
      </c>
      <c r="B244" s="1" t="n">
        <v>45937.38243055555</v>
      </c>
      <c r="C244" s="1" t="n">
        <v>45998</v>
      </c>
      <c r="D244" t="inlineStr">
        <is>
          <t>VÄSTMANLANDS LÄN</t>
        </is>
      </c>
      <c r="E244" t="inlineStr">
        <is>
          <t>KÖPING</t>
        </is>
      </c>
      <c r="F244" t="inlineStr">
        <is>
          <t>Sveaskog</t>
        </is>
      </c>
      <c r="G244" t="n">
        <v>3.2</v>
      </c>
      <c r="H244" t="n">
        <v>0</v>
      </c>
      <c r="I244" t="n">
        <v>0</v>
      </c>
      <c r="J244" t="n">
        <v>1</v>
      </c>
      <c r="K244" t="n">
        <v>0</v>
      </c>
      <c r="L244" t="n">
        <v>0</v>
      </c>
      <c r="M244" t="n">
        <v>0</v>
      </c>
      <c r="N244" t="n">
        <v>0</v>
      </c>
      <c r="O244" t="n">
        <v>1</v>
      </c>
      <c r="P244" t="n">
        <v>0</v>
      </c>
      <c r="Q244" t="n">
        <v>1</v>
      </c>
      <c r="R244" s="2" t="inlineStr">
        <is>
          <t>Motaggsvamp</t>
        </is>
      </c>
      <c r="S244">
        <f>HYPERLINK("https://klasma.github.io/Logging_1983/artfynd/A 48826-2025 artfynd.xlsx", "A 48826-2025")</f>
        <v/>
      </c>
      <c r="T244">
        <f>HYPERLINK("https://klasma.github.io/Logging_1983/kartor/A 48826-2025 karta.png", "A 48826-2025")</f>
        <v/>
      </c>
      <c r="V244">
        <f>HYPERLINK("https://klasma.github.io/Logging_1983/klagomål/A 48826-2025 FSC-klagomål.docx", "A 48826-2025")</f>
        <v/>
      </c>
      <c r="W244">
        <f>HYPERLINK("https://klasma.github.io/Logging_1983/klagomålsmail/A 48826-2025 FSC-klagomål mail.docx", "A 48826-2025")</f>
        <v/>
      </c>
      <c r="X244">
        <f>HYPERLINK("https://klasma.github.io/Logging_1983/tillsyn/A 48826-2025 tillsynsbegäran.docx", "A 48826-2025")</f>
        <v/>
      </c>
      <c r="Y244">
        <f>HYPERLINK("https://klasma.github.io/Logging_1983/tillsynsmail/A 48826-2025 tillsynsbegäran mail.docx", "A 48826-2025")</f>
        <v/>
      </c>
    </row>
    <row r="245" ht="15" customHeight="1">
      <c r="A245" t="inlineStr">
        <is>
          <t>A 56768-2025</t>
        </is>
      </c>
      <c r="B245" s="1" t="n">
        <v>45978</v>
      </c>
      <c r="C245" s="1" t="n">
        <v>45998</v>
      </c>
      <c r="D245" t="inlineStr">
        <is>
          <t>VÄSTMANLANDS LÄN</t>
        </is>
      </c>
      <c r="E245" t="inlineStr">
        <is>
          <t>SURAHAMMAR</t>
        </is>
      </c>
      <c r="F245" t="inlineStr">
        <is>
          <t>Sveaskog</t>
        </is>
      </c>
      <c r="G245" t="n">
        <v>3.8</v>
      </c>
      <c r="H245" t="n">
        <v>0</v>
      </c>
      <c r="I245" t="n">
        <v>0</v>
      </c>
      <c r="J245" t="n">
        <v>1</v>
      </c>
      <c r="K245" t="n">
        <v>0</v>
      </c>
      <c r="L245" t="n">
        <v>0</v>
      </c>
      <c r="M245" t="n">
        <v>0</v>
      </c>
      <c r="N245" t="n">
        <v>0</v>
      </c>
      <c r="O245" t="n">
        <v>1</v>
      </c>
      <c r="P245" t="n">
        <v>0</v>
      </c>
      <c r="Q245" t="n">
        <v>1</v>
      </c>
      <c r="R245" s="2" t="inlineStr">
        <is>
          <t>Motaggsvamp</t>
        </is>
      </c>
      <c r="S245">
        <f>HYPERLINK("https://klasma.github.io/Logging_1907/artfynd/A 56768-2025 artfynd.xlsx", "A 56768-2025")</f>
        <v/>
      </c>
      <c r="T245">
        <f>HYPERLINK("https://klasma.github.io/Logging_1907/kartor/A 56768-2025 karta.png", "A 56768-2025")</f>
        <v/>
      </c>
      <c r="V245">
        <f>HYPERLINK("https://klasma.github.io/Logging_1907/klagomål/A 56768-2025 FSC-klagomål.docx", "A 56768-2025")</f>
        <v/>
      </c>
      <c r="W245">
        <f>HYPERLINK("https://klasma.github.io/Logging_1907/klagomålsmail/A 56768-2025 FSC-klagomål mail.docx", "A 56768-2025")</f>
        <v/>
      </c>
      <c r="X245">
        <f>HYPERLINK("https://klasma.github.io/Logging_1907/tillsyn/A 56768-2025 tillsynsbegäran.docx", "A 56768-2025")</f>
        <v/>
      </c>
      <c r="Y245">
        <f>HYPERLINK("https://klasma.github.io/Logging_1907/tillsynsmail/A 56768-2025 tillsynsbegäran mail.docx", "A 56768-2025")</f>
        <v/>
      </c>
    </row>
    <row r="246" ht="15" customHeight="1">
      <c r="A246" t="inlineStr">
        <is>
          <t>A 13788-2025</t>
        </is>
      </c>
      <c r="B246" s="1" t="n">
        <v>45737.45327546296</v>
      </c>
      <c r="C246" s="1" t="n">
        <v>45998</v>
      </c>
      <c r="D246" t="inlineStr">
        <is>
          <t>VÄSTMANLANDS LÄN</t>
        </is>
      </c>
      <c r="E246" t="inlineStr">
        <is>
          <t>SURAHAMMAR</t>
        </is>
      </c>
      <c r="G246" t="n">
        <v>9.699999999999999</v>
      </c>
      <c r="H246" t="n">
        <v>1</v>
      </c>
      <c r="I246" t="n">
        <v>0</v>
      </c>
      <c r="J246" t="n">
        <v>0</v>
      </c>
      <c r="K246" t="n">
        <v>0</v>
      </c>
      <c r="L246" t="n">
        <v>0</v>
      </c>
      <c r="M246" t="n">
        <v>0</v>
      </c>
      <c r="N246" t="n">
        <v>0</v>
      </c>
      <c r="O246" t="n">
        <v>0</v>
      </c>
      <c r="P246" t="n">
        <v>0</v>
      </c>
      <c r="Q246" t="n">
        <v>1</v>
      </c>
      <c r="R246" s="2" t="inlineStr">
        <is>
          <t>Sparvuggla</t>
        </is>
      </c>
      <c r="S246">
        <f>HYPERLINK("https://klasma.github.io/Logging_1907/artfynd/A 13788-2025 artfynd.xlsx", "A 13788-2025")</f>
        <v/>
      </c>
      <c r="T246">
        <f>HYPERLINK("https://klasma.github.io/Logging_1907/kartor/A 13788-2025 karta.png", "A 13788-2025")</f>
        <v/>
      </c>
      <c r="V246">
        <f>HYPERLINK("https://klasma.github.io/Logging_1907/klagomål/A 13788-2025 FSC-klagomål.docx", "A 13788-2025")</f>
        <v/>
      </c>
      <c r="W246">
        <f>HYPERLINK("https://klasma.github.io/Logging_1907/klagomålsmail/A 13788-2025 FSC-klagomål mail.docx", "A 13788-2025")</f>
        <v/>
      </c>
      <c r="X246">
        <f>HYPERLINK("https://klasma.github.io/Logging_1907/tillsyn/A 13788-2025 tillsynsbegäran.docx", "A 13788-2025")</f>
        <v/>
      </c>
      <c r="Y246">
        <f>HYPERLINK("https://klasma.github.io/Logging_1907/tillsynsmail/A 13788-2025 tillsynsbegäran mail.docx", "A 13788-2025")</f>
        <v/>
      </c>
      <c r="Z246">
        <f>HYPERLINK("https://klasma.github.io/Logging_1907/fåglar/A 13788-2025 prioriterade fågelarter.docx", "A 13788-2025")</f>
        <v/>
      </c>
    </row>
    <row r="247" ht="15" customHeight="1">
      <c r="A247" t="inlineStr">
        <is>
          <t>A 53052-2025</t>
        </is>
      </c>
      <c r="B247" s="1" t="n">
        <v>45958.36266203703</v>
      </c>
      <c r="C247" s="1" t="n">
        <v>45998</v>
      </c>
      <c r="D247" t="inlineStr">
        <is>
          <t>VÄSTMANLANDS LÄN</t>
        </is>
      </c>
      <c r="E247" t="inlineStr">
        <is>
          <t>SALA</t>
        </is>
      </c>
      <c r="F247" t="inlineStr">
        <is>
          <t>Sveaskog</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HYPERLINK("https://klasma.github.io/Logging_1981/artfynd/A 53052-2025 artfynd.xlsx", "A 53052-2025")</f>
        <v/>
      </c>
      <c r="T247">
        <f>HYPERLINK("https://klasma.github.io/Logging_1981/kartor/A 53052-2025 karta.png", "A 53052-2025")</f>
        <v/>
      </c>
      <c r="V247">
        <f>HYPERLINK("https://klasma.github.io/Logging_1981/klagomål/A 53052-2025 FSC-klagomål.docx", "A 53052-2025")</f>
        <v/>
      </c>
      <c r="W247">
        <f>HYPERLINK("https://klasma.github.io/Logging_1981/klagomålsmail/A 53052-2025 FSC-klagomål mail.docx", "A 53052-2025")</f>
        <v/>
      </c>
      <c r="X247">
        <f>HYPERLINK("https://klasma.github.io/Logging_1981/tillsyn/A 53052-2025 tillsynsbegäran.docx", "A 53052-2025")</f>
        <v/>
      </c>
      <c r="Y247">
        <f>HYPERLINK("https://klasma.github.io/Logging_1981/tillsynsmail/A 53052-2025 tillsynsbegäran mail.docx", "A 53052-2025")</f>
        <v/>
      </c>
    </row>
    <row r="248" ht="15" customHeight="1">
      <c r="A248" t="inlineStr">
        <is>
          <t>A 43942-2025</t>
        </is>
      </c>
      <c r="B248" s="1" t="n">
        <v>45915.36554398148</v>
      </c>
      <c r="C248" s="1" t="n">
        <v>45998</v>
      </c>
      <c r="D248" t="inlineStr">
        <is>
          <t>VÄSTMANLANDS LÄN</t>
        </is>
      </c>
      <c r="E248" t="inlineStr">
        <is>
          <t>KÖPING</t>
        </is>
      </c>
      <c r="G248" t="n">
        <v>4.2</v>
      </c>
      <c r="H248" t="n">
        <v>0</v>
      </c>
      <c r="I248" t="n">
        <v>0</v>
      </c>
      <c r="J248" t="n">
        <v>1</v>
      </c>
      <c r="K248" t="n">
        <v>0</v>
      </c>
      <c r="L248" t="n">
        <v>0</v>
      </c>
      <c r="M248" t="n">
        <v>0</v>
      </c>
      <c r="N248" t="n">
        <v>0</v>
      </c>
      <c r="O248" t="n">
        <v>1</v>
      </c>
      <c r="P248" t="n">
        <v>0</v>
      </c>
      <c r="Q248" t="n">
        <v>1</v>
      </c>
      <c r="R248" s="2" t="inlineStr">
        <is>
          <t>Storgröe</t>
        </is>
      </c>
      <c r="S248">
        <f>HYPERLINK("https://klasma.github.io/Logging_1983/artfynd/A 43942-2025 artfynd.xlsx", "A 43942-2025")</f>
        <v/>
      </c>
      <c r="T248">
        <f>HYPERLINK("https://klasma.github.io/Logging_1983/kartor/A 43942-2025 karta.png", "A 43942-2025")</f>
        <v/>
      </c>
      <c r="V248">
        <f>HYPERLINK("https://klasma.github.io/Logging_1983/klagomål/A 43942-2025 FSC-klagomål.docx", "A 43942-2025")</f>
        <v/>
      </c>
      <c r="W248">
        <f>HYPERLINK("https://klasma.github.io/Logging_1983/klagomålsmail/A 43942-2025 FSC-klagomål mail.docx", "A 43942-2025")</f>
        <v/>
      </c>
      <c r="X248">
        <f>HYPERLINK("https://klasma.github.io/Logging_1983/tillsyn/A 43942-2025 tillsynsbegäran.docx", "A 43942-2025")</f>
        <v/>
      </c>
      <c r="Y248">
        <f>HYPERLINK("https://klasma.github.io/Logging_1983/tillsynsmail/A 43942-2025 tillsynsbegäran mail.docx", "A 43942-2025")</f>
        <v/>
      </c>
    </row>
    <row r="249" ht="15" customHeight="1">
      <c r="A249" t="inlineStr">
        <is>
          <t>A 50268-2025</t>
        </is>
      </c>
      <c r="B249" s="1" t="n">
        <v>45944.35162037037</v>
      </c>
      <c r="C249" s="1" t="n">
        <v>45998</v>
      </c>
      <c r="D249" t="inlineStr">
        <is>
          <t>VÄSTMANLANDS LÄN</t>
        </is>
      </c>
      <c r="E249" t="inlineStr">
        <is>
          <t>SALA</t>
        </is>
      </c>
      <c r="G249" t="n">
        <v>0.7</v>
      </c>
      <c r="H249" t="n">
        <v>1</v>
      </c>
      <c r="I249" t="n">
        <v>0</v>
      </c>
      <c r="J249" t="n">
        <v>0</v>
      </c>
      <c r="K249" t="n">
        <v>0</v>
      </c>
      <c r="L249" t="n">
        <v>0</v>
      </c>
      <c r="M249" t="n">
        <v>0</v>
      </c>
      <c r="N249" t="n">
        <v>0</v>
      </c>
      <c r="O249" t="n">
        <v>0</v>
      </c>
      <c r="P249" t="n">
        <v>0</v>
      </c>
      <c r="Q249" t="n">
        <v>1</v>
      </c>
      <c r="R249" s="2" t="inlineStr">
        <is>
          <t>Fläcknycklar</t>
        </is>
      </c>
      <c r="S249">
        <f>HYPERLINK("https://klasma.github.io/Logging_1981/artfynd/A 50268-2025 artfynd.xlsx", "A 50268-2025")</f>
        <v/>
      </c>
      <c r="T249">
        <f>HYPERLINK("https://klasma.github.io/Logging_1981/kartor/A 50268-2025 karta.png", "A 50268-2025")</f>
        <v/>
      </c>
      <c r="V249">
        <f>HYPERLINK("https://klasma.github.io/Logging_1981/klagomål/A 50268-2025 FSC-klagomål.docx", "A 50268-2025")</f>
        <v/>
      </c>
      <c r="W249">
        <f>HYPERLINK("https://klasma.github.io/Logging_1981/klagomålsmail/A 50268-2025 FSC-klagomål mail.docx", "A 50268-2025")</f>
        <v/>
      </c>
      <c r="X249">
        <f>HYPERLINK("https://klasma.github.io/Logging_1981/tillsyn/A 50268-2025 tillsynsbegäran.docx", "A 50268-2025")</f>
        <v/>
      </c>
      <c r="Y249">
        <f>HYPERLINK("https://klasma.github.io/Logging_1981/tillsynsmail/A 50268-2025 tillsynsbegäran mail.docx", "A 50268-2025")</f>
        <v/>
      </c>
    </row>
    <row r="250" ht="15" customHeight="1">
      <c r="A250" t="inlineStr">
        <is>
          <t>A 45430-2025</t>
        </is>
      </c>
      <c r="B250" s="1" t="n">
        <v>45922.45571759259</v>
      </c>
      <c r="C250" s="1" t="n">
        <v>45998</v>
      </c>
      <c r="D250" t="inlineStr">
        <is>
          <t>VÄSTMANLANDS LÄN</t>
        </is>
      </c>
      <c r="E250" t="inlineStr">
        <is>
          <t>SKINNSKATTEBERG</t>
        </is>
      </c>
      <c r="F250" t="inlineStr">
        <is>
          <t>Sveaskog</t>
        </is>
      </c>
      <c r="G250" t="n">
        <v>14.2</v>
      </c>
      <c r="H250" t="n">
        <v>0</v>
      </c>
      <c r="I250" t="n">
        <v>0</v>
      </c>
      <c r="J250" t="n">
        <v>1</v>
      </c>
      <c r="K250" t="n">
        <v>0</v>
      </c>
      <c r="L250" t="n">
        <v>0</v>
      </c>
      <c r="M250" t="n">
        <v>0</v>
      </c>
      <c r="N250" t="n">
        <v>0</v>
      </c>
      <c r="O250" t="n">
        <v>1</v>
      </c>
      <c r="P250" t="n">
        <v>0</v>
      </c>
      <c r="Q250" t="n">
        <v>1</v>
      </c>
      <c r="R250" s="2" t="inlineStr">
        <is>
          <t>Motaggsvamp</t>
        </is>
      </c>
      <c r="S250">
        <f>HYPERLINK("https://klasma.github.io/Logging_1904/artfynd/A 45430-2025 artfynd.xlsx", "A 45430-2025")</f>
        <v/>
      </c>
      <c r="T250">
        <f>HYPERLINK("https://klasma.github.io/Logging_1904/kartor/A 45430-2025 karta.png", "A 45430-2025")</f>
        <v/>
      </c>
      <c r="U250">
        <f>HYPERLINK("https://klasma.github.io/Logging_1904/knärot/A 45430-2025 karta knärot.png", "A 45430-2025")</f>
        <v/>
      </c>
      <c r="V250">
        <f>HYPERLINK("https://klasma.github.io/Logging_1904/klagomål/A 45430-2025 FSC-klagomål.docx", "A 45430-2025")</f>
        <v/>
      </c>
      <c r="W250">
        <f>HYPERLINK("https://klasma.github.io/Logging_1904/klagomålsmail/A 45430-2025 FSC-klagomål mail.docx", "A 45430-2025")</f>
        <v/>
      </c>
      <c r="X250">
        <f>HYPERLINK("https://klasma.github.io/Logging_1904/tillsyn/A 45430-2025 tillsynsbegäran.docx", "A 45430-2025")</f>
        <v/>
      </c>
      <c r="Y250">
        <f>HYPERLINK("https://klasma.github.io/Logging_1904/tillsynsmail/A 45430-2025 tillsynsbegäran mail.docx", "A 45430-2025")</f>
        <v/>
      </c>
    </row>
    <row r="251" ht="15" customHeight="1">
      <c r="A251" t="inlineStr">
        <is>
          <t>A 59140-2025</t>
        </is>
      </c>
      <c r="B251" s="1" t="n">
        <v>45988.51075231482</v>
      </c>
      <c r="C251" s="1" t="n">
        <v>45998</v>
      </c>
      <c r="D251" t="inlineStr">
        <is>
          <t>VÄSTMANLANDS LÄN</t>
        </is>
      </c>
      <c r="E251" t="inlineStr">
        <is>
          <t>VÄSTERÅS</t>
        </is>
      </c>
      <c r="F251" t="inlineStr">
        <is>
          <t>Sveaskog</t>
        </is>
      </c>
      <c r="G251" t="n">
        <v>3.6</v>
      </c>
      <c r="H251" t="n">
        <v>1</v>
      </c>
      <c r="I251" t="n">
        <v>0</v>
      </c>
      <c r="J251" t="n">
        <v>0</v>
      </c>
      <c r="K251" t="n">
        <v>0</v>
      </c>
      <c r="L251" t="n">
        <v>0</v>
      </c>
      <c r="M251" t="n">
        <v>0</v>
      </c>
      <c r="N251" t="n">
        <v>0</v>
      </c>
      <c r="O251" t="n">
        <v>0</v>
      </c>
      <c r="P251" t="n">
        <v>0</v>
      </c>
      <c r="Q251" t="n">
        <v>1</v>
      </c>
      <c r="R251" s="2" t="inlineStr">
        <is>
          <t>Fiskgjuse</t>
        </is>
      </c>
      <c r="S251">
        <f>HYPERLINK("https://klasma.github.io/Logging_1980/artfynd/A 59140-2025 artfynd.xlsx", "A 59140-2025")</f>
        <v/>
      </c>
      <c r="T251">
        <f>HYPERLINK("https://klasma.github.io/Logging_1980/kartor/A 59140-2025 karta.png", "A 59140-2025")</f>
        <v/>
      </c>
      <c r="V251">
        <f>HYPERLINK("https://klasma.github.io/Logging_1980/klagomål/A 59140-2025 FSC-klagomål.docx", "A 59140-2025")</f>
        <v/>
      </c>
      <c r="W251">
        <f>HYPERLINK("https://klasma.github.io/Logging_1980/klagomålsmail/A 59140-2025 FSC-klagomål mail.docx", "A 59140-2025")</f>
        <v/>
      </c>
      <c r="X251">
        <f>HYPERLINK("https://klasma.github.io/Logging_1980/tillsyn/A 59140-2025 tillsynsbegäran.docx", "A 59140-2025")</f>
        <v/>
      </c>
      <c r="Y251">
        <f>HYPERLINK("https://klasma.github.io/Logging_1980/tillsynsmail/A 59140-2025 tillsynsbegäran mail.docx", "A 59140-2025")</f>
        <v/>
      </c>
      <c r="Z251">
        <f>HYPERLINK("https://klasma.github.io/Logging_1980/fåglar/A 59140-2025 prioriterade fågelarter.docx", "A 59140-2025")</f>
        <v/>
      </c>
    </row>
    <row r="252" ht="15" customHeight="1">
      <c r="A252" t="inlineStr">
        <is>
          <t>A 59143-2025</t>
        </is>
      </c>
      <c r="B252" s="1" t="n">
        <v>45988.51401620371</v>
      </c>
      <c r="C252" s="1" t="n">
        <v>45998</v>
      </c>
      <c r="D252" t="inlineStr">
        <is>
          <t>VÄSTMANLANDS LÄN</t>
        </is>
      </c>
      <c r="E252" t="inlineStr">
        <is>
          <t>VÄSTERÅS</t>
        </is>
      </c>
      <c r="F252" t="inlineStr">
        <is>
          <t>Sveaskog</t>
        </is>
      </c>
      <c r="G252" t="n">
        <v>12.4</v>
      </c>
      <c r="H252" t="n">
        <v>0</v>
      </c>
      <c r="I252" t="n">
        <v>1</v>
      </c>
      <c r="J252" t="n">
        <v>0</v>
      </c>
      <c r="K252" t="n">
        <v>0</v>
      </c>
      <c r="L252" t="n">
        <v>0</v>
      </c>
      <c r="M252" t="n">
        <v>0</v>
      </c>
      <c r="N252" t="n">
        <v>0</v>
      </c>
      <c r="O252" t="n">
        <v>0</v>
      </c>
      <c r="P252" t="n">
        <v>0</v>
      </c>
      <c r="Q252" t="n">
        <v>1</v>
      </c>
      <c r="R252" s="2" t="inlineStr">
        <is>
          <t>Grönpyrola</t>
        </is>
      </c>
      <c r="S252">
        <f>HYPERLINK("https://klasma.github.io/Logging_1980/artfynd/A 59143-2025 artfynd.xlsx", "A 59143-2025")</f>
        <v/>
      </c>
      <c r="T252">
        <f>HYPERLINK("https://klasma.github.io/Logging_1980/kartor/A 59143-2025 karta.png", "A 59143-2025")</f>
        <v/>
      </c>
      <c r="V252">
        <f>HYPERLINK("https://klasma.github.io/Logging_1980/klagomål/A 59143-2025 FSC-klagomål.docx", "A 59143-2025")</f>
        <v/>
      </c>
      <c r="W252">
        <f>HYPERLINK("https://klasma.github.io/Logging_1980/klagomålsmail/A 59143-2025 FSC-klagomål mail.docx", "A 59143-2025")</f>
        <v/>
      </c>
      <c r="X252">
        <f>HYPERLINK("https://klasma.github.io/Logging_1980/tillsyn/A 59143-2025 tillsynsbegäran.docx", "A 59143-2025")</f>
        <v/>
      </c>
      <c r="Y252">
        <f>HYPERLINK("https://klasma.github.io/Logging_1980/tillsynsmail/A 59143-2025 tillsynsbegäran mail.docx", "A 59143-2025")</f>
        <v/>
      </c>
    </row>
    <row r="253" ht="15" customHeight="1">
      <c r="A253" t="inlineStr">
        <is>
          <t>A 59144-2025</t>
        </is>
      </c>
      <c r="B253" s="1" t="n">
        <v>45988.51458333333</v>
      </c>
      <c r="C253" s="1" t="n">
        <v>45998</v>
      </c>
      <c r="D253" t="inlineStr">
        <is>
          <t>VÄSTMANLANDS LÄN</t>
        </is>
      </c>
      <c r="E253" t="inlineStr">
        <is>
          <t>VÄSTERÅS</t>
        </is>
      </c>
      <c r="F253" t="inlineStr">
        <is>
          <t>Sveaskog</t>
        </is>
      </c>
      <c r="G253" t="n">
        <v>6.3</v>
      </c>
      <c r="H253" t="n">
        <v>1</v>
      </c>
      <c r="I253" t="n">
        <v>0</v>
      </c>
      <c r="J253" t="n">
        <v>0</v>
      </c>
      <c r="K253" t="n">
        <v>0</v>
      </c>
      <c r="L253" t="n">
        <v>0</v>
      </c>
      <c r="M253" t="n">
        <v>0</v>
      </c>
      <c r="N253" t="n">
        <v>0</v>
      </c>
      <c r="O253" t="n">
        <v>0</v>
      </c>
      <c r="P253" t="n">
        <v>0</v>
      </c>
      <c r="Q253" t="n">
        <v>1</v>
      </c>
      <c r="R253" s="2" t="inlineStr">
        <is>
          <t>Fläcknycklar</t>
        </is>
      </c>
      <c r="S253">
        <f>HYPERLINK("https://klasma.github.io/Logging_1980/artfynd/A 59144-2025 artfynd.xlsx", "A 59144-2025")</f>
        <v/>
      </c>
      <c r="T253">
        <f>HYPERLINK("https://klasma.github.io/Logging_1980/kartor/A 59144-2025 karta.png", "A 59144-2025")</f>
        <v/>
      </c>
      <c r="V253">
        <f>HYPERLINK("https://klasma.github.io/Logging_1980/klagomål/A 59144-2025 FSC-klagomål.docx", "A 59144-2025")</f>
        <v/>
      </c>
      <c r="W253">
        <f>HYPERLINK("https://klasma.github.io/Logging_1980/klagomålsmail/A 59144-2025 FSC-klagomål mail.docx", "A 59144-2025")</f>
        <v/>
      </c>
      <c r="X253">
        <f>HYPERLINK("https://klasma.github.io/Logging_1980/tillsyn/A 59144-2025 tillsynsbegäran.docx", "A 59144-2025")</f>
        <v/>
      </c>
      <c r="Y253">
        <f>HYPERLINK("https://klasma.github.io/Logging_1980/tillsynsmail/A 59144-2025 tillsynsbegäran mail.docx", "A 59144-2025")</f>
        <v/>
      </c>
    </row>
    <row r="254" ht="15" customHeight="1">
      <c r="A254" t="inlineStr">
        <is>
          <t>A 28489-2025</t>
        </is>
      </c>
      <c r="B254" s="1" t="n">
        <v>45819.46664351852</v>
      </c>
      <c r="C254" s="1" t="n">
        <v>45998</v>
      </c>
      <c r="D254" t="inlineStr">
        <is>
          <t>VÄSTMANLANDS LÄN</t>
        </is>
      </c>
      <c r="E254" t="inlineStr">
        <is>
          <t>VÄSTERÅS</t>
        </is>
      </c>
      <c r="F254" t="inlineStr">
        <is>
          <t>Allmännings- och besparingsskogar</t>
        </is>
      </c>
      <c r="G254" t="n">
        <v>1.8</v>
      </c>
      <c r="H254" t="n">
        <v>0</v>
      </c>
      <c r="I254" t="n">
        <v>1</v>
      </c>
      <c r="J254" t="n">
        <v>0</v>
      </c>
      <c r="K254" t="n">
        <v>0</v>
      </c>
      <c r="L254" t="n">
        <v>0</v>
      </c>
      <c r="M254" t="n">
        <v>0</v>
      </c>
      <c r="N254" t="n">
        <v>0</v>
      </c>
      <c r="O254" t="n">
        <v>0</v>
      </c>
      <c r="P254" t="n">
        <v>0</v>
      </c>
      <c r="Q254" t="n">
        <v>1</v>
      </c>
      <c r="R254" s="2" t="inlineStr">
        <is>
          <t>Bollvitmossa</t>
        </is>
      </c>
      <c r="S254">
        <f>HYPERLINK("https://klasma.github.io/Logging_1980/artfynd/A 28489-2025 artfynd.xlsx", "A 28489-2025")</f>
        <v/>
      </c>
      <c r="T254">
        <f>HYPERLINK("https://klasma.github.io/Logging_1980/kartor/A 28489-2025 karta.png", "A 28489-2025")</f>
        <v/>
      </c>
      <c r="V254">
        <f>HYPERLINK("https://klasma.github.io/Logging_1980/klagomål/A 28489-2025 FSC-klagomål.docx", "A 28489-2025")</f>
        <v/>
      </c>
      <c r="W254">
        <f>HYPERLINK("https://klasma.github.io/Logging_1980/klagomålsmail/A 28489-2025 FSC-klagomål mail.docx", "A 28489-2025")</f>
        <v/>
      </c>
      <c r="X254">
        <f>HYPERLINK("https://klasma.github.io/Logging_1980/tillsyn/A 28489-2025 tillsynsbegäran.docx", "A 28489-2025")</f>
        <v/>
      </c>
      <c r="Y254">
        <f>HYPERLINK("https://klasma.github.io/Logging_1980/tillsynsmail/A 28489-2025 tillsynsbegäran mail.docx", "A 28489-2025")</f>
        <v/>
      </c>
    </row>
    <row r="255" ht="15" customHeight="1">
      <c r="A255" t="inlineStr">
        <is>
          <t>A 50756-2025</t>
        </is>
      </c>
      <c r="B255" s="1" t="n">
        <v>45946.41099537037</v>
      </c>
      <c r="C255" s="1" t="n">
        <v>45998</v>
      </c>
      <c r="D255" t="inlineStr">
        <is>
          <t>VÄSTMANLANDS LÄN</t>
        </is>
      </c>
      <c r="E255" t="inlineStr">
        <is>
          <t>KÖPING</t>
        </is>
      </c>
      <c r="F255" t="inlineStr">
        <is>
          <t>Sveaskog</t>
        </is>
      </c>
      <c r="G255" t="n">
        <v>12.7</v>
      </c>
      <c r="H255" t="n">
        <v>0</v>
      </c>
      <c r="I255" t="n">
        <v>0</v>
      </c>
      <c r="J255" t="n">
        <v>1</v>
      </c>
      <c r="K255" t="n">
        <v>0</v>
      </c>
      <c r="L255" t="n">
        <v>0</v>
      </c>
      <c r="M255" t="n">
        <v>0</v>
      </c>
      <c r="N255" t="n">
        <v>0</v>
      </c>
      <c r="O255" t="n">
        <v>1</v>
      </c>
      <c r="P255" t="n">
        <v>0</v>
      </c>
      <c r="Q255" t="n">
        <v>1</v>
      </c>
      <c r="R255" s="2" t="inlineStr">
        <is>
          <t>Motaggsvamp</t>
        </is>
      </c>
      <c r="S255">
        <f>HYPERLINK("https://klasma.github.io/Logging_1983/artfynd/A 50756-2025 artfynd.xlsx", "A 50756-2025")</f>
        <v/>
      </c>
      <c r="T255">
        <f>HYPERLINK("https://klasma.github.io/Logging_1983/kartor/A 50756-2025 karta.png", "A 50756-2025")</f>
        <v/>
      </c>
      <c r="V255">
        <f>HYPERLINK("https://klasma.github.io/Logging_1983/klagomål/A 50756-2025 FSC-klagomål.docx", "A 50756-2025")</f>
        <v/>
      </c>
      <c r="W255">
        <f>HYPERLINK("https://klasma.github.io/Logging_1983/klagomålsmail/A 50756-2025 FSC-klagomål mail.docx", "A 50756-2025")</f>
        <v/>
      </c>
      <c r="X255">
        <f>HYPERLINK("https://klasma.github.io/Logging_1983/tillsyn/A 50756-2025 tillsynsbegäran.docx", "A 50756-2025")</f>
        <v/>
      </c>
      <c r="Y255">
        <f>HYPERLINK("https://klasma.github.io/Logging_1983/tillsynsmail/A 50756-2025 tillsynsbegäran mail.docx", "A 50756-2025")</f>
        <v/>
      </c>
    </row>
    <row r="256" ht="15" customHeight="1">
      <c r="A256" t="inlineStr">
        <is>
          <t>A 28500-2025</t>
        </is>
      </c>
      <c r="B256" s="1" t="n">
        <v>45819.47195601852</v>
      </c>
      <c r="C256" s="1" t="n">
        <v>45998</v>
      </c>
      <c r="D256" t="inlineStr">
        <is>
          <t>VÄSTMANLANDS LÄN</t>
        </is>
      </c>
      <c r="E256" t="inlineStr">
        <is>
          <t>KÖPING</t>
        </is>
      </c>
      <c r="F256" t="inlineStr">
        <is>
          <t>Sveaskog</t>
        </is>
      </c>
      <c r="G256" t="n">
        <v>0.6</v>
      </c>
      <c r="H256" t="n">
        <v>0</v>
      </c>
      <c r="I256" t="n">
        <v>0</v>
      </c>
      <c r="J256" t="n">
        <v>1</v>
      </c>
      <c r="K256" t="n">
        <v>0</v>
      </c>
      <c r="L256" t="n">
        <v>0</v>
      </c>
      <c r="M256" t="n">
        <v>0</v>
      </c>
      <c r="N256" t="n">
        <v>0</v>
      </c>
      <c r="O256" t="n">
        <v>1</v>
      </c>
      <c r="P256" t="n">
        <v>0</v>
      </c>
      <c r="Q256" t="n">
        <v>1</v>
      </c>
      <c r="R256" s="2" t="inlineStr">
        <is>
          <t>Svinrot</t>
        </is>
      </c>
      <c r="S256">
        <f>HYPERLINK("https://klasma.github.io/Logging_1983/artfynd/A 28500-2025 artfynd.xlsx", "A 28500-2025")</f>
        <v/>
      </c>
      <c r="T256">
        <f>HYPERLINK("https://klasma.github.io/Logging_1983/kartor/A 28500-2025 karta.png", "A 28500-2025")</f>
        <v/>
      </c>
      <c r="V256">
        <f>HYPERLINK("https://klasma.github.io/Logging_1983/klagomål/A 28500-2025 FSC-klagomål.docx", "A 28500-2025")</f>
        <v/>
      </c>
      <c r="W256">
        <f>HYPERLINK("https://klasma.github.io/Logging_1983/klagomålsmail/A 28500-2025 FSC-klagomål mail.docx", "A 28500-2025")</f>
        <v/>
      </c>
      <c r="X256">
        <f>HYPERLINK("https://klasma.github.io/Logging_1983/tillsyn/A 28500-2025 tillsynsbegäran.docx", "A 28500-2025")</f>
        <v/>
      </c>
      <c r="Y256">
        <f>HYPERLINK("https://klasma.github.io/Logging_1983/tillsynsmail/A 28500-2025 tillsynsbegäran mail.docx", "A 28500-2025")</f>
        <v/>
      </c>
    </row>
    <row r="257" ht="15" customHeight="1">
      <c r="A257" t="inlineStr">
        <is>
          <t>A 16374-2025</t>
        </is>
      </c>
      <c r="B257" s="1" t="n">
        <v>45751.40921296296</v>
      </c>
      <c r="C257" s="1" t="n">
        <v>45998</v>
      </c>
      <c r="D257" t="inlineStr">
        <is>
          <t>VÄSTMANLANDS LÄN</t>
        </is>
      </c>
      <c r="E257" t="inlineStr">
        <is>
          <t>VÄSTERÅS</t>
        </is>
      </c>
      <c r="G257" t="n">
        <v>0.6</v>
      </c>
      <c r="H257" t="n">
        <v>0</v>
      </c>
      <c r="I257" t="n">
        <v>1</v>
      </c>
      <c r="J257" t="n">
        <v>0</v>
      </c>
      <c r="K257" t="n">
        <v>0</v>
      </c>
      <c r="L257" t="n">
        <v>0</v>
      </c>
      <c r="M257" t="n">
        <v>0</v>
      </c>
      <c r="N257" t="n">
        <v>0</v>
      </c>
      <c r="O257" t="n">
        <v>0</v>
      </c>
      <c r="P257" t="n">
        <v>0</v>
      </c>
      <c r="Q257" t="n">
        <v>1</v>
      </c>
      <c r="R257" s="2" t="inlineStr">
        <is>
          <t>Lönnlav</t>
        </is>
      </c>
      <c r="S257">
        <f>HYPERLINK("https://klasma.github.io/Logging_1980/artfynd/A 16374-2025 artfynd.xlsx", "A 16374-2025")</f>
        <v/>
      </c>
      <c r="T257">
        <f>HYPERLINK("https://klasma.github.io/Logging_1980/kartor/A 16374-2025 karta.png", "A 16374-2025")</f>
        <v/>
      </c>
      <c r="V257">
        <f>HYPERLINK("https://klasma.github.io/Logging_1980/klagomål/A 16374-2025 FSC-klagomål.docx", "A 16374-2025")</f>
        <v/>
      </c>
      <c r="W257">
        <f>HYPERLINK("https://klasma.github.io/Logging_1980/klagomålsmail/A 16374-2025 FSC-klagomål mail.docx", "A 16374-2025")</f>
        <v/>
      </c>
      <c r="X257">
        <f>HYPERLINK("https://klasma.github.io/Logging_1980/tillsyn/A 16374-2025 tillsynsbegäran.docx", "A 16374-2025")</f>
        <v/>
      </c>
      <c r="Y257">
        <f>HYPERLINK("https://klasma.github.io/Logging_1980/tillsynsmail/A 16374-2025 tillsynsbegäran mail.docx", "A 16374-2025")</f>
        <v/>
      </c>
    </row>
    <row r="258" ht="15" customHeight="1">
      <c r="A258" t="inlineStr">
        <is>
          <t>A 55042-2025</t>
        </is>
      </c>
      <c r="B258" s="1" t="n">
        <v>45967.65858796296</v>
      </c>
      <c r="C258" s="1" t="n">
        <v>45998</v>
      </c>
      <c r="D258" t="inlineStr">
        <is>
          <t>VÄSTMANLANDS LÄN</t>
        </is>
      </c>
      <c r="E258" t="inlineStr">
        <is>
          <t>SURAHAMMAR</t>
        </is>
      </c>
      <c r="F258" t="inlineStr">
        <is>
          <t>Sveaskog</t>
        </is>
      </c>
      <c r="G258" t="n">
        <v>7.2</v>
      </c>
      <c r="H258" t="n">
        <v>0</v>
      </c>
      <c r="I258" t="n">
        <v>0</v>
      </c>
      <c r="J258" t="n">
        <v>1</v>
      </c>
      <c r="K258" t="n">
        <v>0</v>
      </c>
      <c r="L258" t="n">
        <v>0</v>
      </c>
      <c r="M258" t="n">
        <v>0</v>
      </c>
      <c r="N258" t="n">
        <v>0</v>
      </c>
      <c r="O258" t="n">
        <v>1</v>
      </c>
      <c r="P258" t="n">
        <v>0</v>
      </c>
      <c r="Q258" t="n">
        <v>1</v>
      </c>
      <c r="R258" s="2" t="inlineStr">
        <is>
          <t>Motaggsvamp</t>
        </is>
      </c>
      <c r="S258">
        <f>HYPERLINK("https://klasma.github.io/Logging_1907/artfynd/A 55042-2025 artfynd.xlsx", "A 55042-2025")</f>
        <v/>
      </c>
      <c r="T258">
        <f>HYPERLINK("https://klasma.github.io/Logging_1907/kartor/A 55042-2025 karta.png", "A 55042-2025")</f>
        <v/>
      </c>
      <c r="V258">
        <f>HYPERLINK("https://klasma.github.io/Logging_1907/klagomål/A 55042-2025 FSC-klagomål.docx", "A 55042-2025")</f>
        <v/>
      </c>
      <c r="W258">
        <f>HYPERLINK("https://klasma.github.io/Logging_1907/klagomålsmail/A 55042-2025 FSC-klagomål mail.docx", "A 55042-2025")</f>
        <v/>
      </c>
      <c r="X258">
        <f>HYPERLINK("https://klasma.github.io/Logging_1907/tillsyn/A 55042-2025 tillsynsbegäran.docx", "A 55042-2025")</f>
        <v/>
      </c>
      <c r="Y258">
        <f>HYPERLINK("https://klasma.github.io/Logging_1907/tillsynsmail/A 55042-2025 tillsynsbegäran mail.docx", "A 55042-2025")</f>
        <v/>
      </c>
    </row>
    <row r="259" ht="15" customHeight="1">
      <c r="A259" t="inlineStr">
        <is>
          <t>A 30159-2025</t>
        </is>
      </c>
      <c r="B259" s="1" t="n">
        <v>45827.32181712963</v>
      </c>
      <c r="C259" s="1" t="n">
        <v>45998</v>
      </c>
      <c r="D259" t="inlineStr">
        <is>
          <t>VÄSTMANLANDS LÄN</t>
        </is>
      </c>
      <c r="E259" t="inlineStr">
        <is>
          <t>SKINNSKATTEBERG</t>
        </is>
      </c>
      <c r="F259" t="inlineStr">
        <is>
          <t>Sveaskog</t>
        </is>
      </c>
      <c r="G259" t="n">
        <v>11</v>
      </c>
      <c r="H259" t="n">
        <v>1</v>
      </c>
      <c r="I259" t="n">
        <v>0</v>
      </c>
      <c r="J259" t="n">
        <v>0</v>
      </c>
      <c r="K259" t="n">
        <v>0</v>
      </c>
      <c r="L259" t="n">
        <v>0</v>
      </c>
      <c r="M259" t="n">
        <v>0</v>
      </c>
      <c r="N259" t="n">
        <v>0</v>
      </c>
      <c r="O259" t="n">
        <v>0</v>
      </c>
      <c r="P259" t="n">
        <v>0</v>
      </c>
      <c r="Q259" t="n">
        <v>1</v>
      </c>
      <c r="R259" s="2" t="inlineStr">
        <is>
          <t>Revlummer</t>
        </is>
      </c>
      <c r="S259">
        <f>HYPERLINK("https://klasma.github.io/Logging_1904/artfynd/A 30159-2025 artfynd.xlsx", "A 30159-2025")</f>
        <v/>
      </c>
      <c r="T259">
        <f>HYPERLINK("https://klasma.github.io/Logging_1904/kartor/A 30159-2025 karta.png", "A 30159-2025")</f>
        <v/>
      </c>
      <c r="V259">
        <f>HYPERLINK("https://klasma.github.io/Logging_1904/klagomål/A 30159-2025 FSC-klagomål.docx", "A 30159-2025")</f>
        <v/>
      </c>
      <c r="W259">
        <f>HYPERLINK("https://klasma.github.io/Logging_1904/klagomålsmail/A 30159-2025 FSC-klagomål mail.docx", "A 30159-2025")</f>
        <v/>
      </c>
      <c r="X259">
        <f>HYPERLINK("https://klasma.github.io/Logging_1904/tillsyn/A 30159-2025 tillsynsbegäran.docx", "A 30159-2025")</f>
        <v/>
      </c>
      <c r="Y259">
        <f>HYPERLINK("https://klasma.github.io/Logging_1904/tillsynsmail/A 30159-2025 tillsynsbegäran mail.docx", "A 30159-2025")</f>
        <v/>
      </c>
    </row>
    <row r="260" ht="15" customHeight="1">
      <c r="A260" t="inlineStr">
        <is>
          <t>A 31006-2025</t>
        </is>
      </c>
      <c r="B260" s="1" t="n">
        <v>45832.49878472222</v>
      </c>
      <c r="C260" s="1" t="n">
        <v>45998</v>
      </c>
      <c r="D260" t="inlineStr">
        <is>
          <t>VÄSTMANLANDS LÄN</t>
        </is>
      </c>
      <c r="E260" t="inlineStr">
        <is>
          <t>SKINNSKATTEBERG</t>
        </is>
      </c>
      <c r="F260" t="inlineStr">
        <is>
          <t>Sveaskog</t>
        </is>
      </c>
      <c r="G260" t="n">
        <v>3.8</v>
      </c>
      <c r="H260" t="n">
        <v>1</v>
      </c>
      <c r="I260" t="n">
        <v>0</v>
      </c>
      <c r="J260" t="n">
        <v>1</v>
      </c>
      <c r="K260" t="n">
        <v>0</v>
      </c>
      <c r="L260" t="n">
        <v>0</v>
      </c>
      <c r="M260" t="n">
        <v>0</v>
      </c>
      <c r="N260" t="n">
        <v>0</v>
      </c>
      <c r="O260" t="n">
        <v>1</v>
      </c>
      <c r="P260" t="n">
        <v>0</v>
      </c>
      <c r="Q260" t="n">
        <v>1</v>
      </c>
      <c r="R260" s="2" t="inlineStr">
        <is>
          <t>Spillkråka</t>
        </is>
      </c>
      <c r="S260">
        <f>HYPERLINK("https://klasma.github.io/Logging_1904/artfynd/A 31006-2025 artfynd.xlsx", "A 31006-2025")</f>
        <v/>
      </c>
      <c r="T260">
        <f>HYPERLINK("https://klasma.github.io/Logging_1904/kartor/A 31006-2025 karta.png", "A 31006-2025")</f>
        <v/>
      </c>
      <c r="V260">
        <f>HYPERLINK("https://klasma.github.io/Logging_1904/klagomål/A 31006-2025 FSC-klagomål.docx", "A 31006-2025")</f>
        <v/>
      </c>
      <c r="W260">
        <f>HYPERLINK("https://klasma.github.io/Logging_1904/klagomålsmail/A 31006-2025 FSC-klagomål mail.docx", "A 31006-2025")</f>
        <v/>
      </c>
      <c r="X260">
        <f>HYPERLINK("https://klasma.github.io/Logging_1904/tillsyn/A 31006-2025 tillsynsbegäran.docx", "A 31006-2025")</f>
        <v/>
      </c>
      <c r="Y260">
        <f>HYPERLINK("https://klasma.github.io/Logging_1904/tillsynsmail/A 31006-2025 tillsynsbegäran mail.docx", "A 31006-2025")</f>
        <v/>
      </c>
      <c r="Z260">
        <f>HYPERLINK("https://klasma.github.io/Logging_1904/fåglar/A 31006-2025 prioriterade fågelarter.docx", "A 31006-2025")</f>
        <v/>
      </c>
    </row>
    <row r="261" ht="15" customHeight="1">
      <c r="A261" t="inlineStr">
        <is>
          <t>A 35206-2025</t>
        </is>
      </c>
      <c r="B261" s="1" t="n">
        <v>45853</v>
      </c>
      <c r="C261" s="1" t="n">
        <v>45998</v>
      </c>
      <c r="D261" t="inlineStr">
        <is>
          <t>VÄSTMANLANDS LÄN</t>
        </is>
      </c>
      <c r="E261" t="inlineStr">
        <is>
          <t>KÖPING</t>
        </is>
      </c>
      <c r="F261" t="inlineStr">
        <is>
          <t>Allmännings- och besparingsskogar</t>
        </is>
      </c>
      <c r="G261" t="n">
        <v>9.800000000000001</v>
      </c>
      <c r="H261" t="n">
        <v>1</v>
      </c>
      <c r="I261" t="n">
        <v>0</v>
      </c>
      <c r="J261" t="n">
        <v>0</v>
      </c>
      <c r="K261" t="n">
        <v>0</v>
      </c>
      <c r="L261" t="n">
        <v>0</v>
      </c>
      <c r="M261" t="n">
        <v>0</v>
      </c>
      <c r="N261" t="n">
        <v>0</v>
      </c>
      <c r="O261" t="n">
        <v>0</v>
      </c>
      <c r="P261" t="n">
        <v>0</v>
      </c>
      <c r="Q261" t="n">
        <v>1</v>
      </c>
      <c r="R261" s="2" t="inlineStr">
        <is>
          <t>Tjäder</t>
        </is>
      </c>
      <c r="S261">
        <f>HYPERLINK("https://klasma.github.io/Logging_1983/artfynd/A 35206-2025 artfynd.xlsx", "A 35206-2025")</f>
        <v/>
      </c>
      <c r="T261">
        <f>HYPERLINK("https://klasma.github.io/Logging_1983/kartor/A 35206-2025 karta.png", "A 35206-2025")</f>
        <v/>
      </c>
      <c r="U261">
        <f>HYPERLINK("https://klasma.github.io/Logging_1983/knärot/A 35206-2025 karta knärot.png", "A 35206-2025")</f>
        <v/>
      </c>
      <c r="V261">
        <f>HYPERLINK("https://klasma.github.io/Logging_1983/klagomål/A 35206-2025 FSC-klagomål.docx", "A 35206-2025")</f>
        <v/>
      </c>
      <c r="W261">
        <f>HYPERLINK("https://klasma.github.io/Logging_1983/klagomålsmail/A 35206-2025 FSC-klagomål mail.docx", "A 35206-2025")</f>
        <v/>
      </c>
      <c r="X261">
        <f>HYPERLINK("https://klasma.github.io/Logging_1983/tillsyn/A 35206-2025 tillsynsbegäran.docx", "A 35206-2025")</f>
        <v/>
      </c>
      <c r="Y261">
        <f>HYPERLINK("https://klasma.github.io/Logging_1983/tillsynsmail/A 35206-2025 tillsynsbegäran mail.docx", "A 35206-2025")</f>
        <v/>
      </c>
      <c r="Z261">
        <f>HYPERLINK("https://klasma.github.io/Logging_1983/fåglar/A 35206-2025 prioriterade fågelarter.docx", "A 35206-2025")</f>
        <v/>
      </c>
    </row>
    <row r="262" ht="15" customHeight="1">
      <c r="A262" t="inlineStr">
        <is>
          <t>A 32594-2025</t>
        </is>
      </c>
      <c r="B262" s="1" t="n">
        <v>45838</v>
      </c>
      <c r="C262" s="1" t="n">
        <v>45998</v>
      </c>
      <c r="D262" t="inlineStr">
        <is>
          <t>VÄSTMANLANDS LÄN</t>
        </is>
      </c>
      <c r="E262" t="inlineStr">
        <is>
          <t>SALA</t>
        </is>
      </c>
      <c r="F262" t="inlineStr">
        <is>
          <t>Bergvik skog öst AB</t>
        </is>
      </c>
      <c r="G262" t="n">
        <v>0.9</v>
      </c>
      <c r="H262" t="n">
        <v>1</v>
      </c>
      <c r="I262" t="n">
        <v>0</v>
      </c>
      <c r="J262" t="n">
        <v>0</v>
      </c>
      <c r="K262" t="n">
        <v>0</v>
      </c>
      <c r="L262" t="n">
        <v>0</v>
      </c>
      <c r="M262" t="n">
        <v>0</v>
      </c>
      <c r="N262" t="n">
        <v>0</v>
      </c>
      <c r="O262" t="n">
        <v>0</v>
      </c>
      <c r="P262" t="n">
        <v>0</v>
      </c>
      <c r="Q262" t="n">
        <v>1</v>
      </c>
      <c r="R262" s="2" t="inlineStr">
        <is>
          <t>Blåsippa</t>
        </is>
      </c>
      <c r="S262">
        <f>HYPERLINK("https://klasma.github.io/Logging_1981/artfynd/A 32594-2025 artfynd.xlsx", "A 32594-2025")</f>
        <v/>
      </c>
      <c r="T262">
        <f>HYPERLINK("https://klasma.github.io/Logging_1981/kartor/A 32594-2025 karta.png", "A 32594-2025")</f>
        <v/>
      </c>
      <c r="V262">
        <f>HYPERLINK("https://klasma.github.io/Logging_1981/klagomål/A 32594-2025 FSC-klagomål.docx", "A 32594-2025")</f>
        <v/>
      </c>
      <c r="W262">
        <f>HYPERLINK("https://klasma.github.io/Logging_1981/klagomålsmail/A 32594-2025 FSC-klagomål mail.docx", "A 32594-2025")</f>
        <v/>
      </c>
      <c r="X262">
        <f>HYPERLINK("https://klasma.github.io/Logging_1981/tillsyn/A 32594-2025 tillsynsbegäran.docx", "A 32594-2025")</f>
        <v/>
      </c>
      <c r="Y262">
        <f>HYPERLINK("https://klasma.github.io/Logging_1981/tillsynsmail/A 32594-2025 tillsynsbegäran mail.docx", "A 32594-2025")</f>
        <v/>
      </c>
    </row>
    <row r="263" ht="15" customHeight="1">
      <c r="A263" t="inlineStr">
        <is>
          <t>A 33498-2025</t>
        </is>
      </c>
      <c r="B263" s="1" t="n">
        <v>45841</v>
      </c>
      <c r="C263" s="1" t="n">
        <v>45998</v>
      </c>
      <c r="D263" t="inlineStr">
        <is>
          <t>VÄSTMANLANDS LÄN</t>
        </is>
      </c>
      <c r="E263" t="inlineStr">
        <is>
          <t>KÖPING</t>
        </is>
      </c>
      <c r="F263" t="inlineStr">
        <is>
          <t>Sveaskog</t>
        </is>
      </c>
      <c r="G263" t="n">
        <v>1</v>
      </c>
      <c r="H263" t="n">
        <v>0</v>
      </c>
      <c r="I263" t="n">
        <v>0</v>
      </c>
      <c r="J263" t="n">
        <v>1</v>
      </c>
      <c r="K263" t="n">
        <v>0</v>
      </c>
      <c r="L263" t="n">
        <v>0</v>
      </c>
      <c r="M263" t="n">
        <v>0</v>
      </c>
      <c r="N263" t="n">
        <v>0</v>
      </c>
      <c r="O263" t="n">
        <v>1</v>
      </c>
      <c r="P263" t="n">
        <v>0</v>
      </c>
      <c r="Q263" t="n">
        <v>1</v>
      </c>
      <c r="R263" s="2" t="inlineStr">
        <is>
          <t>Skogsklocka</t>
        </is>
      </c>
      <c r="S263">
        <f>HYPERLINK("https://klasma.github.io/Logging_1983/artfynd/A 33498-2025 artfynd.xlsx", "A 33498-2025")</f>
        <v/>
      </c>
      <c r="T263">
        <f>HYPERLINK("https://klasma.github.io/Logging_1983/kartor/A 33498-2025 karta.png", "A 33498-2025")</f>
        <v/>
      </c>
      <c r="V263">
        <f>HYPERLINK("https://klasma.github.io/Logging_1983/klagomål/A 33498-2025 FSC-klagomål.docx", "A 33498-2025")</f>
        <v/>
      </c>
      <c r="W263">
        <f>HYPERLINK("https://klasma.github.io/Logging_1983/klagomålsmail/A 33498-2025 FSC-klagomål mail.docx", "A 33498-2025")</f>
        <v/>
      </c>
      <c r="X263">
        <f>HYPERLINK("https://klasma.github.io/Logging_1983/tillsyn/A 33498-2025 tillsynsbegäran.docx", "A 33498-2025")</f>
        <v/>
      </c>
      <c r="Y263">
        <f>HYPERLINK("https://klasma.github.io/Logging_1983/tillsynsmail/A 33498-2025 tillsynsbegäran mail.docx", "A 33498-2025")</f>
        <v/>
      </c>
    </row>
    <row r="264" ht="15" customHeight="1">
      <c r="A264" t="inlineStr">
        <is>
          <t>A 47453-2024</t>
        </is>
      </c>
      <c r="B264" s="1" t="n">
        <v>45587.55017361111</v>
      </c>
      <c r="C264" s="1" t="n">
        <v>45998</v>
      </c>
      <c r="D264" t="inlineStr">
        <is>
          <t>VÄSTMANLANDS LÄN</t>
        </is>
      </c>
      <c r="E264" t="inlineStr">
        <is>
          <t>SURAHAMMAR</t>
        </is>
      </c>
      <c r="G264" t="n">
        <v>5.1</v>
      </c>
      <c r="H264" t="n">
        <v>1</v>
      </c>
      <c r="I264" t="n">
        <v>0</v>
      </c>
      <c r="J264" t="n">
        <v>0</v>
      </c>
      <c r="K264" t="n">
        <v>0</v>
      </c>
      <c r="L264" t="n">
        <v>0</v>
      </c>
      <c r="M264" t="n">
        <v>0</v>
      </c>
      <c r="N264" t="n">
        <v>0</v>
      </c>
      <c r="O264" t="n">
        <v>0</v>
      </c>
      <c r="P264" t="n">
        <v>0</v>
      </c>
      <c r="Q264" t="n">
        <v>1</v>
      </c>
      <c r="R264" s="2" t="inlineStr">
        <is>
          <t>Göktyta</t>
        </is>
      </c>
      <c r="S264">
        <f>HYPERLINK("https://klasma.github.io/Logging_1907/artfynd/A 47453-2024 artfynd.xlsx", "A 47453-2024")</f>
        <v/>
      </c>
      <c r="T264">
        <f>HYPERLINK("https://klasma.github.io/Logging_1907/kartor/A 47453-2024 karta.png", "A 47453-2024")</f>
        <v/>
      </c>
      <c r="V264">
        <f>HYPERLINK("https://klasma.github.io/Logging_1907/klagomål/A 47453-2024 FSC-klagomål.docx", "A 47453-2024")</f>
        <v/>
      </c>
      <c r="W264">
        <f>HYPERLINK("https://klasma.github.io/Logging_1907/klagomålsmail/A 47453-2024 FSC-klagomål mail.docx", "A 47453-2024")</f>
        <v/>
      </c>
      <c r="X264">
        <f>HYPERLINK("https://klasma.github.io/Logging_1907/tillsyn/A 47453-2024 tillsynsbegäran.docx", "A 47453-2024")</f>
        <v/>
      </c>
      <c r="Y264">
        <f>HYPERLINK("https://klasma.github.io/Logging_1907/tillsynsmail/A 47453-2024 tillsynsbegäran mail.docx", "A 47453-2024")</f>
        <v/>
      </c>
      <c r="Z264">
        <f>HYPERLINK("https://klasma.github.io/Logging_1907/fåglar/A 47453-2024 prioriterade fågelarter.docx", "A 47453-2024")</f>
        <v/>
      </c>
    </row>
    <row r="265" ht="15" customHeight="1">
      <c r="A265" t="inlineStr">
        <is>
          <t>A 20706-2025</t>
        </is>
      </c>
      <c r="B265" s="1" t="n">
        <v>45776.48415509259</v>
      </c>
      <c r="C265" s="1" t="n">
        <v>45998</v>
      </c>
      <c r="D265" t="inlineStr">
        <is>
          <t>VÄSTMANLANDS LÄN</t>
        </is>
      </c>
      <c r="E265" t="inlineStr">
        <is>
          <t>KÖPING</t>
        </is>
      </c>
      <c r="G265" t="n">
        <v>1.7</v>
      </c>
      <c r="H265" t="n">
        <v>0</v>
      </c>
      <c r="I265" t="n">
        <v>1</v>
      </c>
      <c r="J265" t="n">
        <v>0</v>
      </c>
      <c r="K265" t="n">
        <v>0</v>
      </c>
      <c r="L265" t="n">
        <v>0</v>
      </c>
      <c r="M265" t="n">
        <v>0</v>
      </c>
      <c r="N265" t="n">
        <v>0</v>
      </c>
      <c r="O265" t="n">
        <v>0</v>
      </c>
      <c r="P265" t="n">
        <v>0</v>
      </c>
      <c r="Q265" t="n">
        <v>1</v>
      </c>
      <c r="R265" s="2" t="inlineStr">
        <is>
          <t>Tibast</t>
        </is>
      </c>
      <c r="S265">
        <f>HYPERLINK("https://klasma.github.io/Logging_1983/artfynd/A 20706-2025 artfynd.xlsx", "A 20706-2025")</f>
        <v/>
      </c>
      <c r="T265">
        <f>HYPERLINK("https://klasma.github.io/Logging_1983/kartor/A 20706-2025 karta.png", "A 20706-2025")</f>
        <v/>
      </c>
      <c r="V265">
        <f>HYPERLINK("https://klasma.github.io/Logging_1983/klagomål/A 20706-2025 FSC-klagomål.docx", "A 20706-2025")</f>
        <v/>
      </c>
      <c r="W265">
        <f>HYPERLINK("https://klasma.github.io/Logging_1983/klagomålsmail/A 20706-2025 FSC-klagomål mail.docx", "A 20706-2025")</f>
        <v/>
      </c>
      <c r="X265">
        <f>HYPERLINK("https://klasma.github.io/Logging_1983/tillsyn/A 20706-2025 tillsynsbegäran.docx", "A 20706-2025")</f>
        <v/>
      </c>
      <c r="Y265">
        <f>HYPERLINK("https://klasma.github.io/Logging_1983/tillsynsmail/A 20706-2025 tillsynsbegäran mail.docx", "A 20706-2025")</f>
        <v/>
      </c>
    </row>
    <row r="266" ht="15" customHeight="1">
      <c r="A266" t="inlineStr">
        <is>
          <t>A 22350-2024</t>
        </is>
      </c>
      <c r="B266" s="1" t="n">
        <v>45446</v>
      </c>
      <c r="C266" s="1" t="n">
        <v>45998</v>
      </c>
      <c r="D266" t="inlineStr">
        <is>
          <t>VÄSTMANLANDS LÄN</t>
        </is>
      </c>
      <c r="E266" t="inlineStr">
        <is>
          <t>SALA</t>
        </is>
      </c>
      <c r="G266" t="n">
        <v>1.2</v>
      </c>
      <c r="H266" t="n">
        <v>1</v>
      </c>
      <c r="I266" t="n">
        <v>0</v>
      </c>
      <c r="J266" t="n">
        <v>0</v>
      </c>
      <c r="K266" t="n">
        <v>0</v>
      </c>
      <c r="L266" t="n">
        <v>0</v>
      </c>
      <c r="M266" t="n">
        <v>0</v>
      </c>
      <c r="N266" t="n">
        <v>0</v>
      </c>
      <c r="O266" t="n">
        <v>0</v>
      </c>
      <c r="P266" t="n">
        <v>0</v>
      </c>
      <c r="Q266" t="n">
        <v>1</v>
      </c>
      <c r="R266" s="2" t="inlineStr">
        <is>
          <t>Blåsippa</t>
        </is>
      </c>
      <c r="S266">
        <f>HYPERLINK("https://klasma.github.io/Logging_1981/artfynd/A 22350-2024 artfynd.xlsx", "A 22350-2024")</f>
        <v/>
      </c>
      <c r="T266">
        <f>HYPERLINK("https://klasma.github.io/Logging_1981/kartor/A 22350-2024 karta.png", "A 22350-2024")</f>
        <v/>
      </c>
      <c r="V266">
        <f>HYPERLINK("https://klasma.github.io/Logging_1981/klagomål/A 22350-2024 FSC-klagomål.docx", "A 22350-2024")</f>
        <v/>
      </c>
      <c r="W266">
        <f>HYPERLINK("https://klasma.github.io/Logging_1981/klagomålsmail/A 22350-2024 FSC-klagomål mail.docx", "A 22350-2024")</f>
        <v/>
      </c>
      <c r="X266">
        <f>HYPERLINK("https://klasma.github.io/Logging_1981/tillsyn/A 22350-2024 tillsynsbegäran.docx", "A 22350-2024")</f>
        <v/>
      </c>
      <c r="Y266">
        <f>HYPERLINK("https://klasma.github.io/Logging_1981/tillsynsmail/A 22350-2024 tillsynsbegäran mail.docx", "A 22350-2024")</f>
        <v/>
      </c>
    </row>
    <row r="267" ht="15" customHeight="1">
      <c r="A267" t="inlineStr">
        <is>
          <t>A 41270-2024</t>
        </is>
      </c>
      <c r="B267" s="1" t="n">
        <v>45559</v>
      </c>
      <c r="C267" s="1" t="n">
        <v>45998</v>
      </c>
      <c r="D267" t="inlineStr">
        <is>
          <t>VÄSTMANLANDS LÄN</t>
        </is>
      </c>
      <c r="E267" t="inlineStr">
        <is>
          <t>SALA</t>
        </is>
      </c>
      <c r="G267" t="n">
        <v>15.2</v>
      </c>
      <c r="H267" t="n">
        <v>1</v>
      </c>
      <c r="I267" t="n">
        <v>0</v>
      </c>
      <c r="J267" t="n">
        <v>1</v>
      </c>
      <c r="K267" t="n">
        <v>0</v>
      </c>
      <c r="L267" t="n">
        <v>0</v>
      </c>
      <c r="M267" t="n">
        <v>0</v>
      </c>
      <c r="N267" t="n">
        <v>0</v>
      </c>
      <c r="O267" t="n">
        <v>1</v>
      </c>
      <c r="P267" t="n">
        <v>0</v>
      </c>
      <c r="Q267" t="n">
        <v>1</v>
      </c>
      <c r="R267" s="2" t="inlineStr">
        <is>
          <t>Havsörn</t>
        </is>
      </c>
      <c r="S267">
        <f>HYPERLINK("https://klasma.github.io/Logging_1981/artfynd/A 41270-2024 artfynd.xlsx", "A 41270-2024")</f>
        <v/>
      </c>
      <c r="T267">
        <f>HYPERLINK("https://klasma.github.io/Logging_1981/kartor/A 41270-2024 karta.png", "A 41270-2024")</f>
        <v/>
      </c>
      <c r="V267">
        <f>HYPERLINK("https://klasma.github.io/Logging_1981/klagomål/A 41270-2024 FSC-klagomål.docx", "A 41270-2024")</f>
        <v/>
      </c>
      <c r="W267">
        <f>HYPERLINK("https://klasma.github.io/Logging_1981/klagomålsmail/A 41270-2024 FSC-klagomål mail.docx", "A 41270-2024")</f>
        <v/>
      </c>
      <c r="X267">
        <f>HYPERLINK("https://klasma.github.io/Logging_1981/tillsyn/A 41270-2024 tillsynsbegäran.docx", "A 41270-2024")</f>
        <v/>
      </c>
      <c r="Y267">
        <f>HYPERLINK("https://klasma.github.io/Logging_1981/tillsynsmail/A 41270-2024 tillsynsbegäran mail.docx", "A 41270-2024")</f>
        <v/>
      </c>
      <c r="Z267">
        <f>HYPERLINK("https://klasma.github.io/Logging_1981/fåglar/A 41270-2024 prioriterade fågelarter.docx", "A 41270-2024")</f>
        <v/>
      </c>
    </row>
    <row r="268" ht="15" customHeight="1">
      <c r="A268" t="inlineStr">
        <is>
          <t>A 55711-2024</t>
        </is>
      </c>
      <c r="B268" s="1" t="n">
        <v>45622.69902777778</v>
      </c>
      <c r="C268" s="1" t="n">
        <v>45998</v>
      </c>
      <c r="D268" t="inlineStr">
        <is>
          <t>VÄSTMANLANDS LÄN</t>
        </is>
      </c>
      <c r="E268" t="inlineStr">
        <is>
          <t>NORBERG</t>
        </is>
      </c>
      <c r="G268" t="n">
        <v>2.5</v>
      </c>
      <c r="H268" t="n">
        <v>1</v>
      </c>
      <c r="I268" t="n">
        <v>1</v>
      </c>
      <c r="J268" t="n">
        <v>0</v>
      </c>
      <c r="K268" t="n">
        <v>0</v>
      </c>
      <c r="L268" t="n">
        <v>0</v>
      </c>
      <c r="M268" t="n">
        <v>0</v>
      </c>
      <c r="N268" t="n">
        <v>0</v>
      </c>
      <c r="O268" t="n">
        <v>0</v>
      </c>
      <c r="P268" t="n">
        <v>0</v>
      </c>
      <c r="Q268" t="n">
        <v>1</v>
      </c>
      <c r="R268" s="2" t="inlineStr">
        <is>
          <t>Skogsknipprot</t>
        </is>
      </c>
      <c r="S268">
        <f>HYPERLINK("https://klasma.github.io/Logging_1962/artfynd/A 55711-2024 artfynd.xlsx", "A 55711-2024")</f>
        <v/>
      </c>
      <c r="T268">
        <f>HYPERLINK("https://klasma.github.io/Logging_1962/kartor/A 55711-2024 karta.png", "A 55711-2024")</f>
        <v/>
      </c>
      <c r="V268">
        <f>HYPERLINK("https://klasma.github.io/Logging_1962/klagomål/A 55711-2024 FSC-klagomål.docx", "A 55711-2024")</f>
        <v/>
      </c>
      <c r="W268">
        <f>HYPERLINK("https://klasma.github.io/Logging_1962/klagomålsmail/A 55711-2024 FSC-klagomål mail.docx", "A 55711-2024")</f>
        <v/>
      </c>
      <c r="X268">
        <f>HYPERLINK("https://klasma.github.io/Logging_1962/tillsyn/A 55711-2024 tillsynsbegäran.docx", "A 55711-2024")</f>
        <v/>
      </c>
      <c r="Y268">
        <f>HYPERLINK("https://klasma.github.io/Logging_1962/tillsynsmail/A 55711-2024 tillsynsbegäran mail.docx", "A 55711-2024")</f>
        <v/>
      </c>
    </row>
    <row r="269" ht="15" customHeight="1">
      <c r="A269" t="inlineStr">
        <is>
          <t>A 10819-2024</t>
        </is>
      </c>
      <c r="B269" s="1" t="n">
        <v>45369.66049768519</v>
      </c>
      <c r="C269" s="1" t="n">
        <v>45998</v>
      </c>
      <c r="D269" t="inlineStr">
        <is>
          <t>VÄSTMANLANDS LÄN</t>
        </is>
      </c>
      <c r="E269" t="inlineStr">
        <is>
          <t>SURAHAMMAR</t>
        </is>
      </c>
      <c r="G269" t="n">
        <v>2</v>
      </c>
      <c r="H269" t="n">
        <v>0</v>
      </c>
      <c r="I269" t="n">
        <v>1</v>
      </c>
      <c r="J269" t="n">
        <v>0</v>
      </c>
      <c r="K269" t="n">
        <v>0</v>
      </c>
      <c r="L269" t="n">
        <v>0</v>
      </c>
      <c r="M269" t="n">
        <v>0</v>
      </c>
      <c r="N269" t="n">
        <v>0</v>
      </c>
      <c r="O269" t="n">
        <v>0</v>
      </c>
      <c r="P269" t="n">
        <v>0</v>
      </c>
      <c r="Q269" t="n">
        <v>1</v>
      </c>
      <c r="R269" s="2" t="inlineStr">
        <is>
          <t>Tibast</t>
        </is>
      </c>
      <c r="S269">
        <f>HYPERLINK("https://klasma.github.io/Logging_1907/artfynd/A 10819-2024 artfynd.xlsx", "A 10819-2024")</f>
        <v/>
      </c>
      <c r="T269">
        <f>HYPERLINK("https://klasma.github.io/Logging_1907/kartor/A 10819-2024 karta.png", "A 10819-2024")</f>
        <v/>
      </c>
      <c r="V269">
        <f>HYPERLINK("https://klasma.github.io/Logging_1907/klagomål/A 10819-2024 FSC-klagomål.docx", "A 10819-2024")</f>
        <v/>
      </c>
      <c r="W269">
        <f>HYPERLINK("https://klasma.github.io/Logging_1907/klagomålsmail/A 10819-2024 FSC-klagomål mail.docx", "A 10819-2024")</f>
        <v/>
      </c>
      <c r="X269">
        <f>HYPERLINK("https://klasma.github.io/Logging_1907/tillsyn/A 10819-2024 tillsynsbegäran.docx", "A 10819-2024")</f>
        <v/>
      </c>
      <c r="Y269">
        <f>HYPERLINK("https://klasma.github.io/Logging_1907/tillsynsmail/A 10819-2024 tillsynsbegäran mail.docx", "A 10819-2024")</f>
        <v/>
      </c>
    </row>
    <row r="270" ht="15" customHeight="1">
      <c r="A270" t="inlineStr">
        <is>
          <t>A 29787-2023</t>
        </is>
      </c>
      <c r="B270" s="1" t="n">
        <v>45107</v>
      </c>
      <c r="C270" s="1" t="n">
        <v>45998</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Kopparödla</t>
        </is>
      </c>
      <c r="S270">
        <f>HYPERLINK("https://klasma.github.io/Logging_1980/artfynd/A 29787-2023 artfynd.xlsx", "A 29787-2023")</f>
        <v/>
      </c>
      <c r="T270">
        <f>HYPERLINK("https://klasma.github.io/Logging_1980/kartor/A 29787-2023 karta.png", "A 29787-2023")</f>
        <v/>
      </c>
      <c r="V270">
        <f>HYPERLINK("https://klasma.github.io/Logging_1980/klagomål/A 29787-2023 FSC-klagomål.docx", "A 29787-2023")</f>
        <v/>
      </c>
      <c r="W270">
        <f>HYPERLINK("https://klasma.github.io/Logging_1980/klagomålsmail/A 29787-2023 FSC-klagomål mail.docx", "A 29787-2023")</f>
        <v/>
      </c>
      <c r="X270">
        <f>HYPERLINK("https://klasma.github.io/Logging_1980/tillsyn/A 29787-2023 tillsynsbegäran.docx", "A 29787-2023")</f>
        <v/>
      </c>
      <c r="Y270">
        <f>HYPERLINK("https://klasma.github.io/Logging_1980/tillsynsmail/A 29787-2023 tillsynsbegäran mail.docx", "A 29787-2023")</f>
        <v/>
      </c>
    </row>
    <row r="271" ht="15" customHeight="1">
      <c r="A271" t="inlineStr">
        <is>
          <t>A 43068-2024</t>
        </is>
      </c>
      <c r="B271" s="1" t="n">
        <v>45567</v>
      </c>
      <c r="C271" s="1" t="n">
        <v>45998</v>
      </c>
      <c r="D271" t="inlineStr">
        <is>
          <t>VÄSTMANLANDS LÄN</t>
        </is>
      </c>
      <c r="E271" t="inlineStr">
        <is>
          <t>SALA</t>
        </is>
      </c>
      <c r="G271" t="n">
        <v>1.1</v>
      </c>
      <c r="H271" t="n">
        <v>0</v>
      </c>
      <c r="I271" t="n">
        <v>1</v>
      </c>
      <c r="J271" t="n">
        <v>0</v>
      </c>
      <c r="K271" t="n">
        <v>0</v>
      </c>
      <c r="L271" t="n">
        <v>0</v>
      </c>
      <c r="M271" t="n">
        <v>0</v>
      </c>
      <c r="N271" t="n">
        <v>0</v>
      </c>
      <c r="O271" t="n">
        <v>0</v>
      </c>
      <c r="P271" t="n">
        <v>0</v>
      </c>
      <c r="Q271" t="n">
        <v>1</v>
      </c>
      <c r="R271" s="2" t="inlineStr">
        <is>
          <t>Vedticka</t>
        </is>
      </c>
      <c r="S271">
        <f>HYPERLINK("https://klasma.github.io/Logging_1981/artfynd/A 43068-2024 artfynd.xlsx", "A 43068-2024")</f>
        <v/>
      </c>
      <c r="T271">
        <f>HYPERLINK("https://klasma.github.io/Logging_1981/kartor/A 43068-2024 karta.png", "A 43068-2024")</f>
        <v/>
      </c>
      <c r="V271">
        <f>HYPERLINK("https://klasma.github.io/Logging_1981/klagomål/A 43068-2024 FSC-klagomål.docx", "A 43068-2024")</f>
        <v/>
      </c>
      <c r="W271">
        <f>HYPERLINK("https://klasma.github.io/Logging_1981/klagomålsmail/A 43068-2024 FSC-klagomål mail.docx", "A 43068-2024")</f>
        <v/>
      </c>
      <c r="X271">
        <f>HYPERLINK("https://klasma.github.io/Logging_1981/tillsyn/A 43068-2024 tillsynsbegäran.docx", "A 43068-2024")</f>
        <v/>
      </c>
      <c r="Y271">
        <f>HYPERLINK("https://klasma.github.io/Logging_1981/tillsynsmail/A 43068-2024 tillsynsbegäran mail.docx", "A 43068-2024")</f>
        <v/>
      </c>
    </row>
    <row r="272" ht="15" customHeight="1">
      <c r="A272" t="inlineStr">
        <is>
          <t>A 7731-2023</t>
        </is>
      </c>
      <c r="B272" s="1" t="n">
        <v>44973</v>
      </c>
      <c r="C272" s="1" t="n">
        <v>45998</v>
      </c>
      <c r="D272" t="inlineStr">
        <is>
          <t>VÄSTMANLANDS LÄN</t>
        </is>
      </c>
      <c r="E272" t="inlineStr">
        <is>
          <t>SALA</t>
        </is>
      </c>
      <c r="F272" t="inlineStr">
        <is>
          <t>Bergvik skog öst AB</t>
        </is>
      </c>
      <c r="G272" t="n">
        <v>1.7</v>
      </c>
      <c r="H272" t="n">
        <v>1</v>
      </c>
      <c r="I272" t="n">
        <v>0</v>
      </c>
      <c r="J272" t="n">
        <v>1</v>
      </c>
      <c r="K272" t="n">
        <v>0</v>
      </c>
      <c r="L272" t="n">
        <v>0</v>
      </c>
      <c r="M272" t="n">
        <v>0</v>
      </c>
      <c r="N272" t="n">
        <v>0</v>
      </c>
      <c r="O272" t="n">
        <v>1</v>
      </c>
      <c r="P272" t="n">
        <v>0</v>
      </c>
      <c r="Q272" t="n">
        <v>1</v>
      </c>
      <c r="R272" s="2" t="inlineStr">
        <is>
          <t>Ävjepilört</t>
        </is>
      </c>
      <c r="S272">
        <f>HYPERLINK("https://klasma.github.io/Logging_1981/artfynd/A 7731-2023 artfynd.xlsx", "A 7731-2023")</f>
        <v/>
      </c>
      <c r="T272">
        <f>HYPERLINK("https://klasma.github.io/Logging_1981/kartor/A 7731-2023 karta.png", "A 7731-2023")</f>
        <v/>
      </c>
      <c r="V272">
        <f>HYPERLINK("https://klasma.github.io/Logging_1981/klagomål/A 7731-2023 FSC-klagomål.docx", "A 7731-2023")</f>
        <v/>
      </c>
      <c r="W272">
        <f>HYPERLINK("https://klasma.github.io/Logging_1981/klagomålsmail/A 7731-2023 FSC-klagomål mail.docx", "A 7731-2023")</f>
        <v/>
      </c>
      <c r="X272">
        <f>HYPERLINK("https://klasma.github.io/Logging_1981/tillsyn/A 7731-2023 tillsynsbegäran.docx", "A 7731-2023")</f>
        <v/>
      </c>
      <c r="Y272">
        <f>HYPERLINK("https://klasma.github.io/Logging_1981/tillsynsmail/A 7731-2023 tillsynsbegäran mail.docx", "A 7731-2023")</f>
        <v/>
      </c>
    </row>
    <row r="273" ht="15" customHeight="1">
      <c r="A273" t="inlineStr">
        <is>
          <t>A 15334-2023</t>
        </is>
      </c>
      <c r="B273" s="1" t="n">
        <v>45019</v>
      </c>
      <c r="C273" s="1" t="n">
        <v>45998</v>
      </c>
      <c r="D273" t="inlineStr">
        <is>
          <t>VÄSTMANLANDS LÄN</t>
        </is>
      </c>
      <c r="E273" t="inlineStr">
        <is>
          <t>FAGERSTA</t>
        </is>
      </c>
      <c r="F273" t="inlineStr">
        <is>
          <t>Övriga Aktiebolag</t>
        </is>
      </c>
      <c r="G273" t="n">
        <v>27.3</v>
      </c>
      <c r="H273" t="n">
        <v>0</v>
      </c>
      <c r="I273" t="n">
        <v>1</v>
      </c>
      <c r="J273" t="n">
        <v>0</v>
      </c>
      <c r="K273" t="n">
        <v>0</v>
      </c>
      <c r="L273" t="n">
        <v>0</v>
      </c>
      <c r="M273" t="n">
        <v>0</v>
      </c>
      <c r="N273" t="n">
        <v>0</v>
      </c>
      <c r="O273" t="n">
        <v>0</v>
      </c>
      <c r="P273" t="n">
        <v>0</v>
      </c>
      <c r="Q273" t="n">
        <v>1</v>
      </c>
      <c r="R273" s="2" t="inlineStr">
        <is>
          <t>Grovticka</t>
        </is>
      </c>
      <c r="S273">
        <f>HYPERLINK("https://klasma.github.io/Logging_1982/artfynd/A 15334-2023 artfynd.xlsx", "A 15334-2023")</f>
        <v/>
      </c>
      <c r="T273">
        <f>HYPERLINK("https://klasma.github.io/Logging_1982/kartor/A 15334-2023 karta.png", "A 15334-2023")</f>
        <v/>
      </c>
      <c r="V273">
        <f>HYPERLINK("https://klasma.github.io/Logging_1982/klagomål/A 15334-2023 FSC-klagomål.docx", "A 15334-2023")</f>
        <v/>
      </c>
      <c r="W273">
        <f>HYPERLINK("https://klasma.github.io/Logging_1982/klagomålsmail/A 15334-2023 FSC-klagomål mail.docx", "A 15334-2023")</f>
        <v/>
      </c>
      <c r="X273">
        <f>HYPERLINK("https://klasma.github.io/Logging_1982/tillsyn/A 15334-2023 tillsynsbegäran.docx", "A 15334-2023")</f>
        <v/>
      </c>
      <c r="Y273">
        <f>HYPERLINK("https://klasma.github.io/Logging_1982/tillsynsmail/A 15334-2023 tillsynsbegäran mail.docx", "A 15334-2023")</f>
        <v/>
      </c>
    </row>
    <row r="274" ht="15" customHeight="1">
      <c r="A274" t="inlineStr">
        <is>
          <t>A 58307-2024</t>
        </is>
      </c>
      <c r="B274" s="1" t="n">
        <v>45632</v>
      </c>
      <c r="C274" s="1" t="n">
        <v>45998</v>
      </c>
      <c r="D274" t="inlineStr">
        <is>
          <t>VÄSTMANLANDS LÄN</t>
        </is>
      </c>
      <c r="E274" t="inlineStr">
        <is>
          <t>FAGERSTA</t>
        </is>
      </c>
      <c r="G274" t="n">
        <v>1</v>
      </c>
      <c r="H274" t="n">
        <v>0</v>
      </c>
      <c r="I274" t="n">
        <v>1</v>
      </c>
      <c r="J274" t="n">
        <v>0</v>
      </c>
      <c r="K274" t="n">
        <v>0</v>
      </c>
      <c r="L274" t="n">
        <v>0</v>
      </c>
      <c r="M274" t="n">
        <v>0</v>
      </c>
      <c r="N274" t="n">
        <v>0</v>
      </c>
      <c r="O274" t="n">
        <v>0</v>
      </c>
      <c r="P274" t="n">
        <v>0</v>
      </c>
      <c r="Q274" t="n">
        <v>1</v>
      </c>
      <c r="R274" s="2" t="inlineStr">
        <is>
          <t>Mindre märgborre</t>
        </is>
      </c>
      <c r="S274">
        <f>HYPERLINK("https://klasma.github.io/Logging_1982/artfynd/A 58307-2024 artfynd.xlsx", "A 58307-2024")</f>
        <v/>
      </c>
      <c r="T274">
        <f>HYPERLINK("https://klasma.github.io/Logging_1982/kartor/A 58307-2024 karta.png", "A 58307-2024")</f>
        <v/>
      </c>
      <c r="V274">
        <f>HYPERLINK("https://klasma.github.io/Logging_1982/klagomål/A 58307-2024 FSC-klagomål.docx", "A 58307-2024")</f>
        <v/>
      </c>
      <c r="W274">
        <f>HYPERLINK("https://klasma.github.io/Logging_1982/klagomålsmail/A 58307-2024 FSC-klagomål mail.docx", "A 58307-2024")</f>
        <v/>
      </c>
      <c r="X274">
        <f>HYPERLINK("https://klasma.github.io/Logging_1982/tillsyn/A 58307-2024 tillsynsbegäran.docx", "A 58307-2024")</f>
        <v/>
      </c>
      <c r="Y274">
        <f>HYPERLINK("https://klasma.github.io/Logging_1982/tillsynsmail/A 58307-2024 tillsynsbegäran mail.docx", "A 58307-2024")</f>
        <v/>
      </c>
    </row>
    <row r="275" ht="15" customHeight="1">
      <c r="A275" t="inlineStr">
        <is>
          <t>A 12509-2023</t>
        </is>
      </c>
      <c r="B275" s="1" t="n">
        <v>44999.95988425926</v>
      </c>
      <c r="C275" s="1" t="n">
        <v>45998</v>
      </c>
      <c r="D275" t="inlineStr">
        <is>
          <t>VÄSTMANLANDS LÄN</t>
        </is>
      </c>
      <c r="E275" t="inlineStr">
        <is>
          <t>SALA</t>
        </is>
      </c>
      <c r="G275" t="n">
        <v>13.9</v>
      </c>
      <c r="H275" t="n">
        <v>1</v>
      </c>
      <c r="I275" t="n">
        <v>0</v>
      </c>
      <c r="J275" t="n">
        <v>0</v>
      </c>
      <c r="K275" t="n">
        <v>0</v>
      </c>
      <c r="L275" t="n">
        <v>0</v>
      </c>
      <c r="M275" t="n">
        <v>0</v>
      </c>
      <c r="N275" t="n">
        <v>0</v>
      </c>
      <c r="O275" t="n">
        <v>0</v>
      </c>
      <c r="P275" t="n">
        <v>0</v>
      </c>
      <c r="Q275" t="n">
        <v>1</v>
      </c>
      <c r="R275" s="2" t="inlineStr">
        <is>
          <t>Grönvit nattviol</t>
        </is>
      </c>
      <c r="S275">
        <f>HYPERLINK("https://klasma.github.io/Logging_1981/artfynd/A 12509-2023 artfynd.xlsx", "A 12509-2023")</f>
        <v/>
      </c>
      <c r="T275">
        <f>HYPERLINK("https://klasma.github.io/Logging_1981/kartor/A 12509-2023 karta.png", "A 12509-2023")</f>
        <v/>
      </c>
      <c r="V275">
        <f>HYPERLINK("https://klasma.github.io/Logging_1981/klagomål/A 12509-2023 FSC-klagomål.docx", "A 12509-2023")</f>
        <v/>
      </c>
      <c r="W275">
        <f>HYPERLINK("https://klasma.github.io/Logging_1981/klagomålsmail/A 12509-2023 FSC-klagomål mail.docx", "A 12509-2023")</f>
        <v/>
      </c>
      <c r="X275">
        <f>HYPERLINK("https://klasma.github.io/Logging_1981/tillsyn/A 12509-2023 tillsynsbegäran.docx", "A 12509-2023")</f>
        <v/>
      </c>
      <c r="Y275">
        <f>HYPERLINK("https://klasma.github.io/Logging_1981/tillsynsmail/A 12509-2023 tillsynsbegäran mail.docx", "A 12509-2023")</f>
        <v/>
      </c>
    </row>
    <row r="276" ht="15" customHeight="1">
      <c r="A276" t="inlineStr">
        <is>
          <t>A 18464-2025</t>
        </is>
      </c>
      <c r="B276" s="1" t="n">
        <v>45762.70241898148</v>
      </c>
      <c r="C276" s="1" t="n">
        <v>45998</v>
      </c>
      <c r="D276" t="inlineStr">
        <is>
          <t>VÄSTMANLANDS LÄN</t>
        </is>
      </c>
      <c r="E276" t="inlineStr">
        <is>
          <t>NORBERG</t>
        </is>
      </c>
      <c r="F276" t="inlineStr">
        <is>
          <t>Sveaskog</t>
        </is>
      </c>
      <c r="G276" t="n">
        <v>1.1</v>
      </c>
      <c r="H276" t="n">
        <v>1</v>
      </c>
      <c r="I276" t="n">
        <v>1</v>
      </c>
      <c r="J276" t="n">
        <v>0</v>
      </c>
      <c r="K276" t="n">
        <v>0</v>
      </c>
      <c r="L276" t="n">
        <v>0</v>
      </c>
      <c r="M276" t="n">
        <v>0</v>
      </c>
      <c r="N276" t="n">
        <v>0</v>
      </c>
      <c r="O276" t="n">
        <v>0</v>
      </c>
      <c r="P276" t="n">
        <v>0</v>
      </c>
      <c r="Q276" t="n">
        <v>1</v>
      </c>
      <c r="R276" s="2" t="inlineStr">
        <is>
          <t>Skogsknipprot</t>
        </is>
      </c>
      <c r="S276">
        <f>HYPERLINK("https://klasma.github.io/Logging_1962/artfynd/A 18464-2025 artfynd.xlsx", "A 18464-2025")</f>
        <v/>
      </c>
      <c r="T276">
        <f>HYPERLINK("https://klasma.github.io/Logging_1962/kartor/A 18464-2025 karta.png", "A 18464-2025")</f>
        <v/>
      </c>
      <c r="V276">
        <f>HYPERLINK("https://klasma.github.io/Logging_1962/klagomål/A 18464-2025 FSC-klagomål.docx", "A 18464-2025")</f>
        <v/>
      </c>
      <c r="W276">
        <f>HYPERLINK("https://klasma.github.io/Logging_1962/klagomålsmail/A 18464-2025 FSC-klagomål mail.docx", "A 18464-2025")</f>
        <v/>
      </c>
      <c r="X276">
        <f>HYPERLINK("https://klasma.github.io/Logging_1962/tillsyn/A 18464-2025 tillsynsbegäran.docx", "A 18464-2025")</f>
        <v/>
      </c>
      <c r="Y276">
        <f>HYPERLINK("https://klasma.github.io/Logging_1962/tillsynsmail/A 18464-2025 tillsynsbegäran mail.docx", "A 18464-2025")</f>
        <v/>
      </c>
    </row>
    <row r="277" ht="15" customHeight="1">
      <c r="A277" t="inlineStr">
        <is>
          <t>A 15347-2021</t>
        </is>
      </c>
      <c r="B277" s="1" t="n">
        <v>44284</v>
      </c>
      <c r="C277" s="1" t="n">
        <v>45998</v>
      </c>
      <c r="D277" t="inlineStr">
        <is>
          <t>VÄSTMANLANDS LÄN</t>
        </is>
      </c>
      <c r="E277" t="inlineStr">
        <is>
          <t>VÄSTERÅS</t>
        </is>
      </c>
      <c r="G277" t="n">
        <v>2.4</v>
      </c>
      <c r="H277" t="n">
        <v>0</v>
      </c>
      <c r="I277" t="n">
        <v>0</v>
      </c>
      <c r="J277" t="n">
        <v>0</v>
      </c>
      <c r="K277" t="n">
        <v>0</v>
      </c>
      <c r="L277" t="n">
        <v>0</v>
      </c>
      <c r="M277" t="n">
        <v>0</v>
      </c>
      <c r="N277" t="n">
        <v>0</v>
      </c>
      <c r="O277" t="n">
        <v>0</v>
      </c>
      <c r="P277" t="n">
        <v>0</v>
      </c>
      <c r="Q277" t="n">
        <v>0</v>
      </c>
      <c r="R277" s="2" t="inlineStr"/>
    </row>
    <row r="278" ht="15" customHeight="1">
      <c r="A278" t="inlineStr">
        <is>
          <t>A 15575-2021</t>
        </is>
      </c>
      <c r="B278" s="1" t="n">
        <v>44285.6284837963</v>
      </c>
      <c r="C278" s="1" t="n">
        <v>45998</v>
      </c>
      <c r="D278" t="inlineStr">
        <is>
          <t>VÄSTMANLANDS LÄN</t>
        </is>
      </c>
      <c r="E278" t="inlineStr">
        <is>
          <t>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25382-2021</t>
        </is>
      </c>
      <c r="B279" s="1" t="n">
        <v>44342</v>
      </c>
      <c r="C279" s="1" t="n">
        <v>45998</v>
      </c>
      <c r="D279" t="inlineStr">
        <is>
          <t>VÄSTMANLANDS LÄN</t>
        </is>
      </c>
      <c r="E279" t="inlineStr">
        <is>
          <t>VÄSTERÅS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14314-2021</t>
        </is>
      </c>
      <c r="B280" s="1" t="n">
        <v>44278</v>
      </c>
      <c r="C280" s="1" t="n">
        <v>45998</v>
      </c>
      <c r="D280" t="inlineStr">
        <is>
          <t>VÄSTMANLANDS LÄN</t>
        </is>
      </c>
      <c r="E280" t="inlineStr">
        <is>
          <t>KÖPING</t>
        </is>
      </c>
      <c r="G280" t="n">
        <v>3.1</v>
      </c>
      <c r="H280" t="n">
        <v>0</v>
      </c>
      <c r="I280" t="n">
        <v>0</v>
      </c>
      <c r="J280" t="n">
        <v>0</v>
      </c>
      <c r="K280" t="n">
        <v>0</v>
      </c>
      <c r="L280" t="n">
        <v>0</v>
      </c>
      <c r="M280" t="n">
        <v>0</v>
      </c>
      <c r="N280" t="n">
        <v>0</v>
      </c>
      <c r="O280" t="n">
        <v>0</v>
      </c>
      <c r="P280" t="n">
        <v>0</v>
      </c>
      <c r="Q280" t="n">
        <v>0</v>
      </c>
      <c r="R280" s="2" t="inlineStr"/>
    </row>
    <row r="281" ht="15" customHeight="1">
      <c r="A281" t="inlineStr">
        <is>
          <t>A 69194-2020</t>
        </is>
      </c>
      <c r="B281" s="1" t="n">
        <v>44191</v>
      </c>
      <c r="C281" s="1" t="n">
        <v>45998</v>
      </c>
      <c r="D281" t="inlineStr">
        <is>
          <t>VÄSTMANLANDS LÄN</t>
        </is>
      </c>
      <c r="E281" t="inlineStr">
        <is>
          <t>SALA</t>
        </is>
      </c>
      <c r="G281" t="n">
        <v>0.4</v>
      </c>
      <c r="H281" t="n">
        <v>0</v>
      </c>
      <c r="I281" t="n">
        <v>0</v>
      </c>
      <c r="J281" t="n">
        <v>0</v>
      </c>
      <c r="K281" t="n">
        <v>0</v>
      </c>
      <c r="L281" t="n">
        <v>0</v>
      </c>
      <c r="M281" t="n">
        <v>0</v>
      </c>
      <c r="N281" t="n">
        <v>0</v>
      </c>
      <c r="O281" t="n">
        <v>0</v>
      </c>
      <c r="P281" t="n">
        <v>0</v>
      </c>
      <c r="Q281" t="n">
        <v>0</v>
      </c>
      <c r="R281" s="2" t="inlineStr"/>
    </row>
    <row r="282" ht="15" customHeight="1">
      <c r="A282" t="inlineStr">
        <is>
          <t>A 27604-2021</t>
        </is>
      </c>
      <c r="B282" s="1" t="n">
        <v>44351</v>
      </c>
      <c r="C282" s="1" t="n">
        <v>45998</v>
      </c>
      <c r="D282" t="inlineStr">
        <is>
          <t>VÄSTMANLANDS LÄN</t>
        </is>
      </c>
      <c r="E282" t="inlineStr">
        <is>
          <t>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12357-2021</t>
        </is>
      </c>
      <c r="B283" s="1" t="n">
        <v>44267</v>
      </c>
      <c r="C283" s="1" t="n">
        <v>45998</v>
      </c>
      <c r="D283" t="inlineStr">
        <is>
          <t>VÄSTMANLANDS LÄN</t>
        </is>
      </c>
      <c r="E283" t="inlineStr">
        <is>
          <t>KÖPING</t>
        </is>
      </c>
      <c r="G283" t="n">
        <v>4.2</v>
      </c>
      <c r="H283" t="n">
        <v>0</v>
      </c>
      <c r="I283" t="n">
        <v>0</v>
      </c>
      <c r="J283" t="n">
        <v>0</v>
      </c>
      <c r="K283" t="n">
        <v>0</v>
      </c>
      <c r="L283" t="n">
        <v>0</v>
      </c>
      <c r="M283" t="n">
        <v>0</v>
      </c>
      <c r="N283" t="n">
        <v>0</v>
      </c>
      <c r="O283" t="n">
        <v>0</v>
      </c>
      <c r="P283" t="n">
        <v>0</v>
      </c>
      <c r="Q283" t="n">
        <v>0</v>
      </c>
      <c r="R283" s="2" t="inlineStr"/>
    </row>
    <row r="284" ht="15" customHeight="1">
      <c r="A284" t="inlineStr">
        <is>
          <t>A 20878-2021</t>
        </is>
      </c>
      <c r="B284" s="1" t="n">
        <v>44319.37657407407</v>
      </c>
      <c r="C284" s="1" t="n">
        <v>45998</v>
      </c>
      <c r="D284" t="inlineStr">
        <is>
          <t>VÄSTMANLANDS LÄN</t>
        </is>
      </c>
      <c r="E284" t="inlineStr">
        <is>
          <t>ARBOGA</t>
        </is>
      </c>
      <c r="G284" t="n">
        <v>0.8</v>
      </c>
      <c r="H284" t="n">
        <v>0</v>
      </c>
      <c r="I284" t="n">
        <v>0</v>
      </c>
      <c r="J284" t="n">
        <v>0</v>
      </c>
      <c r="K284" t="n">
        <v>0</v>
      </c>
      <c r="L284" t="n">
        <v>0</v>
      </c>
      <c r="M284" t="n">
        <v>0</v>
      </c>
      <c r="N284" t="n">
        <v>0</v>
      </c>
      <c r="O284" t="n">
        <v>0</v>
      </c>
      <c r="P284" t="n">
        <v>0</v>
      </c>
      <c r="Q284" t="n">
        <v>0</v>
      </c>
      <c r="R284" s="2" t="inlineStr"/>
    </row>
    <row r="285" ht="15" customHeight="1">
      <c r="A285" t="inlineStr">
        <is>
          <t>A 34215-2021</t>
        </is>
      </c>
      <c r="B285" s="1" t="n">
        <v>44379</v>
      </c>
      <c r="C285" s="1" t="n">
        <v>45998</v>
      </c>
      <c r="D285" t="inlineStr">
        <is>
          <t>VÄSTMANLANDS LÄN</t>
        </is>
      </c>
      <c r="E285" t="inlineStr">
        <is>
          <t>KÖPING</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66561-2021</t>
        </is>
      </c>
      <c r="B286" s="1" t="n">
        <v>44519.41648148148</v>
      </c>
      <c r="C286" s="1" t="n">
        <v>45998</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74421-2021</t>
        </is>
      </c>
      <c r="B287" s="1" t="n">
        <v>44533</v>
      </c>
      <c r="C287" s="1" t="n">
        <v>45998</v>
      </c>
      <c r="D287" t="inlineStr">
        <is>
          <t>VÄSTMANLANDS LÄN</t>
        </is>
      </c>
      <c r="E287" t="inlineStr">
        <is>
          <t>FAGERSTA</t>
        </is>
      </c>
      <c r="G287" t="n">
        <v>3.8</v>
      </c>
      <c r="H287" t="n">
        <v>0</v>
      </c>
      <c r="I287" t="n">
        <v>0</v>
      </c>
      <c r="J287" t="n">
        <v>0</v>
      </c>
      <c r="K287" t="n">
        <v>0</v>
      </c>
      <c r="L287" t="n">
        <v>0</v>
      </c>
      <c r="M287" t="n">
        <v>0</v>
      </c>
      <c r="N287" t="n">
        <v>0</v>
      </c>
      <c r="O287" t="n">
        <v>0</v>
      </c>
      <c r="P287" t="n">
        <v>0</v>
      </c>
      <c r="Q287" t="n">
        <v>0</v>
      </c>
      <c r="R287" s="2" t="inlineStr"/>
    </row>
    <row r="288" ht="15" customHeight="1">
      <c r="A288" t="inlineStr">
        <is>
          <t>A 73124-2021</t>
        </is>
      </c>
      <c r="B288" s="1" t="n">
        <v>44550</v>
      </c>
      <c r="C288" s="1" t="n">
        <v>45998</v>
      </c>
      <c r="D288" t="inlineStr">
        <is>
          <t>VÄSTMANLANDS LÄN</t>
        </is>
      </c>
      <c r="E288" t="inlineStr">
        <is>
          <t>SALA</t>
        </is>
      </c>
      <c r="G288" t="n">
        <v>2.8</v>
      </c>
      <c r="H288" t="n">
        <v>0</v>
      </c>
      <c r="I288" t="n">
        <v>0</v>
      </c>
      <c r="J288" t="n">
        <v>0</v>
      </c>
      <c r="K288" t="n">
        <v>0</v>
      </c>
      <c r="L288" t="n">
        <v>0</v>
      </c>
      <c r="M288" t="n">
        <v>0</v>
      </c>
      <c r="N288" t="n">
        <v>0</v>
      </c>
      <c r="O288" t="n">
        <v>0</v>
      </c>
      <c r="P288" t="n">
        <v>0</v>
      </c>
      <c r="Q288" t="n">
        <v>0</v>
      </c>
      <c r="R288" s="2" t="inlineStr"/>
    </row>
    <row r="289" ht="15" customHeight="1">
      <c r="A289" t="inlineStr">
        <is>
          <t>A 11077-2022</t>
        </is>
      </c>
      <c r="B289" s="1" t="n">
        <v>44628</v>
      </c>
      <c r="C289" s="1" t="n">
        <v>45998</v>
      </c>
      <c r="D289" t="inlineStr">
        <is>
          <t>VÄSTMANLANDS LÄN</t>
        </is>
      </c>
      <c r="E289" t="inlineStr">
        <is>
          <t>VÄSTERÅS</t>
        </is>
      </c>
      <c r="G289" t="n">
        <v>1.7</v>
      </c>
      <c r="H289" t="n">
        <v>0</v>
      </c>
      <c r="I289" t="n">
        <v>0</v>
      </c>
      <c r="J289" t="n">
        <v>0</v>
      </c>
      <c r="K289" t="n">
        <v>0</v>
      </c>
      <c r="L289" t="n">
        <v>0</v>
      </c>
      <c r="M289" t="n">
        <v>0</v>
      </c>
      <c r="N289" t="n">
        <v>0</v>
      </c>
      <c r="O289" t="n">
        <v>0</v>
      </c>
      <c r="P289" t="n">
        <v>0</v>
      </c>
      <c r="Q289" t="n">
        <v>0</v>
      </c>
      <c r="R289" s="2" t="inlineStr"/>
    </row>
    <row r="290" ht="15" customHeight="1">
      <c r="A290" t="inlineStr">
        <is>
          <t>A 21857-2022</t>
        </is>
      </c>
      <c r="B290" s="1" t="n">
        <v>44711</v>
      </c>
      <c r="C290" s="1" t="n">
        <v>45998</v>
      </c>
      <c r="D290" t="inlineStr">
        <is>
          <t>VÄSTMANLANDS LÄN</t>
        </is>
      </c>
      <c r="E290" t="inlineStr">
        <is>
          <t>VÄSTERÅS</t>
        </is>
      </c>
      <c r="G290" t="n">
        <v>1</v>
      </c>
      <c r="H290" t="n">
        <v>0</v>
      </c>
      <c r="I290" t="n">
        <v>0</v>
      </c>
      <c r="J290" t="n">
        <v>0</v>
      </c>
      <c r="K290" t="n">
        <v>0</v>
      </c>
      <c r="L290" t="n">
        <v>0</v>
      </c>
      <c r="M290" t="n">
        <v>0</v>
      </c>
      <c r="N290" t="n">
        <v>0</v>
      </c>
      <c r="O290" t="n">
        <v>0</v>
      </c>
      <c r="P290" t="n">
        <v>0</v>
      </c>
      <c r="Q290" t="n">
        <v>0</v>
      </c>
      <c r="R290" s="2" t="inlineStr"/>
    </row>
    <row r="291" ht="15" customHeight="1">
      <c r="A291" t="inlineStr">
        <is>
          <t>A 26444-2021</t>
        </is>
      </c>
      <c r="B291" s="1" t="n">
        <v>44348</v>
      </c>
      <c r="C291" s="1" t="n">
        <v>45998</v>
      </c>
      <c r="D291" t="inlineStr">
        <is>
          <t>VÄSTMANLANDS LÄN</t>
        </is>
      </c>
      <c r="E291" t="inlineStr">
        <is>
          <t>NORBERG</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29197-2021</t>
        </is>
      </c>
      <c r="B292" s="1" t="n">
        <v>44359.34857638889</v>
      </c>
      <c r="C292" s="1" t="n">
        <v>45998</v>
      </c>
      <c r="D292" t="inlineStr">
        <is>
          <t>VÄSTMANLANDS LÄN</t>
        </is>
      </c>
      <c r="E292" t="inlineStr">
        <is>
          <t>FAGERSTA</t>
        </is>
      </c>
      <c r="G292" t="n">
        <v>0.6</v>
      </c>
      <c r="H292" t="n">
        <v>0</v>
      </c>
      <c r="I292" t="n">
        <v>0</v>
      </c>
      <c r="J292" t="n">
        <v>0</v>
      </c>
      <c r="K292" t="n">
        <v>0</v>
      </c>
      <c r="L292" t="n">
        <v>0</v>
      </c>
      <c r="M292" t="n">
        <v>0</v>
      </c>
      <c r="N292" t="n">
        <v>0</v>
      </c>
      <c r="O292" t="n">
        <v>0</v>
      </c>
      <c r="P292" t="n">
        <v>0</v>
      </c>
      <c r="Q292" t="n">
        <v>0</v>
      </c>
      <c r="R292" s="2" t="inlineStr"/>
    </row>
    <row r="293" ht="15" customHeight="1">
      <c r="A293" t="inlineStr">
        <is>
          <t>A 38067-2021</t>
        </is>
      </c>
      <c r="B293" s="1" t="n">
        <v>44404</v>
      </c>
      <c r="C293" s="1" t="n">
        <v>45998</v>
      </c>
      <c r="D293" t="inlineStr">
        <is>
          <t>VÄSTMANLANDS LÄN</t>
        </is>
      </c>
      <c r="E293" t="inlineStr">
        <is>
          <t>ARBOGA</t>
        </is>
      </c>
      <c r="G293" t="n">
        <v>0.7</v>
      </c>
      <c r="H293" t="n">
        <v>0</v>
      </c>
      <c r="I293" t="n">
        <v>0</v>
      </c>
      <c r="J293" t="n">
        <v>0</v>
      </c>
      <c r="K293" t="n">
        <v>0</v>
      </c>
      <c r="L293" t="n">
        <v>0</v>
      </c>
      <c r="M293" t="n">
        <v>0</v>
      </c>
      <c r="N293" t="n">
        <v>0</v>
      </c>
      <c r="O293" t="n">
        <v>0</v>
      </c>
      <c r="P293" t="n">
        <v>0</v>
      </c>
      <c r="Q293" t="n">
        <v>0</v>
      </c>
      <c r="R293" s="2" t="inlineStr"/>
    </row>
    <row r="294" ht="15" customHeight="1">
      <c r="A294" t="inlineStr">
        <is>
          <t>A 67943-2021</t>
        </is>
      </c>
      <c r="B294" s="1" t="n">
        <v>44525</v>
      </c>
      <c r="C294" s="1" t="n">
        <v>45998</v>
      </c>
      <c r="D294" t="inlineStr">
        <is>
          <t>VÄSTMANLANDS LÄN</t>
        </is>
      </c>
      <c r="E294" t="inlineStr">
        <is>
          <t>VÄSTERÅS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67946-2021</t>
        </is>
      </c>
      <c r="B295" s="1" t="n">
        <v>44525</v>
      </c>
      <c r="C295" s="1" t="n">
        <v>45998</v>
      </c>
      <c r="D295" t="inlineStr">
        <is>
          <t>VÄSTMANLANDS LÄN</t>
        </is>
      </c>
      <c r="E295" t="inlineStr">
        <is>
          <t>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34110-2022</t>
        </is>
      </c>
      <c r="B296" s="1" t="n">
        <v>44791</v>
      </c>
      <c r="C296" s="1" t="n">
        <v>45998</v>
      </c>
      <c r="D296" t="inlineStr">
        <is>
          <t>VÄSTMANLANDS LÄN</t>
        </is>
      </c>
      <c r="E296" t="inlineStr">
        <is>
          <t>SALA</t>
        </is>
      </c>
      <c r="G296" t="n">
        <v>0.2</v>
      </c>
      <c r="H296" t="n">
        <v>0</v>
      </c>
      <c r="I296" t="n">
        <v>0</v>
      </c>
      <c r="J296" t="n">
        <v>0</v>
      </c>
      <c r="K296" t="n">
        <v>0</v>
      </c>
      <c r="L296" t="n">
        <v>0</v>
      </c>
      <c r="M296" t="n">
        <v>0</v>
      </c>
      <c r="N296" t="n">
        <v>0</v>
      </c>
      <c r="O296" t="n">
        <v>0</v>
      </c>
      <c r="P296" t="n">
        <v>0</v>
      </c>
      <c r="Q296" t="n">
        <v>0</v>
      </c>
      <c r="R296" s="2" t="inlineStr"/>
    </row>
    <row r="297" ht="15" customHeight="1">
      <c r="A297" t="inlineStr">
        <is>
          <t>A 73788-2021</t>
        </is>
      </c>
      <c r="B297" s="1" t="n">
        <v>44552</v>
      </c>
      <c r="C297" s="1" t="n">
        <v>45998</v>
      </c>
      <c r="D297" t="inlineStr">
        <is>
          <t>VÄSTMANLANDS LÄN</t>
        </is>
      </c>
      <c r="E297" t="inlineStr">
        <is>
          <t>SALA</t>
        </is>
      </c>
      <c r="G297" t="n">
        <v>0.8</v>
      </c>
      <c r="H297" t="n">
        <v>0</v>
      </c>
      <c r="I297" t="n">
        <v>0</v>
      </c>
      <c r="J297" t="n">
        <v>0</v>
      </c>
      <c r="K297" t="n">
        <v>0</v>
      </c>
      <c r="L297" t="n">
        <v>0</v>
      </c>
      <c r="M297" t="n">
        <v>0</v>
      </c>
      <c r="N297" t="n">
        <v>0</v>
      </c>
      <c r="O297" t="n">
        <v>0</v>
      </c>
      <c r="P297" t="n">
        <v>0</v>
      </c>
      <c r="Q297" t="n">
        <v>0</v>
      </c>
      <c r="R297" s="2" t="inlineStr"/>
    </row>
    <row r="298" ht="15" customHeight="1">
      <c r="A298" t="inlineStr">
        <is>
          <t>A 11890-2021</t>
        </is>
      </c>
      <c r="B298" s="1" t="n">
        <v>44265</v>
      </c>
      <c r="C298" s="1" t="n">
        <v>45998</v>
      </c>
      <c r="D298" t="inlineStr">
        <is>
          <t>VÄSTMANLANDS LÄN</t>
        </is>
      </c>
      <c r="E298" t="inlineStr">
        <is>
          <t>KÖPING</t>
        </is>
      </c>
      <c r="G298" t="n">
        <v>3</v>
      </c>
      <c r="H298" t="n">
        <v>0</v>
      </c>
      <c r="I298" t="n">
        <v>0</v>
      </c>
      <c r="J298" t="n">
        <v>0</v>
      </c>
      <c r="K298" t="n">
        <v>0</v>
      </c>
      <c r="L298" t="n">
        <v>0</v>
      </c>
      <c r="M298" t="n">
        <v>0</v>
      </c>
      <c r="N298" t="n">
        <v>0</v>
      </c>
      <c r="O298" t="n">
        <v>0</v>
      </c>
      <c r="P298" t="n">
        <v>0</v>
      </c>
      <c r="Q298" t="n">
        <v>0</v>
      </c>
      <c r="R298" s="2" t="inlineStr"/>
    </row>
    <row r="299" ht="15" customHeight="1">
      <c r="A299" t="inlineStr">
        <is>
          <t>A 43292-2021</t>
        </is>
      </c>
      <c r="B299" s="1" t="n">
        <v>44432</v>
      </c>
      <c r="C299" s="1" t="n">
        <v>45998</v>
      </c>
      <c r="D299" t="inlineStr">
        <is>
          <t>VÄSTMANLANDS LÄN</t>
        </is>
      </c>
      <c r="E299" t="inlineStr">
        <is>
          <t>SALA</t>
        </is>
      </c>
      <c r="G299" t="n">
        <v>15</v>
      </c>
      <c r="H299" t="n">
        <v>0</v>
      </c>
      <c r="I299" t="n">
        <v>0</v>
      </c>
      <c r="J299" t="n">
        <v>0</v>
      </c>
      <c r="K299" t="n">
        <v>0</v>
      </c>
      <c r="L299" t="n">
        <v>0</v>
      </c>
      <c r="M299" t="n">
        <v>0</v>
      </c>
      <c r="N299" t="n">
        <v>0</v>
      </c>
      <c r="O299" t="n">
        <v>0</v>
      </c>
      <c r="P299" t="n">
        <v>0</v>
      </c>
      <c r="Q299" t="n">
        <v>0</v>
      </c>
      <c r="R299" s="2" t="inlineStr"/>
    </row>
    <row r="300" ht="15" customHeight="1">
      <c r="A300" t="inlineStr">
        <is>
          <t>A 33600-2022</t>
        </is>
      </c>
      <c r="B300" s="1" t="n">
        <v>44789</v>
      </c>
      <c r="C300" s="1" t="n">
        <v>45998</v>
      </c>
      <c r="D300" t="inlineStr">
        <is>
          <t>VÄSTMANLANDS LÄN</t>
        </is>
      </c>
      <c r="E300" t="inlineStr">
        <is>
          <t>SKINNSKATTEBERG</t>
        </is>
      </c>
      <c r="G300" t="n">
        <v>1.5</v>
      </c>
      <c r="H300" t="n">
        <v>0</v>
      </c>
      <c r="I300" t="n">
        <v>0</v>
      </c>
      <c r="J300" t="n">
        <v>0</v>
      </c>
      <c r="K300" t="n">
        <v>0</v>
      </c>
      <c r="L300" t="n">
        <v>0</v>
      </c>
      <c r="M300" t="n">
        <v>0</v>
      </c>
      <c r="N300" t="n">
        <v>0</v>
      </c>
      <c r="O300" t="n">
        <v>0</v>
      </c>
      <c r="P300" t="n">
        <v>0</v>
      </c>
      <c r="Q300" t="n">
        <v>0</v>
      </c>
      <c r="R300" s="2" t="inlineStr"/>
    </row>
    <row r="301" ht="15" customHeight="1">
      <c r="A301" t="inlineStr">
        <is>
          <t>A 28999-2022</t>
        </is>
      </c>
      <c r="B301" s="1" t="n">
        <v>44749</v>
      </c>
      <c r="C301" s="1" t="n">
        <v>45998</v>
      </c>
      <c r="D301" t="inlineStr">
        <is>
          <t>VÄSTMANLANDS LÄN</t>
        </is>
      </c>
      <c r="E301" t="inlineStr">
        <is>
          <t>SALA</t>
        </is>
      </c>
      <c r="G301" t="n">
        <v>5.7</v>
      </c>
      <c r="H301" t="n">
        <v>0</v>
      </c>
      <c r="I301" t="n">
        <v>0</v>
      </c>
      <c r="J301" t="n">
        <v>0</v>
      </c>
      <c r="K301" t="n">
        <v>0</v>
      </c>
      <c r="L301" t="n">
        <v>0</v>
      </c>
      <c r="M301" t="n">
        <v>0</v>
      </c>
      <c r="N301" t="n">
        <v>0</v>
      </c>
      <c r="O301" t="n">
        <v>0</v>
      </c>
      <c r="P301" t="n">
        <v>0</v>
      </c>
      <c r="Q301" t="n">
        <v>0</v>
      </c>
      <c r="R301" s="2" t="inlineStr"/>
    </row>
    <row r="302" ht="15" customHeight="1">
      <c r="A302" t="inlineStr">
        <is>
          <t>A 17479-2022</t>
        </is>
      </c>
      <c r="B302" s="1" t="n">
        <v>44679.4424537037</v>
      </c>
      <c r="C302" s="1" t="n">
        <v>45998</v>
      </c>
      <c r="D302" t="inlineStr">
        <is>
          <t>VÄSTMANLANDS LÄN</t>
        </is>
      </c>
      <c r="E302" t="inlineStr">
        <is>
          <t>VÄSTERÅS</t>
        </is>
      </c>
      <c r="G302" t="n">
        <v>2.1</v>
      </c>
      <c r="H302" t="n">
        <v>0</v>
      </c>
      <c r="I302" t="n">
        <v>0</v>
      </c>
      <c r="J302" t="n">
        <v>0</v>
      </c>
      <c r="K302" t="n">
        <v>0</v>
      </c>
      <c r="L302" t="n">
        <v>0</v>
      </c>
      <c r="M302" t="n">
        <v>0</v>
      </c>
      <c r="N302" t="n">
        <v>0</v>
      </c>
      <c r="O302" t="n">
        <v>0</v>
      </c>
      <c r="P302" t="n">
        <v>0</v>
      </c>
      <c r="Q302" t="n">
        <v>0</v>
      </c>
      <c r="R302" s="2" t="inlineStr"/>
    </row>
    <row r="303" ht="15" customHeight="1">
      <c r="A303" t="inlineStr">
        <is>
          <t>A 12909-2022</t>
        </is>
      </c>
      <c r="B303" s="1" t="n">
        <v>44642</v>
      </c>
      <c r="C303" s="1" t="n">
        <v>45998</v>
      </c>
      <c r="D303" t="inlineStr">
        <is>
          <t>VÄSTMANLANDS LÄN</t>
        </is>
      </c>
      <c r="E303" t="inlineStr">
        <is>
          <t>ARBOGA</t>
        </is>
      </c>
      <c r="G303" t="n">
        <v>1.2</v>
      </c>
      <c r="H303" t="n">
        <v>0</v>
      </c>
      <c r="I303" t="n">
        <v>0</v>
      </c>
      <c r="J303" t="n">
        <v>0</v>
      </c>
      <c r="K303" t="n">
        <v>0</v>
      </c>
      <c r="L303" t="n">
        <v>0</v>
      </c>
      <c r="M303" t="n">
        <v>0</v>
      </c>
      <c r="N303" t="n">
        <v>0</v>
      </c>
      <c r="O303" t="n">
        <v>0</v>
      </c>
      <c r="P303" t="n">
        <v>0</v>
      </c>
      <c r="Q303" t="n">
        <v>0</v>
      </c>
      <c r="R303" s="2" t="inlineStr"/>
    </row>
    <row r="304" ht="15" customHeight="1">
      <c r="A304" t="inlineStr">
        <is>
          <t>A 38068-2021</t>
        </is>
      </c>
      <c r="B304" s="1" t="n">
        <v>44404</v>
      </c>
      <c r="C304" s="1" t="n">
        <v>45998</v>
      </c>
      <c r="D304" t="inlineStr">
        <is>
          <t>VÄSTMANLANDS LÄN</t>
        </is>
      </c>
      <c r="E304" t="inlineStr">
        <is>
          <t>ARBOGA</t>
        </is>
      </c>
      <c r="G304" t="n">
        <v>0.1</v>
      </c>
      <c r="H304" t="n">
        <v>0</v>
      </c>
      <c r="I304" t="n">
        <v>0</v>
      </c>
      <c r="J304" t="n">
        <v>0</v>
      </c>
      <c r="K304" t="n">
        <v>0</v>
      </c>
      <c r="L304" t="n">
        <v>0</v>
      </c>
      <c r="M304" t="n">
        <v>0</v>
      </c>
      <c r="N304" t="n">
        <v>0</v>
      </c>
      <c r="O304" t="n">
        <v>0</v>
      </c>
      <c r="P304" t="n">
        <v>0</v>
      </c>
      <c r="Q304" t="n">
        <v>0</v>
      </c>
      <c r="R304" s="2" t="inlineStr"/>
    </row>
    <row r="305" ht="15" customHeight="1">
      <c r="A305" t="inlineStr">
        <is>
          <t>A 35108-2022</t>
        </is>
      </c>
      <c r="B305" s="1" t="n">
        <v>44797</v>
      </c>
      <c r="C305" s="1" t="n">
        <v>45998</v>
      </c>
      <c r="D305" t="inlineStr">
        <is>
          <t>VÄSTMANLANDS LÄN</t>
        </is>
      </c>
      <c r="E305" t="inlineStr">
        <is>
          <t>KÖPING</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45929-2021</t>
        </is>
      </c>
      <c r="B306" s="1" t="n">
        <v>44441</v>
      </c>
      <c r="C306" s="1" t="n">
        <v>45998</v>
      </c>
      <c r="D306" t="inlineStr">
        <is>
          <t>VÄSTMANLANDS LÄN</t>
        </is>
      </c>
      <c r="E306" t="inlineStr">
        <is>
          <t>NORBERG</t>
        </is>
      </c>
      <c r="G306" t="n">
        <v>1.2</v>
      </c>
      <c r="H306" t="n">
        <v>0</v>
      </c>
      <c r="I306" t="n">
        <v>0</v>
      </c>
      <c r="J306" t="n">
        <v>0</v>
      </c>
      <c r="K306" t="n">
        <v>0</v>
      </c>
      <c r="L306" t="n">
        <v>0</v>
      </c>
      <c r="M306" t="n">
        <v>0</v>
      </c>
      <c r="N306" t="n">
        <v>0</v>
      </c>
      <c r="O306" t="n">
        <v>0</v>
      </c>
      <c r="P306" t="n">
        <v>0</v>
      </c>
      <c r="Q306" t="n">
        <v>0</v>
      </c>
      <c r="R306" s="2" t="inlineStr"/>
    </row>
    <row r="307" ht="15" customHeight="1">
      <c r="A307" t="inlineStr">
        <is>
          <t>A 46661-2021</t>
        </is>
      </c>
      <c r="B307" s="1" t="n">
        <v>44445.60908564815</v>
      </c>
      <c r="C307" s="1" t="n">
        <v>45998</v>
      </c>
      <c r="D307" t="inlineStr">
        <is>
          <t>VÄSTMANLANDS LÄN</t>
        </is>
      </c>
      <c r="E307" t="inlineStr">
        <is>
          <t>KÖPING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11560-2021</t>
        </is>
      </c>
      <c r="B308" s="1" t="n">
        <v>44264</v>
      </c>
      <c r="C308" s="1" t="n">
        <v>45998</v>
      </c>
      <c r="D308" t="inlineStr">
        <is>
          <t>VÄSTMANLANDS LÄN</t>
        </is>
      </c>
      <c r="E308" t="inlineStr">
        <is>
          <t>SALA</t>
        </is>
      </c>
      <c r="G308" t="n">
        <v>1.4</v>
      </c>
      <c r="H308" t="n">
        <v>0</v>
      </c>
      <c r="I308" t="n">
        <v>0</v>
      </c>
      <c r="J308" t="n">
        <v>0</v>
      </c>
      <c r="K308" t="n">
        <v>0</v>
      </c>
      <c r="L308" t="n">
        <v>0</v>
      </c>
      <c r="M308" t="n">
        <v>0</v>
      </c>
      <c r="N308" t="n">
        <v>0</v>
      </c>
      <c r="O308" t="n">
        <v>0</v>
      </c>
      <c r="P308" t="n">
        <v>0</v>
      </c>
      <c r="Q308" t="n">
        <v>0</v>
      </c>
      <c r="R308" s="2" t="inlineStr"/>
    </row>
    <row r="309" ht="15" customHeight="1">
      <c r="A309" t="inlineStr">
        <is>
          <t>A 4051-2021</t>
        </is>
      </c>
      <c r="B309" s="1" t="n">
        <v>44222</v>
      </c>
      <c r="C309" s="1" t="n">
        <v>45998</v>
      </c>
      <c r="D309" t="inlineStr">
        <is>
          <t>VÄSTMANLANDS LÄN</t>
        </is>
      </c>
      <c r="E309" t="inlineStr">
        <is>
          <t>ARBOGA</t>
        </is>
      </c>
      <c r="G309" t="n">
        <v>2.6</v>
      </c>
      <c r="H309" t="n">
        <v>0</v>
      </c>
      <c r="I309" t="n">
        <v>0</v>
      </c>
      <c r="J309" t="n">
        <v>0</v>
      </c>
      <c r="K309" t="n">
        <v>0</v>
      </c>
      <c r="L309" t="n">
        <v>0</v>
      </c>
      <c r="M309" t="n">
        <v>0</v>
      </c>
      <c r="N309" t="n">
        <v>0</v>
      </c>
      <c r="O309" t="n">
        <v>0</v>
      </c>
      <c r="P309" t="n">
        <v>0</v>
      </c>
      <c r="Q309" t="n">
        <v>0</v>
      </c>
      <c r="R309" s="2" t="inlineStr"/>
    </row>
    <row r="310" ht="15" customHeight="1">
      <c r="A310" t="inlineStr">
        <is>
          <t>A 68256-2021</t>
        </is>
      </c>
      <c r="B310" s="1" t="n">
        <v>44526</v>
      </c>
      <c r="C310" s="1" t="n">
        <v>45998</v>
      </c>
      <c r="D310" t="inlineStr">
        <is>
          <t>VÄSTMANLANDS LÄN</t>
        </is>
      </c>
      <c r="E310" t="inlineStr">
        <is>
          <t>ARBOGA</t>
        </is>
      </c>
      <c r="G310" t="n">
        <v>0.5</v>
      </c>
      <c r="H310" t="n">
        <v>0</v>
      </c>
      <c r="I310" t="n">
        <v>0</v>
      </c>
      <c r="J310" t="n">
        <v>0</v>
      </c>
      <c r="K310" t="n">
        <v>0</v>
      </c>
      <c r="L310" t="n">
        <v>0</v>
      </c>
      <c r="M310" t="n">
        <v>0</v>
      </c>
      <c r="N310" t="n">
        <v>0</v>
      </c>
      <c r="O310" t="n">
        <v>0</v>
      </c>
      <c r="P310" t="n">
        <v>0</v>
      </c>
      <c r="Q310" t="n">
        <v>0</v>
      </c>
      <c r="R310" s="2" t="inlineStr"/>
    </row>
    <row r="311" ht="15" customHeight="1">
      <c r="A311" t="inlineStr">
        <is>
          <t>A 28324-2021</t>
        </is>
      </c>
      <c r="B311" s="1" t="n">
        <v>44356</v>
      </c>
      <c r="C311" s="1" t="n">
        <v>45998</v>
      </c>
      <c r="D311" t="inlineStr">
        <is>
          <t>VÄSTMANLANDS LÄN</t>
        </is>
      </c>
      <c r="E311" t="inlineStr">
        <is>
          <t>ARBOGA</t>
        </is>
      </c>
      <c r="G311" t="n">
        <v>1.3</v>
      </c>
      <c r="H311" t="n">
        <v>0</v>
      </c>
      <c r="I311" t="n">
        <v>0</v>
      </c>
      <c r="J311" t="n">
        <v>0</v>
      </c>
      <c r="K311" t="n">
        <v>0</v>
      </c>
      <c r="L311" t="n">
        <v>0</v>
      </c>
      <c r="M311" t="n">
        <v>0</v>
      </c>
      <c r="N311" t="n">
        <v>0</v>
      </c>
      <c r="O311" t="n">
        <v>0</v>
      </c>
      <c r="P311" t="n">
        <v>0</v>
      </c>
      <c r="Q311" t="n">
        <v>0</v>
      </c>
      <c r="R311" s="2" t="inlineStr"/>
    </row>
    <row r="312" ht="15" customHeight="1">
      <c r="A312" t="inlineStr">
        <is>
          <t>A 70012-2021</t>
        </is>
      </c>
      <c r="B312" s="1" t="n">
        <v>44533</v>
      </c>
      <c r="C312" s="1" t="n">
        <v>45998</v>
      </c>
      <c r="D312" t="inlineStr">
        <is>
          <t>VÄSTMANLANDS LÄN</t>
        </is>
      </c>
      <c r="E312" t="inlineStr">
        <is>
          <t>FAGERSTA</t>
        </is>
      </c>
      <c r="G312" t="n">
        <v>0.7</v>
      </c>
      <c r="H312" t="n">
        <v>0</v>
      </c>
      <c r="I312" t="n">
        <v>0</v>
      </c>
      <c r="J312" t="n">
        <v>0</v>
      </c>
      <c r="K312" t="n">
        <v>0</v>
      </c>
      <c r="L312" t="n">
        <v>0</v>
      </c>
      <c r="M312" t="n">
        <v>0</v>
      </c>
      <c r="N312" t="n">
        <v>0</v>
      </c>
      <c r="O312" t="n">
        <v>0</v>
      </c>
      <c r="P312" t="n">
        <v>0</v>
      </c>
      <c r="Q312" t="n">
        <v>0</v>
      </c>
      <c r="R312" s="2" t="inlineStr"/>
    </row>
    <row r="313" ht="15" customHeight="1">
      <c r="A313" t="inlineStr">
        <is>
          <t>A 72710-2021</t>
        </is>
      </c>
      <c r="B313" s="1" t="n">
        <v>44545</v>
      </c>
      <c r="C313" s="1" t="n">
        <v>45998</v>
      </c>
      <c r="D313" t="inlineStr">
        <is>
          <t>VÄSTMANLANDS LÄN</t>
        </is>
      </c>
      <c r="E313" t="inlineStr">
        <is>
          <t>SKINNSKATTEBERG</t>
        </is>
      </c>
      <c r="G313" t="n">
        <v>7.9</v>
      </c>
      <c r="H313" t="n">
        <v>0</v>
      </c>
      <c r="I313" t="n">
        <v>0</v>
      </c>
      <c r="J313" t="n">
        <v>0</v>
      </c>
      <c r="K313" t="n">
        <v>0</v>
      </c>
      <c r="L313" t="n">
        <v>0</v>
      </c>
      <c r="M313" t="n">
        <v>0</v>
      </c>
      <c r="N313" t="n">
        <v>0</v>
      </c>
      <c r="O313" t="n">
        <v>0</v>
      </c>
      <c r="P313" t="n">
        <v>0</v>
      </c>
      <c r="Q313" t="n">
        <v>0</v>
      </c>
      <c r="R313" s="2" t="inlineStr"/>
    </row>
    <row r="314" ht="15" customHeight="1">
      <c r="A314" t="inlineStr">
        <is>
          <t>A 19030-2021</t>
        </is>
      </c>
      <c r="B314" s="1" t="n">
        <v>44308</v>
      </c>
      <c r="C314" s="1" t="n">
        <v>45998</v>
      </c>
      <c r="D314" t="inlineStr">
        <is>
          <t>VÄSTMANLANDS LÄN</t>
        </is>
      </c>
      <c r="E314" t="inlineStr">
        <is>
          <t>NORBERG</t>
        </is>
      </c>
      <c r="G314" t="n">
        <v>0.9</v>
      </c>
      <c r="H314" t="n">
        <v>0</v>
      </c>
      <c r="I314" t="n">
        <v>0</v>
      </c>
      <c r="J314" t="n">
        <v>0</v>
      </c>
      <c r="K314" t="n">
        <v>0</v>
      </c>
      <c r="L314" t="n">
        <v>0</v>
      </c>
      <c r="M314" t="n">
        <v>0</v>
      </c>
      <c r="N314" t="n">
        <v>0</v>
      </c>
      <c r="O314" t="n">
        <v>0</v>
      </c>
      <c r="P314" t="n">
        <v>0</v>
      </c>
      <c r="Q314" t="n">
        <v>0</v>
      </c>
      <c r="R314" s="2" t="inlineStr"/>
    </row>
    <row r="315" ht="15" customHeight="1">
      <c r="A315" t="inlineStr">
        <is>
          <t>A 5208-2022</t>
        </is>
      </c>
      <c r="B315" s="1" t="n">
        <v>44594</v>
      </c>
      <c r="C315" s="1" t="n">
        <v>45998</v>
      </c>
      <c r="D315" t="inlineStr">
        <is>
          <t>VÄSTMANLANDS LÄN</t>
        </is>
      </c>
      <c r="E315" t="inlineStr">
        <is>
          <t>VÄSTERÅS</t>
        </is>
      </c>
      <c r="G315" t="n">
        <v>20.3</v>
      </c>
      <c r="H315" t="n">
        <v>0</v>
      </c>
      <c r="I315" t="n">
        <v>0</v>
      </c>
      <c r="J315" t="n">
        <v>0</v>
      </c>
      <c r="K315" t="n">
        <v>0</v>
      </c>
      <c r="L315" t="n">
        <v>0</v>
      </c>
      <c r="M315" t="n">
        <v>0</v>
      </c>
      <c r="N315" t="n">
        <v>0</v>
      </c>
      <c r="O315" t="n">
        <v>0</v>
      </c>
      <c r="P315" t="n">
        <v>0</v>
      </c>
      <c r="Q315" t="n">
        <v>0</v>
      </c>
      <c r="R315" s="2" t="inlineStr"/>
    </row>
    <row r="316" ht="15" customHeight="1">
      <c r="A316" t="inlineStr">
        <is>
          <t>A 1492-2021</t>
        </is>
      </c>
      <c r="B316" s="1" t="n">
        <v>44209</v>
      </c>
      <c r="C316" s="1" t="n">
        <v>45998</v>
      </c>
      <c r="D316" t="inlineStr">
        <is>
          <t>VÄSTMANLANDS LÄN</t>
        </is>
      </c>
      <c r="E316" t="inlineStr">
        <is>
          <t>SURAHAMMAR</t>
        </is>
      </c>
      <c r="G316" t="n">
        <v>1.2</v>
      </c>
      <c r="H316" t="n">
        <v>0</v>
      </c>
      <c r="I316" t="n">
        <v>0</v>
      </c>
      <c r="J316" t="n">
        <v>0</v>
      </c>
      <c r="K316" t="n">
        <v>0</v>
      </c>
      <c r="L316" t="n">
        <v>0</v>
      </c>
      <c r="M316" t="n">
        <v>0</v>
      </c>
      <c r="N316" t="n">
        <v>0</v>
      </c>
      <c r="O316" t="n">
        <v>0</v>
      </c>
      <c r="P316" t="n">
        <v>0</v>
      </c>
      <c r="Q316" t="n">
        <v>0</v>
      </c>
      <c r="R316" s="2" t="inlineStr"/>
    </row>
    <row r="317" ht="15" customHeight="1">
      <c r="A317" t="inlineStr">
        <is>
          <t>A 33762-2021</t>
        </is>
      </c>
      <c r="B317" s="1" t="n">
        <v>44378</v>
      </c>
      <c r="C317" s="1" t="n">
        <v>45998</v>
      </c>
      <c r="D317" t="inlineStr">
        <is>
          <t>VÄSTMANLANDS LÄN</t>
        </is>
      </c>
      <c r="E317" t="inlineStr">
        <is>
          <t>SALA</t>
        </is>
      </c>
      <c r="G317" t="n">
        <v>3.4</v>
      </c>
      <c r="H317" t="n">
        <v>0</v>
      </c>
      <c r="I317" t="n">
        <v>0</v>
      </c>
      <c r="J317" t="n">
        <v>0</v>
      </c>
      <c r="K317" t="n">
        <v>0</v>
      </c>
      <c r="L317" t="n">
        <v>0</v>
      </c>
      <c r="M317" t="n">
        <v>0</v>
      </c>
      <c r="N317" t="n">
        <v>0</v>
      </c>
      <c r="O317" t="n">
        <v>0</v>
      </c>
      <c r="P317" t="n">
        <v>0</v>
      </c>
      <c r="Q317" t="n">
        <v>0</v>
      </c>
      <c r="R317" s="2" t="inlineStr"/>
    </row>
    <row r="318" ht="15" customHeight="1">
      <c r="A318" t="inlineStr">
        <is>
          <t>A 47683-2021</t>
        </is>
      </c>
      <c r="B318" s="1" t="n">
        <v>44448</v>
      </c>
      <c r="C318" s="1" t="n">
        <v>45998</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36639-2021</t>
        </is>
      </c>
      <c r="B319" s="1" t="n">
        <v>44392</v>
      </c>
      <c r="C319" s="1" t="n">
        <v>45998</v>
      </c>
      <c r="D319" t="inlineStr">
        <is>
          <t>VÄSTMANLANDS LÄN</t>
        </is>
      </c>
      <c r="E319" t="inlineStr">
        <is>
          <t>KUNGSÖR</t>
        </is>
      </c>
      <c r="G319" t="n">
        <v>1.9</v>
      </c>
      <c r="H319" t="n">
        <v>0</v>
      </c>
      <c r="I319" t="n">
        <v>0</v>
      </c>
      <c r="J319" t="n">
        <v>0</v>
      </c>
      <c r="K319" t="n">
        <v>0</v>
      </c>
      <c r="L319" t="n">
        <v>0</v>
      </c>
      <c r="M319" t="n">
        <v>0</v>
      </c>
      <c r="N319" t="n">
        <v>0</v>
      </c>
      <c r="O319" t="n">
        <v>0</v>
      </c>
      <c r="P319" t="n">
        <v>0</v>
      </c>
      <c r="Q319" t="n">
        <v>0</v>
      </c>
      <c r="R319" s="2" t="inlineStr"/>
    </row>
    <row r="320" ht="15" customHeight="1">
      <c r="A320" t="inlineStr">
        <is>
          <t>A 64073-2021</t>
        </is>
      </c>
      <c r="B320" s="1" t="n">
        <v>44509</v>
      </c>
      <c r="C320" s="1" t="n">
        <v>45998</v>
      </c>
      <c r="D320" t="inlineStr">
        <is>
          <t>VÄSTMANLANDS LÄN</t>
        </is>
      </c>
      <c r="E320" t="inlineStr">
        <is>
          <t>SURAHAMMAR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51415-2022</t>
        </is>
      </c>
      <c r="B321" s="1" t="n">
        <v>44869.454375</v>
      </c>
      <c r="C321" s="1" t="n">
        <v>45998</v>
      </c>
      <c r="D321" t="inlineStr">
        <is>
          <t>VÄSTMANLANDS LÄN</t>
        </is>
      </c>
      <c r="E321" t="inlineStr">
        <is>
          <t>NORBERG</t>
        </is>
      </c>
      <c r="F321" t="inlineStr">
        <is>
          <t>Övriga Aktiebolag</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7720-2021</t>
        </is>
      </c>
      <c r="B322" s="1" t="n">
        <v>44242</v>
      </c>
      <c r="C322" s="1" t="n">
        <v>45998</v>
      </c>
      <c r="D322" t="inlineStr">
        <is>
          <t>VÄSTMANLANDS LÄN</t>
        </is>
      </c>
      <c r="E322" t="inlineStr">
        <is>
          <t>ARBOGA</t>
        </is>
      </c>
      <c r="G322" t="n">
        <v>1.9</v>
      </c>
      <c r="H322" t="n">
        <v>0</v>
      </c>
      <c r="I322" t="n">
        <v>0</v>
      </c>
      <c r="J322" t="n">
        <v>0</v>
      </c>
      <c r="K322" t="n">
        <v>0</v>
      </c>
      <c r="L322" t="n">
        <v>0</v>
      </c>
      <c r="M322" t="n">
        <v>0</v>
      </c>
      <c r="N322" t="n">
        <v>0</v>
      </c>
      <c r="O322" t="n">
        <v>0</v>
      </c>
      <c r="P322" t="n">
        <v>0</v>
      </c>
      <c r="Q322" t="n">
        <v>0</v>
      </c>
      <c r="R322" s="2" t="inlineStr"/>
    </row>
    <row r="323" ht="15" customHeight="1">
      <c r="A323" t="inlineStr">
        <is>
          <t>A 54520-2021</t>
        </is>
      </c>
      <c r="B323" s="1" t="n">
        <v>44473</v>
      </c>
      <c r="C323" s="1" t="n">
        <v>45998</v>
      </c>
      <c r="D323" t="inlineStr">
        <is>
          <t>VÄSTMANLANDS LÄN</t>
        </is>
      </c>
      <c r="E323" t="inlineStr">
        <is>
          <t>SALA</t>
        </is>
      </c>
      <c r="G323" t="n">
        <v>5.8</v>
      </c>
      <c r="H323" t="n">
        <v>0</v>
      </c>
      <c r="I323" t="n">
        <v>0</v>
      </c>
      <c r="J323" t="n">
        <v>0</v>
      </c>
      <c r="K323" t="n">
        <v>0</v>
      </c>
      <c r="L323" t="n">
        <v>0</v>
      </c>
      <c r="M323" t="n">
        <v>0</v>
      </c>
      <c r="N323" t="n">
        <v>0</v>
      </c>
      <c r="O323" t="n">
        <v>0</v>
      </c>
      <c r="P323" t="n">
        <v>0</v>
      </c>
      <c r="Q323" t="n">
        <v>0</v>
      </c>
      <c r="R323" s="2" t="inlineStr"/>
    </row>
    <row r="324" ht="15" customHeight="1">
      <c r="A324" t="inlineStr">
        <is>
          <t>A 6585-2022</t>
        </is>
      </c>
      <c r="B324" s="1" t="n">
        <v>44601.63337962963</v>
      </c>
      <c r="C324" s="1" t="n">
        <v>45998</v>
      </c>
      <c r="D324" t="inlineStr">
        <is>
          <t>VÄSTMANLANDS LÄN</t>
        </is>
      </c>
      <c r="E324" t="inlineStr">
        <is>
          <t>VÄSTERÅS</t>
        </is>
      </c>
      <c r="G324" t="n">
        <v>6.6</v>
      </c>
      <c r="H324" t="n">
        <v>0</v>
      </c>
      <c r="I324" t="n">
        <v>0</v>
      </c>
      <c r="J324" t="n">
        <v>0</v>
      </c>
      <c r="K324" t="n">
        <v>0</v>
      </c>
      <c r="L324" t="n">
        <v>0</v>
      </c>
      <c r="M324" t="n">
        <v>0</v>
      </c>
      <c r="N324" t="n">
        <v>0</v>
      </c>
      <c r="O324" t="n">
        <v>0</v>
      </c>
      <c r="P324" t="n">
        <v>0</v>
      </c>
      <c r="Q324" t="n">
        <v>0</v>
      </c>
      <c r="R324" s="2" t="inlineStr"/>
    </row>
    <row r="325" ht="15" customHeight="1">
      <c r="A325" t="inlineStr">
        <is>
          <t>A 25878-2022</t>
        </is>
      </c>
      <c r="B325" s="1" t="n">
        <v>44733</v>
      </c>
      <c r="C325" s="1" t="n">
        <v>45998</v>
      </c>
      <c r="D325" t="inlineStr">
        <is>
          <t>VÄSTMANLANDS LÄN</t>
        </is>
      </c>
      <c r="E325" t="inlineStr">
        <is>
          <t>VÄSTERÅS</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20271-2022</t>
        </is>
      </c>
      <c r="B326" s="1" t="n">
        <v>44698</v>
      </c>
      <c r="C326" s="1" t="n">
        <v>45998</v>
      </c>
      <c r="D326" t="inlineStr">
        <is>
          <t>VÄSTMANLANDS LÄN</t>
        </is>
      </c>
      <c r="E326" t="inlineStr">
        <is>
          <t>ARBOGA</t>
        </is>
      </c>
      <c r="G326" t="n">
        <v>0.4</v>
      </c>
      <c r="H326" t="n">
        <v>0</v>
      </c>
      <c r="I326" t="n">
        <v>0</v>
      </c>
      <c r="J326" t="n">
        <v>0</v>
      </c>
      <c r="K326" t="n">
        <v>0</v>
      </c>
      <c r="L326" t="n">
        <v>0</v>
      </c>
      <c r="M326" t="n">
        <v>0</v>
      </c>
      <c r="N326" t="n">
        <v>0</v>
      </c>
      <c r="O326" t="n">
        <v>0</v>
      </c>
      <c r="P326" t="n">
        <v>0</v>
      </c>
      <c r="Q326" t="n">
        <v>0</v>
      </c>
      <c r="R326" s="2" t="inlineStr"/>
    </row>
    <row r="327" ht="15" customHeight="1">
      <c r="A327" t="inlineStr">
        <is>
          <t>A 53432-2022</t>
        </is>
      </c>
      <c r="B327" s="1" t="n">
        <v>44879</v>
      </c>
      <c r="C327" s="1" t="n">
        <v>45998</v>
      </c>
      <c r="D327" t="inlineStr">
        <is>
          <t>VÄSTMANLANDS LÄN</t>
        </is>
      </c>
      <c r="E327" t="inlineStr">
        <is>
          <t>SALA</t>
        </is>
      </c>
      <c r="G327" t="n">
        <v>1</v>
      </c>
      <c r="H327" t="n">
        <v>0</v>
      </c>
      <c r="I327" t="n">
        <v>0</v>
      </c>
      <c r="J327" t="n">
        <v>0</v>
      </c>
      <c r="K327" t="n">
        <v>0</v>
      </c>
      <c r="L327" t="n">
        <v>0</v>
      </c>
      <c r="M327" t="n">
        <v>0</v>
      </c>
      <c r="N327" t="n">
        <v>0</v>
      </c>
      <c r="O327" t="n">
        <v>0</v>
      </c>
      <c r="P327" t="n">
        <v>0</v>
      </c>
      <c r="Q327" t="n">
        <v>0</v>
      </c>
      <c r="R327" s="2" t="inlineStr"/>
    </row>
    <row r="328" ht="15" customHeight="1">
      <c r="A328" t="inlineStr">
        <is>
          <t>A 53454-2022</t>
        </is>
      </c>
      <c r="B328" s="1" t="n">
        <v>44879</v>
      </c>
      <c r="C328" s="1" t="n">
        <v>45998</v>
      </c>
      <c r="D328" t="inlineStr">
        <is>
          <t>VÄSTMANLANDS LÄN</t>
        </is>
      </c>
      <c r="E328" t="inlineStr">
        <is>
          <t>SKINNSKATTEBERG</t>
        </is>
      </c>
      <c r="G328" t="n">
        <v>0.9</v>
      </c>
      <c r="H328" t="n">
        <v>0</v>
      </c>
      <c r="I328" t="n">
        <v>0</v>
      </c>
      <c r="J328" t="n">
        <v>0</v>
      </c>
      <c r="K328" t="n">
        <v>0</v>
      </c>
      <c r="L328" t="n">
        <v>0</v>
      </c>
      <c r="M328" t="n">
        <v>0</v>
      </c>
      <c r="N328" t="n">
        <v>0</v>
      </c>
      <c r="O328" t="n">
        <v>0</v>
      </c>
      <c r="P328" t="n">
        <v>0</v>
      </c>
      <c r="Q328" t="n">
        <v>0</v>
      </c>
      <c r="R328" s="2" t="inlineStr"/>
    </row>
    <row r="329" ht="15" customHeight="1">
      <c r="A329" t="inlineStr">
        <is>
          <t>A 49143-2022</t>
        </is>
      </c>
      <c r="B329" s="1" t="n">
        <v>44860.75229166666</v>
      </c>
      <c r="C329" s="1" t="n">
        <v>45998</v>
      </c>
      <c r="D329" t="inlineStr">
        <is>
          <t>VÄSTMANLANDS LÄN</t>
        </is>
      </c>
      <c r="E329" t="inlineStr">
        <is>
          <t>NORBERG</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10355-2021</t>
        </is>
      </c>
      <c r="B330" s="1" t="n">
        <v>44257</v>
      </c>
      <c r="C330" s="1" t="n">
        <v>45998</v>
      </c>
      <c r="D330" t="inlineStr">
        <is>
          <t>VÄSTMANLANDS LÄN</t>
        </is>
      </c>
      <c r="E330" t="inlineStr">
        <is>
          <t>ARBOGA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49163-2022</t>
        </is>
      </c>
      <c r="B331" s="1" t="n">
        <v>44860.90282407407</v>
      </c>
      <c r="C331" s="1" t="n">
        <v>45998</v>
      </c>
      <c r="D331" t="inlineStr">
        <is>
          <t>VÄSTMANLANDS LÄN</t>
        </is>
      </c>
      <c r="E331" t="inlineStr">
        <is>
          <t>NORBERG</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17093-2022</t>
        </is>
      </c>
      <c r="B332" s="1" t="n">
        <v>44677</v>
      </c>
      <c r="C332" s="1" t="n">
        <v>45998</v>
      </c>
      <c r="D332" t="inlineStr">
        <is>
          <t>VÄSTMANLANDS LÄN</t>
        </is>
      </c>
      <c r="E332" t="inlineStr">
        <is>
          <t>KUNGSÖR</t>
        </is>
      </c>
      <c r="F332" t="inlineStr">
        <is>
          <t>Kommuner</t>
        </is>
      </c>
      <c r="G332" t="n">
        <v>4</v>
      </c>
      <c r="H332" t="n">
        <v>0</v>
      </c>
      <c r="I332" t="n">
        <v>0</v>
      </c>
      <c r="J332" t="n">
        <v>0</v>
      </c>
      <c r="K332" t="n">
        <v>0</v>
      </c>
      <c r="L332" t="n">
        <v>0</v>
      </c>
      <c r="M332" t="n">
        <v>0</v>
      </c>
      <c r="N332" t="n">
        <v>0</v>
      </c>
      <c r="O332" t="n">
        <v>0</v>
      </c>
      <c r="P332" t="n">
        <v>0</v>
      </c>
      <c r="Q332" t="n">
        <v>0</v>
      </c>
      <c r="R332" s="2" t="inlineStr"/>
    </row>
    <row r="333" ht="15" customHeight="1">
      <c r="A333" t="inlineStr">
        <is>
          <t>A 46616-2021</t>
        </is>
      </c>
      <c r="B333" s="1" t="n">
        <v>44445</v>
      </c>
      <c r="C333" s="1" t="n">
        <v>45998</v>
      </c>
      <c r="D333" t="inlineStr">
        <is>
          <t>VÄSTMANLANDS LÄN</t>
        </is>
      </c>
      <c r="E333" t="inlineStr">
        <is>
          <t>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18385-2021</t>
        </is>
      </c>
      <c r="B334" s="1" t="n">
        <v>44305</v>
      </c>
      <c r="C334" s="1" t="n">
        <v>45998</v>
      </c>
      <c r="D334" t="inlineStr">
        <is>
          <t>VÄSTMANLANDS LÄN</t>
        </is>
      </c>
      <c r="E334" t="inlineStr">
        <is>
          <t>SALA</t>
        </is>
      </c>
      <c r="F334" t="inlineStr">
        <is>
          <t>Kommuner</t>
        </is>
      </c>
      <c r="G334" t="n">
        <v>0.6</v>
      </c>
      <c r="H334" t="n">
        <v>0</v>
      </c>
      <c r="I334" t="n">
        <v>0</v>
      </c>
      <c r="J334" t="n">
        <v>0</v>
      </c>
      <c r="K334" t="n">
        <v>0</v>
      </c>
      <c r="L334" t="n">
        <v>0</v>
      </c>
      <c r="M334" t="n">
        <v>0</v>
      </c>
      <c r="N334" t="n">
        <v>0</v>
      </c>
      <c r="O334" t="n">
        <v>0</v>
      </c>
      <c r="P334" t="n">
        <v>0</v>
      </c>
      <c r="Q334" t="n">
        <v>0</v>
      </c>
      <c r="R334" s="2" t="inlineStr"/>
    </row>
    <row r="335" ht="15" customHeight="1">
      <c r="A335" t="inlineStr">
        <is>
          <t>A 36507-2021</t>
        </is>
      </c>
      <c r="B335" s="1" t="n">
        <v>44391</v>
      </c>
      <c r="C335" s="1" t="n">
        <v>45998</v>
      </c>
      <c r="D335" t="inlineStr">
        <is>
          <t>VÄSTMANLANDS LÄN</t>
        </is>
      </c>
      <c r="E335" t="inlineStr">
        <is>
          <t>VÄSTERÅS</t>
        </is>
      </c>
      <c r="G335" t="n">
        <v>0.3</v>
      </c>
      <c r="H335" t="n">
        <v>0</v>
      </c>
      <c r="I335" t="n">
        <v>0</v>
      </c>
      <c r="J335" t="n">
        <v>0</v>
      </c>
      <c r="K335" t="n">
        <v>0</v>
      </c>
      <c r="L335" t="n">
        <v>0</v>
      </c>
      <c r="M335" t="n">
        <v>0</v>
      </c>
      <c r="N335" t="n">
        <v>0</v>
      </c>
      <c r="O335" t="n">
        <v>0</v>
      </c>
      <c r="P335" t="n">
        <v>0</v>
      </c>
      <c r="Q335" t="n">
        <v>0</v>
      </c>
      <c r="R335" s="2" t="inlineStr"/>
    </row>
    <row r="336" ht="15" customHeight="1">
      <c r="A336" t="inlineStr">
        <is>
          <t>A 10435-2021</t>
        </is>
      </c>
      <c r="B336" s="1" t="n">
        <v>44257</v>
      </c>
      <c r="C336" s="1" t="n">
        <v>45998</v>
      </c>
      <c r="D336" t="inlineStr">
        <is>
          <t>VÄSTMANLANDS LÄN</t>
        </is>
      </c>
      <c r="E336" t="inlineStr">
        <is>
          <t>KÖPING</t>
        </is>
      </c>
      <c r="F336" t="inlineStr">
        <is>
          <t>Kyrkan</t>
        </is>
      </c>
      <c r="G336" t="n">
        <v>1.4</v>
      </c>
      <c r="H336" t="n">
        <v>0</v>
      </c>
      <c r="I336" t="n">
        <v>0</v>
      </c>
      <c r="J336" t="n">
        <v>0</v>
      </c>
      <c r="K336" t="n">
        <v>0</v>
      </c>
      <c r="L336" t="n">
        <v>0</v>
      </c>
      <c r="M336" t="n">
        <v>0</v>
      </c>
      <c r="N336" t="n">
        <v>0</v>
      </c>
      <c r="O336" t="n">
        <v>0</v>
      </c>
      <c r="P336" t="n">
        <v>0</v>
      </c>
      <c r="Q336" t="n">
        <v>0</v>
      </c>
      <c r="R336" s="2" t="inlineStr"/>
    </row>
    <row r="337" ht="15" customHeight="1">
      <c r="A337" t="inlineStr">
        <is>
          <t>A 11381-2021</t>
        </is>
      </c>
      <c r="B337" s="1" t="n">
        <v>44263.64922453704</v>
      </c>
      <c r="C337" s="1" t="n">
        <v>45998</v>
      </c>
      <c r="D337" t="inlineStr">
        <is>
          <t>VÄSTMANLANDS LÄN</t>
        </is>
      </c>
      <c r="E337" t="inlineStr">
        <is>
          <t>SKINNSKATTEBERG</t>
        </is>
      </c>
      <c r="G337" t="n">
        <v>1.5</v>
      </c>
      <c r="H337" t="n">
        <v>0</v>
      </c>
      <c r="I337" t="n">
        <v>0</v>
      </c>
      <c r="J337" t="n">
        <v>0</v>
      </c>
      <c r="K337" t="n">
        <v>0</v>
      </c>
      <c r="L337" t="n">
        <v>0</v>
      </c>
      <c r="M337" t="n">
        <v>0</v>
      </c>
      <c r="N337" t="n">
        <v>0</v>
      </c>
      <c r="O337" t="n">
        <v>0</v>
      </c>
      <c r="P337" t="n">
        <v>0</v>
      </c>
      <c r="Q337" t="n">
        <v>0</v>
      </c>
      <c r="R337" s="2" t="inlineStr"/>
    </row>
    <row r="338" ht="15" customHeight="1">
      <c r="A338" t="inlineStr">
        <is>
          <t>A 65678-2021</t>
        </is>
      </c>
      <c r="B338" s="1" t="n">
        <v>44516</v>
      </c>
      <c r="C338" s="1" t="n">
        <v>45998</v>
      </c>
      <c r="D338" t="inlineStr">
        <is>
          <t>VÄSTMANLANDS LÄN</t>
        </is>
      </c>
      <c r="E338" t="inlineStr">
        <is>
          <t>VÄSTERÅS</t>
        </is>
      </c>
      <c r="G338" t="n">
        <v>1</v>
      </c>
      <c r="H338" t="n">
        <v>0</v>
      </c>
      <c r="I338" t="n">
        <v>0</v>
      </c>
      <c r="J338" t="n">
        <v>0</v>
      </c>
      <c r="K338" t="n">
        <v>0</v>
      </c>
      <c r="L338" t="n">
        <v>0</v>
      </c>
      <c r="M338" t="n">
        <v>0</v>
      </c>
      <c r="N338" t="n">
        <v>0</v>
      </c>
      <c r="O338" t="n">
        <v>0</v>
      </c>
      <c r="P338" t="n">
        <v>0</v>
      </c>
      <c r="Q338" t="n">
        <v>0</v>
      </c>
      <c r="R338" s="2" t="inlineStr"/>
    </row>
    <row r="339" ht="15" customHeight="1">
      <c r="A339" t="inlineStr">
        <is>
          <t>A 43355-2021</t>
        </is>
      </c>
      <c r="B339" s="1" t="n">
        <v>44432</v>
      </c>
      <c r="C339" s="1" t="n">
        <v>45998</v>
      </c>
      <c r="D339" t="inlineStr">
        <is>
          <t>VÄSTMANLANDS LÄN</t>
        </is>
      </c>
      <c r="E339" t="inlineStr">
        <is>
          <t>VÄSTERÅS</t>
        </is>
      </c>
      <c r="G339" t="n">
        <v>1.1</v>
      </c>
      <c r="H339" t="n">
        <v>0</v>
      </c>
      <c r="I339" t="n">
        <v>0</v>
      </c>
      <c r="J339" t="n">
        <v>0</v>
      </c>
      <c r="K339" t="n">
        <v>0</v>
      </c>
      <c r="L339" t="n">
        <v>0</v>
      </c>
      <c r="M339" t="n">
        <v>0</v>
      </c>
      <c r="N339" t="n">
        <v>0</v>
      </c>
      <c r="O339" t="n">
        <v>0</v>
      </c>
      <c r="P339" t="n">
        <v>0</v>
      </c>
      <c r="Q339" t="n">
        <v>0</v>
      </c>
      <c r="R339" s="2" t="inlineStr"/>
    </row>
    <row r="340" ht="15" customHeight="1">
      <c r="A340" t="inlineStr">
        <is>
          <t>A 69656-2021</t>
        </is>
      </c>
      <c r="B340" s="1" t="n">
        <v>44532.44113425926</v>
      </c>
      <c r="C340" s="1" t="n">
        <v>45998</v>
      </c>
      <c r="D340" t="inlineStr">
        <is>
          <t>VÄSTMANLANDS LÄN</t>
        </is>
      </c>
      <c r="E340" t="inlineStr">
        <is>
          <t>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73683-2021</t>
        </is>
      </c>
      <c r="B341" s="1" t="n">
        <v>44552.47971064815</v>
      </c>
      <c r="C341" s="1" t="n">
        <v>45998</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10083-2022</t>
        </is>
      </c>
      <c r="B342" s="1" t="n">
        <v>44621.66173611111</v>
      </c>
      <c r="C342" s="1" t="n">
        <v>45998</v>
      </c>
      <c r="D342" t="inlineStr">
        <is>
          <t>VÄSTMANLANDS LÄN</t>
        </is>
      </c>
      <c r="E342" t="inlineStr">
        <is>
          <t>SALA</t>
        </is>
      </c>
      <c r="G342" t="n">
        <v>7.8</v>
      </c>
      <c r="H342" t="n">
        <v>0</v>
      </c>
      <c r="I342" t="n">
        <v>0</v>
      </c>
      <c r="J342" t="n">
        <v>0</v>
      </c>
      <c r="K342" t="n">
        <v>0</v>
      </c>
      <c r="L342" t="n">
        <v>0</v>
      </c>
      <c r="M342" t="n">
        <v>0</v>
      </c>
      <c r="N342" t="n">
        <v>0</v>
      </c>
      <c r="O342" t="n">
        <v>0</v>
      </c>
      <c r="P342" t="n">
        <v>0</v>
      </c>
      <c r="Q342" t="n">
        <v>0</v>
      </c>
      <c r="R342" s="2" t="inlineStr"/>
    </row>
    <row r="343" ht="15" customHeight="1">
      <c r="A343" t="inlineStr">
        <is>
          <t>A 24804-2021</t>
        </is>
      </c>
      <c r="B343" s="1" t="n">
        <v>44340</v>
      </c>
      <c r="C343" s="1" t="n">
        <v>45998</v>
      </c>
      <c r="D343" t="inlineStr">
        <is>
          <t>VÄSTMANLANDS LÄN</t>
        </is>
      </c>
      <c r="E343" t="inlineStr">
        <is>
          <t>SURAHAMMAR</t>
        </is>
      </c>
      <c r="F343" t="inlineStr">
        <is>
          <t>Bergvik skog väst AB</t>
        </is>
      </c>
      <c r="G343" t="n">
        <v>1.6</v>
      </c>
      <c r="H343" t="n">
        <v>0</v>
      </c>
      <c r="I343" t="n">
        <v>0</v>
      </c>
      <c r="J343" t="n">
        <v>0</v>
      </c>
      <c r="K343" t="n">
        <v>0</v>
      </c>
      <c r="L343" t="n">
        <v>0</v>
      </c>
      <c r="M343" t="n">
        <v>0</v>
      </c>
      <c r="N343" t="n">
        <v>0</v>
      </c>
      <c r="O343" t="n">
        <v>0</v>
      </c>
      <c r="P343" t="n">
        <v>0</v>
      </c>
      <c r="Q343" t="n">
        <v>0</v>
      </c>
      <c r="R343" s="2" t="inlineStr"/>
    </row>
    <row r="344" ht="15" customHeight="1">
      <c r="A344" t="inlineStr">
        <is>
          <t>A 24888-2021</t>
        </is>
      </c>
      <c r="B344" s="1" t="n">
        <v>44341</v>
      </c>
      <c r="C344" s="1" t="n">
        <v>45998</v>
      </c>
      <c r="D344" t="inlineStr">
        <is>
          <t>VÄSTMANLANDS LÄN</t>
        </is>
      </c>
      <c r="E344" t="inlineStr">
        <is>
          <t>SALA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3682-2022</t>
        </is>
      </c>
      <c r="B345" s="1" t="n">
        <v>44586</v>
      </c>
      <c r="C345" s="1" t="n">
        <v>45998</v>
      </c>
      <c r="D345" t="inlineStr">
        <is>
          <t>VÄSTMANLANDS LÄN</t>
        </is>
      </c>
      <c r="E345" t="inlineStr">
        <is>
          <t>FAGERSTA</t>
        </is>
      </c>
      <c r="G345" t="n">
        <v>1.1</v>
      </c>
      <c r="H345" t="n">
        <v>0</v>
      </c>
      <c r="I345" t="n">
        <v>0</v>
      </c>
      <c r="J345" t="n">
        <v>0</v>
      </c>
      <c r="K345" t="n">
        <v>0</v>
      </c>
      <c r="L345" t="n">
        <v>0</v>
      </c>
      <c r="M345" t="n">
        <v>0</v>
      </c>
      <c r="N345" t="n">
        <v>0</v>
      </c>
      <c r="O345" t="n">
        <v>0</v>
      </c>
      <c r="P345" t="n">
        <v>0</v>
      </c>
      <c r="Q345" t="n">
        <v>0</v>
      </c>
      <c r="R345" s="2" t="inlineStr"/>
    </row>
    <row r="346" ht="15" customHeight="1">
      <c r="A346" t="inlineStr">
        <is>
          <t>A 7738-2022</t>
        </is>
      </c>
      <c r="B346" s="1" t="n">
        <v>44594</v>
      </c>
      <c r="C346" s="1" t="n">
        <v>45998</v>
      </c>
      <c r="D346" t="inlineStr">
        <is>
          <t>VÄSTMANLANDS LÄN</t>
        </is>
      </c>
      <c r="E346" t="inlineStr">
        <is>
          <t>VÄSTERÅS</t>
        </is>
      </c>
      <c r="G346" t="n">
        <v>2.3</v>
      </c>
      <c r="H346" t="n">
        <v>0</v>
      </c>
      <c r="I346" t="n">
        <v>0</v>
      </c>
      <c r="J346" t="n">
        <v>0</v>
      </c>
      <c r="K346" t="n">
        <v>0</v>
      </c>
      <c r="L346" t="n">
        <v>0</v>
      </c>
      <c r="M346" t="n">
        <v>0</v>
      </c>
      <c r="N346" t="n">
        <v>0</v>
      </c>
      <c r="O346" t="n">
        <v>0</v>
      </c>
      <c r="P346" t="n">
        <v>0</v>
      </c>
      <c r="Q346" t="n">
        <v>0</v>
      </c>
      <c r="R346" s="2" t="inlineStr"/>
    </row>
    <row r="347" ht="15" customHeight="1">
      <c r="A347" t="inlineStr">
        <is>
          <t>A 46192-2022</t>
        </is>
      </c>
      <c r="B347" s="1" t="n">
        <v>44847</v>
      </c>
      <c r="C347" s="1" t="n">
        <v>45998</v>
      </c>
      <c r="D347" t="inlineStr">
        <is>
          <t>VÄSTMANLANDS LÄN</t>
        </is>
      </c>
      <c r="E347" t="inlineStr">
        <is>
          <t>ARBOGA</t>
        </is>
      </c>
      <c r="G347" t="n">
        <v>5.5</v>
      </c>
      <c r="H347" t="n">
        <v>0</v>
      </c>
      <c r="I347" t="n">
        <v>0</v>
      </c>
      <c r="J347" t="n">
        <v>0</v>
      </c>
      <c r="K347" t="n">
        <v>0</v>
      </c>
      <c r="L347" t="n">
        <v>0</v>
      </c>
      <c r="M347" t="n">
        <v>0</v>
      </c>
      <c r="N347" t="n">
        <v>0</v>
      </c>
      <c r="O347" t="n">
        <v>0</v>
      </c>
      <c r="P347" t="n">
        <v>0</v>
      </c>
      <c r="Q347" t="n">
        <v>0</v>
      </c>
      <c r="R347" s="2" t="inlineStr"/>
    </row>
    <row r="348" ht="15" customHeight="1">
      <c r="A348" t="inlineStr">
        <is>
          <t>A 3050-2022</t>
        </is>
      </c>
      <c r="B348" s="1" t="n">
        <v>44582</v>
      </c>
      <c r="C348" s="1" t="n">
        <v>45998</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74277-2021</t>
        </is>
      </c>
      <c r="B349" s="1" t="n">
        <v>44558.76385416667</v>
      </c>
      <c r="C349" s="1" t="n">
        <v>45998</v>
      </c>
      <c r="D349" t="inlineStr">
        <is>
          <t>VÄSTMANLANDS LÄN</t>
        </is>
      </c>
      <c r="E349" t="inlineStr">
        <is>
          <t>SALA</t>
        </is>
      </c>
      <c r="F349" t="inlineStr">
        <is>
          <t>Kommuner</t>
        </is>
      </c>
      <c r="G349" t="n">
        <v>24.4</v>
      </c>
      <c r="H349" t="n">
        <v>0</v>
      </c>
      <c r="I349" t="n">
        <v>0</v>
      </c>
      <c r="J349" t="n">
        <v>0</v>
      </c>
      <c r="K349" t="n">
        <v>0</v>
      </c>
      <c r="L349" t="n">
        <v>0</v>
      </c>
      <c r="M349" t="n">
        <v>0</v>
      </c>
      <c r="N349" t="n">
        <v>0</v>
      </c>
      <c r="O349" t="n">
        <v>0</v>
      </c>
      <c r="P349" t="n">
        <v>0</v>
      </c>
      <c r="Q349" t="n">
        <v>0</v>
      </c>
      <c r="R349" s="2" t="inlineStr"/>
    </row>
    <row r="350" ht="15" customHeight="1">
      <c r="A350" t="inlineStr">
        <is>
          <t>A 19164-2022</t>
        </is>
      </c>
      <c r="B350" s="1" t="n">
        <v>44691</v>
      </c>
      <c r="C350" s="1" t="n">
        <v>45998</v>
      </c>
      <c r="D350" t="inlineStr">
        <is>
          <t>VÄSTMANLANDS LÄN</t>
        </is>
      </c>
      <c r="E350" t="inlineStr">
        <is>
          <t>VÄSTERÅS</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31387-2022</t>
        </is>
      </c>
      <c r="B351" s="1" t="n">
        <v>44774.62174768518</v>
      </c>
      <c r="C351" s="1" t="n">
        <v>45998</v>
      </c>
      <c r="D351" t="inlineStr">
        <is>
          <t>VÄSTMANLANDS LÄN</t>
        </is>
      </c>
      <c r="E351" t="inlineStr">
        <is>
          <t>SALA</t>
        </is>
      </c>
      <c r="G351" t="n">
        <v>5.8</v>
      </c>
      <c r="H351" t="n">
        <v>0</v>
      </c>
      <c r="I351" t="n">
        <v>0</v>
      </c>
      <c r="J351" t="n">
        <v>0</v>
      </c>
      <c r="K351" t="n">
        <v>0</v>
      </c>
      <c r="L351" t="n">
        <v>0</v>
      </c>
      <c r="M351" t="n">
        <v>0</v>
      </c>
      <c r="N351" t="n">
        <v>0</v>
      </c>
      <c r="O351" t="n">
        <v>0</v>
      </c>
      <c r="P351" t="n">
        <v>0</v>
      </c>
      <c r="Q351" t="n">
        <v>0</v>
      </c>
      <c r="R351" s="2" t="inlineStr"/>
    </row>
    <row r="352" ht="15" customHeight="1">
      <c r="A352" t="inlineStr">
        <is>
          <t>A 62842-2021</t>
        </is>
      </c>
      <c r="B352" s="1" t="n">
        <v>44504.55927083334</v>
      </c>
      <c r="C352" s="1" t="n">
        <v>45998</v>
      </c>
      <c r="D352" t="inlineStr">
        <is>
          <t>VÄSTMANLANDS LÄN</t>
        </is>
      </c>
      <c r="E352" t="inlineStr">
        <is>
          <t>SALA</t>
        </is>
      </c>
      <c r="G352" t="n">
        <v>5.3</v>
      </c>
      <c r="H352" t="n">
        <v>0</v>
      </c>
      <c r="I352" t="n">
        <v>0</v>
      </c>
      <c r="J352" t="n">
        <v>0</v>
      </c>
      <c r="K352" t="n">
        <v>0</v>
      </c>
      <c r="L352" t="n">
        <v>0</v>
      </c>
      <c r="M352" t="n">
        <v>0</v>
      </c>
      <c r="N352" t="n">
        <v>0</v>
      </c>
      <c r="O352" t="n">
        <v>0</v>
      </c>
      <c r="P352" t="n">
        <v>0</v>
      </c>
      <c r="Q352" t="n">
        <v>0</v>
      </c>
      <c r="R352" s="2" t="inlineStr"/>
    </row>
    <row r="353" ht="15" customHeight="1">
      <c r="A353" t="inlineStr">
        <is>
          <t>A 62850-2021</t>
        </is>
      </c>
      <c r="B353" s="1" t="n">
        <v>44504</v>
      </c>
      <c r="C353" s="1" t="n">
        <v>45998</v>
      </c>
      <c r="D353" t="inlineStr">
        <is>
          <t>VÄSTMANLANDS LÄN</t>
        </is>
      </c>
      <c r="E353" t="inlineStr">
        <is>
          <t>SALA</t>
        </is>
      </c>
      <c r="G353" t="n">
        <v>5.2</v>
      </c>
      <c r="H353" t="n">
        <v>0</v>
      </c>
      <c r="I353" t="n">
        <v>0</v>
      </c>
      <c r="J353" t="n">
        <v>0</v>
      </c>
      <c r="K353" t="n">
        <v>0</v>
      </c>
      <c r="L353" t="n">
        <v>0</v>
      </c>
      <c r="M353" t="n">
        <v>0</v>
      </c>
      <c r="N353" t="n">
        <v>0</v>
      </c>
      <c r="O353" t="n">
        <v>0</v>
      </c>
      <c r="P353" t="n">
        <v>0</v>
      </c>
      <c r="Q353" t="n">
        <v>0</v>
      </c>
      <c r="R353" s="2" t="inlineStr"/>
    </row>
    <row r="354" ht="15" customHeight="1">
      <c r="A354" t="inlineStr">
        <is>
          <t>A 56249-2021</t>
        </is>
      </c>
      <c r="B354" s="1" t="n">
        <v>44479</v>
      </c>
      <c r="C354" s="1" t="n">
        <v>45998</v>
      </c>
      <c r="D354" t="inlineStr">
        <is>
          <t>VÄSTMANLANDS LÄN</t>
        </is>
      </c>
      <c r="E354" t="inlineStr">
        <is>
          <t>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56733-2021</t>
        </is>
      </c>
      <c r="B355" s="1" t="n">
        <v>44481</v>
      </c>
      <c r="C355" s="1" t="n">
        <v>45998</v>
      </c>
      <c r="D355" t="inlineStr">
        <is>
          <t>VÄSTMANLANDS LÄN</t>
        </is>
      </c>
      <c r="E355" t="inlineStr">
        <is>
          <t>FAGERSTA</t>
        </is>
      </c>
      <c r="G355" t="n">
        <v>2.1</v>
      </c>
      <c r="H355" t="n">
        <v>0</v>
      </c>
      <c r="I355" t="n">
        <v>0</v>
      </c>
      <c r="J355" t="n">
        <v>0</v>
      </c>
      <c r="K355" t="n">
        <v>0</v>
      </c>
      <c r="L355" t="n">
        <v>0</v>
      </c>
      <c r="M355" t="n">
        <v>0</v>
      </c>
      <c r="N355" t="n">
        <v>0</v>
      </c>
      <c r="O355" t="n">
        <v>0</v>
      </c>
      <c r="P355" t="n">
        <v>0</v>
      </c>
      <c r="Q355" t="n">
        <v>0</v>
      </c>
      <c r="R355" s="2" t="inlineStr"/>
    </row>
    <row r="356" ht="15" customHeight="1">
      <c r="A356" t="inlineStr">
        <is>
          <t>A 11901-2022</t>
        </is>
      </c>
      <c r="B356" s="1" t="n">
        <v>44635</v>
      </c>
      <c r="C356" s="1" t="n">
        <v>45998</v>
      </c>
      <c r="D356" t="inlineStr">
        <is>
          <t>VÄSTMANLANDS LÄN</t>
        </is>
      </c>
      <c r="E356" t="inlineStr">
        <is>
          <t>HALLSTAHAMMAR</t>
        </is>
      </c>
      <c r="F356" t="inlineStr">
        <is>
          <t>Kommuner</t>
        </is>
      </c>
      <c r="G356" t="n">
        <v>0.7</v>
      </c>
      <c r="H356" t="n">
        <v>0</v>
      </c>
      <c r="I356" t="n">
        <v>0</v>
      </c>
      <c r="J356" t="n">
        <v>0</v>
      </c>
      <c r="K356" t="n">
        <v>0</v>
      </c>
      <c r="L356" t="n">
        <v>0</v>
      </c>
      <c r="M356" t="n">
        <v>0</v>
      </c>
      <c r="N356" t="n">
        <v>0</v>
      </c>
      <c r="O356" t="n">
        <v>0</v>
      </c>
      <c r="P356" t="n">
        <v>0</v>
      </c>
      <c r="Q356" t="n">
        <v>0</v>
      </c>
      <c r="R356" s="2" t="inlineStr"/>
    </row>
    <row r="357" ht="15" customHeight="1">
      <c r="A357" t="inlineStr">
        <is>
          <t>A 3901-2021</t>
        </is>
      </c>
      <c r="B357" s="1" t="n">
        <v>44217</v>
      </c>
      <c r="C357" s="1" t="n">
        <v>45998</v>
      </c>
      <c r="D357" t="inlineStr">
        <is>
          <t>VÄSTMANLANDS LÄN</t>
        </is>
      </c>
      <c r="E357" t="inlineStr">
        <is>
          <t>VÄSTERÅS</t>
        </is>
      </c>
      <c r="G357" t="n">
        <v>7</v>
      </c>
      <c r="H357" t="n">
        <v>0</v>
      </c>
      <c r="I357" t="n">
        <v>0</v>
      </c>
      <c r="J357" t="n">
        <v>0</v>
      </c>
      <c r="K357" t="n">
        <v>0</v>
      </c>
      <c r="L357" t="n">
        <v>0</v>
      </c>
      <c r="M357" t="n">
        <v>0</v>
      </c>
      <c r="N357" t="n">
        <v>0</v>
      </c>
      <c r="O357" t="n">
        <v>0</v>
      </c>
      <c r="P357" t="n">
        <v>0</v>
      </c>
      <c r="Q357" t="n">
        <v>0</v>
      </c>
      <c r="R357" s="2" t="inlineStr"/>
    </row>
    <row r="358" ht="15" customHeight="1">
      <c r="A358" t="inlineStr">
        <is>
          <t>A 49086-2022</t>
        </is>
      </c>
      <c r="B358" s="1" t="n">
        <v>44860</v>
      </c>
      <c r="C358" s="1" t="n">
        <v>45998</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58551-2021</t>
        </is>
      </c>
      <c r="B359" s="1" t="n">
        <v>44488.72770833333</v>
      </c>
      <c r="C359" s="1" t="n">
        <v>45998</v>
      </c>
      <c r="D359" t="inlineStr">
        <is>
          <t>VÄSTMANLANDS LÄN</t>
        </is>
      </c>
      <c r="E359" t="inlineStr">
        <is>
          <t>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17897-2022</t>
        </is>
      </c>
      <c r="B360" s="1" t="n">
        <v>44683</v>
      </c>
      <c r="C360" s="1" t="n">
        <v>45998</v>
      </c>
      <c r="D360" t="inlineStr">
        <is>
          <t>VÄSTMANLANDS LÄN</t>
        </is>
      </c>
      <c r="E360" t="inlineStr">
        <is>
          <t>SALA</t>
        </is>
      </c>
      <c r="G360" t="n">
        <v>1.2</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45998</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63811-2021</t>
        </is>
      </c>
      <c r="B362" s="1" t="n">
        <v>44509</v>
      </c>
      <c r="C362" s="1" t="n">
        <v>45998</v>
      </c>
      <c r="D362" t="inlineStr">
        <is>
          <t>VÄSTMANLANDS LÄN</t>
        </is>
      </c>
      <c r="E362" t="inlineStr">
        <is>
          <t>ARBOGA</t>
        </is>
      </c>
      <c r="G362" t="n">
        <v>3.5</v>
      </c>
      <c r="H362" t="n">
        <v>0</v>
      </c>
      <c r="I362" t="n">
        <v>0</v>
      </c>
      <c r="J362" t="n">
        <v>0</v>
      </c>
      <c r="K362" t="n">
        <v>0</v>
      </c>
      <c r="L362" t="n">
        <v>0</v>
      </c>
      <c r="M362" t="n">
        <v>0</v>
      </c>
      <c r="N362" t="n">
        <v>0</v>
      </c>
      <c r="O362" t="n">
        <v>0</v>
      </c>
      <c r="P362" t="n">
        <v>0</v>
      </c>
      <c r="Q362" t="n">
        <v>0</v>
      </c>
      <c r="R362" s="2" t="inlineStr"/>
    </row>
    <row r="363" ht="15" customHeight="1">
      <c r="A363" t="inlineStr">
        <is>
          <t>A 30465-2021</t>
        </is>
      </c>
      <c r="B363" s="1" t="n">
        <v>44364</v>
      </c>
      <c r="C363" s="1" t="n">
        <v>45998</v>
      </c>
      <c r="D363" t="inlineStr">
        <is>
          <t>VÄSTMANLANDS LÄN</t>
        </is>
      </c>
      <c r="E363" t="inlineStr">
        <is>
          <t>VÄSTERÅS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74356-2021</t>
        </is>
      </c>
      <c r="B364" s="1" t="n">
        <v>44559.58675925926</v>
      </c>
      <c r="C364" s="1" t="n">
        <v>45998</v>
      </c>
      <c r="D364" t="inlineStr">
        <is>
          <t>VÄSTMANLANDS LÄN</t>
        </is>
      </c>
      <c r="E364" t="inlineStr">
        <is>
          <t>FAGERSTA</t>
        </is>
      </c>
      <c r="G364" t="n">
        <v>7.9</v>
      </c>
      <c r="H364" t="n">
        <v>0</v>
      </c>
      <c r="I364" t="n">
        <v>0</v>
      </c>
      <c r="J364" t="n">
        <v>0</v>
      </c>
      <c r="K364" t="n">
        <v>0</v>
      </c>
      <c r="L364" t="n">
        <v>0</v>
      </c>
      <c r="M364" t="n">
        <v>0</v>
      </c>
      <c r="N364" t="n">
        <v>0</v>
      </c>
      <c r="O364" t="n">
        <v>0</v>
      </c>
      <c r="P364" t="n">
        <v>0</v>
      </c>
      <c r="Q364" t="n">
        <v>0</v>
      </c>
      <c r="R364" s="2" t="inlineStr"/>
    </row>
    <row r="365" ht="15" customHeight="1">
      <c r="A365" t="inlineStr">
        <is>
          <t>A 37602-2021</t>
        </is>
      </c>
      <c r="B365" s="1" t="n">
        <v>44399</v>
      </c>
      <c r="C365" s="1" t="n">
        <v>45998</v>
      </c>
      <c r="D365" t="inlineStr">
        <is>
          <t>VÄSTMANLANDS LÄN</t>
        </is>
      </c>
      <c r="E365" t="inlineStr">
        <is>
          <t>FAGERSTA</t>
        </is>
      </c>
      <c r="G365" t="n">
        <v>1.5</v>
      </c>
      <c r="H365" t="n">
        <v>0</v>
      </c>
      <c r="I365" t="n">
        <v>0</v>
      </c>
      <c r="J365" t="n">
        <v>0</v>
      </c>
      <c r="K365" t="n">
        <v>0</v>
      </c>
      <c r="L365" t="n">
        <v>0</v>
      </c>
      <c r="M365" t="n">
        <v>0</v>
      </c>
      <c r="N365" t="n">
        <v>0</v>
      </c>
      <c r="O365" t="n">
        <v>0</v>
      </c>
      <c r="P365" t="n">
        <v>0</v>
      </c>
      <c r="Q365" t="n">
        <v>0</v>
      </c>
      <c r="R365" s="2" t="inlineStr"/>
    </row>
    <row r="366" ht="15" customHeight="1">
      <c r="A366" t="inlineStr">
        <is>
          <t>A 44016-2022</t>
        </is>
      </c>
      <c r="B366" s="1" t="n">
        <v>44838.80505787037</v>
      </c>
      <c r="C366" s="1" t="n">
        <v>45998</v>
      </c>
      <c r="D366" t="inlineStr">
        <is>
          <t>VÄSTMANLANDS LÄN</t>
        </is>
      </c>
      <c r="E366" t="inlineStr">
        <is>
          <t>NORBERG</t>
        </is>
      </c>
      <c r="F366" t="inlineStr">
        <is>
          <t>Sveaskog</t>
        </is>
      </c>
      <c r="G366" t="n">
        <v>7.2</v>
      </c>
      <c r="H366" t="n">
        <v>0</v>
      </c>
      <c r="I366" t="n">
        <v>0</v>
      </c>
      <c r="J366" t="n">
        <v>0</v>
      </c>
      <c r="K366" t="n">
        <v>0</v>
      </c>
      <c r="L366" t="n">
        <v>0</v>
      </c>
      <c r="M366" t="n">
        <v>0</v>
      </c>
      <c r="N366" t="n">
        <v>0</v>
      </c>
      <c r="O366" t="n">
        <v>0</v>
      </c>
      <c r="P366" t="n">
        <v>0</v>
      </c>
      <c r="Q366" t="n">
        <v>0</v>
      </c>
      <c r="R366" s="2" t="inlineStr"/>
    </row>
    <row r="367" ht="15" customHeight="1">
      <c r="A367" t="inlineStr">
        <is>
          <t>A 43103-2022</t>
        </is>
      </c>
      <c r="B367" s="1" t="n">
        <v>44833.68795138889</v>
      </c>
      <c r="C367" s="1" t="n">
        <v>45998</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1470-2022</t>
        </is>
      </c>
      <c r="B368" s="1" t="n">
        <v>44573</v>
      </c>
      <c r="C368" s="1" t="n">
        <v>45998</v>
      </c>
      <c r="D368" t="inlineStr">
        <is>
          <t>VÄSTMANLANDS LÄN</t>
        </is>
      </c>
      <c r="E368" t="inlineStr">
        <is>
          <t>ARBOGA</t>
        </is>
      </c>
      <c r="G368" t="n">
        <v>2.7</v>
      </c>
      <c r="H368" t="n">
        <v>0</v>
      </c>
      <c r="I368" t="n">
        <v>0</v>
      </c>
      <c r="J368" t="n">
        <v>0</v>
      </c>
      <c r="K368" t="n">
        <v>0</v>
      </c>
      <c r="L368" t="n">
        <v>0</v>
      </c>
      <c r="M368" t="n">
        <v>0</v>
      </c>
      <c r="N368" t="n">
        <v>0</v>
      </c>
      <c r="O368" t="n">
        <v>0</v>
      </c>
      <c r="P368" t="n">
        <v>0</v>
      </c>
      <c r="Q368" t="n">
        <v>0</v>
      </c>
      <c r="R368" s="2" t="inlineStr"/>
    </row>
    <row r="369" ht="15" customHeight="1">
      <c r="A369" t="inlineStr">
        <is>
          <t>A 46343-2021</t>
        </is>
      </c>
      <c r="B369" s="1" t="n">
        <v>44442.70611111111</v>
      </c>
      <c r="C369" s="1" t="n">
        <v>45998</v>
      </c>
      <c r="D369" t="inlineStr">
        <is>
          <t>VÄSTMANLANDS LÄN</t>
        </is>
      </c>
      <c r="E369" t="inlineStr">
        <is>
          <t>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4281-2022</t>
        </is>
      </c>
      <c r="B370" s="1" t="n">
        <v>44588</v>
      </c>
      <c r="C370" s="1" t="n">
        <v>45998</v>
      </c>
      <c r="D370" t="inlineStr">
        <is>
          <t>VÄSTMANLANDS LÄN</t>
        </is>
      </c>
      <c r="E370" t="inlineStr">
        <is>
          <t>SALA</t>
        </is>
      </c>
      <c r="G370" t="n">
        <v>1</v>
      </c>
      <c r="H370" t="n">
        <v>0</v>
      </c>
      <c r="I370" t="n">
        <v>0</v>
      </c>
      <c r="J370" t="n">
        <v>0</v>
      </c>
      <c r="K370" t="n">
        <v>0</v>
      </c>
      <c r="L370" t="n">
        <v>0</v>
      </c>
      <c r="M370" t="n">
        <v>0</v>
      </c>
      <c r="N370" t="n">
        <v>0</v>
      </c>
      <c r="O370" t="n">
        <v>0</v>
      </c>
      <c r="P370" t="n">
        <v>0</v>
      </c>
      <c r="Q370" t="n">
        <v>0</v>
      </c>
      <c r="R370" s="2" t="inlineStr"/>
    </row>
    <row r="371" ht="15" customHeight="1">
      <c r="A371" t="inlineStr">
        <is>
          <t>A 12500-2021</t>
        </is>
      </c>
      <c r="B371" s="1" t="n">
        <v>44268</v>
      </c>
      <c r="C371" s="1" t="n">
        <v>45998</v>
      </c>
      <c r="D371" t="inlineStr">
        <is>
          <t>VÄSTMANLANDS LÄN</t>
        </is>
      </c>
      <c r="E371" t="inlineStr">
        <is>
          <t>SKINNSKATTEBERG</t>
        </is>
      </c>
      <c r="G371" t="n">
        <v>18.1</v>
      </c>
      <c r="H371" t="n">
        <v>0</v>
      </c>
      <c r="I371" t="n">
        <v>0</v>
      </c>
      <c r="J371" t="n">
        <v>0</v>
      </c>
      <c r="K371" t="n">
        <v>0</v>
      </c>
      <c r="L371" t="n">
        <v>0</v>
      </c>
      <c r="M371" t="n">
        <v>0</v>
      </c>
      <c r="N371" t="n">
        <v>0</v>
      </c>
      <c r="O371" t="n">
        <v>0</v>
      </c>
      <c r="P371" t="n">
        <v>0</v>
      </c>
      <c r="Q371" t="n">
        <v>0</v>
      </c>
      <c r="R371" s="2" t="inlineStr"/>
    </row>
    <row r="372" ht="15" customHeight="1">
      <c r="A372" t="inlineStr">
        <is>
          <t>A 52076-2022</t>
        </is>
      </c>
      <c r="B372" s="1" t="n">
        <v>44873</v>
      </c>
      <c r="C372" s="1" t="n">
        <v>45998</v>
      </c>
      <c r="D372" t="inlineStr">
        <is>
          <t>VÄSTMANLANDS LÄN</t>
        </is>
      </c>
      <c r="E372" t="inlineStr">
        <is>
          <t>NORBERG</t>
        </is>
      </c>
      <c r="G372" t="n">
        <v>2.3</v>
      </c>
      <c r="H372" t="n">
        <v>0</v>
      </c>
      <c r="I372" t="n">
        <v>0</v>
      </c>
      <c r="J372" t="n">
        <v>0</v>
      </c>
      <c r="K372" t="n">
        <v>0</v>
      </c>
      <c r="L372" t="n">
        <v>0</v>
      </c>
      <c r="M372" t="n">
        <v>0</v>
      </c>
      <c r="N372" t="n">
        <v>0</v>
      </c>
      <c r="O372" t="n">
        <v>0</v>
      </c>
      <c r="P372" t="n">
        <v>0</v>
      </c>
      <c r="Q372" t="n">
        <v>0</v>
      </c>
      <c r="R372" s="2" t="inlineStr"/>
    </row>
    <row r="373" ht="15" customHeight="1">
      <c r="A373" t="inlineStr">
        <is>
          <t>A 47701-2021</t>
        </is>
      </c>
      <c r="B373" s="1" t="n">
        <v>44448</v>
      </c>
      <c r="C373" s="1" t="n">
        <v>45998</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65113-2020</t>
        </is>
      </c>
      <c r="B374" s="1" t="n">
        <v>44172</v>
      </c>
      <c r="C374" s="1" t="n">
        <v>45998</v>
      </c>
      <c r="D374" t="inlineStr">
        <is>
          <t>VÄSTMANLANDS LÄN</t>
        </is>
      </c>
      <c r="E374" t="inlineStr">
        <is>
          <t>FAGERSTA</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45740-2022</t>
        </is>
      </c>
      <c r="B375" s="1" t="n">
        <v>44846.33037037037</v>
      </c>
      <c r="C375" s="1" t="n">
        <v>45998</v>
      </c>
      <c r="D375" t="inlineStr">
        <is>
          <t>VÄSTMANLANDS LÄN</t>
        </is>
      </c>
      <c r="E375" t="inlineStr">
        <is>
          <t>NORBERG</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74423-2021</t>
        </is>
      </c>
      <c r="B376" s="1" t="n">
        <v>44564</v>
      </c>
      <c r="C376" s="1" t="n">
        <v>45998</v>
      </c>
      <c r="D376" t="inlineStr">
        <is>
          <t>VÄSTMANLANDS LÄN</t>
        </is>
      </c>
      <c r="E376" t="inlineStr">
        <is>
          <t>FAGERSTA</t>
        </is>
      </c>
      <c r="G376" t="n">
        <v>1</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45998</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12641-2021</t>
        </is>
      </c>
      <c r="B378" s="1" t="n">
        <v>44267</v>
      </c>
      <c r="C378" s="1" t="n">
        <v>45998</v>
      </c>
      <c r="D378" t="inlineStr">
        <is>
          <t>VÄSTMANLANDS LÄN</t>
        </is>
      </c>
      <c r="E378" t="inlineStr">
        <is>
          <t>KÖPING</t>
        </is>
      </c>
      <c r="G378" t="n">
        <v>10.7</v>
      </c>
      <c r="H378" t="n">
        <v>0</v>
      </c>
      <c r="I378" t="n">
        <v>0</v>
      </c>
      <c r="J378" t="n">
        <v>0</v>
      </c>
      <c r="K378" t="n">
        <v>0</v>
      </c>
      <c r="L378" t="n">
        <v>0</v>
      </c>
      <c r="M378" t="n">
        <v>0</v>
      </c>
      <c r="N378" t="n">
        <v>0</v>
      </c>
      <c r="O378" t="n">
        <v>0</v>
      </c>
      <c r="P378" t="n">
        <v>0</v>
      </c>
      <c r="Q378" t="n">
        <v>0</v>
      </c>
      <c r="R378" s="2" t="inlineStr"/>
    </row>
    <row r="379" ht="15" customHeight="1">
      <c r="A379" t="inlineStr">
        <is>
          <t>A 48544-2021</t>
        </is>
      </c>
      <c r="B379" s="1" t="n">
        <v>44452</v>
      </c>
      <c r="C379" s="1" t="n">
        <v>45998</v>
      </c>
      <c r="D379" t="inlineStr">
        <is>
          <t>VÄSTMANLANDS LÄN</t>
        </is>
      </c>
      <c r="E379" t="inlineStr">
        <is>
          <t>NORBERG</t>
        </is>
      </c>
      <c r="G379" t="n">
        <v>0.5</v>
      </c>
      <c r="H379" t="n">
        <v>0</v>
      </c>
      <c r="I379" t="n">
        <v>0</v>
      </c>
      <c r="J379" t="n">
        <v>0</v>
      </c>
      <c r="K379" t="n">
        <v>0</v>
      </c>
      <c r="L379" t="n">
        <v>0</v>
      </c>
      <c r="M379" t="n">
        <v>0</v>
      </c>
      <c r="N379" t="n">
        <v>0</v>
      </c>
      <c r="O379" t="n">
        <v>0</v>
      </c>
      <c r="P379" t="n">
        <v>0</v>
      </c>
      <c r="Q379" t="n">
        <v>0</v>
      </c>
      <c r="R379" s="2" t="inlineStr"/>
    </row>
    <row r="380" ht="15" customHeight="1">
      <c r="A380" t="inlineStr">
        <is>
          <t>A 52587-2021</t>
        </is>
      </c>
      <c r="B380" s="1" t="n">
        <v>44466</v>
      </c>
      <c r="C380" s="1" t="n">
        <v>45998</v>
      </c>
      <c r="D380" t="inlineStr">
        <is>
          <t>VÄSTMANLANDS LÄN</t>
        </is>
      </c>
      <c r="E380" t="inlineStr">
        <is>
          <t>SKINNSKATTEBERG</t>
        </is>
      </c>
      <c r="G380" t="n">
        <v>3.9</v>
      </c>
      <c r="H380" t="n">
        <v>0</v>
      </c>
      <c r="I380" t="n">
        <v>0</v>
      </c>
      <c r="J380" t="n">
        <v>0</v>
      </c>
      <c r="K380" t="n">
        <v>0</v>
      </c>
      <c r="L380" t="n">
        <v>0</v>
      </c>
      <c r="M380" t="n">
        <v>0</v>
      </c>
      <c r="N380" t="n">
        <v>0</v>
      </c>
      <c r="O380" t="n">
        <v>0</v>
      </c>
      <c r="P380" t="n">
        <v>0</v>
      </c>
      <c r="Q380" t="n">
        <v>0</v>
      </c>
      <c r="R380" s="2" t="inlineStr"/>
    </row>
    <row r="381" ht="15" customHeight="1">
      <c r="A381" t="inlineStr">
        <is>
          <t>A 45934-2021</t>
        </is>
      </c>
      <c r="B381" s="1" t="n">
        <v>44441</v>
      </c>
      <c r="C381" s="1" t="n">
        <v>45998</v>
      </c>
      <c r="D381" t="inlineStr">
        <is>
          <t>VÄSTMANLANDS LÄN</t>
        </is>
      </c>
      <c r="E381" t="inlineStr">
        <is>
          <t>NORBERG</t>
        </is>
      </c>
      <c r="G381" t="n">
        <v>0.3</v>
      </c>
      <c r="H381" t="n">
        <v>0</v>
      </c>
      <c r="I381" t="n">
        <v>0</v>
      </c>
      <c r="J381" t="n">
        <v>0</v>
      </c>
      <c r="K381" t="n">
        <v>0</v>
      </c>
      <c r="L381" t="n">
        <v>0</v>
      </c>
      <c r="M381" t="n">
        <v>0</v>
      </c>
      <c r="N381" t="n">
        <v>0</v>
      </c>
      <c r="O381" t="n">
        <v>0</v>
      </c>
      <c r="P381" t="n">
        <v>0</v>
      </c>
      <c r="Q381" t="n">
        <v>0</v>
      </c>
      <c r="R381" s="2" t="inlineStr"/>
    </row>
    <row r="382" ht="15" customHeight="1">
      <c r="A382" t="inlineStr">
        <is>
          <t>A 19845-2022</t>
        </is>
      </c>
      <c r="B382" s="1" t="n">
        <v>44696.88850694444</v>
      </c>
      <c r="C382" s="1" t="n">
        <v>45998</v>
      </c>
      <c r="D382" t="inlineStr">
        <is>
          <t>VÄSTMANLANDS LÄN</t>
        </is>
      </c>
      <c r="E382" t="inlineStr">
        <is>
          <t>SURAHAMMAR</t>
        </is>
      </c>
      <c r="F382" t="inlineStr">
        <is>
          <t>Kommuner</t>
        </is>
      </c>
      <c r="G382" t="n">
        <v>3.3</v>
      </c>
      <c r="H382" t="n">
        <v>0</v>
      </c>
      <c r="I382" t="n">
        <v>0</v>
      </c>
      <c r="J382" t="n">
        <v>0</v>
      </c>
      <c r="K382" t="n">
        <v>0</v>
      </c>
      <c r="L382" t="n">
        <v>0</v>
      </c>
      <c r="M382" t="n">
        <v>0</v>
      </c>
      <c r="N382" t="n">
        <v>0</v>
      </c>
      <c r="O382" t="n">
        <v>0</v>
      </c>
      <c r="P382" t="n">
        <v>0</v>
      </c>
      <c r="Q382" t="n">
        <v>0</v>
      </c>
      <c r="R382" s="2" t="inlineStr"/>
    </row>
    <row r="383" ht="15" customHeight="1">
      <c r="A383" t="inlineStr">
        <is>
          <t>A 73687-2021</t>
        </is>
      </c>
      <c r="B383" s="1" t="n">
        <v>44552</v>
      </c>
      <c r="C383" s="1" t="n">
        <v>45998</v>
      </c>
      <c r="D383" t="inlineStr">
        <is>
          <t>VÄSTMANLANDS LÄN</t>
        </is>
      </c>
      <c r="E383" t="inlineStr">
        <is>
          <t>SALA</t>
        </is>
      </c>
      <c r="G383" t="n">
        <v>5.6</v>
      </c>
      <c r="H383" t="n">
        <v>0</v>
      </c>
      <c r="I383" t="n">
        <v>0</v>
      </c>
      <c r="J383" t="n">
        <v>0</v>
      </c>
      <c r="K383" t="n">
        <v>0</v>
      </c>
      <c r="L383" t="n">
        <v>0</v>
      </c>
      <c r="M383" t="n">
        <v>0</v>
      </c>
      <c r="N383" t="n">
        <v>0</v>
      </c>
      <c r="O383" t="n">
        <v>0</v>
      </c>
      <c r="P383" t="n">
        <v>0</v>
      </c>
      <c r="Q383" t="n">
        <v>0</v>
      </c>
      <c r="R383" s="2" t="inlineStr"/>
    </row>
    <row r="384" ht="15" customHeight="1">
      <c r="A384" t="inlineStr">
        <is>
          <t>A 16860-2022</t>
        </is>
      </c>
      <c r="B384" s="1" t="n">
        <v>44674</v>
      </c>
      <c r="C384" s="1" t="n">
        <v>45998</v>
      </c>
      <c r="D384" t="inlineStr">
        <is>
          <t>VÄSTMANLANDS LÄN</t>
        </is>
      </c>
      <c r="E384" t="inlineStr">
        <is>
          <t>SKINNSKATTEBERG</t>
        </is>
      </c>
      <c r="G384" t="n">
        <v>1.9</v>
      </c>
      <c r="H384" t="n">
        <v>0</v>
      </c>
      <c r="I384" t="n">
        <v>0</v>
      </c>
      <c r="J384" t="n">
        <v>0</v>
      </c>
      <c r="K384" t="n">
        <v>0</v>
      </c>
      <c r="L384" t="n">
        <v>0</v>
      </c>
      <c r="M384" t="n">
        <v>0</v>
      </c>
      <c r="N384" t="n">
        <v>0</v>
      </c>
      <c r="O384" t="n">
        <v>0</v>
      </c>
      <c r="P384" t="n">
        <v>0</v>
      </c>
      <c r="Q384" t="n">
        <v>0</v>
      </c>
      <c r="R384" s="2" t="inlineStr"/>
    </row>
    <row r="385" ht="15" customHeight="1">
      <c r="A385" t="inlineStr">
        <is>
          <t>A 19844-2022</t>
        </is>
      </c>
      <c r="B385" s="1" t="n">
        <v>44696.88001157407</v>
      </c>
      <c r="C385" s="1" t="n">
        <v>45998</v>
      </c>
      <c r="D385" t="inlineStr">
        <is>
          <t>VÄSTMANLANDS LÄN</t>
        </is>
      </c>
      <c r="E385" t="inlineStr">
        <is>
          <t>SURAHAMMAR</t>
        </is>
      </c>
      <c r="F385" t="inlineStr">
        <is>
          <t>Kommuner</t>
        </is>
      </c>
      <c r="G385" t="n">
        <v>2.1</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45998</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55348-2022</t>
        </is>
      </c>
      <c r="B387" s="1" t="n">
        <v>44887.46917824074</v>
      </c>
      <c r="C387" s="1" t="n">
        <v>45998</v>
      </c>
      <c r="D387" t="inlineStr">
        <is>
          <t>VÄSTMANLANDS LÄN</t>
        </is>
      </c>
      <c r="E387" t="inlineStr">
        <is>
          <t>HALLSTAHAMMAR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55693-2021</t>
        </is>
      </c>
      <c r="B388" s="1" t="n">
        <v>44476</v>
      </c>
      <c r="C388" s="1" t="n">
        <v>45998</v>
      </c>
      <c r="D388" t="inlineStr">
        <is>
          <t>VÄSTMANLANDS LÄN</t>
        </is>
      </c>
      <c r="E388" t="inlineStr">
        <is>
          <t>VÄSTERÅS</t>
        </is>
      </c>
      <c r="G388" t="n">
        <v>1.3</v>
      </c>
      <c r="H388" t="n">
        <v>0</v>
      </c>
      <c r="I388" t="n">
        <v>0</v>
      </c>
      <c r="J388" t="n">
        <v>0</v>
      </c>
      <c r="K388" t="n">
        <v>0</v>
      </c>
      <c r="L388" t="n">
        <v>0</v>
      </c>
      <c r="M388" t="n">
        <v>0</v>
      </c>
      <c r="N388" t="n">
        <v>0</v>
      </c>
      <c r="O388" t="n">
        <v>0</v>
      </c>
      <c r="P388" t="n">
        <v>0</v>
      </c>
      <c r="Q388" t="n">
        <v>0</v>
      </c>
      <c r="R388" s="2" t="inlineStr"/>
    </row>
    <row r="389" ht="15" customHeight="1">
      <c r="A389" t="inlineStr">
        <is>
          <t>A 55733-2022</t>
        </is>
      </c>
      <c r="B389" s="1" t="n">
        <v>44888.58435185185</v>
      </c>
      <c r="C389" s="1" t="n">
        <v>45998</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6353-2022</t>
        </is>
      </c>
      <c r="B390" s="1" t="n">
        <v>44600</v>
      </c>
      <c r="C390" s="1" t="n">
        <v>45998</v>
      </c>
      <c r="D390" t="inlineStr">
        <is>
          <t>VÄSTMANLANDS LÄN</t>
        </is>
      </c>
      <c r="E390" t="inlineStr">
        <is>
          <t>NORBERG</t>
        </is>
      </c>
      <c r="G390" t="n">
        <v>1.1</v>
      </c>
      <c r="H390" t="n">
        <v>0</v>
      </c>
      <c r="I390" t="n">
        <v>0</v>
      </c>
      <c r="J390" t="n">
        <v>0</v>
      </c>
      <c r="K390" t="n">
        <v>0</v>
      </c>
      <c r="L390" t="n">
        <v>0</v>
      </c>
      <c r="M390" t="n">
        <v>0</v>
      </c>
      <c r="N390" t="n">
        <v>0</v>
      </c>
      <c r="O390" t="n">
        <v>0</v>
      </c>
      <c r="P390" t="n">
        <v>0</v>
      </c>
      <c r="Q390" t="n">
        <v>0</v>
      </c>
      <c r="R390" s="2" t="inlineStr"/>
    </row>
    <row r="391" ht="15" customHeight="1">
      <c r="A391" t="inlineStr">
        <is>
          <t>A 57769-2021</t>
        </is>
      </c>
      <c r="B391" s="1" t="n">
        <v>44484.56916666667</v>
      </c>
      <c r="C391" s="1" t="n">
        <v>45998</v>
      </c>
      <c r="D391" t="inlineStr">
        <is>
          <t>VÄSTMANLANDS LÄN</t>
        </is>
      </c>
      <c r="E391" t="inlineStr">
        <is>
          <t>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19058-2022</t>
        </is>
      </c>
      <c r="B392" s="1" t="n">
        <v>44691.4336574074</v>
      </c>
      <c r="C392" s="1" t="n">
        <v>45998</v>
      </c>
      <c r="D392" t="inlineStr">
        <is>
          <t>VÄSTMANLANDS LÄN</t>
        </is>
      </c>
      <c r="E392" t="inlineStr">
        <is>
          <t>SALA</t>
        </is>
      </c>
      <c r="G392" t="n">
        <v>1.2</v>
      </c>
      <c r="H392" t="n">
        <v>0</v>
      </c>
      <c r="I392" t="n">
        <v>0</v>
      </c>
      <c r="J392" t="n">
        <v>0</v>
      </c>
      <c r="K392" t="n">
        <v>0</v>
      </c>
      <c r="L392" t="n">
        <v>0</v>
      </c>
      <c r="M392" t="n">
        <v>0</v>
      </c>
      <c r="N392" t="n">
        <v>0</v>
      </c>
      <c r="O392" t="n">
        <v>0</v>
      </c>
      <c r="P392" t="n">
        <v>0</v>
      </c>
      <c r="Q392" t="n">
        <v>0</v>
      </c>
      <c r="R392" s="2" t="inlineStr"/>
    </row>
    <row r="393" ht="15" customHeight="1">
      <c r="A393" t="inlineStr">
        <is>
          <t>A 43354-2021</t>
        </is>
      </c>
      <c r="B393" s="1" t="n">
        <v>44432</v>
      </c>
      <c r="C393" s="1" t="n">
        <v>45998</v>
      </c>
      <c r="D393" t="inlineStr">
        <is>
          <t>VÄSTMANLANDS LÄN</t>
        </is>
      </c>
      <c r="E393" t="inlineStr">
        <is>
          <t>VÄSTERÅS</t>
        </is>
      </c>
      <c r="G393" t="n">
        <v>3.2</v>
      </c>
      <c r="H393" t="n">
        <v>0</v>
      </c>
      <c r="I393" t="n">
        <v>0</v>
      </c>
      <c r="J393" t="n">
        <v>0</v>
      </c>
      <c r="K393" t="n">
        <v>0</v>
      </c>
      <c r="L393" t="n">
        <v>0</v>
      </c>
      <c r="M393" t="n">
        <v>0</v>
      </c>
      <c r="N393" t="n">
        <v>0</v>
      </c>
      <c r="O393" t="n">
        <v>0</v>
      </c>
      <c r="P393" t="n">
        <v>0</v>
      </c>
      <c r="Q393" t="n">
        <v>0</v>
      </c>
      <c r="R393" s="2" t="inlineStr"/>
    </row>
    <row r="394" ht="15" customHeight="1">
      <c r="A394" t="inlineStr">
        <is>
          <t>A 73663-2021</t>
        </is>
      </c>
      <c r="B394" s="1" t="n">
        <v>44552.45675925926</v>
      </c>
      <c r="C394" s="1" t="n">
        <v>45998</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38903-2022</t>
        </is>
      </c>
      <c r="B395" s="1" t="n">
        <v>44816</v>
      </c>
      <c r="C395" s="1" t="n">
        <v>45998</v>
      </c>
      <c r="D395" t="inlineStr">
        <is>
          <t>VÄSTMANLANDS LÄN</t>
        </is>
      </c>
      <c r="E395" t="inlineStr">
        <is>
          <t>NORBERG</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8845-2022</t>
        </is>
      </c>
      <c r="B396" s="1" t="n">
        <v>44614</v>
      </c>
      <c r="C396" s="1" t="n">
        <v>45998</v>
      </c>
      <c r="D396" t="inlineStr">
        <is>
          <t>VÄSTMANLANDS LÄN</t>
        </is>
      </c>
      <c r="E396" t="inlineStr">
        <is>
          <t>KÖPING</t>
        </is>
      </c>
      <c r="G396" t="n">
        <v>5.4</v>
      </c>
      <c r="H396" t="n">
        <v>0</v>
      </c>
      <c r="I396" t="n">
        <v>0</v>
      </c>
      <c r="J396" t="n">
        <v>0</v>
      </c>
      <c r="K396" t="n">
        <v>0</v>
      </c>
      <c r="L396" t="n">
        <v>0</v>
      </c>
      <c r="M396" t="n">
        <v>0</v>
      </c>
      <c r="N396" t="n">
        <v>0</v>
      </c>
      <c r="O396" t="n">
        <v>0</v>
      </c>
      <c r="P396" t="n">
        <v>0</v>
      </c>
      <c r="Q396" t="n">
        <v>0</v>
      </c>
      <c r="R396" s="2" t="inlineStr"/>
    </row>
    <row r="397" ht="15" customHeight="1">
      <c r="A397" t="inlineStr">
        <is>
          <t>A 939-2022</t>
        </is>
      </c>
      <c r="B397" s="1" t="n">
        <v>44571</v>
      </c>
      <c r="C397" s="1" t="n">
        <v>45998</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6667-2022</t>
        </is>
      </c>
      <c r="B398" s="1" t="n">
        <v>44602.38149305555</v>
      </c>
      <c r="C398" s="1" t="n">
        <v>45998</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45998</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45998</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41052-2022</t>
        </is>
      </c>
      <c r="B401" s="1" t="n">
        <v>44825.57694444444</v>
      </c>
      <c r="C401" s="1" t="n">
        <v>45998</v>
      </c>
      <c r="D401" t="inlineStr">
        <is>
          <t>VÄSTMANLANDS LÄN</t>
        </is>
      </c>
      <c r="E401" t="inlineStr">
        <is>
          <t>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19760-2022</t>
        </is>
      </c>
      <c r="B402" s="1" t="n">
        <v>44694.63438657407</v>
      </c>
      <c r="C402" s="1" t="n">
        <v>45998</v>
      </c>
      <c r="D402" t="inlineStr">
        <is>
          <t>VÄSTMANLANDS LÄN</t>
        </is>
      </c>
      <c r="E402" t="inlineStr">
        <is>
          <t>SALA</t>
        </is>
      </c>
      <c r="G402" t="n">
        <v>0.9</v>
      </c>
      <c r="H402" t="n">
        <v>0</v>
      </c>
      <c r="I402" t="n">
        <v>0</v>
      </c>
      <c r="J402" t="n">
        <v>0</v>
      </c>
      <c r="K402" t="n">
        <v>0</v>
      </c>
      <c r="L402" t="n">
        <v>0</v>
      </c>
      <c r="M402" t="n">
        <v>0</v>
      </c>
      <c r="N402" t="n">
        <v>0</v>
      </c>
      <c r="O402" t="n">
        <v>0</v>
      </c>
      <c r="P402" t="n">
        <v>0</v>
      </c>
      <c r="Q402" t="n">
        <v>0</v>
      </c>
      <c r="R402" s="2" t="inlineStr"/>
    </row>
    <row r="403" ht="15" customHeight="1">
      <c r="A403" t="inlineStr">
        <is>
          <t>A 42491-2022</t>
        </is>
      </c>
      <c r="B403" s="1" t="n">
        <v>44831.55696759259</v>
      </c>
      <c r="C403" s="1" t="n">
        <v>45998</v>
      </c>
      <c r="D403" t="inlineStr">
        <is>
          <t>VÄSTMANLANDS LÄN</t>
        </is>
      </c>
      <c r="E403" t="inlineStr">
        <is>
          <t>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3223-2021</t>
        </is>
      </c>
      <c r="B404" s="1" t="n">
        <v>44217</v>
      </c>
      <c r="C404" s="1" t="n">
        <v>45998</v>
      </c>
      <c r="D404" t="inlineStr">
        <is>
          <t>VÄSTMANLANDS LÄN</t>
        </is>
      </c>
      <c r="E404" t="inlineStr">
        <is>
          <t>KUNGSÖR</t>
        </is>
      </c>
      <c r="G404" t="n">
        <v>2.3</v>
      </c>
      <c r="H404" t="n">
        <v>0</v>
      </c>
      <c r="I404" t="n">
        <v>0</v>
      </c>
      <c r="J404" t="n">
        <v>0</v>
      </c>
      <c r="K404" t="n">
        <v>0</v>
      </c>
      <c r="L404" t="n">
        <v>0</v>
      </c>
      <c r="M404" t="n">
        <v>0</v>
      </c>
      <c r="N404" t="n">
        <v>0</v>
      </c>
      <c r="O404" t="n">
        <v>0</v>
      </c>
      <c r="P404" t="n">
        <v>0</v>
      </c>
      <c r="Q404" t="n">
        <v>0</v>
      </c>
      <c r="R404" s="2" t="inlineStr"/>
    </row>
    <row r="405" ht="15" customHeight="1">
      <c r="A405" t="inlineStr">
        <is>
          <t>A 69195-2020</t>
        </is>
      </c>
      <c r="B405" s="1" t="n">
        <v>44191</v>
      </c>
      <c r="C405" s="1" t="n">
        <v>45998</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45998</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45998</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45998</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15809-2021</t>
        </is>
      </c>
      <c r="B409" s="1" t="n">
        <v>44286.61725694445</v>
      </c>
      <c r="C409" s="1" t="n">
        <v>45998</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66574-2020</t>
        </is>
      </c>
      <c r="B410" s="1" t="n">
        <v>44179</v>
      </c>
      <c r="C410" s="1" t="n">
        <v>45998</v>
      </c>
      <c r="D410" t="inlineStr">
        <is>
          <t>VÄSTMANLANDS LÄN</t>
        </is>
      </c>
      <c r="E410" t="inlineStr">
        <is>
          <t>VÄSTERÅS</t>
        </is>
      </c>
      <c r="G410" t="n">
        <v>5.9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45998</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45998</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66587-2021</t>
        </is>
      </c>
      <c r="B413" s="1" t="n">
        <v>44519</v>
      </c>
      <c r="C413" s="1" t="n">
        <v>45998</v>
      </c>
      <c r="D413" t="inlineStr">
        <is>
          <t>VÄSTMANLANDS LÄN</t>
        </is>
      </c>
      <c r="E413" t="inlineStr">
        <is>
          <t>SKINNSKATTEBERG</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31452-2021</t>
        </is>
      </c>
      <c r="B414" s="1" t="n">
        <v>44369</v>
      </c>
      <c r="C414" s="1" t="n">
        <v>45998</v>
      </c>
      <c r="D414" t="inlineStr">
        <is>
          <t>VÄSTMANLANDS LÄN</t>
        </is>
      </c>
      <c r="E414" t="inlineStr">
        <is>
          <t>SALA</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31468-2021</t>
        </is>
      </c>
      <c r="B415" s="1" t="n">
        <v>44369</v>
      </c>
      <c r="C415" s="1" t="n">
        <v>45998</v>
      </c>
      <c r="D415" t="inlineStr">
        <is>
          <t>VÄSTMANLANDS LÄN</t>
        </is>
      </c>
      <c r="E415" t="inlineStr">
        <is>
          <t>SURAHAMMAR</t>
        </is>
      </c>
      <c r="G415" t="n">
        <v>1.1</v>
      </c>
      <c r="H415" t="n">
        <v>0</v>
      </c>
      <c r="I415" t="n">
        <v>0</v>
      </c>
      <c r="J415" t="n">
        <v>0</v>
      </c>
      <c r="K415" t="n">
        <v>0</v>
      </c>
      <c r="L415" t="n">
        <v>0</v>
      </c>
      <c r="M415" t="n">
        <v>0</v>
      </c>
      <c r="N415" t="n">
        <v>0</v>
      </c>
      <c r="O415" t="n">
        <v>0</v>
      </c>
      <c r="P415" t="n">
        <v>0</v>
      </c>
      <c r="Q415" t="n">
        <v>0</v>
      </c>
      <c r="R415" s="2" t="inlineStr"/>
    </row>
    <row r="416" ht="15" customHeight="1">
      <c r="A416" t="inlineStr">
        <is>
          <t>A 42386-2021</t>
        </is>
      </c>
      <c r="B416" s="1" t="n">
        <v>44427</v>
      </c>
      <c r="C416" s="1" t="n">
        <v>45998</v>
      </c>
      <c r="D416" t="inlineStr">
        <is>
          <t>VÄSTMANLANDS LÄN</t>
        </is>
      </c>
      <c r="E416" t="inlineStr">
        <is>
          <t>ARBOGA</t>
        </is>
      </c>
      <c r="G416" t="n">
        <v>0.8</v>
      </c>
      <c r="H416" t="n">
        <v>0</v>
      </c>
      <c r="I416" t="n">
        <v>0</v>
      </c>
      <c r="J416" t="n">
        <v>0</v>
      </c>
      <c r="K416" t="n">
        <v>0</v>
      </c>
      <c r="L416" t="n">
        <v>0</v>
      </c>
      <c r="M416" t="n">
        <v>0</v>
      </c>
      <c r="N416" t="n">
        <v>0</v>
      </c>
      <c r="O416" t="n">
        <v>0</v>
      </c>
      <c r="P416" t="n">
        <v>0</v>
      </c>
      <c r="Q416" t="n">
        <v>0</v>
      </c>
      <c r="R416" s="2" t="inlineStr"/>
    </row>
    <row r="417" ht="15" customHeight="1">
      <c r="A417" t="inlineStr">
        <is>
          <t>A 11625-2021</t>
        </is>
      </c>
      <c r="B417" s="1" t="n">
        <v>44264</v>
      </c>
      <c r="C417" s="1" t="n">
        <v>45998</v>
      </c>
      <c r="D417" t="inlineStr">
        <is>
          <t>VÄSTMANLANDS LÄN</t>
        </is>
      </c>
      <c r="E417" t="inlineStr">
        <is>
          <t>VÄSTERÅS</t>
        </is>
      </c>
      <c r="G417" t="n">
        <v>2.8</v>
      </c>
      <c r="H417" t="n">
        <v>0</v>
      </c>
      <c r="I417" t="n">
        <v>0</v>
      </c>
      <c r="J417" t="n">
        <v>0</v>
      </c>
      <c r="K417" t="n">
        <v>0</v>
      </c>
      <c r="L417" t="n">
        <v>0</v>
      </c>
      <c r="M417" t="n">
        <v>0</v>
      </c>
      <c r="N417" t="n">
        <v>0</v>
      </c>
      <c r="O417" t="n">
        <v>0</v>
      </c>
      <c r="P417" t="n">
        <v>0</v>
      </c>
      <c r="Q417" t="n">
        <v>0</v>
      </c>
      <c r="R417" s="2" t="inlineStr"/>
    </row>
    <row r="418" ht="15" customHeight="1">
      <c r="A418" t="inlineStr">
        <is>
          <t>A 11636-2021</t>
        </is>
      </c>
      <c r="B418" s="1" t="n">
        <v>44264</v>
      </c>
      <c r="C418" s="1" t="n">
        <v>45998</v>
      </c>
      <c r="D418" t="inlineStr">
        <is>
          <t>VÄSTMANLANDS LÄN</t>
        </is>
      </c>
      <c r="E418" t="inlineStr">
        <is>
          <t>ARBOGA</t>
        </is>
      </c>
      <c r="G418" t="n">
        <v>2.7</v>
      </c>
      <c r="H418" t="n">
        <v>0</v>
      </c>
      <c r="I418" t="n">
        <v>0</v>
      </c>
      <c r="J418" t="n">
        <v>0</v>
      </c>
      <c r="K418" t="n">
        <v>0</v>
      </c>
      <c r="L418" t="n">
        <v>0</v>
      </c>
      <c r="M418" t="n">
        <v>0</v>
      </c>
      <c r="N418" t="n">
        <v>0</v>
      </c>
      <c r="O418" t="n">
        <v>0</v>
      </c>
      <c r="P418" t="n">
        <v>0</v>
      </c>
      <c r="Q418" t="n">
        <v>0</v>
      </c>
      <c r="R418" s="2" t="inlineStr"/>
    </row>
    <row r="419" ht="15" customHeight="1">
      <c r="A419" t="inlineStr">
        <is>
          <t>A 7955-2021</t>
        </is>
      </c>
      <c r="B419" s="1" t="n">
        <v>44243</v>
      </c>
      <c r="C419" s="1" t="n">
        <v>45998</v>
      </c>
      <c r="D419" t="inlineStr">
        <is>
          <t>VÄSTMANLANDS LÄN</t>
        </is>
      </c>
      <c r="E419" t="inlineStr">
        <is>
          <t>SALA</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32312-2021</t>
        </is>
      </c>
      <c r="B420" s="1" t="n">
        <v>44371</v>
      </c>
      <c r="C420" s="1" t="n">
        <v>45998</v>
      </c>
      <c r="D420" t="inlineStr">
        <is>
          <t>VÄSTMANLANDS LÄN</t>
        </is>
      </c>
      <c r="E420" t="inlineStr">
        <is>
          <t>VÄSTERÅS</t>
        </is>
      </c>
      <c r="F420" t="inlineStr">
        <is>
          <t>Övriga Aktiebolag</t>
        </is>
      </c>
      <c r="G420" t="n">
        <v>9.4</v>
      </c>
      <c r="H420" t="n">
        <v>0</v>
      </c>
      <c r="I420" t="n">
        <v>0</v>
      </c>
      <c r="J420" t="n">
        <v>0</v>
      </c>
      <c r="K420" t="n">
        <v>0</v>
      </c>
      <c r="L420" t="n">
        <v>0</v>
      </c>
      <c r="M420" t="n">
        <v>0</v>
      </c>
      <c r="N420" t="n">
        <v>0</v>
      </c>
      <c r="O420" t="n">
        <v>0</v>
      </c>
      <c r="P420" t="n">
        <v>0</v>
      </c>
      <c r="Q420" t="n">
        <v>0</v>
      </c>
      <c r="R420" s="2" t="inlineStr"/>
    </row>
    <row r="421" ht="15" customHeight="1">
      <c r="A421" t="inlineStr">
        <is>
          <t>A 22811-2022</t>
        </is>
      </c>
      <c r="B421" s="1" t="n">
        <v>44715</v>
      </c>
      <c r="C421" s="1" t="n">
        <v>45998</v>
      </c>
      <c r="D421" t="inlineStr">
        <is>
          <t>VÄSTMANLANDS LÄN</t>
        </is>
      </c>
      <c r="E421" t="inlineStr">
        <is>
          <t>SALA</t>
        </is>
      </c>
      <c r="G421" t="n">
        <v>5</v>
      </c>
      <c r="H421" t="n">
        <v>0</v>
      </c>
      <c r="I421" t="n">
        <v>0</v>
      </c>
      <c r="J421" t="n">
        <v>0</v>
      </c>
      <c r="K421" t="n">
        <v>0</v>
      </c>
      <c r="L421" t="n">
        <v>0</v>
      </c>
      <c r="M421" t="n">
        <v>0</v>
      </c>
      <c r="N421" t="n">
        <v>0</v>
      </c>
      <c r="O421" t="n">
        <v>0</v>
      </c>
      <c r="P421" t="n">
        <v>0</v>
      </c>
      <c r="Q421" t="n">
        <v>0</v>
      </c>
      <c r="R421" s="2" t="inlineStr"/>
    </row>
    <row r="422" ht="15" customHeight="1">
      <c r="A422" t="inlineStr">
        <is>
          <t>A 45910-2021</t>
        </is>
      </c>
      <c r="B422" s="1" t="n">
        <v>44441.60780092593</v>
      </c>
      <c r="C422" s="1" t="n">
        <v>45998</v>
      </c>
      <c r="D422" t="inlineStr">
        <is>
          <t>VÄSTMANLANDS LÄN</t>
        </is>
      </c>
      <c r="E422" t="inlineStr">
        <is>
          <t>KÖPING</t>
        </is>
      </c>
      <c r="G422" t="n">
        <v>5</v>
      </c>
      <c r="H422" t="n">
        <v>0</v>
      </c>
      <c r="I422" t="n">
        <v>0</v>
      </c>
      <c r="J422" t="n">
        <v>0</v>
      </c>
      <c r="K422" t="n">
        <v>0</v>
      </c>
      <c r="L422" t="n">
        <v>0</v>
      </c>
      <c r="M422" t="n">
        <v>0</v>
      </c>
      <c r="N422" t="n">
        <v>0</v>
      </c>
      <c r="O422" t="n">
        <v>0</v>
      </c>
      <c r="P422" t="n">
        <v>0</v>
      </c>
      <c r="Q422" t="n">
        <v>0</v>
      </c>
      <c r="R422" s="2" t="inlineStr"/>
    </row>
    <row r="423" ht="15" customHeight="1">
      <c r="A423" t="inlineStr">
        <is>
          <t>A 31257-2021</t>
        </is>
      </c>
      <c r="B423" s="1" t="n">
        <v>44368</v>
      </c>
      <c r="C423" s="1" t="n">
        <v>45998</v>
      </c>
      <c r="D423" t="inlineStr">
        <is>
          <t>VÄSTMANLANDS LÄN</t>
        </is>
      </c>
      <c r="E423" t="inlineStr">
        <is>
          <t>NORBERG</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28051-2021</t>
        </is>
      </c>
      <c r="B424" s="1" t="n">
        <v>44355</v>
      </c>
      <c r="C424" s="1" t="n">
        <v>45998</v>
      </c>
      <c r="D424" t="inlineStr">
        <is>
          <t>VÄSTMANLANDS LÄN</t>
        </is>
      </c>
      <c r="E424" t="inlineStr">
        <is>
          <t>ARBOGA</t>
        </is>
      </c>
      <c r="G424" t="n">
        <v>0.3</v>
      </c>
      <c r="H424" t="n">
        <v>0</v>
      </c>
      <c r="I424" t="n">
        <v>0</v>
      </c>
      <c r="J424" t="n">
        <v>0</v>
      </c>
      <c r="K424" t="n">
        <v>0</v>
      </c>
      <c r="L424" t="n">
        <v>0</v>
      </c>
      <c r="M424" t="n">
        <v>0</v>
      </c>
      <c r="N424" t="n">
        <v>0</v>
      </c>
      <c r="O424" t="n">
        <v>0</v>
      </c>
      <c r="P424" t="n">
        <v>0</v>
      </c>
      <c r="Q424" t="n">
        <v>0</v>
      </c>
      <c r="R424" s="2" t="inlineStr"/>
    </row>
    <row r="425" ht="15" customHeight="1">
      <c r="A425" t="inlineStr">
        <is>
          <t>A 28054-2021</t>
        </is>
      </c>
      <c r="B425" s="1" t="n">
        <v>44355</v>
      </c>
      <c r="C425" s="1" t="n">
        <v>45998</v>
      </c>
      <c r="D425" t="inlineStr">
        <is>
          <t>VÄSTMANLANDS LÄN</t>
        </is>
      </c>
      <c r="E425" t="inlineStr">
        <is>
          <t>ARBOGA</t>
        </is>
      </c>
      <c r="G425" t="n">
        <v>1.7</v>
      </c>
      <c r="H425" t="n">
        <v>0</v>
      </c>
      <c r="I425" t="n">
        <v>0</v>
      </c>
      <c r="J425" t="n">
        <v>0</v>
      </c>
      <c r="K425" t="n">
        <v>0</v>
      </c>
      <c r="L425" t="n">
        <v>0</v>
      </c>
      <c r="M425" t="n">
        <v>0</v>
      </c>
      <c r="N425" t="n">
        <v>0</v>
      </c>
      <c r="O425" t="n">
        <v>0</v>
      </c>
      <c r="P425" t="n">
        <v>0</v>
      </c>
      <c r="Q425" t="n">
        <v>0</v>
      </c>
      <c r="R425" s="2" t="inlineStr"/>
    </row>
    <row r="426" ht="15" customHeight="1">
      <c r="A426" t="inlineStr">
        <is>
          <t>A 18378-2021</t>
        </is>
      </c>
      <c r="B426" s="1" t="n">
        <v>44305</v>
      </c>
      <c r="C426" s="1" t="n">
        <v>45998</v>
      </c>
      <c r="D426" t="inlineStr">
        <is>
          <t>VÄSTMANLANDS LÄN</t>
        </is>
      </c>
      <c r="E426" t="inlineStr">
        <is>
          <t>SALA</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18189-2021</t>
        </is>
      </c>
      <c r="B427" s="1" t="n">
        <v>44302.67659722222</v>
      </c>
      <c r="C427" s="1" t="n">
        <v>45998</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18951-2021</t>
        </is>
      </c>
      <c r="B428" s="1" t="n">
        <v>44308</v>
      </c>
      <c r="C428" s="1" t="n">
        <v>45998</v>
      </c>
      <c r="D428" t="inlineStr">
        <is>
          <t>VÄSTMANLANDS LÄN</t>
        </is>
      </c>
      <c r="E428" t="inlineStr">
        <is>
          <t>SALA</t>
        </is>
      </c>
      <c r="G428" t="n">
        <v>0.3</v>
      </c>
      <c r="H428" t="n">
        <v>0</v>
      </c>
      <c r="I428" t="n">
        <v>0</v>
      </c>
      <c r="J428" t="n">
        <v>0</v>
      </c>
      <c r="K428" t="n">
        <v>0</v>
      </c>
      <c r="L428" t="n">
        <v>0</v>
      </c>
      <c r="M428" t="n">
        <v>0</v>
      </c>
      <c r="N428" t="n">
        <v>0</v>
      </c>
      <c r="O428" t="n">
        <v>0</v>
      </c>
      <c r="P428" t="n">
        <v>0</v>
      </c>
      <c r="Q428" t="n">
        <v>0</v>
      </c>
      <c r="R428" s="2" t="inlineStr"/>
    </row>
    <row r="429" ht="15" customHeight="1">
      <c r="A429" t="inlineStr">
        <is>
          <t>A 68619-2021</t>
        </is>
      </c>
      <c r="B429" s="1" t="n">
        <v>44502</v>
      </c>
      <c r="C429" s="1" t="n">
        <v>45998</v>
      </c>
      <c r="D429" t="inlineStr">
        <is>
          <t>VÄSTMANLANDS LÄN</t>
        </is>
      </c>
      <c r="E429" t="inlineStr">
        <is>
          <t>HALLSTAHAMMAR</t>
        </is>
      </c>
      <c r="G429" t="n">
        <v>13.5</v>
      </c>
      <c r="H429" t="n">
        <v>0</v>
      </c>
      <c r="I429" t="n">
        <v>0</v>
      </c>
      <c r="J429" t="n">
        <v>0</v>
      </c>
      <c r="K429" t="n">
        <v>0</v>
      </c>
      <c r="L429" t="n">
        <v>0</v>
      </c>
      <c r="M429" t="n">
        <v>0</v>
      </c>
      <c r="N429" t="n">
        <v>0</v>
      </c>
      <c r="O429" t="n">
        <v>0</v>
      </c>
      <c r="P429" t="n">
        <v>0</v>
      </c>
      <c r="Q429" t="n">
        <v>0</v>
      </c>
      <c r="R429" s="2" t="inlineStr"/>
    </row>
    <row r="430" ht="15" customHeight="1">
      <c r="A430" t="inlineStr">
        <is>
          <t>A 27986-2022</t>
        </is>
      </c>
      <c r="B430" s="1" t="n">
        <v>44745</v>
      </c>
      <c r="C430" s="1" t="n">
        <v>45998</v>
      </c>
      <c r="D430" t="inlineStr">
        <is>
          <t>VÄSTMANLANDS LÄN</t>
        </is>
      </c>
      <c r="E430" t="inlineStr">
        <is>
          <t>ARBOGA</t>
        </is>
      </c>
      <c r="G430" t="n">
        <v>1.7</v>
      </c>
      <c r="H430" t="n">
        <v>0</v>
      </c>
      <c r="I430" t="n">
        <v>0</v>
      </c>
      <c r="J430" t="n">
        <v>0</v>
      </c>
      <c r="K430" t="n">
        <v>0</v>
      </c>
      <c r="L430" t="n">
        <v>0</v>
      </c>
      <c r="M430" t="n">
        <v>0</v>
      </c>
      <c r="N430" t="n">
        <v>0</v>
      </c>
      <c r="O430" t="n">
        <v>0</v>
      </c>
      <c r="P430" t="n">
        <v>0</v>
      </c>
      <c r="Q430" t="n">
        <v>0</v>
      </c>
      <c r="R430" s="2" t="inlineStr"/>
    </row>
    <row r="431" ht="15" customHeight="1">
      <c r="A431" t="inlineStr">
        <is>
          <t>A 30868-2022</t>
        </is>
      </c>
      <c r="B431" s="1" t="n">
        <v>44767</v>
      </c>
      <c r="C431" s="1" t="n">
        <v>45998</v>
      </c>
      <c r="D431" t="inlineStr">
        <is>
          <t>VÄSTMANLANDS LÄN</t>
        </is>
      </c>
      <c r="E431" t="inlineStr">
        <is>
          <t>FAGERSTA</t>
        </is>
      </c>
      <c r="G431" t="n">
        <v>0.1</v>
      </c>
      <c r="H431" t="n">
        <v>0</v>
      </c>
      <c r="I431" t="n">
        <v>0</v>
      </c>
      <c r="J431" t="n">
        <v>0</v>
      </c>
      <c r="K431" t="n">
        <v>0</v>
      </c>
      <c r="L431" t="n">
        <v>0</v>
      </c>
      <c r="M431" t="n">
        <v>0</v>
      </c>
      <c r="N431" t="n">
        <v>0</v>
      </c>
      <c r="O431" t="n">
        <v>0</v>
      </c>
      <c r="P431" t="n">
        <v>0</v>
      </c>
      <c r="Q431" t="n">
        <v>0</v>
      </c>
      <c r="R431" s="2" t="inlineStr"/>
    </row>
    <row r="432" ht="15" customHeight="1">
      <c r="A432" t="inlineStr">
        <is>
          <t>A 18259-2021</t>
        </is>
      </c>
      <c r="B432" s="1" t="n">
        <v>44305</v>
      </c>
      <c r="C432" s="1" t="n">
        <v>45998</v>
      </c>
      <c r="D432" t="inlineStr">
        <is>
          <t>VÄSTMANLANDS LÄN</t>
        </is>
      </c>
      <c r="E432" t="inlineStr">
        <is>
          <t>SALA</t>
        </is>
      </c>
      <c r="G432" t="n">
        <v>0</v>
      </c>
      <c r="H432" t="n">
        <v>0</v>
      </c>
      <c r="I432" t="n">
        <v>0</v>
      </c>
      <c r="J432" t="n">
        <v>0</v>
      </c>
      <c r="K432" t="n">
        <v>0</v>
      </c>
      <c r="L432" t="n">
        <v>0</v>
      </c>
      <c r="M432" t="n">
        <v>0</v>
      </c>
      <c r="N432" t="n">
        <v>0</v>
      </c>
      <c r="O432" t="n">
        <v>0</v>
      </c>
      <c r="P432" t="n">
        <v>0</v>
      </c>
      <c r="Q432" t="n">
        <v>0</v>
      </c>
      <c r="R432" s="2" t="inlineStr"/>
    </row>
    <row r="433" ht="15" customHeight="1">
      <c r="A433" t="inlineStr">
        <is>
          <t>A 54188-2021</t>
        </is>
      </c>
      <c r="B433" s="1" t="n">
        <v>44470</v>
      </c>
      <c r="C433" s="1" t="n">
        <v>45998</v>
      </c>
      <c r="D433" t="inlineStr">
        <is>
          <t>VÄSTMANLANDS LÄN</t>
        </is>
      </c>
      <c r="E433" t="inlineStr">
        <is>
          <t>KUNGSÖR</t>
        </is>
      </c>
      <c r="G433" t="n">
        <v>6.5</v>
      </c>
      <c r="H433" t="n">
        <v>0</v>
      </c>
      <c r="I433" t="n">
        <v>0</v>
      </c>
      <c r="J433" t="n">
        <v>0</v>
      </c>
      <c r="K433" t="n">
        <v>0</v>
      </c>
      <c r="L433" t="n">
        <v>0</v>
      </c>
      <c r="M433" t="n">
        <v>0</v>
      </c>
      <c r="N433" t="n">
        <v>0</v>
      </c>
      <c r="O433" t="n">
        <v>0</v>
      </c>
      <c r="P433" t="n">
        <v>0</v>
      </c>
      <c r="Q433" t="n">
        <v>0</v>
      </c>
      <c r="R433" s="2" t="inlineStr"/>
    </row>
    <row r="434" ht="15" customHeight="1">
      <c r="A434" t="inlineStr">
        <is>
          <t>A 15776-2022</t>
        </is>
      </c>
      <c r="B434" s="1" t="n">
        <v>44663</v>
      </c>
      <c r="C434" s="1" t="n">
        <v>45998</v>
      </c>
      <c r="D434" t="inlineStr">
        <is>
          <t>VÄSTMANLANDS LÄN</t>
        </is>
      </c>
      <c r="E434" t="inlineStr">
        <is>
          <t>ARBOGA</t>
        </is>
      </c>
      <c r="G434" t="n">
        <v>1.3</v>
      </c>
      <c r="H434" t="n">
        <v>0</v>
      </c>
      <c r="I434" t="n">
        <v>0</v>
      </c>
      <c r="J434" t="n">
        <v>0</v>
      </c>
      <c r="K434" t="n">
        <v>0</v>
      </c>
      <c r="L434" t="n">
        <v>0</v>
      </c>
      <c r="M434" t="n">
        <v>0</v>
      </c>
      <c r="N434" t="n">
        <v>0</v>
      </c>
      <c r="O434" t="n">
        <v>0</v>
      </c>
      <c r="P434" t="n">
        <v>0</v>
      </c>
      <c r="Q434" t="n">
        <v>0</v>
      </c>
      <c r="R434" s="2" t="inlineStr"/>
    </row>
    <row r="435" ht="15" customHeight="1">
      <c r="A435" t="inlineStr">
        <is>
          <t>A 35921-2021</t>
        </is>
      </c>
      <c r="B435" s="1" t="n">
        <v>44388.37549768519</v>
      </c>
      <c r="C435" s="1" t="n">
        <v>45998</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65213-2021</t>
        </is>
      </c>
      <c r="B436" s="1" t="n">
        <v>44515</v>
      </c>
      <c r="C436" s="1" t="n">
        <v>45998</v>
      </c>
      <c r="D436" t="inlineStr">
        <is>
          <t>VÄSTMANLANDS LÄN</t>
        </is>
      </c>
      <c r="E436" t="inlineStr">
        <is>
          <t>SALA</t>
        </is>
      </c>
      <c r="G436" t="n">
        <v>0.6</v>
      </c>
      <c r="H436" t="n">
        <v>0</v>
      </c>
      <c r="I436" t="n">
        <v>0</v>
      </c>
      <c r="J436" t="n">
        <v>0</v>
      </c>
      <c r="K436" t="n">
        <v>0</v>
      </c>
      <c r="L436" t="n">
        <v>0</v>
      </c>
      <c r="M436" t="n">
        <v>0</v>
      </c>
      <c r="N436" t="n">
        <v>0</v>
      </c>
      <c r="O436" t="n">
        <v>0</v>
      </c>
      <c r="P436" t="n">
        <v>0</v>
      </c>
      <c r="Q436" t="n">
        <v>0</v>
      </c>
      <c r="R436" s="2" t="inlineStr"/>
    </row>
    <row r="437" ht="15" customHeight="1">
      <c r="A437" t="inlineStr">
        <is>
          <t>A 64839-2021</t>
        </is>
      </c>
      <c r="B437" s="1" t="n">
        <v>44512</v>
      </c>
      <c r="C437" s="1" t="n">
        <v>45998</v>
      </c>
      <c r="D437" t="inlineStr">
        <is>
          <t>VÄSTMANLANDS LÄN</t>
        </is>
      </c>
      <c r="E437" t="inlineStr">
        <is>
          <t>ARBOGA</t>
        </is>
      </c>
      <c r="G437" t="n">
        <v>1</v>
      </c>
      <c r="H437" t="n">
        <v>0</v>
      </c>
      <c r="I437" t="n">
        <v>0</v>
      </c>
      <c r="J437" t="n">
        <v>0</v>
      </c>
      <c r="K437" t="n">
        <v>0</v>
      </c>
      <c r="L437" t="n">
        <v>0</v>
      </c>
      <c r="M437" t="n">
        <v>0</v>
      </c>
      <c r="N437" t="n">
        <v>0</v>
      </c>
      <c r="O437" t="n">
        <v>0</v>
      </c>
      <c r="P437" t="n">
        <v>0</v>
      </c>
      <c r="Q437" t="n">
        <v>0</v>
      </c>
      <c r="R437" s="2" t="inlineStr"/>
    </row>
    <row r="438" ht="15" customHeight="1">
      <c r="A438" t="inlineStr">
        <is>
          <t>A 23098-2021</t>
        </is>
      </c>
      <c r="B438" s="1" t="n">
        <v>44330</v>
      </c>
      <c r="C438" s="1" t="n">
        <v>45998</v>
      </c>
      <c r="D438" t="inlineStr">
        <is>
          <t>VÄSTMANLANDS LÄN</t>
        </is>
      </c>
      <c r="E438" t="inlineStr">
        <is>
          <t>VÄSTERÅS</t>
        </is>
      </c>
      <c r="G438" t="n">
        <v>1.7</v>
      </c>
      <c r="H438" t="n">
        <v>0</v>
      </c>
      <c r="I438" t="n">
        <v>0</v>
      </c>
      <c r="J438" t="n">
        <v>0</v>
      </c>
      <c r="K438" t="n">
        <v>0</v>
      </c>
      <c r="L438" t="n">
        <v>0</v>
      </c>
      <c r="M438" t="n">
        <v>0</v>
      </c>
      <c r="N438" t="n">
        <v>0</v>
      </c>
      <c r="O438" t="n">
        <v>0</v>
      </c>
      <c r="P438" t="n">
        <v>0</v>
      </c>
      <c r="Q438" t="n">
        <v>0</v>
      </c>
      <c r="R438" s="2" t="inlineStr"/>
    </row>
    <row r="439" ht="15" customHeight="1">
      <c r="A439" t="inlineStr">
        <is>
          <t>A 19336-2022</t>
        </is>
      </c>
      <c r="B439" s="1" t="n">
        <v>44692</v>
      </c>
      <c r="C439" s="1" t="n">
        <v>45998</v>
      </c>
      <c r="D439" t="inlineStr">
        <is>
          <t>VÄSTMANLANDS LÄN</t>
        </is>
      </c>
      <c r="E439" t="inlineStr">
        <is>
          <t>VÄSTERÅS</t>
        </is>
      </c>
      <c r="F439" t="inlineStr">
        <is>
          <t>Övriga Aktiebolag</t>
        </is>
      </c>
      <c r="G439" t="n">
        <v>2.6</v>
      </c>
      <c r="H439" t="n">
        <v>0</v>
      </c>
      <c r="I439" t="n">
        <v>0</v>
      </c>
      <c r="J439" t="n">
        <v>0</v>
      </c>
      <c r="K439" t="n">
        <v>0</v>
      </c>
      <c r="L439" t="n">
        <v>0</v>
      </c>
      <c r="M439" t="n">
        <v>0</v>
      </c>
      <c r="N439" t="n">
        <v>0</v>
      </c>
      <c r="O439" t="n">
        <v>0</v>
      </c>
      <c r="P439" t="n">
        <v>0</v>
      </c>
      <c r="Q439" t="n">
        <v>0</v>
      </c>
      <c r="R439" s="2" t="inlineStr"/>
    </row>
    <row r="440" ht="15" customHeight="1">
      <c r="A440" t="inlineStr">
        <is>
          <t>A 23110-2021</t>
        </is>
      </c>
      <c r="B440" s="1" t="n">
        <v>44330.60070601852</v>
      </c>
      <c r="C440" s="1" t="n">
        <v>45998</v>
      </c>
      <c r="D440" t="inlineStr">
        <is>
          <t>VÄSTMANLANDS LÄN</t>
        </is>
      </c>
      <c r="E440" t="inlineStr">
        <is>
          <t>SKINNSKATTEBERG</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36866-2021</t>
        </is>
      </c>
      <c r="B441" s="1" t="n">
        <v>44393</v>
      </c>
      <c r="C441" s="1" t="n">
        <v>45998</v>
      </c>
      <c r="D441" t="inlineStr">
        <is>
          <t>VÄSTMANLANDS LÄN</t>
        </is>
      </c>
      <c r="E441" t="inlineStr">
        <is>
          <t>KÖPING</t>
        </is>
      </c>
      <c r="G441" t="n">
        <v>3.4</v>
      </c>
      <c r="H441" t="n">
        <v>0</v>
      </c>
      <c r="I441" t="n">
        <v>0</v>
      </c>
      <c r="J441" t="n">
        <v>0</v>
      </c>
      <c r="K441" t="n">
        <v>0</v>
      </c>
      <c r="L441" t="n">
        <v>0</v>
      </c>
      <c r="M441" t="n">
        <v>0</v>
      </c>
      <c r="N441" t="n">
        <v>0</v>
      </c>
      <c r="O441" t="n">
        <v>0</v>
      </c>
      <c r="P441" t="n">
        <v>0</v>
      </c>
      <c r="Q441" t="n">
        <v>0</v>
      </c>
      <c r="R441" s="2" t="inlineStr"/>
    </row>
    <row r="442" ht="15" customHeight="1">
      <c r="A442" t="inlineStr">
        <is>
          <t>A 23181-2022</t>
        </is>
      </c>
      <c r="B442" s="1" t="n">
        <v>44719.79537037037</v>
      </c>
      <c r="C442" s="1" t="n">
        <v>45998</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65860-2021</t>
        </is>
      </c>
      <c r="B443" s="1" t="n">
        <v>44517.38163194444</v>
      </c>
      <c r="C443" s="1" t="n">
        <v>45998</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45998</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45998</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15793-2021</t>
        </is>
      </c>
      <c r="B446" s="1" t="n">
        <v>44286</v>
      </c>
      <c r="C446" s="1" t="n">
        <v>45998</v>
      </c>
      <c r="D446" t="inlineStr">
        <is>
          <t>VÄSTMANLANDS LÄN</t>
        </is>
      </c>
      <c r="E446" t="inlineStr">
        <is>
          <t>SKINNSKATTEBERG</t>
        </is>
      </c>
      <c r="F446" t="inlineStr">
        <is>
          <t>Kyrkan</t>
        </is>
      </c>
      <c r="G446" t="n">
        <v>0.8</v>
      </c>
      <c r="H446" t="n">
        <v>0</v>
      </c>
      <c r="I446" t="n">
        <v>0</v>
      </c>
      <c r="J446" t="n">
        <v>0</v>
      </c>
      <c r="K446" t="n">
        <v>0</v>
      </c>
      <c r="L446" t="n">
        <v>0</v>
      </c>
      <c r="M446" t="n">
        <v>0</v>
      </c>
      <c r="N446" t="n">
        <v>0</v>
      </c>
      <c r="O446" t="n">
        <v>0</v>
      </c>
      <c r="P446" t="n">
        <v>0</v>
      </c>
      <c r="Q446" t="n">
        <v>0</v>
      </c>
      <c r="R446" s="2" t="inlineStr"/>
    </row>
    <row r="447" ht="15" customHeight="1">
      <c r="A447" t="inlineStr">
        <is>
          <t>A 72634-2021</t>
        </is>
      </c>
      <c r="B447" s="1" t="n">
        <v>44545</v>
      </c>
      <c r="C447" s="1" t="n">
        <v>45998</v>
      </c>
      <c r="D447" t="inlineStr">
        <is>
          <t>VÄSTMANLANDS LÄN</t>
        </is>
      </c>
      <c r="E447" t="inlineStr">
        <is>
          <t>SKINNSKATTEBERG</t>
        </is>
      </c>
      <c r="G447" t="n">
        <v>6.2</v>
      </c>
      <c r="H447" t="n">
        <v>0</v>
      </c>
      <c r="I447" t="n">
        <v>0</v>
      </c>
      <c r="J447" t="n">
        <v>0</v>
      </c>
      <c r="K447" t="n">
        <v>0</v>
      </c>
      <c r="L447" t="n">
        <v>0</v>
      </c>
      <c r="M447" t="n">
        <v>0</v>
      </c>
      <c r="N447" t="n">
        <v>0</v>
      </c>
      <c r="O447" t="n">
        <v>0</v>
      </c>
      <c r="P447" t="n">
        <v>0</v>
      </c>
      <c r="Q447" t="n">
        <v>0</v>
      </c>
      <c r="R447" s="2" t="inlineStr"/>
    </row>
    <row r="448" ht="15" customHeight="1">
      <c r="A448" t="inlineStr">
        <is>
          <t>A 27402-2021</t>
        </is>
      </c>
      <c r="B448" s="1" t="n">
        <v>44351.48048611111</v>
      </c>
      <c r="C448" s="1" t="n">
        <v>45998</v>
      </c>
      <c r="D448" t="inlineStr">
        <is>
          <t>VÄSTMANLANDS LÄN</t>
        </is>
      </c>
      <c r="E448" t="inlineStr">
        <is>
          <t>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37856-2021</t>
        </is>
      </c>
      <c r="B449" s="1" t="n">
        <v>44403</v>
      </c>
      <c r="C449" s="1" t="n">
        <v>45998</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37872-2021</t>
        </is>
      </c>
      <c r="B450" s="1" t="n">
        <v>44403</v>
      </c>
      <c r="C450" s="1" t="n">
        <v>45998</v>
      </c>
      <c r="D450" t="inlineStr">
        <is>
          <t>VÄSTMANLANDS LÄN</t>
        </is>
      </c>
      <c r="E450" t="inlineStr">
        <is>
          <t>SALA</t>
        </is>
      </c>
      <c r="G450" t="n">
        <v>1.9</v>
      </c>
      <c r="H450" t="n">
        <v>0</v>
      </c>
      <c r="I450" t="n">
        <v>0</v>
      </c>
      <c r="J450" t="n">
        <v>0</v>
      </c>
      <c r="K450" t="n">
        <v>0</v>
      </c>
      <c r="L450" t="n">
        <v>0</v>
      </c>
      <c r="M450" t="n">
        <v>0</v>
      </c>
      <c r="N450" t="n">
        <v>0</v>
      </c>
      <c r="O450" t="n">
        <v>0</v>
      </c>
      <c r="P450" t="n">
        <v>0</v>
      </c>
      <c r="Q450" t="n">
        <v>0</v>
      </c>
      <c r="R450" s="2" t="inlineStr"/>
    </row>
    <row r="451" ht="15" customHeight="1">
      <c r="A451" t="inlineStr">
        <is>
          <t>A 72700-2021</t>
        </is>
      </c>
      <c r="B451" s="1" t="n">
        <v>44545</v>
      </c>
      <c r="C451" s="1" t="n">
        <v>45998</v>
      </c>
      <c r="D451" t="inlineStr">
        <is>
          <t>VÄSTMANLANDS LÄN</t>
        </is>
      </c>
      <c r="E451" t="inlineStr">
        <is>
          <t>KUNGSÖR</t>
        </is>
      </c>
      <c r="G451" t="n">
        <v>2.1</v>
      </c>
      <c r="H451" t="n">
        <v>0</v>
      </c>
      <c r="I451" t="n">
        <v>0</v>
      </c>
      <c r="J451" t="n">
        <v>0</v>
      </c>
      <c r="K451" t="n">
        <v>0</v>
      </c>
      <c r="L451" t="n">
        <v>0</v>
      </c>
      <c r="M451" t="n">
        <v>0</v>
      </c>
      <c r="N451" t="n">
        <v>0</v>
      </c>
      <c r="O451" t="n">
        <v>0</v>
      </c>
      <c r="P451" t="n">
        <v>0</v>
      </c>
      <c r="Q451" t="n">
        <v>0</v>
      </c>
      <c r="R451" s="2" t="inlineStr"/>
    </row>
    <row r="452" ht="15" customHeight="1">
      <c r="A452" t="inlineStr">
        <is>
          <t>A 74425-2021</t>
        </is>
      </c>
      <c r="B452" s="1" t="n">
        <v>44564</v>
      </c>
      <c r="C452" s="1" t="n">
        <v>45998</v>
      </c>
      <c r="D452" t="inlineStr">
        <is>
          <t>VÄSTMANLANDS LÄN</t>
        </is>
      </c>
      <c r="E452" t="inlineStr">
        <is>
          <t>FAGERSTA</t>
        </is>
      </c>
      <c r="G452" t="n">
        <v>1.8</v>
      </c>
      <c r="H452" t="n">
        <v>0</v>
      </c>
      <c r="I452" t="n">
        <v>0</v>
      </c>
      <c r="J452" t="n">
        <v>0</v>
      </c>
      <c r="K452" t="n">
        <v>0</v>
      </c>
      <c r="L452" t="n">
        <v>0</v>
      </c>
      <c r="M452" t="n">
        <v>0</v>
      </c>
      <c r="N452" t="n">
        <v>0</v>
      </c>
      <c r="O452" t="n">
        <v>0</v>
      </c>
      <c r="P452" t="n">
        <v>0</v>
      </c>
      <c r="Q452" t="n">
        <v>0</v>
      </c>
      <c r="R452" s="2" t="inlineStr"/>
    </row>
    <row r="453" ht="15" customHeight="1">
      <c r="A453" t="inlineStr">
        <is>
          <t>A 29244-2021</t>
        </is>
      </c>
      <c r="B453" s="1" t="n">
        <v>44360</v>
      </c>
      <c r="C453" s="1" t="n">
        <v>45998</v>
      </c>
      <c r="D453" t="inlineStr">
        <is>
          <t>VÄSTMANLANDS LÄN</t>
        </is>
      </c>
      <c r="E453" t="inlineStr">
        <is>
          <t>NORBERG</t>
        </is>
      </c>
      <c r="F453" t="inlineStr">
        <is>
          <t>Kyrkan</t>
        </is>
      </c>
      <c r="G453" t="n">
        <v>0.8</v>
      </c>
      <c r="H453" t="n">
        <v>0</v>
      </c>
      <c r="I453" t="n">
        <v>0</v>
      </c>
      <c r="J453" t="n">
        <v>0</v>
      </c>
      <c r="K453" t="n">
        <v>0</v>
      </c>
      <c r="L453" t="n">
        <v>0</v>
      </c>
      <c r="M453" t="n">
        <v>0</v>
      </c>
      <c r="N453" t="n">
        <v>0</v>
      </c>
      <c r="O453" t="n">
        <v>0</v>
      </c>
      <c r="P453" t="n">
        <v>0</v>
      </c>
      <c r="Q453" t="n">
        <v>0</v>
      </c>
      <c r="R453" s="2" t="inlineStr"/>
    </row>
    <row r="454" ht="15" customHeight="1">
      <c r="A454" t="inlineStr">
        <is>
          <t>A 32491-2022</t>
        </is>
      </c>
      <c r="B454" s="1" t="n">
        <v>44782</v>
      </c>
      <c r="C454" s="1" t="n">
        <v>45998</v>
      </c>
      <c r="D454" t="inlineStr">
        <is>
          <t>VÄSTMANLANDS LÄN</t>
        </is>
      </c>
      <c r="E454" t="inlineStr">
        <is>
          <t>SURAHAMMAR</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7690-2021</t>
        </is>
      </c>
      <c r="B455" s="1" t="n">
        <v>44242</v>
      </c>
      <c r="C455" s="1" t="n">
        <v>45998</v>
      </c>
      <c r="D455" t="inlineStr">
        <is>
          <t>VÄSTMANLANDS LÄN</t>
        </is>
      </c>
      <c r="E455" t="inlineStr">
        <is>
          <t>VÄSTERÅS</t>
        </is>
      </c>
      <c r="G455" t="n">
        <v>0.9</v>
      </c>
      <c r="H455" t="n">
        <v>0</v>
      </c>
      <c r="I455" t="n">
        <v>0</v>
      </c>
      <c r="J455" t="n">
        <v>0</v>
      </c>
      <c r="K455" t="n">
        <v>0</v>
      </c>
      <c r="L455" t="n">
        <v>0</v>
      </c>
      <c r="M455" t="n">
        <v>0</v>
      </c>
      <c r="N455" t="n">
        <v>0</v>
      </c>
      <c r="O455" t="n">
        <v>0</v>
      </c>
      <c r="P455" t="n">
        <v>0</v>
      </c>
      <c r="Q455" t="n">
        <v>0</v>
      </c>
      <c r="R455" s="2" t="inlineStr"/>
    </row>
    <row r="456" ht="15" customHeight="1">
      <c r="A456" t="inlineStr">
        <is>
          <t>A 5687-2021</t>
        </is>
      </c>
      <c r="B456" s="1" t="n">
        <v>44230</v>
      </c>
      <c r="C456" s="1" t="n">
        <v>45998</v>
      </c>
      <c r="D456" t="inlineStr">
        <is>
          <t>VÄSTMANLANDS LÄN</t>
        </is>
      </c>
      <c r="E456" t="inlineStr">
        <is>
          <t>SKINNSKATTEBERG</t>
        </is>
      </c>
      <c r="G456" t="n">
        <v>1.3</v>
      </c>
      <c r="H456" t="n">
        <v>0</v>
      </c>
      <c r="I456" t="n">
        <v>0</v>
      </c>
      <c r="J456" t="n">
        <v>0</v>
      </c>
      <c r="K456" t="n">
        <v>0</v>
      </c>
      <c r="L456" t="n">
        <v>0</v>
      </c>
      <c r="M456" t="n">
        <v>0</v>
      </c>
      <c r="N456" t="n">
        <v>0</v>
      </c>
      <c r="O456" t="n">
        <v>0</v>
      </c>
      <c r="P456" t="n">
        <v>0</v>
      </c>
      <c r="Q456" t="n">
        <v>0</v>
      </c>
      <c r="R456" s="2" t="inlineStr"/>
    </row>
    <row r="457" ht="15" customHeight="1">
      <c r="A457" t="inlineStr">
        <is>
          <t>A 48055-2021</t>
        </is>
      </c>
      <c r="B457" s="1" t="n">
        <v>44449</v>
      </c>
      <c r="C457" s="1" t="n">
        <v>45998</v>
      </c>
      <c r="D457" t="inlineStr">
        <is>
          <t>VÄSTMANLANDS LÄN</t>
        </is>
      </c>
      <c r="E457" t="inlineStr">
        <is>
          <t>VÄSTERÅS</t>
        </is>
      </c>
      <c r="G457" t="n">
        <v>1.5</v>
      </c>
      <c r="H457" t="n">
        <v>0</v>
      </c>
      <c r="I457" t="n">
        <v>0</v>
      </c>
      <c r="J457" t="n">
        <v>0</v>
      </c>
      <c r="K457" t="n">
        <v>0</v>
      </c>
      <c r="L457" t="n">
        <v>0</v>
      </c>
      <c r="M457" t="n">
        <v>0</v>
      </c>
      <c r="N457" t="n">
        <v>0</v>
      </c>
      <c r="O457" t="n">
        <v>0</v>
      </c>
      <c r="P457" t="n">
        <v>0</v>
      </c>
      <c r="Q457" t="n">
        <v>0</v>
      </c>
      <c r="R457" s="2" t="inlineStr"/>
    </row>
    <row r="458" ht="15" customHeight="1">
      <c r="A458" t="inlineStr">
        <is>
          <t>A 65835-2021</t>
        </is>
      </c>
      <c r="B458" s="1" t="n">
        <v>44517</v>
      </c>
      <c r="C458" s="1" t="n">
        <v>45998</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54301-2021</t>
        </is>
      </c>
      <c r="B459" s="1" t="n">
        <v>44472</v>
      </c>
      <c r="C459" s="1" t="n">
        <v>45998</v>
      </c>
      <c r="D459" t="inlineStr">
        <is>
          <t>VÄSTMANLANDS LÄN</t>
        </is>
      </c>
      <c r="E459" t="inlineStr">
        <is>
          <t>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8130-2022</t>
        </is>
      </c>
      <c r="B460" s="1" t="n">
        <v>44609.5984837963</v>
      </c>
      <c r="C460" s="1" t="n">
        <v>45998</v>
      </c>
      <c r="D460" t="inlineStr">
        <is>
          <t>VÄSTMANLANDS LÄN</t>
        </is>
      </c>
      <c r="E460" t="inlineStr">
        <is>
          <t>SALA</t>
        </is>
      </c>
      <c r="G460" t="n">
        <v>3.5</v>
      </c>
      <c r="H460" t="n">
        <v>0</v>
      </c>
      <c r="I460" t="n">
        <v>0</v>
      </c>
      <c r="J460" t="n">
        <v>0</v>
      </c>
      <c r="K460" t="n">
        <v>0</v>
      </c>
      <c r="L460" t="n">
        <v>0</v>
      </c>
      <c r="M460" t="n">
        <v>0</v>
      </c>
      <c r="N460" t="n">
        <v>0</v>
      </c>
      <c r="O460" t="n">
        <v>0</v>
      </c>
      <c r="P460" t="n">
        <v>0</v>
      </c>
      <c r="Q460" t="n">
        <v>0</v>
      </c>
      <c r="R460" s="2" t="inlineStr"/>
    </row>
    <row r="461" ht="15" customHeight="1">
      <c r="A461" t="inlineStr">
        <is>
          <t>A 30859-2021</t>
        </is>
      </c>
      <c r="B461" s="1" t="n">
        <v>44365.57377314815</v>
      </c>
      <c r="C461" s="1" t="n">
        <v>45998</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31904-2021</t>
        </is>
      </c>
      <c r="B462" s="1" t="n">
        <v>44370.46853009259</v>
      </c>
      <c r="C462" s="1" t="n">
        <v>45998</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20134-2022</t>
        </is>
      </c>
      <c r="B463" s="1" t="n">
        <v>44698</v>
      </c>
      <c r="C463" s="1" t="n">
        <v>45998</v>
      </c>
      <c r="D463" t="inlineStr">
        <is>
          <t>VÄSTMANLANDS LÄN</t>
        </is>
      </c>
      <c r="E463" t="inlineStr">
        <is>
          <t>VÄSTERÅS</t>
        </is>
      </c>
      <c r="G463" t="n">
        <v>2</v>
      </c>
      <c r="H463" t="n">
        <v>0</v>
      </c>
      <c r="I463" t="n">
        <v>0</v>
      </c>
      <c r="J463" t="n">
        <v>0</v>
      </c>
      <c r="K463" t="n">
        <v>0</v>
      </c>
      <c r="L463" t="n">
        <v>0</v>
      </c>
      <c r="M463" t="n">
        <v>0</v>
      </c>
      <c r="N463" t="n">
        <v>0</v>
      </c>
      <c r="O463" t="n">
        <v>0</v>
      </c>
      <c r="P463" t="n">
        <v>0</v>
      </c>
      <c r="Q463" t="n">
        <v>0</v>
      </c>
      <c r="R463" s="2" t="inlineStr"/>
    </row>
    <row r="464" ht="15" customHeight="1">
      <c r="A464" t="inlineStr">
        <is>
          <t>A 36419-2022</t>
        </is>
      </c>
      <c r="B464" s="1" t="n">
        <v>44803</v>
      </c>
      <c r="C464" s="1" t="n">
        <v>45998</v>
      </c>
      <c r="D464" t="inlineStr">
        <is>
          <t>VÄSTMANLANDS LÄN</t>
        </is>
      </c>
      <c r="E464" t="inlineStr">
        <is>
          <t>KUNGSÖR</t>
        </is>
      </c>
      <c r="G464" t="n">
        <v>16.2</v>
      </c>
      <c r="H464" t="n">
        <v>0</v>
      </c>
      <c r="I464" t="n">
        <v>0</v>
      </c>
      <c r="J464" t="n">
        <v>0</v>
      </c>
      <c r="K464" t="n">
        <v>0</v>
      </c>
      <c r="L464" t="n">
        <v>0</v>
      </c>
      <c r="M464" t="n">
        <v>0</v>
      </c>
      <c r="N464" t="n">
        <v>0</v>
      </c>
      <c r="O464" t="n">
        <v>0</v>
      </c>
      <c r="P464" t="n">
        <v>0</v>
      </c>
      <c r="Q464" t="n">
        <v>0</v>
      </c>
      <c r="R464" s="2" t="inlineStr"/>
    </row>
    <row r="465" ht="15" customHeight="1">
      <c r="A465" t="inlineStr">
        <is>
          <t>A 15832-2021</t>
        </is>
      </c>
      <c r="B465" s="1" t="n">
        <v>44286</v>
      </c>
      <c r="C465" s="1" t="n">
        <v>45998</v>
      </c>
      <c r="D465" t="inlineStr">
        <is>
          <t>VÄSTMANLANDS LÄN</t>
        </is>
      </c>
      <c r="E465" t="inlineStr">
        <is>
          <t>KUNGSÖR</t>
        </is>
      </c>
      <c r="G465" t="n">
        <v>1.8</v>
      </c>
      <c r="H465" t="n">
        <v>0</v>
      </c>
      <c r="I465" t="n">
        <v>0</v>
      </c>
      <c r="J465" t="n">
        <v>0</v>
      </c>
      <c r="K465" t="n">
        <v>0</v>
      </c>
      <c r="L465" t="n">
        <v>0</v>
      </c>
      <c r="M465" t="n">
        <v>0</v>
      </c>
      <c r="N465" t="n">
        <v>0</v>
      </c>
      <c r="O465" t="n">
        <v>0</v>
      </c>
      <c r="P465" t="n">
        <v>0</v>
      </c>
      <c r="Q465" t="n">
        <v>0</v>
      </c>
      <c r="R465" s="2" t="inlineStr"/>
    </row>
    <row r="466" ht="15" customHeight="1">
      <c r="A466" t="inlineStr">
        <is>
          <t>A 37799-2021</t>
        </is>
      </c>
      <c r="B466" s="1" t="n">
        <v>44402</v>
      </c>
      <c r="C466" s="1" t="n">
        <v>45998</v>
      </c>
      <c r="D466" t="inlineStr">
        <is>
          <t>VÄSTMANLANDS LÄN</t>
        </is>
      </c>
      <c r="E466" t="inlineStr">
        <is>
          <t>SURAHAMMAR</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62470-2021</t>
        </is>
      </c>
      <c r="B467" s="1" t="n">
        <v>44503</v>
      </c>
      <c r="C467" s="1" t="n">
        <v>45998</v>
      </c>
      <c r="D467" t="inlineStr">
        <is>
          <t>VÄSTMANLANDS LÄN</t>
        </is>
      </c>
      <c r="E467" t="inlineStr">
        <is>
          <t>FAGERSTA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1527-2021</t>
        </is>
      </c>
      <c r="B468" s="1" t="n">
        <v>44209</v>
      </c>
      <c r="C468" s="1" t="n">
        <v>45998</v>
      </c>
      <c r="D468" t="inlineStr">
        <is>
          <t>VÄSTMANLANDS LÄN</t>
        </is>
      </c>
      <c r="E468" t="inlineStr">
        <is>
          <t>VÄSTERÅS</t>
        </is>
      </c>
      <c r="G468" t="n">
        <v>2.7</v>
      </c>
      <c r="H468" t="n">
        <v>0</v>
      </c>
      <c r="I468" t="n">
        <v>0</v>
      </c>
      <c r="J468" t="n">
        <v>0</v>
      </c>
      <c r="K468" t="n">
        <v>0</v>
      </c>
      <c r="L468" t="n">
        <v>0</v>
      </c>
      <c r="M468" t="n">
        <v>0</v>
      </c>
      <c r="N468" t="n">
        <v>0</v>
      </c>
      <c r="O468" t="n">
        <v>0</v>
      </c>
      <c r="P468" t="n">
        <v>0</v>
      </c>
      <c r="Q468" t="n">
        <v>0</v>
      </c>
      <c r="R468" s="2" t="inlineStr"/>
    </row>
    <row r="469" ht="15" customHeight="1">
      <c r="A469" t="inlineStr">
        <is>
          <t>A 61897-2021</t>
        </is>
      </c>
      <c r="B469" s="1" t="n">
        <v>44502</v>
      </c>
      <c r="C469" s="1" t="n">
        <v>45998</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44217-2022</t>
        </is>
      </c>
      <c r="B470" s="1" t="n">
        <v>44839.49953703704</v>
      </c>
      <c r="C470" s="1" t="n">
        <v>45998</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10431-2021</t>
        </is>
      </c>
      <c r="B471" s="1" t="n">
        <v>44257</v>
      </c>
      <c r="C471" s="1" t="n">
        <v>45998</v>
      </c>
      <c r="D471" t="inlineStr">
        <is>
          <t>VÄSTMANLANDS LÄN</t>
        </is>
      </c>
      <c r="E471" t="inlineStr">
        <is>
          <t>KÖPING</t>
        </is>
      </c>
      <c r="F471" t="inlineStr">
        <is>
          <t>Kyrkan</t>
        </is>
      </c>
      <c r="G471" t="n">
        <v>4.8</v>
      </c>
      <c r="H471" t="n">
        <v>0</v>
      </c>
      <c r="I471" t="n">
        <v>0</v>
      </c>
      <c r="J471" t="n">
        <v>0</v>
      </c>
      <c r="K471" t="n">
        <v>0</v>
      </c>
      <c r="L471" t="n">
        <v>0</v>
      </c>
      <c r="M471" t="n">
        <v>0</v>
      </c>
      <c r="N471" t="n">
        <v>0</v>
      </c>
      <c r="O471" t="n">
        <v>0</v>
      </c>
      <c r="P471" t="n">
        <v>0</v>
      </c>
      <c r="Q471" t="n">
        <v>0</v>
      </c>
      <c r="R471" s="2" t="inlineStr"/>
    </row>
    <row r="472" ht="15" customHeight="1">
      <c r="A472" t="inlineStr">
        <is>
          <t>A 71717-2021</t>
        </is>
      </c>
      <c r="B472" s="1" t="n">
        <v>44539</v>
      </c>
      <c r="C472" s="1" t="n">
        <v>45998</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51203-2022</t>
        </is>
      </c>
      <c r="B473" s="1" t="n">
        <v>44868.61140046296</v>
      </c>
      <c r="C473" s="1" t="n">
        <v>45998</v>
      </c>
      <c r="D473" t="inlineStr">
        <is>
          <t>VÄSTMANLANDS LÄN</t>
        </is>
      </c>
      <c r="E473" t="inlineStr">
        <is>
          <t>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65818-2021</t>
        </is>
      </c>
      <c r="B474" s="1" t="n">
        <v>44517</v>
      </c>
      <c r="C474" s="1" t="n">
        <v>45998</v>
      </c>
      <c r="D474" t="inlineStr">
        <is>
          <t>VÄSTMANLANDS LÄN</t>
        </is>
      </c>
      <c r="E474" t="inlineStr">
        <is>
          <t>SALA</t>
        </is>
      </c>
      <c r="G474" t="n">
        <v>0.6</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45998</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72684-2021</t>
        </is>
      </c>
      <c r="B476" s="1" t="n">
        <v>44545</v>
      </c>
      <c r="C476" s="1" t="n">
        <v>45998</v>
      </c>
      <c r="D476" t="inlineStr">
        <is>
          <t>VÄSTMANLANDS LÄN</t>
        </is>
      </c>
      <c r="E476" t="inlineStr">
        <is>
          <t>SKINNSKATTEBERG</t>
        </is>
      </c>
      <c r="G476" t="n">
        <v>5</v>
      </c>
      <c r="H476" t="n">
        <v>0</v>
      </c>
      <c r="I476" t="n">
        <v>0</v>
      </c>
      <c r="J476" t="n">
        <v>0</v>
      </c>
      <c r="K476" t="n">
        <v>0</v>
      </c>
      <c r="L476" t="n">
        <v>0</v>
      </c>
      <c r="M476" t="n">
        <v>0</v>
      </c>
      <c r="N476" t="n">
        <v>0</v>
      </c>
      <c r="O476" t="n">
        <v>0</v>
      </c>
      <c r="P476" t="n">
        <v>0</v>
      </c>
      <c r="Q476" t="n">
        <v>0</v>
      </c>
      <c r="R476" s="2" t="inlineStr"/>
    </row>
    <row r="477" ht="15" customHeight="1">
      <c r="A477" t="inlineStr">
        <is>
          <t>A 16315-2021</t>
        </is>
      </c>
      <c r="B477" s="1" t="n">
        <v>44292.7343287037</v>
      </c>
      <c r="C477" s="1" t="n">
        <v>45998</v>
      </c>
      <c r="D477" t="inlineStr">
        <is>
          <t>VÄSTMANLANDS LÄN</t>
        </is>
      </c>
      <c r="E477" t="inlineStr">
        <is>
          <t>SKINNSKATTEBERG</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73890-2021</t>
        </is>
      </c>
      <c r="B478" s="1" t="n">
        <v>44553.44221064815</v>
      </c>
      <c r="C478" s="1" t="n">
        <v>45998</v>
      </c>
      <c r="D478" t="inlineStr">
        <is>
          <t>VÄSTMANLANDS LÄN</t>
        </is>
      </c>
      <c r="E478" t="inlineStr">
        <is>
          <t>KÖPING</t>
        </is>
      </c>
      <c r="G478" t="n">
        <v>2.9</v>
      </c>
      <c r="H478" t="n">
        <v>0</v>
      </c>
      <c r="I478" t="n">
        <v>0</v>
      </c>
      <c r="J478" t="n">
        <v>0</v>
      </c>
      <c r="K478" t="n">
        <v>0</v>
      </c>
      <c r="L478" t="n">
        <v>0</v>
      </c>
      <c r="M478" t="n">
        <v>0</v>
      </c>
      <c r="N478" t="n">
        <v>0</v>
      </c>
      <c r="O478" t="n">
        <v>0</v>
      </c>
      <c r="P478" t="n">
        <v>0</v>
      </c>
      <c r="Q478" t="n">
        <v>0</v>
      </c>
      <c r="R478" s="2" t="inlineStr"/>
    </row>
    <row r="479" ht="15" customHeight="1">
      <c r="A479" t="inlineStr">
        <is>
          <t>A 46641-2022</t>
        </is>
      </c>
      <c r="B479" s="1" t="n">
        <v>44849</v>
      </c>
      <c r="C479" s="1" t="n">
        <v>45998</v>
      </c>
      <c r="D479" t="inlineStr">
        <is>
          <t>VÄSTMANLANDS LÄN</t>
        </is>
      </c>
      <c r="E479" t="inlineStr">
        <is>
          <t>NORBERG</t>
        </is>
      </c>
      <c r="F479" t="inlineStr">
        <is>
          <t>Sveaskog</t>
        </is>
      </c>
      <c r="G479" t="n">
        <v>4.6</v>
      </c>
      <c r="H479" t="n">
        <v>0</v>
      </c>
      <c r="I479" t="n">
        <v>0</v>
      </c>
      <c r="J479" t="n">
        <v>0</v>
      </c>
      <c r="K479" t="n">
        <v>0</v>
      </c>
      <c r="L479" t="n">
        <v>0</v>
      </c>
      <c r="M479" t="n">
        <v>0</v>
      </c>
      <c r="N479" t="n">
        <v>0</v>
      </c>
      <c r="O479" t="n">
        <v>0</v>
      </c>
      <c r="P479" t="n">
        <v>0</v>
      </c>
      <c r="Q479" t="n">
        <v>0</v>
      </c>
      <c r="R479" s="2" t="inlineStr"/>
    </row>
    <row r="480" ht="15" customHeight="1">
      <c r="A480" t="inlineStr">
        <is>
          <t>A 73334-2021</t>
        </is>
      </c>
      <c r="B480" s="1" t="n">
        <v>44551</v>
      </c>
      <c r="C480" s="1" t="n">
        <v>45998</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45998</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4237-2022</t>
        </is>
      </c>
      <c r="B482" s="1" t="n">
        <v>44588.64377314815</v>
      </c>
      <c r="C482" s="1" t="n">
        <v>45998</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23766-2022</t>
        </is>
      </c>
      <c r="B483" s="1" t="n">
        <v>44722.38283564815</v>
      </c>
      <c r="C483" s="1" t="n">
        <v>45998</v>
      </c>
      <c r="D483" t="inlineStr">
        <is>
          <t>VÄSTMANLANDS LÄN</t>
        </is>
      </c>
      <c r="E483" t="inlineStr">
        <is>
          <t>VÄSTERÅS</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3595-2022</t>
        </is>
      </c>
      <c r="B484" s="1" t="n">
        <v>44586</v>
      </c>
      <c r="C484" s="1" t="n">
        <v>45998</v>
      </c>
      <c r="D484" t="inlineStr">
        <is>
          <t>VÄSTMANLANDS LÄN</t>
        </is>
      </c>
      <c r="E484" t="inlineStr">
        <is>
          <t>SURAHAMMAR</t>
        </is>
      </c>
      <c r="F484" t="inlineStr">
        <is>
          <t>Sveaskog</t>
        </is>
      </c>
      <c r="G484" t="n">
        <v>0.8</v>
      </c>
      <c r="H484" t="n">
        <v>0</v>
      </c>
      <c r="I484" t="n">
        <v>0</v>
      </c>
      <c r="J484" t="n">
        <v>0</v>
      </c>
      <c r="K484" t="n">
        <v>0</v>
      </c>
      <c r="L484" t="n">
        <v>0</v>
      </c>
      <c r="M484" t="n">
        <v>0</v>
      </c>
      <c r="N484" t="n">
        <v>0</v>
      </c>
      <c r="O484" t="n">
        <v>0</v>
      </c>
      <c r="P484" t="n">
        <v>0</v>
      </c>
      <c r="Q484" t="n">
        <v>0</v>
      </c>
      <c r="R484" s="2" t="inlineStr"/>
    </row>
    <row r="485" ht="15" customHeight="1">
      <c r="A485" t="inlineStr">
        <is>
          <t>A 29510-2022</t>
        </is>
      </c>
      <c r="B485" s="1" t="n">
        <v>44753</v>
      </c>
      <c r="C485" s="1" t="n">
        <v>45998</v>
      </c>
      <c r="D485" t="inlineStr">
        <is>
          <t>VÄSTMANLANDS LÄN</t>
        </is>
      </c>
      <c r="E485" t="inlineStr">
        <is>
          <t>FAGERSTA</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29513-2022</t>
        </is>
      </c>
      <c r="B486" s="1" t="n">
        <v>44753</v>
      </c>
      <c r="C486" s="1" t="n">
        <v>45998</v>
      </c>
      <c r="D486" t="inlineStr">
        <is>
          <t>VÄSTMANLANDS LÄN</t>
        </is>
      </c>
      <c r="E486" t="inlineStr">
        <is>
          <t>FAGERSTA</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66704-2020</t>
        </is>
      </c>
      <c r="B487" s="1" t="n">
        <v>44179</v>
      </c>
      <c r="C487" s="1" t="n">
        <v>45998</v>
      </c>
      <c r="D487" t="inlineStr">
        <is>
          <t>VÄSTMANLANDS LÄN</t>
        </is>
      </c>
      <c r="E487" t="inlineStr">
        <is>
          <t>SKINNSKATTEBERG</t>
        </is>
      </c>
      <c r="F487" t="inlineStr">
        <is>
          <t>Sveaskog</t>
        </is>
      </c>
      <c r="G487" t="n">
        <v>5.9</v>
      </c>
      <c r="H487" t="n">
        <v>0</v>
      </c>
      <c r="I487" t="n">
        <v>0</v>
      </c>
      <c r="J487" t="n">
        <v>0</v>
      </c>
      <c r="K487" t="n">
        <v>0</v>
      </c>
      <c r="L487" t="n">
        <v>0</v>
      </c>
      <c r="M487" t="n">
        <v>0</v>
      </c>
      <c r="N487" t="n">
        <v>0</v>
      </c>
      <c r="O487" t="n">
        <v>0</v>
      </c>
      <c r="P487" t="n">
        <v>0</v>
      </c>
      <c r="Q487" t="n">
        <v>0</v>
      </c>
      <c r="R487" s="2" t="inlineStr"/>
    </row>
    <row r="488" ht="15" customHeight="1">
      <c r="A488" t="inlineStr">
        <is>
          <t>A 10447-2021</t>
        </is>
      </c>
      <c r="B488" s="1" t="n">
        <v>44257</v>
      </c>
      <c r="C488" s="1" t="n">
        <v>45998</v>
      </c>
      <c r="D488" t="inlineStr">
        <is>
          <t>VÄSTMANLANDS LÄN</t>
        </is>
      </c>
      <c r="E488" t="inlineStr">
        <is>
          <t>ARBOGA</t>
        </is>
      </c>
      <c r="G488" t="n">
        <v>1.3</v>
      </c>
      <c r="H488" t="n">
        <v>0</v>
      </c>
      <c r="I488" t="n">
        <v>0</v>
      </c>
      <c r="J488" t="n">
        <v>0</v>
      </c>
      <c r="K488" t="n">
        <v>0</v>
      </c>
      <c r="L488" t="n">
        <v>0</v>
      </c>
      <c r="M488" t="n">
        <v>0</v>
      </c>
      <c r="N488" t="n">
        <v>0</v>
      </c>
      <c r="O488" t="n">
        <v>0</v>
      </c>
      <c r="P488" t="n">
        <v>0</v>
      </c>
      <c r="Q488" t="n">
        <v>0</v>
      </c>
      <c r="R488" s="2" t="inlineStr"/>
    </row>
    <row r="489" ht="15" customHeight="1">
      <c r="A489" t="inlineStr">
        <is>
          <t>A 17810-2022</t>
        </is>
      </c>
      <c r="B489" s="1" t="n">
        <v>44683</v>
      </c>
      <c r="C489" s="1" t="n">
        <v>45998</v>
      </c>
      <c r="D489" t="inlineStr">
        <is>
          <t>VÄSTMANLANDS LÄN</t>
        </is>
      </c>
      <c r="E489" t="inlineStr">
        <is>
          <t>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836-2022</t>
        </is>
      </c>
      <c r="B490" s="1" t="n">
        <v>44571</v>
      </c>
      <c r="C490" s="1" t="n">
        <v>45998</v>
      </c>
      <c r="D490" t="inlineStr">
        <is>
          <t>VÄSTMANLANDS LÄN</t>
        </is>
      </c>
      <c r="E490" t="inlineStr">
        <is>
          <t>VÄSTERÅS</t>
        </is>
      </c>
      <c r="G490" t="n">
        <v>11.3</v>
      </c>
      <c r="H490" t="n">
        <v>0</v>
      </c>
      <c r="I490" t="n">
        <v>0</v>
      </c>
      <c r="J490" t="n">
        <v>0</v>
      </c>
      <c r="K490" t="n">
        <v>0</v>
      </c>
      <c r="L490" t="n">
        <v>0</v>
      </c>
      <c r="M490" t="n">
        <v>0</v>
      </c>
      <c r="N490" t="n">
        <v>0</v>
      </c>
      <c r="O490" t="n">
        <v>0</v>
      </c>
      <c r="P490" t="n">
        <v>0</v>
      </c>
      <c r="Q490" t="n">
        <v>0</v>
      </c>
      <c r="R490" s="2" t="inlineStr"/>
    </row>
    <row r="491" ht="15" customHeight="1">
      <c r="A491" t="inlineStr">
        <is>
          <t>A 9050-2022</t>
        </is>
      </c>
      <c r="B491" s="1" t="n">
        <v>44615.45451388889</v>
      </c>
      <c r="C491" s="1" t="n">
        <v>45998</v>
      </c>
      <c r="D491" t="inlineStr">
        <is>
          <t>VÄSTMANLANDS LÄN</t>
        </is>
      </c>
      <c r="E491" t="inlineStr">
        <is>
          <t>SALA</t>
        </is>
      </c>
      <c r="G491" t="n">
        <v>3.1</v>
      </c>
      <c r="H491" t="n">
        <v>0</v>
      </c>
      <c r="I491" t="n">
        <v>0</v>
      </c>
      <c r="J491" t="n">
        <v>0</v>
      </c>
      <c r="K491" t="n">
        <v>0</v>
      </c>
      <c r="L491" t="n">
        <v>0</v>
      </c>
      <c r="M491" t="n">
        <v>0</v>
      </c>
      <c r="N491" t="n">
        <v>0</v>
      </c>
      <c r="O491" t="n">
        <v>0</v>
      </c>
      <c r="P491" t="n">
        <v>0</v>
      </c>
      <c r="Q491" t="n">
        <v>0</v>
      </c>
      <c r="R491" s="2" t="inlineStr"/>
    </row>
    <row r="492" ht="15" customHeight="1">
      <c r="A492" t="inlineStr">
        <is>
          <t>A 64928-2020</t>
        </is>
      </c>
      <c r="B492" s="1" t="n">
        <v>44172</v>
      </c>
      <c r="C492" s="1" t="n">
        <v>45998</v>
      </c>
      <c r="D492" t="inlineStr">
        <is>
          <t>VÄSTMANLANDS LÄN</t>
        </is>
      </c>
      <c r="E492" t="inlineStr">
        <is>
          <t>KUNGSÖR</t>
        </is>
      </c>
      <c r="G492" t="n">
        <v>0.7</v>
      </c>
      <c r="H492" t="n">
        <v>0</v>
      </c>
      <c r="I492" t="n">
        <v>0</v>
      </c>
      <c r="J492" t="n">
        <v>0</v>
      </c>
      <c r="K492" t="n">
        <v>0</v>
      </c>
      <c r="L492" t="n">
        <v>0</v>
      </c>
      <c r="M492" t="n">
        <v>0</v>
      </c>
      <c r="N492" t="n">
        <v>0</v>
      </c>
      <c r="O492" t="n">
        <v>0</v>
      </c>
      <c r="P492" t="n">
        <v>0</v>
      </c>
      <c r="Q492" t="n">
        <v>0</v>
      </c>
      <c r="R492" s="2" t="inlineStr"/>
    </row>
    <row r="493" ht="15" customHeight="1">
      <c r="A493" t="inlineStr">
        <is>
          <t>A 66350-2021</t>
        </is>
      </c>
      <c r="B493" s="1" t="n">
        <v>44518</v>
      </c>
      <c r="C493" s="1" t="n">
        <v>45998</v>
      </c>
      <c r="D493" t="inlineStr">
        <is>
          <t>VÄSTMANLANDS LÄN</t>
        </is>
      </c>
      <c r="E493" t="inlineStr">
        <is>
          <t>SURAHAMMAR</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24870-2022</t>
        </is>
      </c>
      <c r="B494" s="1" t="n">
        <v>44728.52351851852</v>
      </c>
      <c r="C494" s="1" t="n">
        <v>45998</v>
      </c>
      <c r="D494" t="inlineStr">
        <is>
          <t>VÄSTMANLANDS LÄN</t>
        </is>
      </c>
      <c r="E494" t="inlineStr">
        <is>
          <t>ARBOGA</t>
        </is>
      </c>
      <c r="G494" t="n">
        <v>0.8</v>
      </c>
      <c r="H494" t="n">
        <v>0</v>
      </c>
      <c r="I494" t="n">
        <v>0</v>
      </c>
      <c r="J494" t="n">
        <v>0</v>
      </c>
      <c r="K494" t="n">
        <v>0</v>
      </c>
      <c r="L494" t="n">
        <v>0</v>
      </c>
      <c r="M494" t="n">
        <v>0</v>
      </c>
      <c r="N494" t="n">
        <v>0</v>
      </c>
      <c r="O494" t="n">
        <v>0</v>
      </c>
      <c r="P494" t="n">
        <v>0</v>
      </c>
      <c r="Q494" t="n">
        <v>0</v>
      </c>
      <c r="R494" s="2" t="inlineStr"/>
    </row>
    <row r="495" ht="15" customHeight="1">
      <c r="A495" t="inlineStr">
        <is>
          <t>A 24882-2022</t>
        </is>
      </c>
      <c r="B495" s="1" t="n">
        <v>44728.56488425926</v>
      </c>
      <c r="C495" s="1" t="n">
        <v>45998</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73156-2021</t>
        </is>
      </c>
      <c r="B496" s="1" t="n">
        <v>44550</v>
      </c>
      <c r="C496" s="1" t="n">
        <v>45998</v>
      </c>
      <c r="D496" t="inlineStr">
        <is>
          <t>VÄSTMANLANDS LÄN</t>
        </is>
      </c>
      <c r="E496" t="inlineStr">
        <is>
          <t>SURAHAMMAR</t>
        </is>
      </c>
      <c r="F496" t="inlineStr">
        <is>
          <t>Övriga Aktiebolag</t>
        </is>
      </c>
      <c r="G496" t="n">
        <v>2.5</v>
      </c>
      <c r="H496" t="n">
        <v>0</v>
      </c>
      <c r="I496" t="n">
        <v>0</v>
      </c>
      <c r="J496" t="n">
        <v>0</v>
      </c>
      <c r="K496" t="n">
        <v>0</v>
      </c>
      <c r="L496" t="n">
        <v>0</v>
      </c>
      <c r="M496" t="n">
        <v>0</v>
      </c>
      <c r="N496" t="n">
        <v>0</v>
      </c>
      <c r="O496" t="n">
        <v>0</v>
      </c>
      <c r="P496" t="n">
        <v>0</v>
      </c>
      <c r="Q496" t="n">
        <v>0</v>
      </c>
      <c r="R496" s="2" t="inlineStr"/>
    </row>
    <row r="497" ht="15" customHeight="1">
      <c r="A497" t="inlineStr">
        <is>
          <t>A 17261-2022</t>
        </is>
      </c>
      <c r="B497" s="1" t="n">
        <v>44678</v>
      </c>
      <c r="C497" s="1" t="n">
        <v>45998</v>
      </c>
      <c r="D497" t="inlineStr">
        <is>
          <t>VÄSTMANLANDS LÄN</t>
        </is>
      </c>
      <c r="E497" t="inlineStr">
        <is>
          <t>VÄSTERÅS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51377-2022</t>
        </is>
      </c>
      <c r="B498" s="1" t="n">
        <v>44866</v>
      </c>
      <c r="C498" s="1" t="n">
        <v>45998</v>
      </c>
      <c r="D498" t="inlineStr">
        <is>
          <t>VÄSTMANLANDS LÄN</t>
        </is>
      </c>
      <c r="E498" t="inlineStr">
        <is>
          <t>SALA</t>
        </is>
      </c>
      <c r="G498" t="n">
        <v>6.3</v>
      </c>
      <c r="H498" t="n">
        <v>0</v>
      </c>
      <c r="I498" t="n">
        <v>0</v>
      </c>
      <c r="J498" t="n">
        <v>0</v>
      </c>
      <c r="K498" t="n">
        <v>0</v>
      </c>
      <c r="L498" t="n">
        <v>0</v>
      </c>
      <c r="M498" t="n">
        <v>0</v>
      </c>
      <c r="N498" t="n">
        <v>0</v>
      </c>
      <c r="O498" t="n">
        <v>0</v>
      </c>
      <c r="P498" t="n">
        <v>0</v>
      </c>
      <c r="Q498" t="n">
        <v>0</v>
      </c>
      <c r="R498" s="2" t="inlineStr"/>
    </row>
    <row r="499" ht="15" customHeight="1">
      <c r="A499" t="inlineStr">
        <is>
          <t>A 68355-2021</t>
        </is>
      </c>
      <c r="B499" s="1" t="n">
        <v>44528</v>
      </c>
      <c r="C499" s="1" t="n">
        <v>45998</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7719-2022</t>
        </is>
      </c>
      <c r="B500" s="1" t="n">
        <v>44608.3350462963</v>
      </c>
      <c r="C500" s="1" t="n">
        <v>45998</v>
      </c>
      <c r="D500" t="inlineStr">
        <is>
          <t>VÄSTMANLANDS LÄN</t>
        </is>
      </c>
      <c r="E500" t="inlineStr">
        <is>
          <t>VÄSTERÅS</t>
        </is>
      </c>
      <c r="G500" t="n">
        <v>0.6</v>
      </c>
      <c r="H500" t="n">
        <v>0</v>
      </c>
      <c r="I500" t="n">
        <v>0</v>
      </c>
      <c r="J500" t="n">
        <v>0</v>
      </c>
      <c r="K500" t="n">
        <v>0</v>
      </c>
      <c r="L500" t="n">
        <v>0</v>
      </c>
      <c r="M500" t="n">
        <v>0</v>
      </c>
      <c r="N500" t="n">
        <v>0</v>
      </c>
      <c r="O500" t="n">
        <v>0</v>
      </c>
      <c r="P500" t="n">
        <v>0</v>
      </c>
      <c r="Q500" t="n">
        <v>0</v>
      </c>
      <c r="R500" s="2" t="inlineStr"/>
    </row>
    <row r="501" ht="15" customHeight="1">
      <c r="A501" t="inlineStr">
        <is>
          <t>A 7642-2021</t>
        </is>
      </c>
      <c r="B501" s="1" t="n">
        <v>44239</v>
      </c>
      <c r="C501" s="1" t="n">
        <v>45998</v>
      </c>
      <c r="D501" t="inlineStr">
        <is>
          <t>VÄSTMANLANDS LÄN</t>
        </is>
      </c>
      <c r="E501" t="inlineStr">
        <is>
          <t>NORBERG</t>
        </is>
      </c>
      <c r="G501" t="n">
        <v>3.8</v>
      </c>
      <c r="H501" t="n">
        <v>0</v>
      </c>
      <c r="I501" t="n">
        <v>0</v>
      </c>
      <c r="J501" t="n">
        <v>0</v>
      </c>
      <c r="K501" t="n">
        <v>0</v>
      </c>
      <c r="L501" t="n">
        <v>0</v>
      </c>
      <c r="M501" t="n">
        <v>0</v>
      </c>
      <c r="N501" t="n">
        <v>0</v>
      </c>
      <c r="O501" t="n">
        <v>0</v>
      </c>
      <c r="P501" t="n">
        <v>0</v>
      </c>
      <c r="Q501" t="n">
        <v>0</v>
      </c>
      <c r="R501" s="2" t="inlineStr"/>
    </row>
    <row r="502" ht="15" customHeight="1">
      <c r="A502" t="inlineStr">
        <is>
          <t>A 47607-2022</t>
        </is>
      </c>
      <c r="B502" s="1" t="n">
        <v>44852</v>
      </c>
      <c r="C502" s="1" t="n">
        <v>45998</v>
      </c>
      <c r="D502" t="inlineStr">
        <is>
          <t>VÄSTMANLANDS LÄN</t>
        </is>
      </c>
      <c r="E502" t="inlineStr">
        <is>
          <t>NORBERG</t>
        </is>
      </c>
      <c r="G502" t="n">
        <v>0.9</v>
      </c>
      <c r="H502" t="n">
        <v>0</v>
      </c>
      <c r="I502" t="n">
        <v>0</v>
      </c>
      <c r="J502" t="n">
        <v>0</v>
      </c>
      <c r="K502" t="n">
        <v>0</v>
      </c>
      <c r="L502" t="n">
        <v>0</v>
      </c>
      <c r="M502" t="n">
        <v>0</v>
      </c>
      <c r="N502" t="n">
        <v>0</v>
      </c>
      <c r="O502" t="n">
        <v>0</v>
      </c>
      <c r="P502" t="n">
        <v>0</v>
      </c>
      <c r="Q502" t="n">
        <v>0</v>
      </c>
      <c r="R502" s="2" t="inlineStr"/>
    </row>
    <row r="503" ht="15" customHeight="1">
      <c r="A503" t="inlineStr">
        <is>
          <t>A 41866-2022</t>
        </is>
      </c>
      <c r="B503" s="1" t="n">
        <v>44829</v>
      </c>
      <c r="C503" s="1" t="n">
        <v>45998</v>
      </c>
      <c r="D503" t="inlineStr">
        <is>
          <t>VÄSTMANLANDS LÄN</t>
        </is>
      </c>
      <c r="E503" t="inlineStr">
        <is>
          <t>SKINNSKATTEBERG</t>
        </is>
      </c>
      <c r="G503" t="n">
        <v>3.7</v>
      </c>
      <c r="H503" t="n">
        <v>0</v>
      </c>
      <c r="I503" t="n">
        <v>0</v>
      </c>
      <c r="J503" t="n">
        <v>0</v>
      </c>
      <c r="K503" t="n">
        <v>0</v>
      </c>
      <c r="L503" t="n">
        <v>0</v>
      </c>
      <c r="M503" t="n">
        <v>0</v>
      </c>
      <c r="N503" t="n">
        <v>0</v>
      </c>
      <c r="O503" t="n">
        <v>0</v>
      </c>
      <c r="P503" t="n">
        <v>0</v>
      </c>
      <c r="Q503" t="n">
        <v>0</v>
      </c>
      <c r="R503" s="2" t="inlineStr"/>
    </row>
    <row r="504" ht="15" customHeight="1">
      <c r="A504" t="inlineStr">
        <is>
          <t>A 17036-2022</t>
        </is>
      </c>
      <c r="B504" s="1" t="n">
        <v>44676.89392361111</v>
      </c>
      <c r="C504" s="1" t="n">
        <v>45998</v>
      </c>
      <c r="D504" t="inlineStr">
        <is>
          <t>VÄSTMANLANDS LÄN</t>
        </is>
      </c>
      <c r="E504" t="inlineStr">
        <is>
          <t>VÄSTERÅS</t>
        </is>
      </c>
      <c r="G504" t="n">
        <v>4.7</v>
      </c>
      <c r="H504" t="n">
        <v>0</v>
      </c>
      <c r="I504" t="n">
        <v>0</v>
      </c>
      <c r="J504" t="n">
        <v>0</v>
      </c>
      <c r="K504" t="n">
        <v>0</v>
      </c>
      <c r="L504" t="n">
        <v>0</v>
      </c>
      <c r="M504" t="n">
        <v>0</v>
      </c>
      <c r="N504" t="n">
        <v>0</v>
      </c>
      <c r="O504" t="n">
        <v>0</v>
      </c>
      <c r="P504" t="n">
        <v>0</v>
      </c>
      <c r="Q504" t="n">
        <v>0</v>
      </c>
      <c r="R504" s="2" t="inlineStr"/>
    </row>
    <row r="505" ht="15" customHeight="1">
      <c r="A505" t="inlineStr">
        <is>
          <t>A 40913-2021</t>
        </is>
      </c>
      <c r="B505" s="1" t="n">
        <v>44421</v>
      </c>
      <c r="C505" s="1" t="n">
        <v>45998</v>
      </c>
      <c r="D505" t="inlineStr">
        <is>
          <t>VÄSTMANLANDS LÄN</t>
        </is>
      </c>
      <c r="E505" t="inlineStr">
        <is>
          <t>SKINNSKATTEBERG</t>
        </is>
      </c>
      <c r="G505" t="n">
        <v>4.5</v>
      </c>
      <c r="H505" t="n">
        <v>0</v>
      </c>
      <c r="I505" t="n">
        <v>0</v>
      </c>
      <c r="J505" t="n">
        <v>0</v>
      </c>
      <c r="K505" t="n">
        <v>0</v>
      </c>
      <c r="L505" t="n">
        <v>0</v>
      </c>
      <c r="M505" t="n">
        <v>0</v>
      </c>
      <c r="N505" t="n">
        <v>0</v>
      </c>
      <c r="O505" t="n">
        <v>0</v>
      </c>
      <c r="P505" t="n">
        <v>0</v>
      </c>
      <c r="Q505" t="n">
        <v>0</v>
      </c>
      <c r="R505" s="2" t="inlineStr"/>
    </row>
    <row r="506" ht="15" customHeight="1">
      <c r="A506" t="inlineStr">
        <is>
          <t>A 17062-2022</t>
        </is>
      </c>
      <c r="B506" s="1" t="n">
        <v>44676</v>
      </c>
      <c r="C506" s="1" t="n">
        <v>45998</v>
      </c>
      <c r="D506" t="inlineStr">
        <is>
          <t>VÄSTMANLANDS LÄN</t>
        </is>
      </c>
      <c r="E506" t="inlineStr">
        <is>
          <t>ARBOGA</t>
        </is>
      </c>
      <c r="G506" t="n">
        <v>0.4</v>
      </c>
      <c r="H506" t="n">
        <v>0</v>
      </c>
      <c r="I506" t="n">
        <v>0</v>
      </c>
      <c r="J506" t="n">
        <v>0</v>
      </c>
      <c r="K506" t="n">
        <v>0</v>
      </c>
      <c r="L506" t="n">
        <v>0</v>
      </c>
      <c r="M506" t="n">
        <v>0</v>
      </c>
      <c r="N506" t="n">
        <v>0</v>
      </c>
      <c r="O506" t="n">
        <v>0</v>
      </c>
      <c r="P506" t="n">
        <v>0</v>
      </c>
      <c r="Q506" t="n">
        <v>0</v>
      </c>
      <c r="R506" s="2" t="inlineStr"/>
    </row>
    <row r="507" ht="15" customHeight="1">
      <c r="A507" t="inlineStr">
        <is>
          <t>A 23240-2021</t>
        </is>
      </c>
      <c r="B507" s="1" t="n">
        <v>44333.39509259259</v>
      </c>
      <c r="C507" s="1" t="n">
        <v>45998</v>
      </c>
      <c r="D507" t="inlineStr">
        <is>
          <t>VÄSTMANLANDS LÄN</t>
        </is>
      </c>
      <c r="E507" t="inlineStr">
        <is>
          <t>SKINNSKATTEBERG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47599-2022</t>
        </is>
      </c>
      <c r="B508" s="1" t="n">
        <v>44852</v>
      </c>
      <c r="C508" s="1" t="n">
        <v>45998</v>
      </c>
      <c r="D508" t="inlineStr">
        <is>
          <t>VÄSTMANLANDS LÄN</t>
        </is>
      </c>
      <c r="E508" t="inlineStr">
        <is>
          <t>NORBERG</t>
        </is>
      </c>
      <c r="G508" t="n">
        <v>2.5</v>
      </c>
      <c r="H508" t="n">
        <v>0</v>
      </c>
      <c r="I508" t="n">
        <v>0</v>
      </c>
      <c r="J508" t="n">
        <v>0</v>
      </c>
      <c r="K508" t="n">
        <v>0</v>
      </c>
      <c r="L508" t="n">
        <v>0</v>
      </c>
      <c r="M508" t="n">
        <v>0</v>
      </c>
      <c r="N508" t="n">
        <v>0</v>
      </c>
      <c r="O508" t="n">
        <v>0</v>
      </c>
      <c r="P508" t="n">
        <v>0</v>
      </c>
      <c r="Q508" t="n">
        <v>0</v>
      </c>
      <c r="R508" s="2" t="inlineStr"/>
    </row>
    <row r="509" ht="15" customHeight="1">
      <c r="A509" t="inlineStr">
        <is>
          <t>A 70218-2021</t>
        </is>
      </c>
      <c r="B509" s="1" t="n">
        <v>44535.6571412037</v>
      </c>
      <c r="C509" s="1" t="n">
        <v>45998</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44318-2022</t>
        </is>
      </c>
      <c r="B510" s="1" t="n">
        <v>44839.64516203704</v>
      </c>
      <c r="C510" s="1" t="n">
        <v>45998</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24163-2021</t>
        </is>
      </c>
      <c r="B511" s="1" t="n">
        <v>44336</v>
      </c>
      <c r="C511" s="1" t="n">
        <v>45998</v>
      </c>
      <c r="D511" t="inlineStr">
        <is>
          <t>VÄSTMANLANDS LÄN</t>
        </is>
      </c>
      <c r="E511" t="inlineStr">
        <is>
          <t>ARBOGA</t>
        </is>
      </c>
      <c r="G511" t="n">
        <v>3</v>
      </c>
      <c r="H511" t="n">
        <v>0</v>
      </c>
      <c r="I511" t="n">
        <v>0</v>
      </c>
      <c r="J511" t="n">
        <v>0</v>
      </c>
      <c r="K511" t="n">
        <v>0</v>
      </c>
      <c r="L511" t="n">
        <v>0</v>
      </c>
      <c r="M511" t="n">
        <v>0</v>
      </c>
      <c r="N511" t="n">
        <v>0</v>
      </c>
      <c r="O511" t="n">
        <v>0</v>
      </c>
      <c r="P511" t="n">
        <v>0</v>
      </c>
      <c r="Q511" t="n">
        <v>0</v>
      </c>
      <c r="R511" s="2" t="inlineStr"/>
    </row>
    <row r="512" ht="15" customHeight="1">
      <c r="A512" t="inlineStr">
        <is>
          <t>A 49254-2022</t>
        </is>
      </c>
      <c r="B512" s="1" t="n">
        <v>44861</v>
      </c>
      <c r="C512" s="1" t="n">
        <v>45998</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47653-2022</t>
        </is>
      </c>
      <c r="B513" s="1" t="n">
        <v>44852</v>
      </c>
      <c r="C513" s="1" t="n">
        <v>45998</v>
      </c>
      <c r="D513" t="inlineStr">
        <is>
          <t>VÄSTMANLANDS LÄN</t>
        </is>
      </c>
      <c r="E513" t="inlineStr">
        <is>
          <t>SKINNSKATTEBERG</t>
        </is>
      </c>
      <c r="G513" t="n">
        <v>1</v>
      </c>
      <c r="H513" t="n">
        <v>0</v>
      </c>
      <c r="I513" t="n">
        <v>0</v>
      </c>
      <c r="J513" t="n">
        <v>0</v>
      </c>
      <c r="K513" t="n">
        <v>0</v>
      </c>
      <c r="L513" t="n">
        <v>0</v>
      </c>
      <c r="M513" t="n">
        <v>0</v>
      </c>
      <c r="N513" t="n">
        <v>0</v>
      </c>
      <c r="O513" t="n">
        <v>0</v>
      </c>
      <c r="P513" t="n">
        <v>0</v>
      </c>
      <c r="Q513" t="n">
        <v>0</v>
      </c>
      <c r="R513" s="2" t="inlineStr"/>
    </row>
    <row r="514" ht="15" customHeight="1">
      <c r="A514" t="inlineStr">
        <is>
          <t>A 3204-2022</t>
        </is>
      </c>
      <c r="B514" s="1" t="n">
        <v>44582</v>
      </c>
      <c r="C514" s="1" t="n">
        <v>45998</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32249-2022</t>
        </is>
      </c>
      <c r="B515" s="1" t="n">
        <v>44781</v>
      </c>
      <c r="C515" s="1" t="n">
        <v>45998</v>
      </c>
      <c r="D515" t="inlineStr">
        <is>
          <t>VÄSTMANLANDS LÄN</t>
        </is>
      </c>
      <c r="E515" t="inlineStr">
        <is>
          <t>FAGERSTA</t>
        </is>
      </c>
      <c r="F515" t="inlineStr">
        <is>
          <t>Kommuner</t>
        </is>
      </c>
      <c r="G515" t="n">
        <v>22.9</v>
      </c>
      <c r="H515" t="n">
        <v>0</v>
      </c>
      <c r="I515" t="n">
        <v>0</v>
      </c>
      <c r="J515" t="n">
        <v>0</v>
      </c>
      <c r="K515" t="n">
        <v>0</v>
      </c>
      <c r="L515" t="n">
        <v>0</v>
      </c>
      <c r="M515" t="n">
        <v>0</v>
      </c>
      <c r="N515" t="n">
        <v>0</v>
      </c>
      <c r="O515" t="n">
        <v>0</v>
      </c>
      <c r="P515" t="n">
        <v>0</v>
      </c>
      <c r="Q515" t="n">
        <v>0</v>
      </c>
      <c r="R515" s="2" t="inlineStr"/>
    </row>
    <row r="516" ht="15" customHeight="1">
      <c r="A516" t="inlineStr">
        <is>
          <t>A 19846-2022</t>
        </is>
      </c>
      <c r="B516" s="1" t="n">
        <v>44696.89327546296</v>
      </c>
      <c r="C516" s="1" t="n">
        <v>45998</v>
      </c>
      <c r="D516" t="inlineStr">
        <is>
          <t>VÄSTMANLANDS LÄN</t>
        </is>
      </c>
      <c r="E516" t="inlineStr">
        <is>
          <t>SURAHAMMAR</t>
        </is>
      </c>
      <c r="F516" t="inlineStr">
        <is>
          <t>Kommuner</t>
        </is>
      </c>
      <c r="G516" t="n">
        <v>3.4</v>
      </c>
      <c r="H516" t="n">
        <v>0</v>
      </c>
      <c r="I516" t="n">
        <v>0</v>
      </c>
      <c r="J516" t="n">
        <v>0</v>
      </c>
      <c r="K516" t="n">
        <v>0</v>
      </c>
      <c r="L516" t="n">
        <v>0</v>
      </c>
      <c r="M516" t="n">
        <v>0</v>
      </c>
      <c r="N516" t="n">
        <v>0</v>
      </c>
      <c r="O516" t="n">
        <v>0</v>
      </c>
      <c r="P516" t="n">
        <v>0</v>
      </c>
      <c r="Q516" t="n">
        <v>0</v>
      </c>
      <c r="R516" s="2" t="inlineStr"/>
    </row>
    <row r="517" ht="15" customHeight="1">
      <c r="A517" t="inlineStr">
        <is>
          <t>A 57517-2021</t>
        </is>
      </c>
      <c r="B517" s="1" t="n">
        <v>44483</v>
      </c>
      <c r="C517" s="1" t="n">
        <v>45998</v>
      </c>
      <c r="D517" t="inlineStr">
        <is>
          <t>VÄSTMANLANDS LÄN</t>
        </is>
      </c>
      <c r="E517" t="inlineStr">
        <is>
          <t>SALA</t>
        </is>
      </c>
      <c r="G517" t="n">
        <v>1.1</v>
      </c>
      <c r="H517" t="n">
        <v>0</v>
      </c>
      <c r="I517" t="n">
        <v>0</v>
      </c>
      <c r="J517" t="n">
        <v>0</v>
      </c>
      <c r="K517" t="n">
        <v>0</v>
      </c>
      <c r="L517" t="n">
        <v>0</v>
      </c>
      <c r="M517" t="n">
        <v>0</v>
      </c>
      <c r="N517" t="n">
        <v>0</v>
      </c>
      <c r="O517" t="n">
        <v>0</v>
      </c>
      <c r="P517" t="n">
        <v>0</v>
      </c>
      <c r="Q517" t="n">
        <v>0</v>
      </c>
      <c r="R517" s="2" t="inlineStr"/>
    </row>
    <row r="518" ht="15" customHeight="1">
      <c r="A518" t="inlineStr">
        <is>
          <t>A 40918-2021</t>
        </is>
      </c>
      <c r="B518" s="1" t="n">
        <v>44421</v>
      </c>
      <c r="C518" s="1" t="n">
        <v>45998</v>
      </c>
      <c r="D518" t="inlineStr">
        <is>
          <t>VÄSTMANLANDS LÄN</t>
        </is>
      </c>
      <c r="E518" t="inlineStr">
        <is>
          <t>SKINNSKATTEBERG</t>
        </is>
      </c>
      <c r="G518" t="n">
        <v>1.3</v>
      </c>
      <c r="H518" t="n">
        <v>0</v>
      </c>
      <c r="I518" t="n">
        <v>0</v>
      </c>
      <c r="J518" t="n">
        <v>0</v>
      </c>
      <c r="K518" t="n">
        <v>0</v>
      </c>
      <c r="L518" t="n">
        <v>0</v>
      </c>
      <c r="M518" t="n">
        <v>0</v>
      </c>
      <c r="N518" t="n">
        <v>0</v>
      </c>
      <c r="O518" t="n">
        <v>0</v>
      </c>
      <c r="P518" t="n">
        <v>0</v>
      </c>
      <c r="Q518" t="n">
        <v>0</v>
      </c>
      <c r="R518" s="2" t="inlineStr"/>
    </row>
    <row r="519" ht="15" customHeight="1">
      <c r="A519" t="inlineStr">
        <is>
          <t>A 15160-2022</t>
        </is>
      </c>
      <c r="B519" s="1" t="n">
        <v>44658.49731481481</v>
      </c>
      <c r="C519" s="1" t="n">
        <v>45998</v>
      </c>
      <c r="D519" t="inlineStr">
        <is>
          <t>VÄSTMANLANDS LÄN</t>
        </is>
      </c>
      <c r="E519" t="inlineStr">
        <is>
          <t>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53858-2022</t>
        </is>
      </c>
      <c r="B520" s="1" t="n">
        <v>44880.63131944444</v>
      </c>
      <c r="C520" s="1" t="n">
        <v>45998</v>
      </c>
      <c r="D520" t="inlineStr">
        <is>
          <t>VÄSTMANLANDS LÄN</t>
        </is>
      </c>
      <c r="E520" t="inlineStr">
        <is>
          <t>VÄSTERÅS</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26575-2021</t>
        </is>
      </c>
      <c r="B521" s="1" t="n">
        <v>44348</v>
      </c>
      <c r="C521" s="1" t="n">
        <v>45998</v>
      </c>
      <c r="D521" t="inlineStr">
        <is>
          <t>VÄSTMANLANDS LÄN</t>
        </is>
      </c>
      <c r="E521" t="inlineStr">
        <is>
          <t>SALA</t>
        </is>
      </c>
      <c r="G521" t="n">
        <v>2.7</v>
      </c>
      <c r="H521" t="n">
        <v>0</v>
      </c>
      <c r="I521" t="n">
        <v>0</v>
      </c>
      <c r="J521" t="n">
        <v>0</v>
      </c>
      <c r="K521" t="n">
        <v>0</v>
      </c>
      <c r="L521" t="n">
        <v>0</v>
      </c>
      <c r="M521" t="n">
        <v>0</v>
      </c>
      <c r="N521" t="n">
        <v>0</v>
      </c>
      <c r="O521" t="n">
        <v>0</v>
      </c>
      <c r="P521" t="n">
        <v>0</v>
      </c>
      <c r="Q521" t="n">
        <v>0</v>
      </c>
      <c r="R521" s="2" t="inlineStr"/>
    </row>
    <row r="522" ht="15" customHeight="1">
      <c r="A522" t="inlineStr">
        <is>
          <t>A 38178-2021</t>
        </is>
      </c>
      <c r="B522" s="1" t="n">
        <v>44405</v>
      </c>
      <c r="C522" s="1" t="n">
        <v>45998</v>
      </c>
      <c r="D522" t="inlineStr">
        <is>
          <t>VÄSTMANLANDS LÄN</t>
        </is>
      </c>
      <c r="E522" t="inlineStr">
        <is>
          <t>SURAHAMMAR</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70266-2021</t>
        </is>
      </c>
      <c r="B523" s="1" t="n">
        <v>44536</v>
      </c>
      <c r="C523" s="1" t="n">
        <v>45998</v>
      </c>
      <c r="D523" t="inlineStr">
        <is>
          <t>VÄSTMANLANDS LÄN</t>
        </is>
      </c>
      <c r="E523" t="inlineStr">
        <is>
          <t>ARBOGA</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26570-2021</t>
        </is>
      </c>
      <c r="B524" s="1" t="n">
        <v>44348</v>
      </c>
      <c r="C524" s="1" t="n">
        <v>45998</v>
      </c>
      <c r="D524" t="inlineStr">
        <is>
          <t>VÄSTMANLANDS LÄN</t>
        </is>
      </c>
      <c r="E524" t="inlineStr">
        <is>
          <t>SALA</t>
        </is>
      </c>
      <c r="G524" t="n">
        <v>2.5</v>
      </c>
      <c r="H524" t="n">
        <v>0</v>
      </c>
      <c r="I524" t="n">
        <v>0</v>
      </c>
      <c r="J524" t="n">
        <v>0</v>
      </c>
      <c r="K524" t="n">
        <v>0</v>
      </c>
      <c r="L524" t="n">
        <v>0</v>
      </c>
      <c r="M524" t="n">
        <v>0</v>
      </c>
      <c r="N524" t="n">
        <v>0</v>
      </c>
      <c r="O524" t="n">
        <v>0</v>
      </c>
      <c r="P524" t="n">
        <v>0</v>
      </c>
      <c r="Q524" t="n">
        <v>0</v>
      </c>
      <c r="R524" s="2" t="inlineStr"/>
    </row>
    <row r="525" ht="15" customHeight="1">
      <c r="A525" t="inlineStr">
        <is>
          <t>A 29235-2022</t>
        </is>
      </c>
      <c r="B525" s="1" t="n">
        <v>44750</v>
      </c>
      <c r="C525" s="1" t="n">
        <v>45998</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16174-2022</t>
        </is>
      </c>
      <c r="B526" s="1" t="n">
        <v>44668</v>
      </c>
      <c r="C526" s="1" t="n">
        <v>45998</v>
      </c>
      <c r="D526" t="inlineStr">
        <is>
          <t>VÄSTMANLANDS LÄN</t>
        </is>
      </c>
      <c r="E526" t="inlineStr">
        <is>
          <t>ARBOGA</t>
        </is>
      </c>
      <c r="G526" t="n">
        <v>2.1</v>
      </c>
      <c r="H526" t="n">
        <v>0</v>
      </c>
      <c r="I526" t="n">
        <v>0</v>
      </c>
      <c r="J526" t="n">
        <v>0</v>
      </c>
      <c r="K526" t="n">
        <v>0</v>
      </c>
      <c r="L526" t="n">
        <v>0</v>
      </c>
      <c r="M526" t="n">
        <v>0</v>
      </c>
      <c r="N526" t="n">
        <v>0</v>
      </c>
      <c r="O526" t="n">
        <v>0</v>
      </c>
      <c r="P526" t="n">
        <v>0</v>
      </c>
      <c r="Q526" t="n">
        <v>0</v>
      </c>
      <c r="R526" s="2" t="inlineStr"/>
    </row>
    <row r="527" ht="15" customHeight="1">
      <c r="A527" t="inlineStr">
        <is>
          <t>A 16175-2022</t>
        </is>
      </c>
      <c r="B527" s="1" t="n">
        <v>44668</v>
      </c>
      <c r="C527" s="1" t="n">
        <v>45998</v>
      </c>
      <c r="D527" t="inlineStr">
        <is>
          <t>VÄSTMANLANDS LÄN</t>
        </is>
      </c>
      <c r="E527" t="inlineStr">
        <is>
          <t>ARBOGA</t>
        </is>
      </c>
      <c r="G527" t="n">
        <v>4.1</v>
      </c>
      <c r="H527" t="n">
        <v>0</v>
      </c>
      <c r="I527" t="n">
        <v>0</v>
      </c>
      <c r="J527" t="n">
        <v>0</v>
      </c>
      <c r="K527" t="n">
        <v>0</v>
      </c>
      <c r="L527" t="n">
        <v>0</v>
      </c>
      <c r="M527" t="n">
        <v>0</v>
      </c>
      <c r="N527" t="n">
        <v>0</v>
      </c>
      <c r="O527" t="n">
        <v>0</v>
      </c>
      <c r="P527" t="n">
        <v>0</v>
      </c>
      <c r="Q527" t="n">
        <v>0</v>
      </c>
      <c r="R527" s="2" t="inlineStr"/>
    </row>
    <row r="528" ht="15" customHeight="1">
      <c r="A528" t="inlineStr">
        <is>
          <t>A 3155-2022</t>
        </is>
      </c>
      <c r="B528" s="1" t="n">
        <v>44582</v>
      </c>
      <c r="C528" s="1" t="n">
        <v>45998</v>
      </c>
      <c r="D528" t="inlineStr">
        <is>
          <t>VÄSTMANLANDS LÄN</t>
        </is>
      </c>
      <c r="E528" t="inlineStr">
        <is>
          <t>SURAHAMMAR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69259-2021</t>
        </is>
      </c>
      <c r="B529" s="1" t="n">
        <v>44531.42773148148</v>
      </c>
      <c r="C529" s="1" t="n">
        <v>45998</v>
      </c>
      <c r="D529" t="inlineStr">
        <is>
          <t>VÄSTMANLANDS LÄN</t>
        </is>
      </c>
      <c r="E529" t="inlineStr">
        <is>
          <t>SKINNSKATTEBERG</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15640-2022</t>
        </is>
      </c>
      <c r="B530" s="1" t="n">
        <v>44662</v>
      </c>
      <c r="C530" s="1" t="n">
        <v>45998</v>
      </c>
      <c r="D530" t="inlineStr">
        <is>
          <t>VÄSTMANLANDS LÄN</t>
        </is>
      </c>
      <c r="E530" t="inlineStr">
        <is>
          <t>VÄSTERÅS</t>
        </is>
      </c>
      <c r="G530" t="n">
        <v>1.4</v>
      </c>
      <c r="H530" t="n">
        <v>0</v>
      </c>
      <c r="I530" t="n">
        <v>0</v>
      </c>
      <c r="J530" t="n">
        <v>0</v>
      </c>
      <c r="K530" t="n">
        <v>0</v>
      </c>
      <c r="L530" t="n">
        <v>0</v>
      </c>
      <c r="M530" t="n">
        <v>0</v>
      </c>
      <c r="N530" t="n">
        <v>0</v>
      </c>
      <c r="O530" t="n">
        <v>0</v>
      </c>
      <c r="P530" t="n">
        <v>0</v>
      </c>
      <c r="Q530" t="n">
        <v>0</v>
      </c>
      <c r="R530" s="2" t="inlineStr"/>
    </row>
    <row r="531" ht="15" customHeight="1">
      <c r="A531" t="inlineStr">
        <is>
          <t>A 40499-2022</t>
        </is>
      </c>
      <c r="B531" s="1" t="n">
        <v>44823.60164351852</v>
      </c>
      <c r="C531" s="1" t="n">
        <v>45998</v>
      </c>
      <c r="D531" t="inlineStr">
        <is>
          <t>VÄSTMANLANDS LÄN</t>
        </is>
      </c>
      <c r="E531" t="inlineStr">
        <is>
          <t>SKINNSKATTEBERG</t>
        </is>
      </c>
      <c r="G531" t="n">
        <v>2.5</v>
      </c>
      <c r="H531" t="n">
        <v>0</v>
      </c>
      <c r="I531" t="n">
        <v>0</v>
      </c>
      <c r="J531" t="n">
        <v>0</v>
      </c>
      <c r="K531" t="n">
        <v>0</v>
      </c>
      <c r="L531" t="n">
        <v>0</v>
      </c>
      <c r="M531" t="n">
        <v>0</v>
      </c>
      <c r="N531" t="n">
        <v>0</v>
      </c>
      <c r="O531" t="n">
        <v>0</v>
      </c>
      <c r="P531" t="n">
        <v>0</v>
      </c>
      <c r="Q531" t="n">
        <v>0</v>
      </c>
      <c r="R531" s="2" t="inlineStr"/>
    </row>
    <row r="532" ht="15" customHeight="1">
      <c r="A532" t="inlineStr">
        <is>
          <t>A 31831-2022</t>
        </is>
      </c>
      <c r="B532" s="1" t="n">
        <v>44776</v>
      </c>
      <c r="C532" s="1" t="n">
        <v>45998</v>
      </c>
      <c r="D532" t="inlineStr">
        <is>
          <t>VÄSTMANLANDS LÄN</t>
        </is>
      </c>
      <c r="E532" t="inlineStr">
        <is>
          <t>FAGERSTA</t>
        </is>
      </c>
      <c r="G532" t="n">
        <v>2.4</v>
      </c>
      <c r="H532" t="n">
        <v>0</v>
      </c>
      <c r="I532" t="n">
        <v>0</v>
      </c>
      <c r="J532" t="n">
        <v>0</v>
      </c>
      <c r="K532" t="n">
        <v>0</v>
      </c>
      <c r="L532" t="n">
        <v>0</v>
      </c>
      <c r="M532" t="n">
        <v>0</v>
      </c>
      <c r="N532" t="n">
        <v>0</v>
      </c>
      <c r="O532" t="n">
        <v>0</v>
      </c>
      <c r="P532" t="n">
        <v>0</v>
      </c>
      <c r="Q532" t="n">
        <v>0</v>
      </c>
      <c r="R532" s="2" t="inlineStr"/>
    </row>
    <row r="533" ht="15" customHeight="1">
      <c r="A533" t="inlineStr">
        <is>
          <t>A 42504-2022</t>
        </is>
      </c>
      <c r="B533" s="1" t="n">
        <v>44831.58111111111</v>
      </c>
      <c r="C533" s="1" t="n">
        <v>45998</v>
      </c>
      <c r="D533" t="inlineStr">
        <is>
          <t>VÄSTMANLANDS LÄN</t>
        </is>
      </c>
      <c r="E533" t="inlineStr">
        <is>
          <t>NORBERG</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42505-2022</t>
        </is>
      </c>
      <c r="B534" s="1" t="n">
        <v>44831.58203703703</v>
      </c>
      <c r="C534" s="1" t="n">
        <v>45998</v>
      </c>
      <c r="D534" t="inlineStr">
        <is>
          <t>VÄSTMANLANDS LÄN</t>
        </is>
      </c>
      <c r="E534" t="inlineStr">
        <is>
          <t>NORBERG</t>
        </is>
      </c>
      <c r="F534" t="inlineStr">
        <is>
          <t>Sveaskog</t>
        </is>
      </c>
      <c r="G534" t="n">
        <v>2.5</v>
      </c>
      <c r="H534" t="n">
        <v>0</v>
      </c>
      <c r="I534" t="n">
        <v>0</v>
      </c>
      <c r="J534" t="n">
        <v>0</v>
      </c>
      <c r="K534" t="n">
        <v>0</v>
      </c>
      <c r="L534" t="n">
        <v>0</v>
      </c>
      <c r="M534" t="n">
        <v>0</v>
      </c>
      <c r="N534" t="n">
        <v>0</v>
      </c>
      <c r="O534" t="n">
        <v>0</v>
      </c>
      <c r="P534" t="n">
        <v>0</v>
      </c>
      <c r="Q534" t="n">
        <v>0</v>
      </c>
      <c r="R534" s="2" t="inlineStr"/>
    </row>
    <row r="535" ht="15" customHeight="1">
      <c r="A535" t="inlineStr">
        <is>
          <t>A 11370-2022</t>
        </is>
      </c>
      <c r="B535" s="1" t="n">
        <v>44630</v>
      </c>
      <c r="C535" s="1" t="n">
        <v>45998</v>
      </c>
      <c r="D535" t="inlineStr">
        <is>
          <t>VÄSTMANLANDS LÄN</t>
        </is>
      </c>
      <c r="E535" t="inlineStr">
        <is>
          <t>SALA</t>
        </is>
      </c>
      <c r="G535" t="n">
        <v>4.3</v>
      </c>
      <c r="H535" t="n">
        <v>0</v>
      </c>
      <c r="I535" t="n">
        <v>0</v>
      </c>
      <c r="J535" t="n">
        <v>0</v>
      </c>
      <c r="K535" t="n">
        <v>0</v>
      </c>
      <c r="L535" t="n">
        <v>0</v>
      </c>
      <c r="M535" t="n">
        <v>0</v>
      </c>
      <c r="N535" t="n">
        <v>0</v>
      </c>
      <c r="O535" t="n">
        <v>0</v>
      </c>
      <c r="P535" t="n">
        <v>0</v>
      </c>
      <c r="Q535" t="n">
        <v>0</v>
      </c>
      <c r="R535" s="2" t="inlineStr"/>
    </row>
    <row r="536" ht="15" customHeight="1">
      <c r="A536" t="inlineStr">
        <is>
          <t>A 56929-2021</t>
        </is>
      </c>
      <c r="B536" s="1" t="n">
        <v>44480</v>
      </c>
      <c r="C536" s="1" t="n">
        <v>45998</v>
      </c>
      <c r="D536" t="inlineStr">
        <is>
          <t>VÄSTMANLANDS LÄN</t>
        </is>
      </c>
      <c r="E536" t="inlineStr">
        <is>
          <t>NORBERG</t>
        </is>
      </c>
      <c r="G536" t="n">
        <v>1</v>
      </c>
      <c r="H536" t="n">
        <v>0</v>
      </c>
      <c r="I536" t="n">
        <v>0</v>
      </c>
      <c r="J536" t="n">
        <v>0</v>
      </c>
      <c r="K536" t="n">
        <v>0</v>
      </c>
      <c r="L536" t="n">
        <v>0</v>
      </c>
      <c r="M536" t="n">
        <v>0</v>
      </c>
      <c r="N536" t="n">
        <v>0</v>
      </c>
      <c r="O536" t="n">
        <v>0</v>
      </c>
      <c r="P536" t="n">
        <v>0</v>
      </c>
      <c r="Q536" t="n">
        <v>0</v>
      </c>
      <c r="R536" s="2" t="inlineStr"/>
    </row>
    <row r="537" ht="15" customHeight="1">
      <c r="A537" t="inlineStr">
        <is>
          <t>A 48143-2021</t>
        </is>
      </c>
      <c r="B537" s="1" t="n">
        <v>44449</v>
      </c>
      <c r="C537" s="1" t="n">
        <v>45998</v>
      </c>
      <c r="D537" t="inlineStr">
        <is>
          <t>VÄSTMANLANDS LÄN</t>
        </is>
      </c>
      <c r="E537" t="inlineStr">
        <is>
          <t>NORBERG</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10753-2021</t>
        </is>
      </c>
      <c r="B538" s="1" t="n">
        <v>44259</v>
      </c>
      <c r="C538" s="1" t="n">
        <v>45998</v>
      </c>
      <c r="D538" t="inlineStr">
        <is>
          <t>VÄSTMANLANDS LÄN</t>
        </is>
      </c>
      <c r="E538" t="inlineStr">
        <is>
          <t>VÄSTERÅS</t>
        </is>
      </c>
      <c r="G538" t="n">
        <v>1.8</v>
      </c>
      <c r="H538" t="n">
        <v>0</v>
      </c>
      <c r="I538" t="n">
        <v>0</v>
      </c>
      <c r="J538" t="n">
        <v>0</v>
      </c>
      <c r="K538" t="n">
        <v>0</v>
      </c>
      <c r="L538" t="n">
        <v>0</v>
      </c>
      <c r="M538" t="n">
        <v>0</v>
      </c>
      <c r="N538" t="n">
        <v>0</v>
      </c>
      <c r="O538" t="n">
        <v>0</v>
      </c>
      <c r="P538" t="n">
        <v>0</v>
      </c>
      <c r="Q538" t="n">
        <v>0</v>
      </c>
      <c r="R538" s="2" t="inlineStr"/>
    </row>
    <row r="539" ht="15" customHeight="1">
      <c r="A539" t="inlineStr">
        <is>
          <t>A 6217-2021</t>
        </is>
      </c>
      <c r="B539" s="1" t="n">
        <v>44235</v>
      </c>
      <c r="C539" s="1" t="n">
        <v>45998</v>
      </c>
      <c r="D539" t="inlineStr">
        <is>
          <t>VÄSTMANLANDS LÄN</t>
        </is>
      </c>
      <c r="E539" t="inlineStr">
        <is>
          <t>KÖPING</t>
        </is>
      </c>
      <c r="G539" t="n">
        <v>2.2</v>
      </c>
      <c r="H539" t="n">
        <v>0</v>
      </c>
      <c r="I539" t="n">
        <v>0</v>
      </c>
      <c r="J539" t="n">
        <v>0</v>
      </c>
      <c r="K539" t="n">
        <v>0</v>
      </c>
      <c r="L539" t="n">
        <v>0</v>
      </c>
      <c r="M539" t="n">
        <v>0</v>
      </c>
      <c r="N539" t="n">
        <v>0</v>
      </c>
      <c r="O539" t="n">
        <v>0</v>
      </c>
      <c r="P539" t="n">
        <v>0</v>
      </c>
      <c r="Q539" t="n">
        <v>0</v>
      </c>
      <c r="R539" s="2" t="inlineStr"/>
    </row>
    <row r="540" ht="15" customHeight="1">
      <c r="A540" t="inlineStr">
        <is>
          <t>A 9075-2022</t>
        </is>
      </c>
      <c r="B540" s="1" t="n">
        <v>44615.47800925926</v>
      </c>
      <c r="C540" s="1" t="n">
        <v>45998</v>
      </c>
      <c r="D540" t="inlineStr">
        <is>
          <t>VÄSTMANLANDS LÄN</t>
        </is>
      </c>
      <c r="E540" t="inlineStr">
        <is>
          <t>SALA</t>
        </is>
      </c>
      <c r="G540" t="n">
        <v>0.7</v>
      </c>
      <c r="H540" t="n">
        <v>0</v>
      </c>
      <c r="I540" t="n">
        <v>0</v>
      </c>
      <c r="J540" t="n">
        <v>0</v>
      </c>
      <c r="K540" t="n">
        <v>0</v>
      </c>
      <c r="L540" t="n">
        <v>0</v>
      </c>
      <c r="M540" t="n">
        <v>0</v>
      </c>
      <c r="N540" t="n">
        <v>0</v>
      </c>
      <c r="O540" t="n">
        <v>0</v>
      </c>
      <c r="P540" t="n">
        <v>0</v>
      </c>
      <c r="Q540" t="n">
        <v>0</v>
      </c>
      <c r="R540" s="2" t="inlineStr"/>
    </row>
    <row r="541" ht="15" customHeight="1">
      <c r="A541" t="inlineStr">
        <is>
          <t>A 8687-2022</t>
        </is>
      </c>
      <c r="B541" s="1" t="n">
        <v>44613</v>
      </c>
      <c r="C541" s="1" t="n">
        <v>45998</v>
      </c>
      <c r="D541" t="inlineStr">
        <is>
          <t>VÄSTMANLANDS LÄN</t>
        </is>
      </c>
      <c r="E541" t="inlineStr">
        <is>
          <t>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15165-2022</t>
        </is>
      </c>
      <c r="B542" s="1" t="n">
        <v>44658.51559027778</v>
      </c>
      <c r="C542" s="1" t="n">
        <v>45998</v>
      </c>
      <c r="D542" t="inlineStr">
        <is>
          <t>VÄSTMANLANDS LÄN</t>
        </is>
      </c>
      <c r="E542" t="inlineStr">
        <is>
          <t>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45998</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45998</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45998</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68488-2021</t>
        </is>
      </c>
      <c r="B546" s="1" t="n">
        <v>44502</v>
      </c>
      <c r="C546" s="1" t="n">
        <v>45998</v>
      </c>
      <c r="D546" t="inlineStr">
        <is>
          <t>VÄSTMANLANDS LÄN</t>
        </is>
      </c>
      <c r="E546" t="inlineStr">
        <is>
          <t>HALLSTAHAMMAR</t>
        </is>
      </c>
      <c r="G546" t="n">
        <v>2</v>
      </c>
      <c r="H546" t="n">
        <v>0</v>
      </c>
      <c r="I546" t="n">
        <v>0</v>
      </c>
      <c r="J546" t="n">
        <v>0</v>
      </c>
      <c r="K546" t="n">
        <v>0</v>
      </c>
      <c r="L546" t="n">
        <v>0</v>
      </c>
      <c r="M546" t="n">
        <v>0</v>
      </c>
      <c r="N546" t="n">
        <v>0</v>
      </c>
      <c r="O546" t="n">
        <v>0</v>
      </c>
      <c r="P546" t="n">
        <v>0</v>
      </c>
      <c r="Q546" t="n">
        <v>0</v>
      </c>
      <c r="R546" s="2" t="inlineStr"/>
    </row>
    <row r="547" ht="15" customHeight="1">
      <c r="A547" t="inlineStr">
        <is>
          <t>A 71996-2021</t>
        </is>
      </c>
      <c r="B547" s="1" t="n">
        <v>44544</v>
      </c>
      <c r="C547" s="1" t="n">
        <v>45998</v>
      </c>
      <c r="D547" t="inlineStr">
        <is>
          <t>VÄSTMANLANDS LÄN</t>
        </is>
      </c>
      <c r="E547" t="inlineStr">
        <is>
          <t>SKINNSKATTEBERG</t>
        </is>
      </c>
      <c r="G547" t="n">
        <v>2.3</v>
      </c>
      <c r="H547" t="n">
        <v>0</v>
      </c>
      <c r="I547" t="n">
        <v>0</v>
      </c>
      <c r="J547" t="n">
        <v>0</v>
      </c>
      <c r="K547" t="n">
        <v>0</v>
      </c>
      <c r="L547" t="n">
        <v>0</v>
      </c>
      <c r="M547" t="n">
        <v>0</v>
      </c>
      <c r="N547" t="n">
        <v>0</v>
      </c>
      <c r="O547" t="n">
        <v>0</v>
      </c>
      <c r="P547" t="n">
        <v>0</v>
      </c>
      <c r="Q547" t="n">
        <v>0</v>
      </c>
      <c r="R547" s="2" t="inlineStr"/>
    </row>
    <row r="548" ht="15" customHeight="1">
      <c r="A548" t="inlineStr">
        <is>
          <t>A 72019-2021</t>
        </is>
      </c>
      <c r="B548" s="1" t="n">
        <v>44540</v>
      </c>
      <c r="C548" s="1" t="n">
        <v>45998</v>
      </c>
      <c r="D548" t="inlineStr">
        <is>
          <t>VÄSTMANLANDS LÄN</t>
        </is>
      </c>
      <c r="E548" t="inlineStr">
        <is>
          <t>VÄSTERÅS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42338-2021</t>
        </is>
      </c>
      <c r="B549" s="1" t="n">
        <v>44427.42277777778</v>
      </c>
      <c r="C549" s="1" t="n">
        <v>45998</v>
      </c>
      <c r="D549" t="inlineStr">
        <is>
          <t>VÄSTMANLANDS LÄN</t>
        </is>
      </c>
      <c r="E549" t="inlineStr">
        <is>
          <t>ARBOGA</t>
        </is>
      </c>
      <c r="G549" t="n">
        <v>2.2</v>
      </c>
      <c r="H549" t="n">
        <v>0</v>
      </c>
      <c r="I549" t="n">
        <v>0</v>
      </c>
      <c r="J549" t="n">
        <v>0</v>
      </c>
      <c r="K549" t="n">
        <v>0</v>
      </c>
      <c r="L549" t="n">
        <v>0</v>
      </c>
      <c r="M549" t="n">
        <v>0</v>
      </c>
      <c r="N549" t="n">
        <v>0</v>
      </c>
      <c r="O549" t="n">
        <v>0</v>
      </c>
      <c r="P549" t="n">
        <v>0</v>
      </c>
      <c r="Q549" t="n">
        <v>0</v>
      </c>
      <c r="R549" s="2" t="inlineStr"/>
    </row>
    <row r="550" ht="15" customHeight="1">
      <c r="A550" t="inlineStr">
        <is>
          <t>A 44710-2022</t>
        </is>
      </c>
      <c r="B550" s="1" t="n">
        <v>44840</v>
      </c>
      <c r="C550" s="1" t="n">
        <v>45998</v>
      </c>
      <c r="D550" t="inlineStr">
        <is>
          <t>VÄSTMANLANDS LÄN</t>
        </is>
      </c>
      <c r="E550" t="inlineStr">
        <is>
          <t>FAGERSTA</t>
        </is>
      </c>
      <c r="G550" t="n">
        <v>3.8</v>
      </c>
      <c r="H550" t="n">
        <v>0</v>
      </c>
      <c r="I550" t="n">
        <v>0</v>
      </c>
      <c r="J550" t="n">
        <v>0</v>
      </c>
      <c r="K550" t="n">
        <v>0</v>
      </c>
      <c r="L550" t="n">
        <v>0</v>
      </c>
      <c r="M550" t="n">
        <v>0</v>
      </c>
      <c r="N550" t="n">
        <v>0</v>
      </c>
      <c r="O550" t="n">
        <v>0</v>
      </c>
      <c r="P550" t="n">
        <v>0</v>
      </c>
      <c r="Q550" t="n">
        <v>0</v>
      </c>
      <c r="R550" s="2" t="inlineStr"/>
    </row>
    <row r="551" ht="15" customHeight="1">
      <c r="A551" t="inlineStr">
        <is>
          <t>A 69645-2021</t>
        </is>
      </c>
      <c r="B551" s="1" t="n">
        <v>44532.43004629629</v>
      </c>
      <c r="C551" s="1" t="n">
        <v>45998</v>
      </c>
      <c r="D551" t="inlineStr">
        <is>
          <t>VÄSTMANLANDS LÄN</t>
        </is>
      </c>
      <c r="E551" t="inlineStr">
        <is>
          <t>KÖPING</t>
        </is>
      </c>
      <c r="G551" t="n">
        <v>4.6</v>
      </c>
      <c r="H551" t="n">
        <v>0</v>
      </c>
      <c r="I551" t="n">
        <v>0</v>
      </c>
      <c r="J551" t="n">
        <v>0</v>
      </c>
      <c r="K551" t="n">
        <v>0</v>
      </c>
      <c r="L551" t="n">
        <v>0</v>
      </c>
      <c r="M551" t="n">
        <v>0</v>
      </c>
      <c r="N551" t="n">
        <v>0</v>
      </c>
      <c r="O551" t="n">
        <v>0</v>
      </c>
      <c r="P551" t="n">
        <v>0</v>
      </c>
      <c r="Q551" t="n">
        <v>0</v>
      </c>
      <c r="R551" s="2" t="inlineStr"/>
    </row>
    <row r="552" ht="15" customHeight="1">
      <c r="A552" t="inlineStr">
        <is>
          <t>A 68525-2021</t>
        </is>
      </c>
      <c r="B552" s="1" t="n">
        <v>44529</v>
      </c>
      <c r="C552" s="1" t="n">
        <v>45998</v>
      </c>
      <c r="D552" t="inlineStr">
        <is>
          <t>VÄSTMANLANDS LÄN</t>
        </is>
      </c>
      <c r="E552" t="inlineStr">
        <is>
          <t>SKINNSKATTEBERG</t>
        </is>
      </c>
      <c r="G552" t="n">
        <v>6.7</v>
      </c>
      <c r="H552" t="n">
        <v>0</v>
      </c>
      <c r="I552" t="n">
        <v>0</v>
      </c>
      <c r="J552" t="n">
        <v>0</v>
      </c>
      <c r="K552" t="n">
        <v>0</v>
      </c>
      <c r="L552" t="n">
        <v>0</v>
      </c>
      <c r="M552" t="n">
        <v>0</v>
      </c>
      <c r="N552" t="n">
        <v>0</v>
      </c>
      <c r="O552" t="n">
        <v>0</v>
      </c>
      <c r="P552" t="n">
        <v>0</v>
      </c>
      <c r="Q552" t="n">
        <v>0</v>
      </c>
      <c r="R552" s="2" t="inlineStr"/>
    </row>
    <row r="553" ht="15" customHeight="1">
      <c r="A553" t="inlineStr">
        <is>
          <t>A 68540-2021</t>
        </is>
      </c>
      <c r="B553" s="1" t="n">
        <v>44529</v>
      </c>
      <c r="C553" s="1" t="n">
        <v>45998</v>
      </c>
      <c r="D553" t="inlineStr">
        <is>
          <t>VÄSTMANLANDS LÄN</t>
        </is>
      </c>
      <c r="E553" t="inlineStr">
        <is>
          <t>SKINNSKATTEBERG</t>
        </is>
      </c>
      <c r="G553" t="n">
        <v>2</v>
      </c>
      <c r="H553" t="n">
        <v>0</v>
      </c>
      <c r="I553" t="n">
        <v>0</v>
      </c>
      <c r="J553" t="n">
        <v>0</v>
      </c>
      <c r="K553" t="n">
        <v>0</v>
      </c>
      <c r="L553" t="n">
        <v>0</v>
      </c>
      <c r="M553" t="n">
        <v>0</v>
      </c>
      <c r="N553" t="n">
        <v>0</v>
      </c>
      <c r="O553" t="n">
        <v>0</v>
      </c>
      <c r="P553" t="n">
        <v>0</v>
      </c>
      <c r="Q553" t="n">
        <v>0</v>
      </c>
      <c r="R553" s="2" t="inlineStr"/>
    </row>
    <row r="554" ht="15" customHeight="1">
      <c r="A554" t="inlineStr">
        <is>
          <t>A 66830-2021</t>
        </is>
      </c>
      <c r="B554" s="1" t="n">
        <v>44522.40886574074</v>
      </c>
      <c r="C554" s="1" t="n">
        <v>45998</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7712-2021</t>
        </is>
      </c>
      <c r="B555" s="1" t="n">
        <v>44242</v>
      </c>
      <c r="C555" s="1" t="n">
        <v>45998</v>
      </c>
      <c r="D555" t="inlineStr">
        <is>
          <t>VÄSTMANLANDS LÄN</t>
        </is>
      </c>
      <c r="E555" t="inlineStr">
        <is>
          <t>ARBOGA</t>
        </is>
      </c>
      <c r="G555" t="n">
        <v>2.4</v>
      </c>
      <c r="H555" t="n">
        <v>0</v>
      </c>
      <c r="I555" t="n">
        <v>0</v>
      </c>
      <c r="J555" t="n">
        <v>0</v>
      </c>
      <c r="K555" t="n">
        <v>0</v>
      </c>
      <c r="L555" t="n">
        <v>0</v>
      </c>
      <c r="M555" t="n">
        <v>0</v>
      </c>
      <c r="N555" t="n">
        <v>0</v>
      </c>
      <c r="O555" t="n">
        <v>0</v>
      </c>
      <c r="P555" t="n">
        <v>0</v>
      </c>
      <c r="Q555" t="n">
        <v>0</v>
      </c>
      <c r="R555" s="2" t="inlineStr"/>
    </row>
    <row r="556" ht="15" customHeight="1">
      <c r="A556" t="inlineStr">
        <is>
          <t>A 20445-2022</t>
        </is>
      </c>
      <c r="B556" s="1" t="n">
        <v>44699</v>
      </c>
      <c r="C556" s="1" t="n">
        <v>45998</v>
      </c>
      <c r="D556" t="inlineStr">
        <is>
          <t>VÄSTMANLANDS LÄN</t>
        </is>
      </c>
      <c r="E556" t="inlineStr">
        <is>
          <t>ARBOGA</t>
        </is>
      </c>
      <c r="G556" t="n">
        <v>4.6</v>
      </c>
      <c r="H556" t="n">
        <v>0</v>
      </c>
      <c r="I556" t="n">
        <v>0</v>
      </c>
      <c r="J556" t="n">
        <v>0</v>
      </c>
      <c r="K556" t="n">
        <v>0</v>
      </c>
      <c r="L556" t="n">
        <v>0</v>
      </c>
      <c r="M556" t="n">
        <v>0</v>
      </c>
      <c r="N556" t="n">
        <v>0</v>
      </c>
      <c r="O556" t="n">
        <v>0</v>
      </c>
      <c r="P556" t="n">
        <v>0</v>
      </c>
      <c r="Q556" t="n">
        <v>0</v>
      </c>
      <c r="R556" s="2" t="inlineStr"/>
    </row>
    <row r="557" ht="15" customHeight="1">
      <c r="A557" t="inlineStr">
        <is>
          <t>A 67962-2021</t>
        </is>
      </c>
      <c r="B557" s="1" t="n">
        <v>44525</v>
      </c>
      <c r="C557" s="1" t="n">
        <v>45998</v>
      </c>
      <c r="D557" t="inlineStr">
        <is>
          <t>VÄSTMANLANDS LÄN</t>
        </is>
      </c>
      <c r="E557" t="inlineStr">
        <is>
          <t>SALA</t>
        </is>
      </c>
      <c r="G557" t="n">
        <v>1.4</v>
      </c>
      <c r="H557" t="n">
        <v>0</v>
      </c>
      <c r="I557" t="n">
        <v>0</v>
      </c>
      <c r="J557" t="n">
        <v>0</v>
      </c>
      <c r="K557" t="n">
        <v>0</v>
      </c>
      <c r="L557" t="n">
        <v>0</v>
      </c>
      <c r="M557" t="n">
        <v>0</v>
      </c>
      <c r="N557" t="n">
        <v>0</v>
      </c>
      <c r="O557" t="n">
        <v>0</v>
      </c>
      <c r="P557" t="n">
        <v>0</v>
      </c>
      <c r="Q557" t="n">
        <v>0</v>
      </c>
      <c r="R557" s="2" t="inlineStr"/>
    </row>
    <row r="558" ht="15" customHeight="1">
      <c r="A558" t="inlineStr">
        <is>
          <t>A 28402-2022</t>
        </is>
      </c>
      <c r="B558" s="1" t="n">
        <v>44747</v>
      </c>
      <c r="C558" s="1" t="n">
        <v>45998</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35656-2021</t>
        </is>
      </c>
      <c r="B559" s="1" t="n">
        <v>44386.4384375</v>
      </c>
      <c r="C559" s="1" t="n">
        <v>45998</v>
      </c>
      <c r="D559" t="inlineStr">
        <is>
          <t>VÄSTMANLANDS LÄN</t>
        </is>
      </c>
      <c r="E559" t="inlineStr">
        <is>
          <t>NORBERG</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1186-2022</t>
        </is>
      </c>
      <c r="B560" s="1" t="n">
        <v>44572</v>
      </c>
      <c r="C560" s="1" t="n">
        <v>45998</v>
      </c>
      <c r="D560" t="inlineStr">
        <is>
          <t>VÄSTMANLANDS LÄN</t>
        </is>
      </c>
      <c r="E560" t="inlineStr">
        <is>
          <t>VÄSTERÅS</t>
        </is>
      </c>
      <c r="G560" t="n">
        <v>1.2</v>
      </c>
      <c r="H560" t="n">
        <v>0</v>
      </c>
      <c r="I560" t="n">
        <v>0</v>
      </c>
      <c r="J560" t="n">
        <v>0</v>
      </c>
      <c r="K560" t="n">
        <v>0</v>
      </c>
      <c r="L560" t="n">
        <v>0</v>
      </c>
      <c r="M560" t="n">
        <v>0</v>
      </c>
      <c r="N560" t="n">
        <v>0</v>
      </c>
      <c r="O560" t="n">
        <v>0</v>
      </c>
      <c r="P560" t="n">
        <v>0</v>
      </c>
      <c r="Q560" t="n">
        <v>0</v>
      </c>
      <c r="R560" s="2" t="inlineStr"/>
    </row>
    <row r="561" ht="15" customHeight="1">
      <c r="A561" t="inlineStr">
        <is>
          <t>A 26702-2022</t>
        </is>
      </c>
      <c r="B561" s="1" t="n">
        <v>44739.74783564815</v>
      </c>
      <c r="C561" s="1" t="n">
        <v>45998</v>
      </c>
      <c r="D561" t="inlineStr">
        <is>
          <t>VÄSTMANLANDS LÄN</t>
        </is>
      </c>
      <c r="E561" t="inlineStr">
        <is>
          <t>HALLSTAHAMMAR</t>
        </is>
      </c>
      <c r="G561" t="n">
        <v>3.8</v>
      </c>
      <c r="H561" t="n">
        <v>0</v>
      </c>
      <c r="I561" t="n">
        <v>0</v>
      </c>
      <c r="J561" t="n">
        <v>0</v>
      </c>
      <c r="K561" t="n">
        <v>0</v>
      </c>
      <c r="L561" t="n">
        <v>0</v>
      </c>
      <c r="M561" t="n">
        <v>0</v>
      </c>
      <c r="N561" t="n">
        <v>0</v>
      </c>
      <c r="O561" t="n">
        <v>0</v>
      </c>
      <c r="P561" t="n">
        <v>0</v>
      </c>
      <c r="Q561" t="n">
        <v>0</v>
      </c>
      <c r="R561" s="2" t="inlineStr"/>
    </row>
    <row r="562" ht="15" customHeight="1">
      <c r="A562" t="inlineStr">
        <is>
          <t>A 73606-2021</t>
        </is>
      </c>
      <c r="B562" s="1" t="n">
        <v>44552</v>
      </c>
      <c r="C562" s="1" t="n">
        <v>45998</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11284-2021</t>
        </is>
      </c>
      <c r="B563" s="1" t="n">
        <v>44263</v>
      </c>
      <c r="C563" s="1" t="n">
        <v>45998</v>
      </c>
      <c r="D563" t="inlineStr">
        <is>
          <t>VÄSTMANLANDS LÄN</t>
        </is>
      </c>
      <c r="E563" t="inlineStr">
        <is>
          <t>VÄSTERÅS</t>
        </is>
      </c>
      <c r="G563" t="n">
        <v>17.3</v>
      </c>
      <c r="H563" t="n">
        <v>0</v>
      </c>
      <c r="I563" t="n">
        <v>0</v>
      </c>
      <c r="J563" t="n">
        <v>0</v>
      </c>
      <c r="K563" t="n">
        <v>0</v>
      </c>
      <c r="L563" t="n">
        <v>0</v>
      </c>
      <c r="M563" t="n">
        <v>0</v>
      </c>
      <c r="N563" t="n">
        <v>0</v>
      </c>
      <c r="O563" t="n">
        <v>0</v>
      </c>
      <c r="P563" t="n">
        <v>0</v>
      </c>
      <c r="Q563" t="n">
        <v>0</v>
      </c>
      <c r="R563" s="2" t="inlineStr"/>
    </row>
    <row r="564" ht="15" customHeight="1">
      <c r="A564" t="inlineStr">
        <is>
          <t>A 71999-2021</t>
        </is>
      </c>
      <c r="B564" s="1" t="n">
        <v>44544.39552083334</v>
      </c>
      <c r="C564" s="1" t="n">
        <v>45998</v>
      </c>
      <c r="D564" t="inlineStr">
        <is>
          <t>VÄSTMANLANDS LÄN</t>
        </is>
      </c>
      <c r="E564" t="inlineStr">
        <is>
          <t>SKINNSKATTEBERG</t>
        </is>
      </c>
      <c r="G564" t="n">
        <v>0.2</v>
      </c>
      <c r="H564" t="n">
        <v>0</v>
      </c>
      <c r="I564" t="n">
        <v>0</v>
      </c>
      <c r="J564" t="n">
        <v>0</v>
      </c>
      <c r="K564" t="n">
        <v>0</v>
      </c>
      <c r="L564" t="n">
        <v>0</v>
      </c>
      <c r="M564" t="n">
        <v>0</v>
      </c>
      <c r="N564" t="n">
        <v>0</v>
      </c>
      <c r="O564" t="n">
        <v>0</v>
      </c>
      <c r="P564" t="n">
        <v>0</v>
      </c>
      <c r="Q564" t="n">
        <v>0</v>
      </c>
      <c r="R564" s="2" t="inlineStr"/>
    </row>
    <row r="565" ht="15" customHeight="1">
      <c r="A565" t="inlineStr">
        <is>
          <t>A 23847-2022</t>
        </is>
      </c>
      <c r="B565" s="1" t="n">
        <v>44722</v>
      </c>
      <c r="C565" s="1" t="n">
        <v>45998</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22154-2021</t>
        </is>
      </c>
      <c r="B566" s="1" t="n">
        <v>44325</v>
      </c>
      <c r="C566" s="1" t="n">
        <v>45998</v>
      </c>
      <c r="D566" t="inlineStr">
        <is>
          <t>VÄSTMANLANDS LÄN</t>
        </is>
      </c>
      <c r="E566" t="inlineStr">
        <is>
          <t>ARBOGA</t>
        </is>
      </c>
      <c r="G566" t="n">
        <v>19.3</v>
      </c>
      <c r="H566" t="n">
        <v>0</v>
      </c>
      <c r="I566" t="n">
        <v>0</v>
      </c>
      <c r="J566" t="n">
        <v>0</v>
      </c>
      <c r="K566" t="n">
        <v>0</v>
      </c>
      <c r="L566" t="n">
        <v>0</v>
      </c>
      <c r="M566" t="n">
        <v>0</v>
      </c>
      <c r="N566" t="n">
        <v>0</v>
      </c>
      <c r="O566" t="n">
        <v>0</v>
      </c>
      <c r="P566" t="n">
        <v>0</v>
      </c>
      <c r="Q566" t="n">
        <v>0</v>
      </c>
      <c r="R566" s="2" t="inlineStr"/>
    </row>
    <row r="567" ht="15" customHeight="1">
      <c r="A567" t="inlineStr">
        <is>
          <t>A 69192-2020</t>
        </is>
      </c>
      <c r="B567" s="1" t="n">
        <v>44191</v>
      </c>
      <c r="C567" s="1" t="n">
        <v>45998</v>
      </c>
      <c r="D567" t="inlineStr">
        <is>
          <t>VÄSTMANLANDS LÄN</t>
        </is>
      </c>
      <c r="E567" t="inlineStr">
        <is>
          <t>SALA</t>
        </is>
      </c>
      <c r="G567" t="n">
        <v>0.8</v>
      </c>
      <c r="H567" t="n">
        <v>0</v>
      </c>
      <c r="I567" t="n">
        <v>0</v>
      </c>
      <c r="J567" t="n">
        <v>0</v>
      </c>
      <c r="K567" t="n">
        <v>0</v>
      </c>
      <c r="L567" t="n">
        <v>0</v>
      </c>
      <c r="M567" t="n">
        <v>0</v>
      </c>
      <c r="N567" t="n">
        <v>0</v>
      </c>
      <c r="O567" t="n">
        <v>0</v>
      </c>
      <c r="P567" t="n">
        <v>0</v>
      </c>
      <c r="Q567" t="n">
        <v>0</v>
      </c>
      <c r="R567" s="2" t="inlineStr"/>
    </row>
    <row r="568" ht="15" customHeight="1">
      <c r="A568" t="inlineStr">
        <is>
          <t>A 69169-2021</t>
        </is>
      </c>
      <c r="B568" s="1" t="n">
        <v>44530</v>
      </c>
      <c r="C568" s="1" t="n">
        <v>45998</v>
      </c>
      <c r="D568" t="inlineStr">
        <is>
          <t>VÄSTMANLANDS LÄN</t>
        </is>
      </c>
      <c r="E568" t="inlineStr">
        <is>
          <t>ARBOGA</t>
        </is>
      </c>
      <c r="G568" t="n">
        <v>10.5</v>
      </c>
      <c r="H568" t="n">
        <v>0</v>
      </c>
      <c r="I568" t="n">
        <v>0</v>
      </c>
      <c r="J568" t="n">
        <v>0</v>
      </c>
      <c r="K568" t="n">
        <v>0</v>
      </c>
      <c r="L568" t="n">
        <v>0</v>
      </c>
      <c r="M568" t="n">
        <v>0</v>
      </c>
      <c r="N568" t="n">
        <v>0</v>
      </c>
      <c r="O568" t="n">
        <v>0</v>
      </c>
      <c r="P568" t="n">
        <v>0</v>
      </c>
      <c r="Q568" t="n">
        <v>0</v>
      </c>
      <c r="R568" s="2" t="inlineStr"/>
    </row>
    <row r="569" ht="15" customHeight="1">
      <c r="A569" t="inlineStr">
        <is>
          <t>A 45737-2022</t>
        </is>
      </c>
      <c r="B569" s="1" t="n">
        <v>44846.32850694445</v>
      </c>
      <c r="C569" s="1" t="n">
        <v>45998</v>
      </c>
      <c r="D569" t="inlineStr">
        <is>
          <t>VÄSTMANLANDS LÄN</t>
        </is>
      </c>
      <c r="E569" t="inlineStr">
        <is>
          <t>NORBERG</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44880.42752314815</v>
      </c>
      <c r="C570" s="1" t="n">
        <v>45998</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33156-2022</t>
        </is>
      </c>
      <c r="B571" s="1" t="n">
        <v>44785</v>
      </c>
      <c r="C571" s="1" t="n">
        <v>45998</v>
      </c>
      <c r="D571" t="inlineStr">
        <is>
          <t>VÄSTMANLANDS LÄN</t>
        </is>
      </c>
      <c r="E571" t="inlineStr">
        <is>
          <t>KÖPING</t>
        </is>
      </c>
      <c r="F571" t="inlineStr">
        <is>
          <t>Sveaskog</t>
        </is>
      </c>
      <c r="G571" t="n">
        <v>2.7</v>
      </c>
      <c r="H571" t="n">
        <v>0</v>
      </c>
      <c r="I571" t="n">
        <v>0</v>
      </c>
      <c r="J571" t="n">
        <v>0</v>
      </c>
      <c r="K571" t="n">
        <v>0</v>
      </c>
      <c r="L571" t="n">
        <v>0</v>
      </c>
      <c r="M571" t="n">
        <v>0</v>
      </c>
      <c r="N571" t="n">
        <v>0</v>
      </c>
      <c r="O571" t="n">
        <v>0</v>
      </c>
      <c r="P571" t="n">
        <v>0</v>
      </c>
      <c r="Q571" t="n">
        <v>0</v>
      </c>
      <c r="R571" s="2" t="inlineStr"/>
    </row>
    <row r="572" ht="15" customHeight="1">
      <c r="A572" t="inlineStr">
        <is>
          <t>A 68513-2020</t>
        </is>
      </c>
      <c r="B572" s="1" t="n">
        <v>44186</v>
      </c>
      <c r="C572" s="1" t="n">
        <v>45998</v>
      </c>
      <c r="D572" t="inlineStr">
        <is>
          <t>VÄSTMANLANDS LÄN</t>
        </is>
      </c>
      <c r="E572" t="inlineStr">
        <is>
          <t>KÖPING</t>
        </is>
      </c>
      <c r="F572" t="inlineStr">
        <is>
          <t>Sveaskog</t>
        </is>
      </c>
      <c r="G572" t="n">
        <v>0.1</v>
      </c>
      <c r="H572" t="n">
        <v>0</v>
      </c>
      <c r="I572" t="n">
        <v>0</v>
      </c>
      <c r="J572" t="n">
        <v>0</v>
      </c>
      <c r="K572" t="n">
        <v>0</v>
      </c>
      <c r="L572" t="n">
        <v>0</v>
      </c>
      <c r="M572" t="n">
        <v>0</v>
      </c>
      <c r="N572" t="n">
        <v>0</v>
      </c>
      <c r="O572" t="n">
        <v>0</v>
      </c>
      <c r="P572" t="n">
        <v>0</v>
      </c>
      <c r="Q572" t="n">
        <v>0</v>
      </c>
      <c r="R572" s="2" t="inlineStr"/>
    </row>
    <row r="573" ht="15" customHeight="1">
      <c r="A573" t="inlineStr">
        <is>
          <t>A 1043-2022</t>
        </is>
      </c>
      <c r="B573" s="1" t="n">
        <v>44571.66552083333</v>
      </c>
      <c r="C573" s="1" t="n">
        <v>45998</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29035-2021</t>
        </is>
      </c>
      <c r="B574" s="1" t="n">
        <v>44358</v>
      </c>
      <c r="C574" s="1" t="n">
        <v>45998</v>
      </c>
      <c r="D574" t="inlineStr">
        <is>
          <t>VÄSTMANLANDS LÄN</t>
        </is>
      </c>
      <c r="E574" t="inlineStr">
        <is>
          <t>HALLSTAHAMMAR</t>
        </is>
      </c>
      <c r="F574" t="inlineStr">
        <is>
          <t>Allmännings- och besparingsskogar</t>
        </is>
      </c>
      <c r="G574" t="n">
        <v>2.3</v>
      </c>
      <c r="H574" t="n">
        <v>0</v>
      </c>
      <c r="I574" t="n">
        <v>0</v>
      </c>
      <c r="J574" t="n">
        <v>0</v>
      </c>
      <c r="K574" t="n">
        <v>0</v>
      </c>
      <c r="L574" t="n">
        <v>0</v>
      </c>
      <c r="M574" t="n">
        <v>0</v>
      </c>
      <c r="N574" t="n">
        <v>0</v>
      </c>
      <c r="O574" t="n">
        <v>0</v>
      </c>
      <c r="P574" t="n">
        <v>0</v>
      </c>
      <c r="Q574" t="n">
        <v>0</v>
      </c>
      <c r="R574" s="2" t="inlineStr"/>
    </row>
    <row r="575" ht="15" customHeight="1">
      <c r="A575" t="inlineStr">
        <is>
          <t>A 15850-2022</t>
        </is>
      </c>
      <c r="B575" s="1" t="n">
        <v>44664.43082175926</v>
      </c>
      <c r="C575" s="1" t="n">
        <v>45998</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51936-2022</t>
        </is>
      </c>
      <c r="B576" s="1" t="n">
        <v>44872</v>
      </c>
      <c r="C576" s="1" t="n">
        <v>45998</v>
      </c>
      <c r="D576" t="inlineStr">
        <is>
          <t>VÄSTMANLANDS LÄN</t>
        </is>
      </c>
      <c r="E576" t="inlineStr">
        <is>
          <t>FAGERSTA</t>
        </is>
      </c>
      <c r="G576" t="n">
        <v>0.8</v>
      </c>
      <c r="H576" t="n">
        <v>0</v>
      </c>
      <c r="I576" t="n">
        <v>0</v>
      </c>
      <c r="J576" t="n">
        <v>0</v>
      </c>
      <c r="K576" t="n">
        <v>0</v>
      </c>
      <c r="L576" t="n">
        <v>0</v>
      </c>
      <c r="M576" t="n">
        <v>0</v>
      </c>
      <c r="N576" t="n">
        <v>0</v>
      </c>
      <c r="O576" t="n">
        <v>0</v>
      </c>
      <c r="P576" t="n">
        <v>0</v>
      </c>
      <c r="Q576" t="n">
        <v>0</v>
      </c>
      <c r="R576" s="2" t="inlineStr"/>
    </row>
    <row r="577" ht="15" customHeight="1">
      <c r="A577" t="inlineStr">
        <is>
          <t>A 30915-2021</t>
        </is>
      </c>
      <c r="B577" s="1" t="n">
        <v>44365</v>
      </c>
      <c r="C577" s="1" t="n">
        <v>45998</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30918-2021</t>
        </is>
      </c>
      <c r="B578" s="1" t="n">
        <v>44365.60569444444</v>
      </c>
      <c r="C578" s="1" t="n">
        <v>45998</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22562-2022</t>
        </is>
      </c>
      <c r="B579" s="1" t="n">
        <v>44713</v>
      </c>
      <c r="C579" s="1" t="n">
        <v>45998</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35144-2022</t>
        </is>
      </c>
      <c r="B580" s="1" t="n">
        <v>44797</v>
      </c>
      <c r="C580" s="1" t="n">
        <v>45998</v>
      </c>
      <c r="D580" t="inlineStr">
        <is>
          <t>VÄSTMANLANDS LÄN</t>
        </is>
      </c>
      <c r="E580" t="inlineStr">
        <is>
          <t>KÖPING</t>
        </is>
      </c>
      <c r="G580" t="n">
        <v>1.2</v>
      </c>
      <c r="H580" t="n">
        <v>0</v>
      </c>
      <c r="I580" t="n">
        <v>0</v>
      </c>
      <c r="J580" t="n">
        <v>0</v>
      </c>
      <c r="K580" t="n">
        <v>0</v>
      </c>
      <c r="L580" t="n">
        <v>0</v>
      </c>
      <c r="M580" t="n">
        <v>0</v>
      </c>
      <c r="N580" t="n">
        <v>0</v>
      </c>
      <c r="O580" t="n">
        <v>0</v>
      </c>
      <c r="P580" t="n">
        <v>0</v>
      </c>
      <c r="Q580" t="n">
        <v>0</v>
      </c>
      <c r="R580" s="2" t="inlineStr"/>
    </row>
    <row r="581" ht="15" customHeight="1">
      <c r="A581" t="inlineStr">
        <is>
          <t>A 16116-2022</t>
        </is>
      </c>
      <c r="B581" s="1" t="n">
        <v>44665</v>
      </c>
      <c r="C581" s="1" t="n">
        <v>45998</v>
      </c>
      <c r="D581" t="inlineStr">
        <is>
          <t>VÄSTMANLANDS LÄN</t>
        </is>
      </c>
      <c r="E581" t="inlineStr">
        <is>
          <t>ARBOGA</t>
        </is>
      </c>
      <c r="G581" t="n">
        <v>2.7</v>
      </c>
      <c r="H581" t="n">
        <v>0</v>
      </c>
      <c r="I581" t="n">
        <v>0</v>
      </c>
      <c r="J581" t="n">
        <v>0</v>
      </c>
      <c r="K581" t="n">
        <v>0</v>
      </c>
      <c r="L581" t="n">
        <v>0</v>
      </c>
      <c r="M581" t="n">
        <v>0</v>
      </c>
      <c r="N581" t="n">
        <v>0</v>
      </c>
      <c r="O581" t="n">
        <v>0</v>
      </c>
      <c r="P581" t="n">
        <v>0</v>
      </c>
      <c r="Q581" t="n">
        <v>0</v>
      </c>
      <c r="R581" s="2" t="inlineStr"/>
    </row>
    <row r="582" ht="15" customHeight="1">
      <c r="A582" t="inlineStr">
        <is>
          <t>A 10339-2021</t>
        </is>
      </c>
      <c r="B582" s="1" t="n">
        <v>44257</v>
      </c>
      <c r="C582" s="1" t="n">
        <v>45998</v>
      </c>
      <c r="D582" t="inlineStr">
        <is>
          <t>VÄSTMANLANDS LÄN</t>
        </is>
      </c>
      <c r="E582" t="inlineStr">
        <is>
          <t>NORBERG</t>
        </is>
      </c>
      <c r="G582" t="n">
        <v>13.8</v>
      </c>
      <c r="H582" t="n">
        <v>0</v>
      </c>
      <c r="I582" t="n">
        <v>0</v>
      </c>
      <c r="J582" t="n">
        <v>0</v>
      </c>
      <c r="K582" t="n">
        <v>0</v>
      </c>
      <c r="L582" t="n">
        <v>0</v>
      </c>
      <c r="M582" t="n">
        <v>0</v>
      </c>
      <c r="N582" t="n">
        <v>0</v>
      </c>
      <c r="O582" t="n">
        <v>0</v>
      </c>
      <c r="P582" t="n">
        <v>0</v>
      </c>
      <c r="Q582" t="n">
        <v>0</v>
      </c>
      <c r="R582" s="2" t="inlineStr"/>
    </row>
    <row r="583" ht="15" customHeight="1">
      <c r="A583" t="inlineStr">
        <is>
          <t>A 47658-2022</t>
        </is>
      </c>
      <c r="B583" s="1" t="n">
        <v>44852</v>
      </c>
      <c r="C583" s="1" t="n">
        <v>45998</v>
      </c>
      <c r="D583" t="inlineStr">
        <is>
          <t>VÄSTMANLANDS LÄN</t>
        </is>
      </c>
      <c r="E583" t="inlineStr">
        <is>
          <t>SKINNSKATTEBERG</t>
        </is>
      </c>
      <c r="G583" t="n">
        <v>2.3</v>
      </c>
      <c r="H583" t="n">
        <v>0</v>
      </c>
      <c r="I583" t="n">
        <v>0</v>
      </c>
      <c r="J583" t="n">
        <v>0</v>
      </c>
      <c r="K583" t="n">
        <v>0</v>
      </c>
      <c r="L583" t="n">
        <v>0</v>
      </c>
      <c r="M583" t="n">
        <v>0</v>
      </c>
      <c r="N583" t="n">
        <v>0</v>
      </c>
      <c r="O583" t="n">
        <v>0</v>
      </c>
      <c r="P583" t="n">
        <v>0</v>
      </c>
      <c r="Q583" t="n">
        <v>0</v>
      </c>
      <c r="R583" s="2" t="inlineStr"/>
    </row>
    <row r="584" ht="15" customHeight="1">
      <c r="A584" t="inlineStr">
        <is>
          <t>A 65856-2021</t>
        </is>
      </c>
      <c r="B584" s="1" t="n">
        <v>44517</v>
      </c>
      <c r="C584" s="1" t="n">
        <v>45998</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30904-2021</t>
        </is>
      </c>
      <c r="B585" s="1" t="n">
        <v>44365.5983449074</v>
      </c>
      <c r="C585" s="1" t="n">
        <v>45998</v>
      </c>
      <c r="D585" t="inlineStr">
        <is>
          <t>VÄSTMANLANDS LÄN</t>
        </is>
      </c>
      <c r="E585" t="inlineStr">
        <is>
          <t>SALA</t>
        </is>
      </c>
      <c r="G585" t="n">
        <v>1.9</v>
      </c>
      <c r="H585" t="n">
        <v>0</v>
      </c>
      <c r="I585" t="n">
        <v>0</v>
      </c>
      <c r="J585" t="n">
        <v>0</v>
      </c>
      <c r="K585" t="n">
        <v>0</v>
      </c>
      <c r="L585" t="n">
        <v>0</v>
      </c>
      <c r="M585" t="n">
        <v>0</v>
      </c>
      <c r="N585" t="n">
        <v>0</v>
      </c>
      <c r="O585" t="n">
        <v>0</v>
      </c>
      <c r="P585" t="n">
        <v>0</v>
      </c>
      <c r="Q585" t="n">
        <v>0</v>
      </c>
      <c r="R585" s="2" t="inlineStr"/>
    </row>
    <row r="586" ht="15" customHeight="1">
      <c r="A586" t="inlineStr">
        <is>
          <t>A 32436-2021</t>
        </is>
      </c>
      <c r="B586" s="1" t="n">
        <v>44371</v>
      </c>
      <c r="C586" s="1" t="n">
        <v>45998</v>
      </c>
      <c r="D586" t="inlineStr">
        <is>
          <t>VÄSTMANLANDS LÄN</t>
        </is>
      </c>
      <c r="E586" t="inlineStr">
        <is>
          <t>VÄSTERÅS</t>
        </is>
      </c>
      <c r="F586" t="inlineStr">
        <is>
          <t>Övriga Aktiebolag</t>
        </is>
      </c>
      <c r="G586" t="n">
        <v>4.7</v>
      </c>
      <c r="H586" t="n">
        <v>0</v>
      </c>
      <c r="I586" t="n">
        <v>0</v>
      </c>
      <c r="J586" t="n">
        <v>0</v>
      </c>
      <c r="K586" t="n">
        <v>0</v>
      </c>
      <c r="L586" t="n">
        <v>0</v>
      </c>
      <c r="M586" t="n">
        <v>0</v>
      </c>
      <c r="N586" t="n">
        <v>0</v>
      </c>
      <c r="O586" t="n">
        <v>0</v>
      </c>
      <c r="P586" t="n">
        <v>0</v>
      </c>
      <c r="Q586" t="n">
        <v>0</v>
      </c>
      <c r="R586" s="2" t="inlineStr"/>
    </row>
    <row r="587" ht="15" customHeight="1">
      <c r="A587" t="inlineStr">
        <is>
          <t>A 6319-2022</t>
        </is>
      </c>
      <c r="B587" s="1" t="n">
        <v>44600</v>
      </c>
      <c r="C587" s="1" t="n">
        <v>45998</v>
      </c>
      <c r="D587" t="inlineStr">
        <is>
          <t>VÄSTMANLANDS LÄN</t>
        </is>
      </c>
      <c r="E587" t="inlineStr">
        <is>
          <t>KUNGSÖR</t>
        </is>
      </c>
      <c r="G587" t="n">
        <v>4.8</v>
      </c>
      <c r="H587" t="n">
        <v>0</v>
      </c>
      <c r="I587" t="n">
        <v>0</v>
      </c>
      <c r="J587" t="n">
        <v>0</v>
      </c>
      <c r="K587" t="n">
        <v>0</v>
      </c>
      <c r="L587" t="n">
        <v>0</v>
      </c>
      <c r="M587" t="n">
        <v>0</v>
      </c>
      <c r="N587" t="n">
        <v>0</v>
      </c>
      <c r="O587" t="n">
        <v>0</v>
      </c>
      <c r="P587" t="n">
        <v>0</v>
      </c>
      <c r="Q587" t="n">
        <v>0</v>
      </c>
      <c r="R587" s="2" t="inlineStr"/>
    </row>
    <row r="588" ht="15" customHeight="1">
      <c r="A588" t="inlineStr">
        <is>
          <t>A 14405-2021</t>
        </is>
      </c>
      <c r="B588" s="1" t="n">
        <v>44279</v>
      </c>
      <c r="C588" s="1" t="n">
        <v>45998</v>
      </c>
      <c r="D588" t="inlineStr">
        <is>
          <t>VÄSTMANLANDS LÄN</t>
        </is>
      </c>
      <c r="E588" t="inlineStr">
        <is>
          <t>NORBERG</t>
        </is>
      </c>
      <c r="F588" t="inlineStr">
        <is>
          <t>Övriga Aktiebolag</t>
        </is>
      </c>
      <c r="G588" t="n">
        <v>1</v>
      </c>
      <c r="H588" t="n">
        <v>0</v>
      </c>
      <c r="I588" t="n">
        <v>0</v>
      </c>
      <c r="J588" t="n">
        <v>0</v>
      </c>
      <c r="K588" t="n">
        <v>0</v>
      </c>
      <c r="L588" t="n">
        <v>0</v>
      </c>
      <c r="M588" t="n">
        <v>0</v>
      </c>
      <c r="N588" t="n">
        <v>0</v>
      </c>
      <c r="O588" t="n">
        <v>0</v>
      </c>
      <c r="P588" t="n">
        <v>0</v>
      </c>
      <c r="Q588" t="n">
        <v>0</v>
      </c>
      <c r="R588" s="2" t="inlineStr"/>
    </row>
    <row r="589" ht="15" customHeight="1">
      <c r="A589" t="inlineStr">
        <is>
          <t>A 22602-2022</t>
        </is>
      </c>
      <c r="B589" s="1" t="n">
        <v>44714.36796296296</v>
      </c>
      <c r="C589" s="1" t="n">
        <v>45998</v>
      </c>
      <c r="D589" t="inlineStr">
        <is>
          <t>VÄSTMANLANDS LÄN</t>
        </is>
      </c>
      <c r="E589" t="inlineStr">
        <is>
          <t>VÄSTERÅS</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44224-2022</t>
        </is>
      </c>
      <c r="B590" s="1" t="n">
        <v>44839.506875</v>
      </c>
      <c r="C590" s="1" t="n">
        <v>45998</v>
      </c>
      <c r="D590" t="inlineStr">
        <is>
          <t>VÄSTMANLANDS LÄN</t>
        </is>
      </c>
      <c r="E590" t="inlineStr">
        <is>
          <t>SALA</t>
        </is>
      </c>
      <c r="G590" t="n">
        <v>2.1</v>
      </c>
      <c r="H590" t="n">
        <v>0</v>
      </c>
      <c r="I590" t="n">
        <v>0</v>
      </c>
      <c r="J590" t="n">
        <v>0</v>
      </c>
      <c r="K590" t="n">
        <v>0</v>
      </c>
      <c r="L590" t="n">
        <v>0</v>
      </c>
      <c r="M590" t="n">
        <v>0</v>
      </c>
      <c r="N590" t="n">
        <v>0</v>
      </c>
      <c r="O590" t="n">
        <v>0</v>
      </c>
      <c r="P590" t="n">
        <v>0</v>
      </c>
      <c r="Q590" t="n">
        <v>0</v>
      </c>
      <c r="R590" s="2" t="inlineStr"/>
    </row>
    <row r="591" ht="15" customHeight="1">
      <c r="A591" t="inlineStr">
        <is>
          <t>A 12138-2022</t>
        </is>
      </c>
      <c r="B591" s="1" t="n">
        <v>44636.62225694444</v>
      </c>
      <c r="C591" s="1" t="n">
        <v>45998</v>
      </c>
      <c r="D591" t="inlineStr">
        <is>
          <t>VÄSTMANLANDS LÄN</t>
        </is>
      </c>
      <c r="E591" t="inlineStr">
        <is>
          <t>VÄSTERÅS</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23757-2022</t>
        </is>
      </c>
      <c r="B592" s="1" t="n">
        <v>44722.37339120371</v>
      </c>
      <c r="C592" s="1" t="n">
        <v>45998</v>
      </c>
      <c r="D592" t="inlineStr">
        <is>
          <t>VÄSTMANLANDS LÄN</t>
        </is>
      </c>
      <c r="E592" t="inlineStr">
        <is>
          <t>SALA</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6913-2021</t>
        </is>
      </c>
      <c r="B593" s="1" t="n">
        <v>44237</v>
      </c>
      <c r="C593" s="1" t="n">
        <v>45998</v>
      </c>
      <c r="D593" t="inlineStr">
        <is>
          <t>VÄSTMANLANDS LÄN</t>
        </is>
      </c>
      <c r="E593" t="inlineStr">
        <is>
          <t>KÖPING</t>
        </is>
      </c>
      <c r="G593" t="n">
        <v>5</v>
      </c>
      <c r="H593" t="n">
        <v>0</v>
      </c>
      <c r="I593" t="n">
        <v>0</v>
      </c>
      <c r="J593" t="n">
        <v>0</v>
      </c>
      <c r="K593" t="n">
        <v>0</v>
      </c>
      <c r="L593" t="n">
        <v>0</v>
      </c>
      <c r="M593" t="n">
        <v>0</v>
      </c>
      <c r="N593" t="n">
        <v>0</v>
      </c>
      <c r="O593" t="n">
        <v>0</v>
      </c>
      <c r="P593" t="n">
        <v>0</v>
      </c>
      <c r="Q593" t="n">
        <v>0</v>
      </c>
      <c r="R593" s="2" t="inlineStr"/>
    </row>
    <row r="594" ht="15" customHeight="1">
      <c r="A594" t="inlineStr">
        <is>
          <t>A 12671-2021</t>
        </is>
      </c>
      <c r="B594" s="1" t="n">
        <v>44267</v>
      </c>
      <c r="C594" s="1" t="n">
        <v>45998</v>
      </c>
      <c r="D594" t="inlineStr">
        <is>
          <t>VÄSTMANLANDS LÄN</t>
        </is>
      </c>
      <c r="E594" t="inlineStr">
        <is>
          <t>SKINNSKATTEBERG</t>
        </is>
      </c>
      <c r="G594" t="n">
        <v>14.7</v>
      </c>
      <c r="H594" t="n">
        <v>0</v>
      </c>
      <c r="I594" t="n">
        <v>0</v>
      </c>
      <c r="J594" t="n">
        <v>0</v>
      </c>
      <c r="K594" t="n">
        <v>0</v>
      </c>
      <c r="L594" t="n">
        <v>0</v>
      </c>
      <c r="M594" t="n">
        <v>0</v>
      </c>
      <c r="N594" t="n">
        <v>0</v>
      </c>
      <c r="O594" t="n">
        <v>0</v>
      </c>
      <c r="P594" t="n">
        <v>0</v>
      </c>
      <c r="Q594" t="n">
        <v>0</v>
      </c>
      <c r="R594" s="2" t="inlineStr"/>
    </row>
    <row r="595" ht="15" customHeight="1">
      <c r="A595" t="inlineStr">
        <is>
          <t>A 25603-2022</t>
        </is>
      </c>
      <c r="B595" s="1" t="n">
        <v>44732</v>
      </c>
      <c r="C595" s="1" t="n">
        <v>45998</v>
      </c>
      <c r="D595" t="inlineStr">
        <is>
          <t>VÄSTMANLANDS LÄN</t>
        </is>
      </c>
      <c r="E595" t="inlineStr">
        <is>
          <t>SALA</t>
        </is>
      </c>
      <c r="G595" t="n">
        <v>2</v>
      </c>
      <c r="H595" t="n">
        <v>0</v>
      </c>
      <c r="I595" t="n">
        <v>0</v>
      </c>
      <c r="J595" t="n">
        <v>0</v>
      </c>
      <c r="K595" t="n">
        <v>0</v>
      </c>
      <c r="L595" t="n">
        <v>0</v>
      </c>
      <c r="M595" t="n">
        <v>0</v>
      </c>
      <c r="N595" t="n">
        <v>0</v>
      </c>
      <c r="O595" t="n">
        <v>0</v>
      </c>
      <c r="P595" t="n">
        <v>0</v>
      </c>
      <c r="Q595" t="n">
        <v>0</v>
      </c>
      <c r="R595" s="2" t="inlineStr"/>
    </row>
    <row r="596" ht="15" customHeight="1">
      <c r="A596" t="inlineStr">
        <is>
          <t>A 69276-2021</t>
        </is>
      </c>
      <c r="B596" s="1" t="n">
        <v>44531</v>
      </c>
      <c r="C596" s="1" t="n">
        <v>45998</v>
      </c>
      <c r="D596" t="inlineStr">
        <is>
          <t>VÄSTMANLANDS LÄN</t>
        </is>
      </c>
      <c r="E596" t="inlineStr">
        <is>
          <t>SKINNSKATTEBERG</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9813-2022</t>
        </is>
      </c>
      <c r="B597" s="1" t="n">
        <v>44620</v>
      </c>
      <c r="C597" s="1" t="n">
        <v>45998</v>
      </c>
      <c r="D597" t="inlineStr">
        <is>
          <t>VÄSTMANLANDS LÄN</t>
        </is>
      </c>
      <c r="E597" t="inlineStr">
        <is>
          <t>KUNGSÖR</t>
        </is>
      </c>
      <c r="G597" t="n">
        <v>4.3</v>
      </c>
      <c r="H597" t="n">
        <v>0</v>
      </c>
      <c r="I597" t="n">
        <v>0</v>
      </c>
      <c r="J597" t="n">
        <v>0</v>
      </c>
      <c r="K597" t="n">
        <v>0</v>
      </c>
      <c r="L597" t="n">
        <v>0</v>
      </c>
      <c r="M597" t="n">
        <v>0</v>
      </c>
      <c r="N597" t="n">
        <v>0</v>
      </c>
      <c r="O597" t="n">
        <v>0</v>
      </c>
      <c r="P597" t="n">
        <v>0</v>
      </c>
      <c r="Q597" t="n">
        <v>0</v>
      </c>
      <c r="R597" s="2" t="inlineStr"/>
    </row>
    <row r="598" ht="15" customHeight="1">
      <c r="A598" t="inlineStr">
        <is>
          <t>A 25052-2021</t>
        </is>
      </c>
      <c r="B598" s="1" t="n">
        <v>44341</v>
      </c>
      <c r="C598" s="1" t="n">
        <v>45998</v>
      </c>
      <c r="D598" t="inlineStr">
        <is>
          <t>VÄSTMANLANDS LÄN</t>
        </is>
      </c>
      <c r="E598" t="inlineStr">
        <is>
          <t>ARBOGA</t>
        </is>
      </c>
      <c r="G598" t="n">
        <v>0.4</v>
      </c>
      <c r="H598" t="n">
        <v>0</v>
      </c>
      <c r="I598" t="n">
        <v>0</v>
      </c>
      <c r="J598" t="n">
        <v>0</v>
      </c>
      <c r="K598" t="n">
        <v>0</v>
      </c>
      <c r="L598" t="n">
        <v>0</v>
      </c>
      <c r="M598" t="n">
        <v>0</v>
      </c>
      <c r="N598" t="n">
        <v>0</v>
      </c>
      <c r="O598" t="n">
        <v>0</v>
      </c>
      <c r="P598" t="n">
        <v>0</v>
      </c>
      <c r="Q598" t="n">
        <v>0</v>
      </c>
      <c r="R598" s="2" t="inlineStr"/>
    </row>
    <row r="599" ht="15" customHeight="1">
      <c r="A599" t="inlineStr">
        <is>
          <t>A 65353-2021</t>
        </is>
      </c>
      <c r="B599" s="1" t="n">
        <v>44515</v>
      </c>
      <c r="C599" s="1" t="n">
        <v>45998</v>
      </c>
      <c r="D599" t="inlineStr">
        <is>
          <t>VÄSTMANLANDS LÄN</t>
        </is>
      </c>
      <c r="E599" t="inlineStr">
        <is>
          <t>SALA</t>
        </is>
      </c>
      <c r="G599" t="n">
        <v>1.5</v>
      </c>
      <c r="H599" t="n">
        <v>0</v>
      </c>
      <c r="I599" t="n">
        <v>0</v>
      </c>
      <c r="J599" t="n">
        <v>0</v>
      </c>
      <c r="K599" t="n">
        <v>0</v>
      </c>
      <c r="L599" t="n">
        <v>0</v>
      </c>
      <c r="M599" t="n">
        <v>0</v>
      </c>
      <c r="N599" t="n">
        <v>0</v>
      </c>
      <c r="O599" t="n">
        <v>0</v>
      </c>
      <c r="P599" t="n">
        <v>0</v>
      </c>
      <c r="Q599" t="n">
        <v>0</v>
      </c>
      <c r="R599" s="2" t="inlineStr"/>
    </row>
    <row r="600" ht="15" customHeight="1">
      <c r="A600" t="inlineStr">
        <is>
          <t>A 66342-2021</t>
        </is>
      </c>
      <c r="B600" s="1" t="n">
        <v>44518</v>
      </c>
      <c r="C600" s="1" t="n">
        <v>45998</v>
      </c>
      <c r="D600" t="inlineStr">
        <is>
          <t>VÄSTMANLANDS LÄN</t>
        </is>
      </c>
      <c r="E600" t="inlineStr">
        <is>
          <t>SURAHAMMAR</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33953-2021</t>
        </is>
      </c>
      <c r="B601" s="1" t="n">
        <v>44378</v>
      </c>
      <c r="C601" s="1" t="n">
        <v>45998</v>
      </c>
      <c r="D601" t="inlineStr">
        <is>
          <t>VÄSTMANLANDS LÄN</t>
        </is>
      </c>
      <c r="E601" t="inlineStr">
        <is>
          <t>HALLSTAHAMMAR</t>
        </is>
      </c>
      <c r="G601" t="n">
        <v>5</v>
      </c>
      <c r="H601" t="n">
        <v>0</v>
      </c>
      <c r="I601" t="n">
        <v>0</v>
      </c>
      <c r="J601" t="n">
        <v>0</v>
      </c>
      <c r="K601" t="n">
        <v>0</v>
      </c>
      <c r="L601" t="n">
        <v>0</v>
      </c>
      <c r="M601" t="n">
        <v>0</v>
      </c>
      <c r="N601" t="n">
        <v>0</v>
      </c>
      <c r="O601" t="n">
        <v>0</v>
      </c>
      <c r="P601" t="n">
        <v>0</v>
      </c>
      <c r="Q601" t="n">
        <v>0</v>
      </c>
      <c r="R601" s="2" t="inlineStr"/>
    </row>
    <row r="602" ht="15" customHeight="1">
      <c r="A602" t="inlineStr">
        <is>
          <t>A 31193-2022</t>
        </is>
      </c>
      <c r="B602" s="1" t="n">
        <v>44770.66182870371</v>
      </c>
      <c r="C602" s="1" t="n">
        <v>45998</v>
      </c>
      <c r="D602" t="inlineStr">
        <is>
          <t>VÄSTMANLANDS LÄN</t>
        </is>
      </c>
      <c r="E602" t="inlineStr">
        <is>
          <t>KÖPING</t>
        </is>
      </c>
      <c r="F602" t="inlineStr">
        <is>
          <t>Sveaskog</t>
        </is>
      </c>
      <c r="G602" t="n">
        <v>0.5</v>
      </c>
      <c r="H602" t="n">
        <v>0</v>
      </c>
      <c r="I602" t="n">
        <v>0</v>
      </c>
      <c r="J602" t="n">
        <v>0</v>
      </c>
      <c r="K602" t="n">
        <v>0</v>
      </c>
      <c r="L602" t="n">
        <v>0</v>
      </c>
      <c r="M602" t="n">
        <v>0</v>
      </c>
      <c r="N602" t="n">
        <v>0</v>
      </c>
      <c r="O602" t="n">
        <v>0</v>
      </c>
      <c r="P602" t="n">
        <v>0</v>
      </c>
      <c r="Q602" t="n">
        <v>0</v>
      </c>
      <c r="R602" s="2" t="inlineStr"/>
    </row>
    <row r="603" ht="15" customHeight="1">
      <c r="A603" t="inlineStr">
        <is>
          <t>A 13367-2022</t>
        </is>
      </c>
      <c r="B603" s="1" t="n">
        <v>44645</v>
      </c>
      <c r="C603" s="1" t="n">
        <v>45998</v>
      </c>
      <c r="D603" t="inlineStr">
        <is>
          <t>VÄSTMANLANDS LÄN</t>
        </is>
      </c>
      <c r="E603" t="inlineStr">
        <is>
          <t>VÄSTERÅS</t>
        </is>
      </c>
      <c r="G603" t="n">
        <v>0.3</v>
      </c>
      <c r="H603" t="n">
        <v>0</v>
      </c>
      <c r="I603" t="n">
        <v>0</v>
      </c>
      <c r="J603" t="n">
        <v>0</v>
      </c>
      <c r="K603" t="n">
        <v>0</v>
      </c>
      <c r="L603" t="n">
        <v>0</v>
      </c>
      <c r="M603" t="n">
        <v>0</v>
      </c>
      <c r="N603" t="n">
        <v>0</v>
      </c>
      <c r="O603" t="n">
        <v>0</v>
      </c>
      <c r="P603" t="n">
        <v>0</v>
      </c>
      <c r="Q603" t="n">
        <v>0</v>
      </c>
      <c r="R603" s="2" t="inlineStr"/>
    </row>
    <row r="604" ht="15" customHeight="1">
      <c r="A604" t="inlineStr">
        <is>
          <t>A 12672-2021</t>
        </is>
      </c>
      <c r="B604" s="1" t="n">
        <v>44267</v>
      </c>
      <c r="C604" s="1" t="n">
        <v>45998</v>
      </c>
      <c r="D604" t="inlineStr">
        <is>
          <t>VÄSTMANLANDS LÄN</t>
        </is>
      </c>
      <c r="E604" t="inlineStr">
        <is>
          <t>SKINNSKATTEBERG</t>
        </is>
      </c>
      <c r="G604" t="n">
        <v>1.3</v>
      </c>
      <c r="H604" t="n">
        <v>0</v>
      </c>
      <c r="I604" t="n">
        <v>0</v>
      </c>
      <c r="J604" t="n">
        <v>0</v>
      </c>
      <c r="K604" t="n">
        <v>0</v>
      </c>
      <c r="L604" t="n">
        <v>0</v>
      </c>
      <c r="M604" t="n">
        <v>0</v>
      </c>
      <c r="N604" t="n">
        <v>0</v>
      </c>
      <c r="O604" t="n">
        <v>0</v>
      </c>
      <c r="P604" t="n">
        <v>0</v>
      </c>
      <c r="Q604" t="n">
        <v>0</v>
      </c>
      <c r="R604" s="2" t="inlineStr"/>
    </row>
    <row r="605" ht="15" customHeight="1">
      <c r="A605" t="inlineStr">
        <is>
          <t>A 53628-2022</t>
        </is>
      </c>
      <c r="B605" s="1" t="n">
        <v>44879.87171296297</v>
      </c>
      <c r="C605" s="1" t="n">
        <v>45998</v>
      </c>
      <c r="D605" t="inlineStr">
        <is>
          <t>VÄSTMANLANDS LÄN</t>
        </is>
      </c>
      <c r="E605" t="inlineStr">
        <is>
          <t>SALA</t>
        </is>
      </c>
      <c r="G605" t="n">
        <v>2.7</v>
      </c>
      <c r="H605" t="n">
        <v>0</v>
      </c>
      <c r="I605" t="n">
        <v>0</v>
      </c>
      <c r="J605" t="n">
        <v>0</v>
      </c>
      <c r="K605" t="n">
        <v>0</v>
      </c>
      <c r="L605" t="n">
        <v>0</v>
      </c>
      <c r="M605" t="n">
        <v>0</v>
      </c>
      <c r="N605" t="n">
        <v>0</v>
      </c>
      <c r="O605" t="n">
        <v>0</v>
      </c>
      <c r="P605" t="n">
        <v>0</v>
      </c>
      <c r="Q605" t="n">
        <v>0</v>
      </c>
      <c r="R605" s="2" t="inlineStr"/>
    </row>
    <row r="606" ht="15" customHeight="1">
      <c r="A606" t="inlineStr">
        <is>
          <t>A 15427-2022</t>
        </is>
      </c>
      <c r="B606" s="1" t="n">
        <v>44659.66278935185</v>
      </c>
      <c r="C606" s="1" t="n">
        <v>45998</v>
      </c>
      <c r="D606" t="inlineStr">
        <is>
          <t>VÄSTMANLANDS LÄN</t>
        </is>
      </c>
      <c r="E606" t="inlineStr">
        <is>
          <t>NORBERG</t>
        </is>
      </c>
      <c r="G606" t="n">
        <v>3.2</v>
      </c>
      <c r="H606" t="n">
        <v>0</v>
      </c>
      <c r="I606" t="n">
        <v>0</v>
      </c>
      <c r="J606" t="n">
        <v>0</v>
      </c>
      <c r="K606" t="n">
        <v>0</v>
      </c>
      <c r="L606" t="n">
        <v>0</v>
      </c>
      <c r="M606" t="n">
        <v>0</v>
      </c>
      <c r="N606" t="n">
        <v>0</v>
      </c>
      <c r="O606" t="n">
        <v>0</v>
      </c>
      <c r="P606" t="n">
        <v>0</v>
      </c>
      <c r="Q606" t="n">
        <v>0</v>
      </c>
      <c r="R606" s="2" t="inlineStr"/>
    </row>
    <row r="607" ht="15" customHeight="1">
      <c r="A607" t="inlineStr">
        <is>
          <t>A 9875-2022</t>
        </is>
      </c>
      <c r="B607" s="1" t="n">
        <v>44620.57958333333</v>
      </c>
      <c r="C607" s="1" t="n">
        <v>45998</v>
      </c>
      <c r="D607" t="inlineStr">
        <is>
          <t>VÄSTMANLANDS LÄN</t>
        </is>
      </c>
      <c r="E607" t="inlineStr">
        <is>
          <t>NORBERG</t>
        </is>
      </c>
      <c r="G607" t="n">
        <v>1.7</v>
      </c>
      <c r="H607" t="n">
        <v>0</v>
      </c>
      <c r="I607" t="n">
        <v>0</v>
      </c>
      <c r="J607" t="n">
        <v>0</v>
      </c>
      <c r="K607" t="n">
        <v>0</v>
      </c>
      <c r="L607" t="n">
        <v>0</v>
      </c>
      <c r="M607" t="n">
        <v>0</v>
      </c>
      <c r="N607" t="n">
        <v>0</v>
      </c>
      <c r="O607" t="n">
        <v>0</v>
      </c>
      <c r="P607" t="n">
        <v>0</v>
      </c>
      <c r="Q607" t="n">
        <v>0</v>
      </c>
      <c r="R607" s="2" t="inlineStr"/>
    </row>
    <row r="608" ht="15" customHeight="1">
      <c r="A608" t="inlineStr">
        <is>
          <t>A 13252-2021</t>
        </is>
      </c>
      <c r="B608" s="1" t="n">
        <v>44272</v>
      </c>
      <c r="C608" s="1" t="n">
        <v>45998</v>
      </c>
      <c r="D608" t="inlineStr">
        <is>
          <t>VÄSTMANLANDS LÄN</t>
        </is>
      </c>
      <c r="E608" t="inlineStr">
        <is>
          <t>VÄSTERÅS</t>
        </is>
      </c>
      <c r="G608" t="n">
        <v>24.2</v>
      </c>
      <c r="H608" t="n">
        <v>0</v>
      </c>
      <c r="I608" t="n">
        <v>0</v>
      </c>
      <c r="J608" t="n">
        <v>0</v>
      </c>
      <c r="K608" t="n">
        <v>0</v>
      </c>
      <c r="L608" t="n">
        <v>0</v>
      </c>
      <c r="M608" t="n">
        <v>0</v>
      </c>
      <c r="N608" t="n">
        <v>0</v>
      </c>
      <c r="O608" t="n">
        <v>0</v>
      </c>
      <c r="P608" t="n">
        <v>0</v>
      </c>
      <c r="Q608" t="n">
        <v>0</v>
      </c>
      <c r="R608" s="2" t="inlineStr"/>
    </row>
    <row r="609" ht="15" customHeight="1">
      <c r="A609" t="inlineStr">
        <is>
          <t>A 45738-2022</t>
        </is>
      </c>
      <c r="B609" s="1" t="n">
        <v>44846.32945601852</v>
      </c>
      <c r="C609" s="1" t="n">
        <v>45998</v>
      </c>
      <c r="D609" t="inlineStr">
        <is>
          <t>VÄSTMANLANDS LÄN</t>
        </is>
      </c>
      <c r="E609" t="inlineStr">
        <is>
          <t>NORBERG</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68621-2021</t>
        </is>
      </c>
      <c r="B610" s="1" t="n">
        <v>44502</v>
      </c>
      <c r="C610" s="1" t="n">
        <v>45998</v>
      </c>
      <c r="D610" t="inlineStr">
        <is>
          <t>VÄSTMANLANDS LÄN</t>
        </is>
      </c>
      <c r="E610" t="inlineStr">
        <is>
          <t>HALLSTAHAMMAR</t>
        </is>
      </c>
      <c r="G610" t="n">
        <v>3.8</v>
      </c>
      <c r="H610" t="n">
        <v>0</v>
      </c>
      <c r="I610" t="n">
        <v>0</v>
      </c>
      <c r="J610" t="n">
        <v>0</v>
      </c>
      <c r="K610" t="n">
        <v>0</v>
      </c>
      <c r="L610" t="n">
        <v>0</v>
      </c>
      <c r="M610" t="n">
        <v>0</v>
      </c>
      <c r="N610" t="n">
        <v>0</v>
      </c>
      <c r="O610" t="n">
        <v>0</v>
      </c>
      <c r="P610" t="n">
        <v>0</v>
      </c>
      <c r="Q610" t="n">
        <v>0</v>
      </c>
      <c r="R610" s="2" t="inlineStr"/>
    </row>
    <row r="611" ht="15" customHeight="1">
      <c r="A611" t="inlineStr">
        <is>
          <t>A 70909-2021</t>
        </is>
      </c>
      <c r="B611" s="1" t="n">
        <v>44538</v>
      </c>
      <c r="C611" s="1" t="n">
        <v>45998</v>
      </c>
      <c r="D611" t="inlineStr">
        <is>
          <t>VÄSTMANLANDS LÄN</t>
        </is>
      </c>
      <c r="E611" t="inlineStr">
        <is>
          <t>KÖPING</t>
        </is>
      </c>
      <c r="G611" t="n">
        <v>3.6</v>
      </c>
      <c r="H611" t="n">
        <v>0</v>
      </c>
      <c r="I611" t="n">
        <v>0</v>
      </c>
      <c r="J611" t="n">
        <v>0</v>
      </c>
      <c r="K611" t="n">
        <v>0</v>
      </c>
      <c r="L611" t="n">
        <v>0</v>
      </c>
      <c r="M611" t="n">
        <v>0</v>
      </c>
      <c r="N611" t="n">
        <v>0</v>
      </c>
      <c r="O611" t="n">
        <v>0</v>
      </c>
      <c r="P611" t="n">
        <v>0</v>
      </c>
      <c r="Q611" t="n">
        <v>0</v>
      </c>
      <c r="R611" s="2" t="inlineStr"/>
    </row>
    <row r="612" ht="15" customHeight="1">
      <c r="A612" t="inlineStr">
        <is>
          <t>A 63139-2021</t>
        </is>
      </c>
      <c r="B612" s="1" t="n">
        <v>44505.74206018518</v>
      </c>
      <c r="C612" s="1" t="n">
        <v>45998</v>
      </c>
      <c r="D612" t="inlineStr">
        <is>
          <t>VÄSTMANLANDS LÄN</t>
        </is>
      </c>
      <c r="E612" t="inlineStr">
        <is>
          <t>SKINNSKATTEBERG</t>
        </is>
      </c>
      <c r="F612" t="inlineStr">
        <is>
          <t>Sveaskog</t>
        </is>
      </c>
      <c r="G612" t="n">
        <v>2.6</v>
      </c>
      <c r="H612" t="n">
        <v>0</v>
      </c>
      <c r="I612" t="n">
        <v>0</v>
      </c>
      <c r="J612" t="n">
        <v>0</v>
      </c>
      <c r="K612" t="n">
        <v>0</v>
      </c>
      <c r="L612" t="n">
        <v>0</v>
      </c>
      <c r="M612" t="n">
        <v>0</v>
      </c>
      <c r="N612" t="n">
        <v>0</v>
      </c>
      <c r="O612" t="n">
        <v>0</v>
      </c>
      <c r="P612" t="n">
        <v>0</v>
      </c>
      <c r="Q612" t="n">
        <v>0</v>
      </c>
      <c r="R612" s="2" t="inlineStr"/>
    </row>
    <row r="613" ht="15" customHeight="1">
      <c r="A613" t="inlineStr">
        <is>
          <t>A 73519-2021</t>
        </is>
      </c>
      <c r="B613" s="1" t="n">
        <v>44551</v>
      </c>
      <c r="C613" s="1" t="n">
        <v>45998</v>
      </c>
      <c r="D613" t="inlineStr">
        <is>
          <t>VÄSTMANLANDS LÄN</t>
        </is>
      </c>
      <c r="E613" t="inlineStr">
        <is>
          <t>SALA</t>
        </is>
      </c>
      <c r="G613" t="n">
        <v>0.3</v>
      </c>
      <c r="H613" t="n">
        <v>0</v>
      </c>
      <c r="I613" t="n">
        <v>0</v>
      </c>
      <c r="J613" t="n">
        <v>0</v>
      </c>
      <c r="K613" t="n">
        <v>0</v>
      </c>
      <c r="L613" t="n">
        <v>0</v>
      </c>
      <c r="M613" t="n">
        <v>0</v>
      </c>
      <c r="N613" t="n">
        <v>0</v>
      </c>
      <c r="O613" t="n">
        <v>0</v>
      </c>
      <c r="P613" t="n">
        <v>0</v>
      </c>
      <c r="Q613" t="n">
        <v>0</v>
      </c>
      <c r="R613" s="2" t="inlineStr"/>
    </row>
    <row r="614" ht="15" customHeight="1">
      <c r="A614" t="inlineStr">
        <is>
          <t>A 10168-2022</t>
        </is>
      </c>
      <c r="B614" s="1" t="n">
        <v>44622.37693287037</v>
      </c>
      <c r="C614" s="1" t="n">
        <v>45998</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23795-2021</t>
        </is>
      </c>
      <c r="B615" s="1" t="n">
        <v>44335.33380787037</v>
      </c>
      <c r="C615" s="1" t="n">
        <v>45998</v>
      </c>
      <c r="D615" t="inlineStr">
        <is>
          <t>VÄSTMANLANDS LÄN</t>
        </is>
      </c>
      <c r="E615" t="inlineStr">
        <is>
          <t>SKINNSKATTEBERG</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67361-2021</t>
        </is>
      </c>
      <c r="B616" s="1" t="n">
        <v>44523</v>
      </c>
      <c r="C616" s="1" t="n">
        <v>45998</v>
      </c>
      <c r="D616" t="inlineStr">
        <is>
          <t>VÄSTMANLANDS LÄN</t>
        </is>
      </c>
      <c r="E616" t="inlineStr">
        <is>
          <t>NORBERG</t>
        </is>
      </c>
      <c r="G616" t="n">
        <v>2.8</v>
      </c>
      <c r="H616" t="n">
        <v>0</v>
      </c>
      <c r="I616" t="n">
        <v>0</v>
      </c>
      <c r="J616" t="n">
        <v>0</v>
      </c>
      <c r="K616" t="n">
        <v>0</v>
      </c>
      <c r="L616" t="n">
        <v>0</v>
      </c>
      <c r="M616" t="n">
        <v>0</v>
      </c>
      <c r="N616" t="n">
        <v>0</v>
      </c>
      <c r="O616" t="n">
        <v>0</v>
      </c>
      <c r="P616" t="n">
        <v>0</v>
      </c>
      <c r="Q616" t="n">
        <v>0</v>
      </c>
      <c r="R616" s="2" t="inlineStr"/>
    </row>
    <row r="617" ht="15" customHeight="1">
      <c r="A617" t="inlineStr">
        <is>
          <t>A 44069-2021</t>
        </is>
      </c>
      <c r="B617" s="1" t="n">
        <v>44434</v>
      </c>
      <c r="C617" s="1" t="n">
        <v>45998</v>
      </c>
      <c r="D617" t="inlineStr">
        <is>
          <t>VÄSTMANLANDS LÄN</t>
        </is>
      </c>
      <c r="E617" t="inlineStr">
        <is>
          <t>HALLSTAHAMMAR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23592-2021</t>
        </is>
      </c>
      <c r="B618" s="1" t="n">
        <v>44333</v>
      </c>
      <c r="C618" s="1" t="n">
        <v>45998</v>
      </c>
      <c r="D618" t="inlineStr">
        <is>
          <t>VÄSTMANLANDS LÄN</t>
        </is>
      </c>
      <c r="E618" t="inlineStr">
        <is>
          <t>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23596-2021</t>
        </is>
      </c>
      <c r="B619" s="1" t="n">
        <v>44333</v>
      </c>
      <c r="C619" s="1" t="n">
        <v>45998</v>
      </c>
      <c r="D619" t="inlineStr">
        <is>
          <t>VÄSTMANLANDS LÄN</t>
        </is>
      </c>
      <c r="E619" t="inlineStr">
        <is>
          <t>KÖPING</t>
        </is>
      </c>
      <c r="G619" t="n">
        <v>2.2</v>
      </c>
      <c r="H619" t="n">
        <v>0</v>
      </c>
      <c r="I619" t="n">
        <v>0</v>
      </c>
      <c r="J619" t="n">
        <v>0</v>
      </c>
      <c r="K619" t="n">
        <v>0</v>
      </c>
      <c r="L619" t="n">
        <v>0</v>
      </c>
      <c r="M619" t="n">
        <v>0</v>
      </c>
      <c r="N619" t="n">
        <v>0</v>
      </c>
      <c r="O619" t="n">
        <v>0</v>
      </c>
      <c r="P619" t="n">
        <v>0</v>
      </c>
      <c r="Q619" t="n">
        <v>0</v>
      </c>
      <c r="R619" s="2" t="inlineStr"/>
    </row>
    <row r="620" ht="15" customHeight="1">
      <c r="A620" t="inlineStr">
        <is>
          <t>A 22575-2022</t>
        </is>
      </c>
      <c r="B620" s="1" t="n">
        <v>44713</v>
      </c>
      <c r="C620" s="1" t="n">
        <v>45998</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2312-2022</t>
        </is>
      </c>
      <c r="B621" s="1" t="n">
        <v>44578</v>
      </c>
      <c r="C621" s="1" t="n">
        <v>45998</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37881-2021</t>
        </is>
      </c>
      <c r="B622" s="1" t="n">
        <v>44403</v>
      </c>
      <c r="C622" s="1" t="n">
        <v>45998</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30761-2022</t>
        </is>
      </c>
      <c r="B623" s="1" t="n">
        <v>44764</v>
      </c>
      <c r="C623" s="1" t="n">
        <v>45998</v>
      </c>
      <c r="D623" t="inlineStr">
        <is>
          <t>VÄSTMANLANDS LÄN</t>
        </is>
      </c>
      <c r="E623" t="inlineStr">
        <is>
          <t>VÄSTERÅS</t>
        </is>
      </c>
      <c r="G623" t="n">
        <v>5.2</v>
      </c>
      <c r="H623" t="n">
        <v>0</v>
      </c>
      <c r="I623" t="n">
        <v>0</v>
      </c>
      <c r="J623" t="n">
        <v>0</v>
      </c>
      <c r="K623" t="n">
        <v>0</v>
      </c>
      <c r="L623" t="n">
        <v>0</v>
      </c>
      <c r="M623" t="n">
        <v>0</v>
      </c>
      <c r="N623" t="n">
        <v>0</v>
      </c>
      <c r="O623" t="n">
        <v>0</v>
      </c>
      <c r="P623" t="n">
        <v>0</v>
      </c>
      <c r="Q623" t="n">
        <v>0</v>
      </c>
      <c r="R623" s="2" t="inlineStr"/>
    </row>
    <row r="624" ht="15" customHeight="1">
      <c r="A624" t="inlineStr">
        <is>
          <t>A 72805-2021</t>
        </is>
      </c>
      <c r="B624" s="1" t="n">
        <v>44546</v>
      </c>
      <c r="C624" s="1" t="n">
        <v>45998</v>
      </c>
      <c r="D624" t="inlineStr">
        <is>
          <t>VÄSTMANLANDS LÄN</t>
        </is>
      </c>
      <c r="E624" t="inlineStr">
        <is>
          <t>SALA</t>
        </is>
      </c>
      <c r="G624" t="n">
        <v>7.8</v>
      </c>
      <c r="H624" t="n">
        <v>0</v>
      </c>
      <c r="I624" t="n">
        <v>0</v>
      </c>
      <c r="J624" t="n">
        <v>0</v>
      </c>
      <c r="K624" t="n">
        <v>0</v>
      </c>
      <c r="L624" t="n">
        <v>0</v>
      </c>
      <c r="M624" t="n">
        <v>0</v>
      </c>
      <c r="N624" t="n">
        <v>0</v>
      </c>
      <c r="O624" t="n">
        <v>0</v>
      </c>
      <c r="P624" t="n">
        <v>0</v>
      </c>
      <c r="Q624" t="n">
        <v>0</v>
      </c>
      <c r="R624" s="2" t="inlineStr"/>
    </row>
    <row r="625" ht="15" customHeight="1">
      <c r="A625" t="inlineStr">
        <is>
          <t>A 72808-2021</t>
        </is>
      </c>
      <c r="B625" s="1" t="n">
        <v>44546</v>
      </c>
      <c r="C625" s="1" t="n">
        <v>45998</v>
      </c>
      <c r="D625" t="inlineStr">
        <is>
          <t>VÄSTMANLANDS LÄN</t>
        </is>
      </c>
      <c r="E625" t="inlineStr">
        <is>
          <t>SALA</t>
        </is>
      </c>
      <c r="G625" t="n">
        <v>0.7</v>
      </c>
      <c r="H625" t="n">
        <v>0</v>
      </c>
      <c r="I625" t="n">
        <v>0</v>
      </c>
      <c r="J625" t="n">
        <v>0</v>
      </c>
      <c r="K625" t="n">
        <v>0</v>
      </c>
      <c r="L625" t="n">
        <v>0</v>
      </c>
      <c r="M625" t="n">
        <v>0</v>
      </c>
      <c r="N625" t="n">
        <v>0</v>
      </c>
      <c r="O625" t="n">
        <v>0</v>
      </c>
      <c r="P625" t="n">
        <v>0</v>
      </c>
      <c r="Q625" t="n">
        <v>0</v>
      </c>
      <c r="R625" s="2" t="inlineStr"/>
    </row>
    <row r="626" ht="15" customHeight="1">
      <c r="A626" t="inlineStr">
        <is>
          <t>A 46469-2021</t>
        </is>
      </c>
      <c r="B626" s="1" t="n">
        <v>44445</v>
      </c>
      <c r="C626" s="1" t="n">
        <v>45998</v>
      </c>
      <c r="D626" t="inlineStr">
        <is>
          <t>VÄSTMANLANDS LÄN</t>
        </is>
      </c>
      <c r="E626" t="inlineStr">
        <is>
          <t>SKINNSKATTEBERG</t>
        </is>
      </c>
      <c r="G626" t="n">
        <v>6.2</v>
      </c>
      <c r="H626" t="n">
        <v>0</v>
      </c>
      <c r="I626" t="n">
        <v>0</v>
      </c>
      <c r="J626" t="n">
        <v>0</v>
      </c>
      <c r="K626" t="n">
        <v>0</v>
      </c>
      <c r="L626" t="n">
        <v>0</v>
      </c>
      <c r="M626" t="n">
        <v>0</v>
      </c>
      <c r="N626" t="n">
        <v>0</v>
      </c>
      <c r="O626" t="n">
        <v>0</v>
      </c>
      <c r="P626" t="n">
        <v>0</v>
      </c>
      <c r="Q626" t="n">
        <v>0</v>
      </c>
      <c r="R626" s="2" t="inlineStr"/>
    </row>
    <row r="627" ht="15" customHeight="1">
      <c r="A627" t="inlineStr">
        <is>
          <t>A 7275-2021</t>
        </is>
      </c>
      <c r="B627" s="1" t="n">
        <v>44238</v>
      </c>
      <c r="C627" s="1" t="n">
        <v>45998</v>
      </c>
      <c r="D627" t="inlineStr">
        <is>
          <t>VÄSTMANLANDS LÄN</t>
        </is>
      </c>
      <c r="E627" t="inlineStr">
        <is>
          <t>VÄSTERÅS</t>
        </is>
      </c>
      <c r="G627" t="n">
        <v>5</v>
      </c>
      <c r="H627" t="n">
        <v>0</v>
      </c>
      <c r="I627" t="n">
        <v>0</v>
      </c>
      <c r="J627" t="n">
        <v>0</v>
      </c>
      <c r="K627" t="n">
        <v>0</v>
      </c>
      <c r="L627" t="n">
        <v>0</v>
      </c>
      <c r="M627" t="n">
        <v>0</v>
      </c>
      <c r="N627" t="n">
        <v>0</v>
      </c>
      <c r="O627" t="n">
        <v>0</v>
      </c>
      <c r="P627" t="n">
        <v>0</v>
      </c>
      <c r="Q627" t="n">
        <v>0</v>
      </c>
      <c r="R627" s="2" t="inlineStr"/>
    </row>
    <row r="628" ht="15" customHeight="1">
      <c r="A628" t="inlineStr">
        <is>
          <t>A 10499-2022</t>
        </is>
      </c>
      <c r="B628" s="1" t="n">
        <v>44623.66508101852</v>
      </c>
      <c r="C628" s="1" t="n">
        <v>45998</v>
      </c>
      <c r="D628" t="inlineStr">
        <is>
          <t>VÄSTMANLANDS LÄN</t>
        </is>
      </c>
      <c r="E628" t="inlineStr">
        <is>
          <t>VÄSTERÅS</t>
        </is>
      </c>
      <c r="F628" t="inlineStr">
        <is>
          <t>Sveaskog</t>
        </is>
      </c>
      <c r="G628" t="n">
        <v>0.4</v>
      </c>
      <c r="H628" t="n">
        <v>0</v>
      </c>
      <c r="I628" t="n">
        <v>0</v>
      </c>
      <c r="J628" t="n">
        <v>0</v>
      </c>
      <c r="K628" t="n">
        <v>0</v>
      </c>
      <c r="L628" t="n">
        <v>0</v>
      </c>
      <c r="M628" t="n">
        <v>0</v>
      </c>
      <c r="N628" t="n">
        <v>0</v>
      </c>
      <c r="O628" t="n">
        <v>0</v>
      </c>
      <c r="P628" t="n">
        <v>0</v>
      </c>
      <c r="Q628" t="n">
        <v>0</v>
      </c>
      <c r="R628" s="2" t="inlineStr"/>
    </row>
    <row r="629" ht="15" customHeight="1">
      <c r="A629" t="inlineStr">
        <is>
          <t>A 9761-2021</t>
        </is>
      </c>
      <c r="B629" s="1" t="n">
        <v>44252</v>
      </c>
      <c r="C629" s="1" t="n">
        <v>45998</v>
      </c>
      <c r="D629" t="inlineStr">
        <is>
          <t>VÄSTMANLANDS LÄN</t>
        </is>
      </c>
      <c r="E629" t="inlineStr">
        <is>
          <t>HALLSTAHAMMAR</t>
        </is>
      </c>
      <c r="G629" t="n">
        <v>1.3</v>
      </c>
      <c r="H629" t="n">
        <v>0</v>
      </c>
      <c r="I629" t="n">
        <v>0</v>
      </c>
      <c r="J629" t="n">
        <v>0</v>
      </c>
      <c r="K629" t="n">
        <v>0</v>
      </c>
      <c r="L629" t="n">
        <v>0</v>
      </c>
      <c r="M629" t="n">
        <v>0</v>
      </c>
      <c r="N629" t="n">
        <v>0</v>
      </c>
      <c r="O629" t="n">
        <v>0</v>
      </c>
      <c r="P629" t="n">
        <v>0</v>
      </c>
      <c r="Q629" t="n">
        <v>0</v>
      </c>
      <c r="R629" s="2" t="inlineStr"/>
    </row>
    <row r="630" ht="15" customHeight="1">
      <c r="A630" t="inlineStr">
        <is>
          <t>A 40094-2022</t>
        </is>
      </c>
      <c r="B630" s="1" t="n">
        <v>44819</v>
      </c>
      <c r="C630" s="1" t="n">
        <v>45998</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21839-2021</t>
        </is>
      </c>
      <c r="B631" s="1" t="n">
        <v>44322</v>
      </c>
      <c r="C631" s="1" t="n">
        <v>45998</v>
      </c>
      <c r="D631" t="inlineStr">
        <is>
          <t>VÄSTMANLANDS LÄN</t>
        </is>
      </c>
      <c r="E631" t="inlineStr">
        <is>
          <t>SURAHAMMAR</t>
        </is>
      </c>
      <c r="G631" t="n">
        <v>1.6</v>
      </c>
      <c r="H631" t="n">
        <v>0</v>
      </c>
      <c r="I631" t="n">
        <v>0</v>
      </c>
      <c r="J631" t="n">
        <v>0</v>
      </c>
      <c r="K631" t="n">
        <v>0</v>
      </c>
      <c r="L631" t="n">
        <v>0</v>
      </c>
      <c r="M631" t="n">
        <v>0</v>
      </c>
      <c r="N631" t="n">
        <v>0</v>
      </c>
      <c r="O631" t="n">
        <v>0</v>
      </c>
      <c r="P631" t="n">
        <v>0</v>
      </c>
      <c r="Q631" t="n">
        <v>0</v>
      </c>
      <c r="R631" s="2" t="inlineStr"/>
    </row>
    <row r="632" ht="15" customHeight="1">
      <c r="A632" t="inlineStr">
        <is>
          <t>A 25364-2021</t>
        </is>
      </c>
      <c r="B632" s="1" t="n">
        <v>44342</v>
      </c>
      <c r="C632" s="1" t="n">
        <v>45998</v>
      </c>
      <c r="D632" t="inlineStr">
        <is>
          <t>VÄSTMANLANDS LÄN</t>
        </is>
      </c>
      <c r="E632" t="inlineStr">
        <is>
          <t>NORBERG</t>
        </is>
      </c>
      <c r="G632" t="n">
        <v>4</v>
      </c>
      <c r="H632" t="n">
        <v>0</v>
      </c>
      <c r="I632" t="n">
        <v>0</v>
      </c>
      <c r="J632" t="n">
        <v>0</v>
      </c>
      <c r="K632" t="n">
        <v>0</v>
      </c>
      <c r="L632" t="n">
        <v>0</v>
      </c>
      <c r="M632" t="n">
        <v>0</v>
      </c>
      <c r="N632" t="n">
        <v>0</v>
      </c>
      <c r="O632" t="n">
        <v>0</v>
      </c>
      <c r="P632" t="n">
        <v>0</v>
      </c>
      <c r="Q632" t="n">
        <v>0</v>
      </c>
      <c r="R632" s="2" t="inlineStr"/>
    </row>
    <row r="633" ht="15" customHeight="1">
      <c r="A633" t="inlineStr">
        <is>
          <t>A 68624-2021</t>
        </is>
      </c>
      <c r="B633" s="1" t="n">
        <v>44502</v>
      </c>
      <c r="C633" s="1" t="n">
        <v>45998</v>
      </c>
      <c r="D633" t="inlineStr">
        <is>
          <t>VÄSTMANLANDS LÄN</t>
        </is>
      </c>
      <c r="E633" t="inlineStr">
        <is>
          <t>HALLSTAHAMMAR</t>
        </is>
      </c>
      <c r="G633" t="n">
        <v>5.5</v>
      </c>
      <c r="H633" t="n">
        <v>0</v>
      </c>
      <c r="I633" t="n">
        <v>0</v>
      </c>
      <c r="J633" t="n">
        <v>0</v>
      </c>
      <c r="K633" t="n">
        <v>0</v>
      </c>
      <c r="L633" t="n">
        <v>0</v>
      </c>
      <c r="M633" t="n">
        <v>0</v>
      </c>
      <c r="N633" t="n">
        <v>0</v>
      </c>
      <c r="O633" t="n">
        <v>0</v>
      </c>
      <c r="P633" t="n">
        <v>0</v>
      </c>
      <c r="Q633" t="n">
        <v>0</v>
      </c>
      <c r="R633" s="2" t="inlineStr"/>
    </row>
    <row r="634" ht="15" customHeight="1">
      <c r="A634" t="inlineStr">
        <is>
          <t>A 38128-2021</t>
        </is>
      </c>
      <c r="B634" s="1" t="n">
        <v>44405.37</v>
      </c>
      <c r="C634" s="1" t="n">
        <v>45998</v>
      </c>
      <c r="D634" t="inlineStr">
        <is>
          <t>VÄSTMANLANDS LÄN</t>
        </is>
      </c>
      <c r="E634" t="inlineStr">
        <is>
          <t>FAGERSTA</t>
        </is>
      </c>
      <c r="F634" t="inlineStr">
        <is>
          <t>Sveaskog</t>
        </is>
      </c>
      <c r="G634" t="n">
        <v>0.8</v>
      </c>
      <c r="H634" t="n">
        <v>0</v>
      </c>
      <c r="I634" t="n">
        <v>0</v>
      </c>
      <c r="J634" t="n">
        <v>0</v>
      </c>
      <c r="K634" t="n">
        <v>0</v>
      </c>
      <c r="L634" t="n">
        <v>0</v>
      </c>
      <c r="M634" t="n">
        <v>0</v>
      </c>
      <c r="N634" t="n">
        <v>0</v>
      </c>
      <c r="O634" t="n">
        <v>0</v>
      </c>
      <c r="P634" t="n">
        <v>0</v>
      </c>
      <c r="Q634" t="n">
        <v>0</v>
      </c>
      <c r="R634" s="2" t="inlineStr"/>
      <c r="U634">
        <f>HYPERLINK("https://klasma.github.io/Logging_1982/knärot/A 38128-2021 karta knärot.png", "A 38128-2021")</f>
        <v/>
      </c>
      <c r="V634">
        <f>HYPERLINK("https://klasma.github.io/Logging_1982/klagomål/A 38128-2021 FSC-klagomål.docx", "A 38128-2021")</f>
        <v/>
      </c>
      <c r="W634">
        <f>HYPERLINK("https://klasma.github.io/Logging_1982/klagomålsmail/A 38128-2021 FSC-klagomål mail.docx", "A 38128-2021")</f>
        <v/>
      </c>
      <c r="X634">
        <f>HYPERLINK("https://klasma.github.io/Logging_1982/tillsyn/A 38128-2021 tillsynsbegäran.docx", "A 38128-2021")</f>
        <v/>
      </c>
      <c r="Y634">
        <f>HYPERLINK("https://klasma.github.io/Logging_1982/tillsynsmail/A 38128-2021 tillsynsbegäran mail.docx", "A 38128-2021")</f>
        <v/>
      </c>
    </row>
    <row r="635" ht="15" customHeight="1">
      <c r="A635" t="inlineStr">
        <is>
          <t>A 69590-2020</t>
        </is>
      </c>
      <c r="B635" s="1" t="n">
        <v>44194</v>
      </c>
      <c r="C635" s="1" t="n">
        <v>45998</v>
      </c>
      <c r="D635" t="inlineStr">
        <is>
          <t>VÄSTMANLANDS LÄN</t>
        </is>
      </c>
      <c r="E635" t="inlineStr">
        <is>
          <t>NORBERG</t>
        </is>
      </c>
      <c r="F635" t="inlineStr">
        <is>
          <t>Kyrkan</t>
        </is>
      </c>
      <c r="G635" t="n">
        <v>3.1</v>
      </c>
      <c r="H635" t="n">
        <v>0</v>
      </c>
      <c r="I635" t="n">
        <v>0</v>
      </c>
      <c r="J635" t="n">
        <v>0</v>
      </c>
      <c r="K635" t="n">
        <v>0</v>
      </c>
      <c r="L635" t="n">
        <v>0</v>
      </c>
      <c r="M635" t="n">
        <v>0</v>
      </c>
      <c r="N635" t="n">
        <v>0</v>
      </c>
      <c r="O635" t="n">
        <v>0</v>
      </c>
      <c r="P635" t="n">
        <v>0</v>
      </c>
      <c r="Q635" t="n">
        <v>0</v>
      </c>
      <c r="R635" s="2" t="inlineStr"/>
    </row>
    <row r="636" ht="15" customHeight="1">
      <c r="A636" t="inlineStr">
        <is>
          <t>A 14047-2021</t>
        </is>
      </c>
      <c r="B636" s="1" t="n">
        <v>44277</v>
      </c>
      <c r="C636" s="1" t="n">
        <v>45998</v>
      </c>
      <c r="D636" t="inlineStr">
        <is>
          <t>VÄSTMANLANDS LÄN</t>
        </is>
      </c>
      <c r="E636" t="inlineStr">
        <is>
          <t>SALA</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57000-2021</t>
        </is>
      </c>
      <c r="B637" s="1" t="n">
        <v>44482.46760416667</v>
      </c>
      <c r="C637" s="1" t="n">
        <v>45998</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30468-2022</t>
        </is>
      </c>
      <c r="B638" s="1" t="n">
        <v>44761.67310185185</v>
      </c>
      <c r="C638" s="1" t="n">
        <v>45998</v>
      </c>
      <c r="D638" t="inlineStr">
        <is>
          <t>VÄSTMANLANDS LÄN</t>
        </is>
      </c>
      <c r="E638" t="inlineStr">
        <is>
          <t>VÄSTERÅS</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26910-2021</t>
        </is>
      </c>
      <c r="B639" s="1" t="n">
        <v>44349</v>
      </c>
      <c r="C639" s="1" t="n">
        <v>45998</v>
      </c>
      <c r="D639" t="inlineStr">
        <is>
          <t>VÄSTMANLANDS LÄN</t>
        </is>
      </c>
      <c r="E639" t="inlineStr">
        <is>
          <t>NORBERG</t>
        </is>
      </c>
      <c r="G639" t="n">
        <v>0.3</v>
      </c>
      <c r="H639" t="n">
        <v>0</v>
      </c>
      <c r="I639" t="n">
        <v>0</v>
      </c>
      <c r="J639" t="n">
        <v>0</v>
      </c>
      <c r="K639" t="n">
        <v>0</v>
      </c>
      <c r="L639" t="n">
        <v>0</v>
      </c>
      <c r="M639" t="n">
        <v>0</v>
      </c>
      <c r="N639" t="n">
        <v>0</v>
      </c>
      <c r="O639" t="n">
        <v>0</v>
      </c>
      <c r="P639" t="n">
        <v>0</v>
      </c>
      <c r="Q639" t="n">
        <v>0</v>
      </c>
      <c r="R639" s="2" t="inlineStr"/>
    </row>
    <row r="640" ht="15" customHeight="1">
      <c r="A640" t="inlineStr">
        <is>
          <t>A 34897-2021</t>
        </is>
      </c>
      <c r="B640" s="1" t="n">
        <v>44383</v>
      </c>
      <c r="C640" s="1" t="n">
        <v>45998</v>
      </c>
      <c r="D640" t="inlineStr">
        <is>
          <t>VÄSTMANLANDS LÄN</t>
        </is>
      </c>
      <c r="E640" t="inlineStr">
        <is>
          <t>SKINNSKATTEBERG</t>
        </is>
      </c>
      <c r="G640" t="n">
        <v>1.1</v>
      </c>
      <c r="H640" t="n">
        <v>0</v>
      </c>
      <c r="I640" t="n">
        <v>0</v>
      </c>
      <c r="J640" t="n">
        <v>0</v>
      </c>
      <c r="K640" t="n">
        <v>0</v>
      </c>
      <c r="L640" t="n">
        <v>0</v>
      </c>
      <c r="M640" t="n">
        <v>0</v>
      </c>
      <c r="N640" t="n">
        <v>0</v>
      </c>
      <c r="O640" t="n">
        <v>0</v>
      </c>
      <c r="P640" t="n">
        <v>0</v>
      </c>
      <c r="Q640" t="n">
        <v>0</v>
      </c>
      <c r="R640" s="2" t="inlineStr"/>
    </row>
    <row r="641" ht="15" customHeight="1">
      <c r="A641" t="inlineStr">
        <is>
          <t>A 9149-2021</t>
        </is>
      </c>
      <c r="B641" s="1" t="n">
        <v>44249</v>
      </c>
      <c r="C641" s="1" t="n">
        <v>45998</v>
      </c>
      <c r="D641" t="inlineStr">
        <is>
          <t>VÄSTMANLANDS LÄN</t>
        </is>
      </c>
      <c r="E641" t="inlineStr">
        <is>
          <t>VÄSTERÅS</t>
        </is>
      </c>
      <c r="F641" t="inlineStr">
        <is>
          <t>Kyrkan</t>
        </is>
      </c>
      <c r="G641" t="n">
        <v>14.8</v>
      </c>
      <c r="H641" t="n">
        <v>0</v>
      </c>
      <c r="I641" t="n">
        <v>0</v>
      </c>
      <c r="J641" t="n">
        <v>0</v>
      </c>
      <c r="K641" t="n">
        <v>0</v>
      </c>
      <c r="L641" t="n">
        <v>0</v>
      </c>
      <c r="M641" t="n">
        <v>0</v>
      </c>
      <c r="N641" t="n">
        <v>0</v>
      </c>
      <c r="O641" t="n">
        <v>0</v>
      </c>
      <c r="P641" t="n">
        <v>0</v>
      </c>
      <c r="Q641" t="n">
        <v>0</v>
      </c>
      <c r="R641" s="2" t="inlineStr"/>
    </row>
    <row r="642" ht="15" customHeight="1">
      <c r="A642" t="inlineStr">
        <is>
          <t>A 16173-2022</t>
        </is>
      </c>
      <c r="B642" s="1" t="n">
        <v>44668</v>
      </c>
      <c r="C642" s="1" t="n">
        <v>45998</v>
      </c>
      <c r="D642" t="inlineStr">
        <is>
          <t>VÄSTMANLANDS LÄN</t>
        </is>
      </c>
      <c r="E642" t="inlineStr">
        <is>
          <t>ARBOGA</t>
        </is>
      </c>
      <c r="G642" t="n">
        <v>1.5</v>
      </c>
      <c r="H642" t="n">
        <v>0</v>
      </c>
      <c r="I642" t="n">
        <v>0</v>
      </c>
      <c r="J642" t="n">
        <v>0</v>
      </c>
      <c r="K642" t="n">
        <v>0</v>
      </c>
      <c r="L642" t="n">
        <v>0</v>
      </c>
      <c r="M642" t="n">
        <v>0</v>
      </c>
      <c r="N642" t="n">
        <v>0</v>
      </c>
      <c r="O642" t="n">
        <v>0</v>
      </c>
      <c r="P642" t="n">
        <v>0</v>
      </c>
      <c r="Q642" t="n">
        <v>0</v>
      </c>
      <c r="R642" s="2" t="inlineStr"/>
    </row>
    <row r="643" ht="15" customHeight="1">
      <c r="A643" t="inlineStr">
        <is>
          <t>A 40113-2022</t>
        </is>
      </c>
      <c r="B643" s="1" t="n">
        <v>44819</v>
      </c>
      <c r="C643" s="1" t="n">
        <v>45998</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51596-2022</t>
        </is>
      </c>
      <c r="B644" s="1" t="n">
        <v>44871</v>
      </c>
      <c r="C644" s="1" t="n">
        <v>45998</v>
      </c>
      <c r="D644" t="inlineStr">
        <is>
          <t>VÄSTMANLANDS LÄN</t>
        </is>
      </c>
      <c r="E644" t="inlineStr">
        <is>
          <t>SALA</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66508-2021</t>
        </is>
      </c>
      <c r="B645" s="1" t="n">
        <v>44519.33401620371</v>
      </c>
      <c r="C645" s="1" t="n">
        <v>45998</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53630-2022</t>
        </is>
      </c>
      <c r="B646" s="1" t="n">
        <v>44879.87533564815</v>
      </c>
      <c r="C646" s="1" t="n">
        <v>45998</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4471-2021</t>
        </is>
      </c>
      <c r="B647" s="1" t="n">
        <v>44224</v>
      </c>
      <c r="C647" s="1" t="n">
        <v>45998</v>
      </c>
      <c r="D647" t="inlineStr">
        <is>
          <t>VÄSTMANLANDS LÄN</t>
        </is>
      </c>
      <c r="E647" t="inlineStr">
        <is>
          <t>NORBERG</t>
        </is>
      </c>
      <c r="G647" t="n">
        <v>0.7</v>
      </c>
      <c r="H647" t="n">
        <v>0</v>
      </c>
      <c r="I647" t="n">
        <v>0</v>
      </c>
      <c r="J647" t="n">
        <v>0</v>
      </c>
      <c r="K647" t="n">
        <v>0</v>
      </c>
      <c r="L647" t="n">
        <v>0</v>
      </c>
      <c r="M647" t="n">
        <v>0</v>
      </c>
      <c r="N647" t="n">
        <v>0</v>
      </c>
      <c r="O647" t="n">
        <v>0</v>
      </c>
      <c r="P647" t="n">
        <v>0</v>
      </c>
      <c r="Q647" t="n">
        <v>0</v>
      </c>
      <c r="R647" s="2" t="inlineStr"/>
    </row>
    <row r="648" ht="15" customHeight="1">
      <c r="A648" t="inlineStr">
        <is>
          <t>A 26579-2021</t>
        </is>
      </c>
      <c r="B648" s="1" t="n">
        <v>44348</v>
      </c>
      <c r="C648" s="1" t="n">
        <v>45998</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14204-2022</t>
        </is>
      </c>
      <c r="B649" s="1" t="n">
        <v>44651.60453703703</v>
      </c>
      <c r="C649" s="1" t="n">
        <v>45998</v>
      </c>
      <c r="D649" t="inlineStr">
        <is>
          <t>VÄSTMANLANDS LÄN</t>
        </is>
      </c>
      <c r="E649" t="inlineStr">
        <is>
          <t>SKINNSKATTEBERG</t>
        </is>
      </c>
      <c r="G649" t="n">
        <v>3.9</v>
      </c>
      <c r="H649" t="n">
        <v>0</v>
      </c>
      <c r="I649" t="n">
        <v>0</v>
      </c>
      <c r="J649" t="n">
        <v>0</v>
      </c>
      <c r="K649" t="n">
        <v>0</v>
      </c>
      <c r="L649" t="n">
        <v>0</v>
      </c>
      <c r="M649" t="n">
        <v>0</v>
      </c>
      <c r="N649" t="n">
        <v>0</v>
      </c>
      <c r="O649" t="n">
        <v>0</v>
      </c>
      <c r="P649" t="n">
        <v>0</v>
      </c>
      <c r="Q649" t="n">
        <v>0</v>
      </c>
      <c r="R649" s="2" t="inlineStr"/>
    </row>
    <row r="650" ht="15" customHeight="1">
      <c r="A650" t="inlineStr">
        <is>
          <t>A 34073-2022</t>
        </is>
      </c>
      <c r="B650" s="1" t="n">
        <v>44791</v>
      </c>
      <c r="C650" s="1" t="n">
        <v>45998</v>
      </c>
      <c r="D650" t="inlineStr">
        <is>
          <t>VÄSTMANLANDS LÄN</t>
        </is>
      </c>
      <c r="E650" t="inlineStr">
        <is>
          <t>VÄSTERÅS</t>
        </is>
      </c>
      <c r="G650" t="n">
        <v>2.2</v>
      </c>
      <c r="H650" t="n">
        <v>0</v>
      </c>
      <c r="I650" t="n">
        <v>0</v>
      </c>
      <c r="J650" t="n">
        <v>0</v>
      </c>
      <c r="K650" t="n">
        <v>0</v>
      </c>
      <c r="L650" t="n">
        <v>0</v>
      </c>
      <c r="M650" t="n">
        <v>0</v>
      </c>
      <c r="N650" t="n">
        <v>0</v>
      </c>
      <c r="O650" t="n">
        <v>0</v>
      </c>
      <c r="P650" t="n">
        <v>0</v>
      </c>
      <c r="Q650" t="n">
        <v>0</v>
      </c>
      <c r="R650" s="2" t="inlineStr"/>
    </row>
    <row r="651" ht="15" customHeight="1">
      <c r="A651" t="inlineStr">
        <is>
          <t>A 8681-2021</t>
        </is>
      </c>
      <c r="B651" s="1" t="n">
        <v>44246</v>
      </c>
      <c r="C651" s="1" t="n">
        <v>45998</v>
      </c>
      <c r="D651" t="inlineStr">
        <is>
          <t>VÄSTMANLANDS LÄN</t>
        </is>
      </c>
      <c r="E651" t="inlineStr">
        <is>
          <t>KÖPING</t>
        </is>
      </c>
      <c r="G651" t="n">
        <v>2.2</v>
      </c>
      <c r="H651" t="n">
        <v>0</v>
      </c>
      <c r="I651" t="n">
        <v>0</v>
      </c>
      <c r="J651" t="n">
        <v>0</v>
      </c>
      <c r="K651" t="n">
        <v>0</v>
      </c>
      <c r="L651" t="n">
        <v>0</v>
      </c>
      <c r="M651" t="n">
        <v>0</v>
      </c>
      <c r="N651" t="n">
        <v>0</v>
      </c>
      <c r="O651" t="n">
        <v>0</v>
      </c>
      <c r="P651" t="n">
        <v>0</v>
      </c>
      <c r="Q651" t="n">
        <v>0</v>
      </c>
      <c r="R651" s="2" t="inlineStr"/>
    </row>
    <row r="652" ht="15" customHeight="1">
      <c r="A652" t="inlineStr">
        <is>
          <t>A 18723-2021</t>
        </is>
      </c>
      <c r="B652" s="1" t="n">
        <v>44306</v>
      </c>
      <c r="C652" s="1" t="n">
        <v>45998</v>
      </c>
      <c r="D652" t="inlineStr">
        <is>
          <t>VÄSTMANLANDS LÄN</t>
        </is>
      </c>
      <c r="E652" t="inlineStr">
        <is>
          <t>SURAHAMMAR</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72405-2021</t>
        </is>
      </c>
      <c r="B653" s="1" t="n">
        <v>44545</v>
      </c>
      <c r="C653" s="1" t="n">
        <v>45998</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72460-2021</t>
        </is>
      </c>
      <c r="B654" s="1" t="n">
        <v>44545</v>
      </c>
      <c r="C654" s="1" t="n">
        <v>45998</v>
      </c>
      <c r="D654" t="inlineStr">
        <is>
          <t>VÄSTMANLANDS LÄN</t>
        </is>
      </c>
      <c r="E654" t="inlineStr">
        <is>
          <t>KÖPING</t>
        </is>
      </c>
      <c r="G654" t="n">
        <v>2.6</v>
      </c>
      <c r="H654" t="n">
        <v>0</v>
      </c>
      <c r="I654" t="n">
        <v>0</v>
      </c>
      <c r="J654" t="n">
        <v>0</v>
      </c>
      <c r="K654" t="n">
        <v>0</v>
      </c>
      <c r="L654" t="n">
        <v>0</v>
      </c>
      <c r="M654" t="n">
        <v>0</v>
      </c>
      <c r="N654" t="n">
        <v>0</v>
      </c>
      <c r="O654" t="n">
        <v>0</v>
      </c>
      <c r="P654" t="n">
        <v>0</v>
      </c>
      <c r="Q654" t="n">
        <v>0</v>
      </c>
      <c r="R654" s="2" t="inlineStr"/>
    </row>
    <row r="655" ht="15" customHeight="1">
      <c r="A655" t="inlineStr">
        <is>
          <t>A 63290-2021</t>
        </is>
      </c>
      <c r="B655" s="1" t="n">
        <v>44505</v>
      </c>
      <c r="C655" s="1" t="n">
        <v>45998</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19016-2021</t>
        </is>
      </c>
      <c r="B656" s="1" t="n">
        <v>44308</v>
      </c>
      <c r="C656" s="1" t="n">
        <v>45998</v>
      </c>
      <c r="D656" t="inlineStr">
        <is>
          <t>VÄSTMANLANDS LÄN</t>
        </is>
      </c>
      <c r="E656" t="inlineStr">
        <is>
          <t>SKINNSKATTEBERG</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13746-2025</t>
        </is>
      </c>
      <c r="B657" s="1" t="n">
        <v>45737.40944444444</v>
      </c>
      <c r="C657" s="1" t="n">
        <v>45998</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12229-2025</t>
        </is>
      </c>
      <c r="B658" s="1" t="n">
        <v>45729.57048611111</v>
      </c>
      <c r="C658" s="1" t="n">
        <v>45998</v>
      </c>
      <c r="D658" t="inlineStr">
        <is>
          <t>VÄSTMANLANDS LÄN</t>
        </is>
      </c>
      <c r="E658" t="inlineStr">
        <is>
          <t>VÄSTERÅS</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41097-2021</t>
        </is>
      </c>
      <c r="B659" s="1" t="n">
        <v>44422</v>
      </c>
      <c r="C659" s="1" t="n">
        <v>45998</v>
      </c>
      <c r="D659" t="inlineStr">
        <is>
          <t>VÄSTMANLANDS LÄN</t>
        </is>
      </c>
      <c r="E659" t="inlineStr">
        <is>
          <t>FAGERSTA</t>
        </is>
      </c>
      <c r="G659" t="n">
        <v>1</v>
      </c>
      <c r="H659" t="n">
        <v>0</v>
      </c>
      <c r="I659" t="n">
        <v>0</v>
      </c>
      <c r="J659" t="n">
        <v>0</v>
      </c>
      <c r="K659" t="n">
        <v>0</v>
      </c>
      <c r="L659" t="n">
        <v>0</v>
      </c>
      <c r="M659" t="n">
        <v>0</v>
      </c>
      <c r="N659" t="n">
        <v>0</v>
      </c>
      <c r="O659" t="n">
        <v>0</v>
      </c>
      <c r="P659" t="n">
        <v>0</v>
      </c>
      <c r="Q659" t="n">
        <v>0</v>
      </c>
      <c r="R659" s="2" t="inlineStr"/>
    </row>
    <row r="660" ht="15" customHeight="1">
      <c r="A660" t="inlineStr">
        <is>
          <t>A 14041-2025</t>
        </is>
      </c>
      <c r="B660" s="1" t="n">
        <v>45740.36778935185</v>
      </c>
      <c r="C660" s="1" t="n">
        <v>45998</v>
      </c>
      <c r="D660" t="inlineStr">
        <is>
          <t>VÄSTMANLANDS LÄN</t>
        </is>
      </c>
      <c r="E660" t="inlineStr">
        <is>
          <t>SKINNSKATTEBERG</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46864-2023</t>
        </is>
      </c>
      <c r="B661" s="1" t="n">
        <v>45200.55300925926</v>
      </c>
      <c r="C661" s="1" t="n">
        <v>45998</v>
      </c>
      <c r="D661" t="inlineStr">
        <is>
          <t>VÄSTMANLANDS LÄN</t>
        </is>
      </c>
      <c r="E661" t="inlineStr">
        <is>
          <t>NORBERG</t>
        </is>
      </c>
      <c r="F661" t="inlineStr">
        <is>
          <t>Sveaskog</t>
        </is>
      </c>
      <c r="G661" t="n">
        <v>4.4</v>
      </c>
      <c r="H661" t="n">
        <v>0</v>
      </c>
      <c r="I661" t="n">
        <v>0</v>
      </c>
      <c r="J661" t="n">
        <v>0</v>
      </c>
      <c r="K661" t="n">
        <v>0</v>
      </c>
      <c r="L661" t="n">
        <v>0</v>
      </c>
      <c r="M661" t="n">
        <v>0</v>
      </c>
      <c r="N661" t="n">
        <v>0</v>
      </c>
      <c r="O661" t="n">
        <v>0</v>
      </c>
      <c r="P661" t="n">
        <v>0</v>
      </c>
      <c r="Q661" t="n">
        <v>0</v>
      </c>
      <c r="R661" s="2" t="inlineStr"/>
    </row>
    <row r="662" ht="15" customHeight="1">
      <c r="A662" t="inlineStr">
        <is>
          <t>A 10099-2025</t>
        </is>
      </c>
      <c r="B662" s="1" t="n">
        <v>45719.5787037037</v>
      </c>
      <c r="C662" s="1" t="n">
        <v>45998</v>
      </c>
      <c r="D662" t="inlineStr">
        <is>
          <t>VÄSTMANLANDS LÄN</t>
        </is>
      </c>
      <c r="E662" t="inlineStr">
        <is>
          <t>KÖPING</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63241-2023</t>
        </is>
      </c>
      <c r="B663" s="1" t="n">
        <v>45273</v>
      </c>
      <c r="C663" s="1" t="n">
        <v>45998</v>
      </c>
      <c r="D663" t="inlineStr">
        <is>
          <t>VÄSTMANLANDS LÄN</t>
        </is>
      </c>
      <c r="E663" t="inlineStr">
        <is>
          <t>KÖPING</t>
        </is>
      </c>
      <c r="G663" t="n">
        <v>4.5</v>
      </c>
      <c r="H663" t="n">
        <v>0</v>
      </c>
      <c r="I663" t="n">
        <v>0</v>
      </c>
      <c r="J663" t="n">
        <v>0</v>
      </c>
      <c r="K663" t="n">
        <v>0</v>
      </c>
      <c r="L663" t="n">
        <v>0</v>
      </c>
      <c r="M663" t="n">
        <v>0</v>
      </c>
      <c r="N663" t="n">
        <v>0</v>
      </c>
      <c r="O663" t="n">
        <v>0</v>
      </c>
      <c r="P663" t="n">
        <v>0</v>
      </c>
      <c r="Q663" t="n">
        <v>0</v>
      </c>
      <c r="R663" s="2" t="inlineStr"/>
    </row>
    <row r="664" ht="15" customHeight="1">
      <c r="A664" t="inlineStr">
        <is>
          <t>A 30323-2023</t>
        </is>
      </c>
      <c r="B664" s="1" t="n">
        <v>45111.32628472222</v>
      </c>
      <c r="C664" s="1" t="n">
        <v>45998</v>
      </c>
      <c r="D664" t="inlineStr">
        <is>
          <t>VÄSTMANLANDS LÄN</t>
        </is>
      </c>
      <c r="E664" t="inlineStr">
        <is>
          <t>ARBOGA</t>
        </is>
      </c>
      <c r="G664" t="n">
        <v>2.1</v>
      </c>
      <c r="H664" t="n">
        <v>0</v>
      </c>
      <c r="I664" t="n">
        <v>0</v>
      </c>
      <c r="J664" t="n">
        <v>0</v>
      </c>
      <c r="K664" t="n">
        <v>0</v>
      </c>
      <c r="L664" t="n">
        <v>0</v>
      </c>
      <c r="M664" t="n">
        <v>0</v>
      </c>
      <c r="N664" t="n">
        <v>0</v>
      </c>
      <c r="O664" t="n">
        <v>0</v>
      </c>
      <c r="P664" t="n">
        <v>0</v>
      </c>
      <c r="Q664" t="n">
        <v>0</v>
      </c>
      <c r="R664" s="2" t="inlineStr"/>
    </row>
    <row r="665" ht="15" customHeight="1">
      <c r="A665" t="inlineStr">
        <is>
          <t>A 44695-2022</t>
        </is>
      </c>
      <c r="B665" s="1" t="n">
        <v>44840</v>
      </c>
      <c r="C665" s="1" t="n">
        <v>45998</v>
      </c>
      <c r="D665" t="inlineStr">
        <is>
          <t>VÄSTMANLANDS LÄN</t>
        </is>
      </c>
      <c r="E665" t="inlineStr">
        <is>
          <t>VÄSTERÅS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64932-2021</t>
        </is>
      </c>
      <c r="B666" s="1" t="n">
        <v>44512</v>
      </c>
      <c r="C666" s="1" t="n">
        <v>45998</v>
      </c>
      <c r="D666" t="inlineStr">
        <is>
          <t>VÄSTMANLANDS LÄN</t>
        </is>
      </c>
      <c r="E666" t="inlineStr">
        <is>
          <t>SALA</t>
        </is>
      </c>
      <c r="G666" t="n">
        <v>0.8</v>
      </c>
      <c r="H666" t="n">
        <v>0</v>
      </c>
      <c r="I666" t="n">
        <v>0</v>
      </c>
      <c r="J666" t="n">
        <v>0</v>
      </c>
      <c r="K666" t="n">
        <v>0</v>
      </c>
      <c r="L666" t="n">
        <v>0</v>
      </c>
      <c r="M666" t="n">
        <v>0</v>
      </c>
      <c r="N666" t="n">
        <v>0</v>
      </c>
      <c r="O666" t="n">
        <v>0</v>
      </c>
      <c r="P666" t="n">
        <v>0</v>
      </c>
      <c r="Q666" t="n">
        <v>0</v>
      </c>
      <c r="R666" s="2" t="inlineStr"/>
    </row>
    <row r="667" ht="15" customHeight="1">
      <c r="A667" t="inlineStr">
        <is>
          <t>A 59417-2021</t>
        </is>
      </c>
      <c r="B667" s="1" t="n">
        <v>44491</v>
      </c>
      <c r="C667" s="1" t="n">
        <v>45998</v>
      </c>
      <c r="D667" t="inlineStr">
        <is>
          <t>VÄSTMANLANDS LÄN</t>
        </is>
      </c>
      <c r="E667" t="inlineStr">
        <is>
          <t>SKINNSKATTEBERG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16693-2022</t>
        </is>
      </c>
      <c r="B668" s="1" t="n">
        <v>44673</v>
      </c>
      <c r="C668" s="1" t="n">
        <v>45998</v>
      </c>
      <c r="D668" t="inlineStr">
        <is>
          <t>VÄSTMANLANDS LÄN</t>
        </is>
      </c>
      <c r="E668" t="inlineStr">
        <is>
          <t>KÖPING</t>
        </is>
      </c>
      <c r="G668" t="n">
        <v>4.8</v>
      </c>
      <c r="H668" t="n">
        <v>0</v>
      </c>
      <c r="I668" t="n">
        <v>0</v>
      </c>
      <c r="J668" t="n">
        <v>0</v>
      </c>
      <c r="K668" t="n">
        <v>0</v>
      </c>
      <c r="L668" t="n">
        <v>0</v>
      </c>
      <c r="M668" t="n">
        <v>0</v>
      </c>
      <c r="N668" t="n">
        <v>0</v>
      </c>
      <c r="O668" t="n">
        <v>0</v>
      </c>
      <c r="P668" t="n">
        <v>0</v>
      </c>
      <c r="Q668" t="n">
        <v>0</v>
      </c>
      <c r="R668" s="2" t="inlineStr"/>
    </row>
    <row r="669" ht="15" customHeight="1">
      <c r="A669" t="inlineStr">
        <is>
          <t>A 7534-2022</t>
        </is>
      </c>
      <c r="B669" s="1" t="n">
        <v>44607</v>
      </c>
      <c r="C669" s="1" t="n">
        <v>45998</v>
      </c>
      <c r="D669" t="inlineStr">
        <is>
          <t>VÄSTMANLANDS LÄN</t>
        </is>
      </c>
      <c r="E669" t="inlineStr">
        <is>
          <t>VÄSTERÅS</t>
        </is>
      </c>
      <c r="G669" t="n">
        <v>1</v>
      </c>
      <c r="H669" t="n">
        <v>0</v>
      </c>
      <c r="I669" t="n">
        <v>0</v>
      </c>
      <c r="J669" t="n">
        <v>0</v>
      </c>
      <c r="K669" t="n">
        <v>0</v>
      </c>
      <c r="L669" t="n">
        <v>0</v>
      </c>
      <c r="M669" t="n">
        <v>0</v>
      </c>
      <c r="N669" t="n">
        <v>0</v>
      </c>
      <c r="O669" t="n">
        <v>0</v>
      </c>
      <c r="P669" t="n">
        <v>0</v>
      </c>
      <c r="Q669" t="n">
        <v>0</v>
      </c>
      <c r="R669" s="2" t="inlineStr"/>
    </row>
    <row r="670" ht="15" customHeight="1">
      <c r="A670" t="inlineStr">
        <is>
          <t>A 25897-2024</t>
        </is>
      </c>
      <c r="B670" s="1" t="n">
        <v>45467.54435185185</v>
      </c>
      <c r="C670" s="1" t="n">
        <v>45998</v>
      </c>
      <c r="D670" t="inlineStr">
        <is>
          <t>VÄSTMANLANDS LÄN</t>
        </is>
      </c>
      <c r="E670" t="inlineStr">
        <is>
          <t>SALA</t>
        </is>
      </c>
      <c r="G670" t="n">
        <v>9.9</v>
      </c>
      <c r="H670" t="n">
        <v>0</v>
      </c>
      <c r="I670" t="n">
        <v>0</v>
      </c>
      <c r="J670" t="n">
        <v>0</v>
      </c>
      <c r="K670" t="n">
        <v>0</v>
      </c>
      <c r="L670" t="n">
        <v>0</v>
      </c>
      <c r="M670" t="n">
        <v>0</v>
      </c>
      <c r="N670" t="n">
        <v>0</v>
      </c>
      <c r="O670" t="n">
        <v>0</v>
      </c>
      <c r="P670" t="n">
        <v>0</v>
      </c>
      <c r="Q670" t="n">
        <v>0</v>
      </c>
      <c r="R670" s="2" t="inlineStr"/>
    </row>
    <row r="671" ht="15" customHeight="1">
      <c r="A671" t="inlineStr">
        <is>
          <t>A 28249-2022</t>
        </is>
      </c>
      <c r="B671" s="1" t="n">
        <v>44746</v>
      </c>
      <c r="C671" s="1" t="n">
        <v>45998</v>
      </c>
      <c r="D671" t="inlineStr">
        <is>
          <t>VÄSTMANLANDS LÄN</t>
        </is>
      </c>
      <c r="E671" t="inlineStr">
        <is>
          <t>FAGERSTA</t>
        </is>
      </c>
      <c r="F671" t="inlineStr">
        <is>
          <t>Kommuner</t>
        </is>
      </c>
      <c r="G671" t="n">
        <v>2.9</v>
      </c>
      <c r="H671" t="n">
        <v>0</v>
      </c>
      <c r="I671" t="n">
        <v>0</v>
      </c>
      <c r="J671" t="n">
        <v>0</v>
      </c>
      <c r="K671" t="n">
        <v>0</v>
      </c>
      <c r="L671" t="n">
        <v>0</v>
      </c>
      <c r="M671" t="n">
        <v>0</v>
      </c>
      <c r="N671" t="n">
        <v>0</v>
      </c>
      <c r="O671" t="n">
        <v>0</v>
      </c>
      <c r="P671" t="n">
        <v>0</v>
      </c>
      <c r="Q671" t="n">
        <v>0</v>
      </c>
      <c r="R671" s="2" t="inlineStr"/>
    </row>
    <row r="672" ht="15" customHeight="1">
      <c r="A672" t="inlineStr">
        <is>
          <t>A 41868-2022</t>
        </is>
      </c>
      <c r="B672" s="1" t="n">
        <v>44829.80922453704</v>
      </c>
      <c r="C672" s="1" t="n">
        <v>45998</v>
      </c>
      <c r="D672" t="inlineStr">
        <is>
          <t>VÄSTMANLANDS LÄN</t>
        </is>
      </c>
      <c r="E672" t="inlineStr">
        <is>
          <t>SKINNSKATTEBERG</t>
        </is>
      </c>
      <c r="G672" t="n">
        <v>0.9</v>
      </c>
      <c r="H672" t="n">
        <v>0</v>
      </c>
      <c r="I672" t="n">
        <v>0</v>
      </c>
      <c r="J672" t="n">
        <v>0</v>
      </c>
      <c r="K672" t="n">
        <v>0</v>
      </c>
      <c r="L672" t="n">
        <v>0</v>
      </c>
      <c r="M672" t="n">
        <v>0</v>
      </c>
      <c r="N672" t="n">
        <v>0</v>
      </c>
      <c r="O672" t="n">
        <v>0</v>
      </c>
      <c r="P672" t="n">
        <v>0</v>
      </c>
      <c r="Q672" t="n">
        <v>0</v>
      </c>
      <c r="R672" s="2" t="inlineStr"/>
    </row>
    <row r="673" ht="15" customHeight="1">
      <c r="A673" t="inlineStr">
        <is>
          <t>A 23222-2023</t>
        </is>
      </c>
      <c r="B673" s="1" t="n">
        <v>45075</v>
      </c>
      <c r="C673" s="1" t="n">
        <v>45998</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23224-2023</t>
        </is>
      </c>
      <c r="B674" s="1" t="n">
        <v>45075.65040509259</v>
      </c>
      <c r="C674" s="1" t="n">
        <v>45998</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56688-2024</t>
        </is>
      </c>
      <c r="B675" s="1" t="n">
        <v>45627.66478009259</v>
      </c>
      <c r="C675" s="1" t="n">
        <v>45998</v>
      </c>
      <c r="D675" t="inlineStr">
        <is>
          <t>VÄSTMANLANDS LÄN</t>
        </is>
      </c>
      <c r="E675" t="inlineStr">
        <is>
          <t>SALA</t>
        </is>
      </c>
      <c r="G675" t="n">
        <v>0.9</v>
      </c>
      <c r="H675" t="n">
        <v>0</v>
      </c>
      <c r="I675" t="n">
        <v>0</v>
      </c>
      <c r="J675" t="n">
        <v>0</v>
      </c>
      <c r="K675" t="n">
        <v>0</v>
      </c>
      <c r="L675" t="n">
        <v>0</v>
      </c>
      <c r="M675" t="n">
        <v>0</v>
      </c>
      <c r="N675" t="n">
        <v>0</v>
      </c>
      <c r="O675" t="n">
        <v>0</v>
      </c>
      <c r="P675" t="n">
        <v>0</v>
      </c>
      <c r="Q675" t="n">
        <v>0</v>
      </c>
      <c r="R675" s="2" t="inlineStr"/>
    </row>
    <row r="676" ht="15" customHeight="1">
      <c r="A676" t="inlineStr">
        <is>
          <t>A 50479-2022</t>
        </is>
      </c>
      <c r="B676" s="1" t="n">
        <v>44861</v>
      </c>
      <c r="C676" s="1" t="n">
        <v>45998</v>
      </c>
      <c r="D676" t="inlineStr">
        <is>
          <t>VÄSTMANLANDS LÄN</t>
        </is>
      </c>
      <c r="E676" t="inlineStr">
        <is>
          <t>SALA</t>
        </is>
      </c>
      <c r="G676" t="n">
        <v>0.9</v>
      </c>
      <c r="H676" t="n">
        <v>0</v>
      </c>
      <c r="I676" t="n">
        <v>0</v>
      </c>
      <c r="J676" t="n">
        <v>0</v>
      </c>
      <c r="K676" t="n">
        <v>0</v>
      </c>
      <c r="L676" t="n">
        <v>0</v>
      </c>
      <c r="M676" t="n">
        <v>0</v>
      </c>
      <c r="N676" t="n">
        <v>0</v>
      </c>
      <c r="O676" t="n">
        <v>0</v>
      </c>
      <c r="P676" t="n">
        <v>0</v>
      </c>
      <c r="Q676" t="n">
        <v>0</v>
      </c>
      <c r="R676" s="2" t="inlineStr"/>
    </row>
    <row r="677" ht="15" customHeight="1">
      <c r="A677" t="inlineStr">
        <is>
          <t>A 17380-2023</t>
        </is>
      </c>
      <c r="B677" s="1" t="n">
        <v>45035.65481481481</v>
      </c>
      <c r="C677" s="1" t="n">
        <v>45998</v>
      </c>
      <c r="D677" t="inlineStr">
        <is>
          <t>VÄSTMANLANDS LÄN</t>
        </is>
      </c>
      <c r="E677" t="inlineStr">
        <is>
          <t>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54510-2024</t>
        </is>
      </c>
      <c r="B678" s="1" t="n">
        <v>45617</v>
      </c>
      <c r="C678" s="1" t="n">
        <v>45998</v>
      </c>
      <c r="D678" t="inlineStr">
        <is>
          <t>VÄSTMANLANDS LÄN</t>
        </is>
      </c>
      <c r="E678" t="inlineStr">
        <is>
          <t>SKINNSKATTEBERG</t>
        </is>
      </c>
      <c r="G678" t="n">
        <v>0.7</v>
      </c>
      <c r="H678" t="n">
        <v>0</v>
      </c>
      <c r="I678" t="n">
        <v>0</v>
      </c>
      <c r="J678" t="n">
        <v>0</v>
      </c>
      <c r="K678" t="n">
        <v>0</v>
      </c>
      <c r="L678" t="n">
        <v>0</v>
      </c>
      <c r="M678" t="n">
        <v>0</v>
      </c>
      <c r="N678" t="n">
        <v>0</v>
      </c>
      <c r="O678" t="n">
        <v>0</v>
      </c>
      <c r="P678" t="n">
        <v>0</v>
      </c>
      <c r="Q678" t="n">
        <v>0</v>
      </c>
      <c r="R678" s="2" t="inlineStr"/>
    </row>
    <row r="679" ht="15" customHeight="1">
      <c r="A679" t="inlineStr">
        <is>
          <t>A 27261-2024</t>
        </is>
      </c>
      <c r="B679" s="1" t="n">
        <v>45471</v>
      </c>
      <c r="C679" s="1" t="n">
        <v>45998</v>
      </c>
      <c r="D679" t="inlineStr">
        <is>
          <t>VÄSTMANLANDS LÄN</t>
        </is>
      </c>
      <c r="E679" t="inlineStr">
        <is>
          <t>SALA</t>
        </is>
      </c>
      <c r="G679" t="n">
        <v>6.1</v>
      </c>
      <c r="H679" t="n">
        <v>0</v>
      </c>
      <c r="I679" t="n">
        <v>0</v>
      </c>
      <c r="J679" t="n">
        <v>0</v>
      </c>
      <c r="K679" t="n">
        <v>0</v>
      </c>
      <c r="L679" t="n">
        <v>0</v>
      </c>
      <c r="M679" t="n">
        <v>0</v>
      </c>
      <c r="N679" t="n">
        <v>0</v>
      </c>
      <c r="O679" t="n">
        <v>0</v>
      </c>
      <c r="P679" t="n">
        <v>0</v>
      </c>
      <c r="Q679" t="n">
        <v>0</v>
      </c>
      <c r="R679" s="2" t="inlineStr"/>
    </row>
    <row r="680" ht="15" customHeight="1">
      <c r="A680" t="inlineStr">
        <is>
          <t>A 19082-2023</t>
        </is>
      </c>
      <c r="B680" s="1" t="n">
        <v>45048</v>
      </c>
      <c r="C680" s="1" t="n">
        <v>45998</v>
      </c>
      <c r="D680" t="inlineStr">
        <is>
          <t>VÄSTMANLANDS LÄN</t>
        </is>
      </c>
      <c r="E680" t="inlineStr">
        <is>
          <t>KUNGSÖR</t>
        </is>
      </c>
      <c r="F680" t="inlineStr">
        <is>
          <t>Allmännings- och besparingsskogar</t>
        </is>
      </c>
      <c r="G680" t="n">
        <v>6.5</v>
      </c>
      <c r="H680" t="n">
        <v>0</v>
      </c>
      <c r="I680" t="n">
        <v>0</v>
      </c>
      <c r="J680" t="n">
        <v>0</v>
      </c>
      <c r="K680" t="n">
        <v>0</v>
      </c>
      <c r="L680" t="n">
        <v>0</v>
      </c>
      <c r="M680" t="n">
        <v>0</v>
      </c>
      <c r="N680" t="n">
        <v>0</v>
      </c>
      <c r="O680" t="n">
        <v>0</v>
      </c>
      <c r="P680" t="n">
        <v>0</v>
      </c>
      <c r="Q680" t="n">
        <v>0</v>
      </c>
      <c r="R680" s="2" t="inlineStr"/>
    </row>
    <row r="681" ht="15" customHeight="1">
      <c r="A681" t="inlineStr">
        <is>
          <t>A 2071-2025</t>
        </is>
      </c>
      <c r="B681" s="1" t="n">
        <v>45672.56981481481</v>
      </c>
      <c r="C681" s="1" t="n">
        <v>45998</v>
      </c>
      <c r="D681" t="inlineStr">
        <is>
          <t>VÄSTMANLANDS LÄN</t>
        </is>
      </c>
      <c r="E681" t="inlineStr">
        <is>
          <t>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11448-2021</t>
        </is>
      </c>
      <c r="B682" s="1" t="n">
        <v>44264</v>
      </c>
      <c r="C682" s="1" t="n">
        <v>45998</v>
      </c>
      <c r="D682" t="inlineStr">
        <is>
          <t>VÄSTMANLANDS LÄN</t>
        </is>
      </c>
      <c r="E682" t="inlineStr">
        <is>
          <t>NORBERG</t>
        </is>
      </c>
      <c r="F682" t="inlineStr">
        <is>
          <t>Övriga Aktiebolag</t>
        </is>
      </c>
      <c r="G682" t="n">
        <v>3.9</v>
      </c>
      <c r="H682" t="n">
        <v>0</v>
      </c>
      <c r="I682" t="n">
        <v>0</v>
      </c>
      <c r="J682" t="n">
        <v>0</v>
      </c>
      <c r="K682" t="n">
        <v>0</v>
      </c>
      <c r="L682" t="n">
        <v>0</v>
      </c>
      <c r="M682" t="n">
        <v>0</v>
      </c>
      <c r="N682" t="n">
        <v>0</v>
      </c>
      <c r="O682" t="n">
        <v>0</v>
      </c>
      <c r="P682" t="n">
        <v>0</v>
      </c>
      <c r="Q682" t="n">
        <v>0</v>
      </c>
      <c r="R682" s="2" t="inlineStr"/>
    </row>
    <row r="683" ht="15" customHeight="1">
      <c r="A683" t="inlineStr">
        <is>
          <t>A 18713-2025</t>
        </is>
      </c>
      <c r="B683" s="1" t="n">
        <v>45763</v>
      </c>
      <c r="C683" s="1" t="n">
        <v>45998</v>
      </c>
      <c r="D683" t="inlineStr">
        <is>
          <t>VÄSTMANLANDS LÄN</t>
        </is>
      </c>
      <c r="E683" t="inlineStr">
        <is>
          <t>SALA</t>
        </is>
      </c>
      <c r="F683" t="inlineStr">
        <is>
          <t>Bergvik skog öst AB</t>
        </is>
      </c>
      <c r="G683" t="n">
        <v>11.6</v>
      </c>
      <c r="H683" t="n">
        <v>0</v>
      </c>
      <c r="I683" t="n">
        <v>0</v>
      </c>
      <c r="J683" t="n">
        <v>0</v>
      </c>
      <c r="K683" t="n">
        <v>0</v>
      </c>
      <c r="L683" t="n">
        <v>0</v>
      </c>
      <c r="M683" t="n">
        <v>0</v>
      </c>
      <c r="N683" t="n">
        <v>0</v>
      </c>
      <c r="O683" t="n">
        <v>0</v>
      </c>
      <c r="P683" t="n">
        <v>0</v>
      </c>
      <c r="Q683" t="n">
        <v>0</v>
      </c>
      <c r="R683" s="2" t="inlineStr"/>
    </row>
    <row r="684" ht="15" customHeight="1">
      <c r="A684" t="inlineStr">
        <is>
          <t>A 54959-2024</t>
        </is>
      </c>
      <c r="B684" s="1" t="n">
        <v>45619</v>
      </c>
      <c r="C684" s="1" t="n">
        <v>45998</v>
      </c>
      <c r="D684" t="inlineStr">
        <is>
          <t>VÄSTMANLANDS LÄN</t>
        </is>
      </c>
      <c r="E684" t="inlineStr">
        <is>
          <t>SALA</t>
        </is>
      </c>
      <c r="G684" t="n">
        <v>1.3</v>
      </c>
      <c r="H684" t="n">
        <v>0</v>
      </c>
      <c r="I684" t="n">
        <v>0</v>
      </c>
      <c r="J684" t="n">
        <v>0</v>
      </c>
      <c r="K684" t="n">
        <v>0</v>
      </c>
      <c r="L684" t="n">
        <v>0</v>
      </c>
      <c r="M684" t="n">
        <v>0</v>
      </c>
      <c r="N684" t="n">
        <v>0</v>
      </c>
      <c r="O684" t="n">
        <v>0</v>
      </c>
      <c r="P684" t="n">
        <v>0</v>
      </c>
      <c r="Q684" t="n">
        <v>0</v>
      </c>
      <c r="R684" s="2" t="inlineStr"/>
    </row>
    <row r="685" ht="15" customHeight="1">
      <c r="A685" t="inlineStr">
        <is>
          <t>A 56921-2023</t>
        </is>
      </c>
      <c r="B685" s="1" t="n">
        <v>45244</v>
      </c>
      <c r="C685" s="1" t="n">
        <v>45998</v>
      </c>
      <c r="D685" t="inlineStr">
        <is>
          <t>VÄSTMANLANDS LÄN</t>
        </is>
      </c>
      <c r="E685" t="inlineStr">
        <is>
          <t>SKINNSKATTEBERG</t>
        </is>
      </c>
      <c r="F685" t="inlineStr">
        <is>
          <t>Kyrkan</t>
        </is>
      </c>
      <c r="G685" t="n">
        <v>1.7</v>
      </c>
      <c r="H685" t="n">
        <v>0</v>
      </c>
      <c r="I685" t="n">
        <v>0</v>
      </c>
      <c r="J685" t="n">
        <v>0</v>
      </c>
      <c r="K685" t="n">
        <v>0</v>
      </c>
      <c r="L685" t="n">
        <v>0</v>
      </c>
      <c r="M685" t="n">
        <v>0</v>
      </c>
      <c r="N685" t="n">
        <v>0</v>
      </c>
      <c r="O685" t="n">
        <v>0</v>
      </c>
      <c r="P685" t="n">
        <v>0</v>
      </c>
      <c r="Q685" t="n">
        <v>0</v>
      </c>
      <c r="R685" s="2" t="inlineStr"/>
    </row>
    <row r="686" ht="15" customHeight="1">
      <c r="A686" t="inlineStr">
        <is>
          <t>A 67353-2021</t>
        </is>
      </c>
      <c r="B686" s="1" t="n">
        <v>44523</v>
      </c>
      <c r="C686" s="1" t="n">
        <v>45998</v>
      </c>
      <c r="D686" t="inlineStr">
        <is>
          <t>VÄSTMANLANDS LÄN</t>
        </is>
      </c>
      <c r="E686" t="inlineStr">
        <is>
          <t>VÄSTERÅS</t>
        </is>
      </c>
      <c r="F686" t="inlineStr">
        <is>
          <t>Övriga Aktiebolag</t>
        </is>
      </c>
      <c r="G686" t="n">
        <v>7.6</v>
      </c>
      <c r="H686" t="n">
        <v>0</v>
      </c>
      <c r="I686" t="n">
        <v>0</v>
      </c>
      <c r="J686" t="n">
        <v>0</v>
      </c>
      <c r="K686" t="n">
        <v>0</v>
      </c>
      <c r="L686" t="n">
        <v>0</v>
      </c>
      <c r="M686" t="n">
        <v>0</v>
      </c>
      <c r="N686" t="n">
        <v>0</v>
      </c>
      <c r="O686" t="n">
        <v>0</v>
      </c>
      <c r="P686" t="n">
        <v>0</v>
      </c>
      <c r="Q686" t="n">
        <v>0</v>
      </c>
      <c r="R686" s="2" t="inlineStr"/>
    </row>
    <row r="687" ht="15" customHeight="1">
      <c r="A687" t="inlineStr">
        <is>
          <t>A 67356-2021</t>
        </is>
      </c>
      <c r="B687" s="1" t="n">
        <v>44523</v>
      </c>
      <c r="C687" s="1" t="n">
        <v>45998</v>
      </c>
      <c r="D687" t="inlineStr">
        <is>
          <t>VÄSTMANLANDS LÄN</t>
        </is>
      </c>
      <c r="E687" t="inlineStr">
        <is>
          <t>NORBERG</t>
        </is>
      </c>
      <c r="G687" t="n">
        <v>1.3</v>
      </c>
      <c r="H687" t="n">
        <v>0</v>
      </c>
      <c r="I687" t="n">
        <v>0</v>
      </c>
      <c r="J687" t="n">
        <v>0</v>
      </c>
      <c r="K687" t="n">
        <v>0</v>
      </c>
      <c r="L687" t="n">
        <v>0</v>
      </c>
      <c r="M687" t="n">
        <v>0</v>
      </c>
      <c r="N687" t="n">
        <v>0</v>
      </c>
      <c r="O687" t="n">
        <v>0</v>
      </c>
      <c r="P687" t="n">
        <v>0</v>
      </c>
      <c r="Q687" t="n">
        <v>0</v>
      </c>
      <c r="R687" s="2" t="inlineStr"/>
    </row>
    <row r="688" ht="15" customHeight="1">
      <c r="A688" t="inlineStr">
        <is>
          <t>A 14919-2025</t>
        </is>
      </c>
      <c r="B688" s="1" t="n">
        <v>45743.54256944444</v>
      </c>
      <c r="C688" s="1" t="n">
        <v>45998</v>
      </c>
      <c r="D688" t="inlineStr">
        <is>
          <t>VÄSTMANLANDS LÄN</t>
        </is>
      </c>
      <c r="E688" t="inlineStr">
        <is>
          <t>SALA</t>
        </is>
      </c>
      <c r="G688" t="n">
        <v>0.6</v>
      </c>
      <c r="H688" t="n">
        <v>0</v>
      </c>
      <c r="I688" t="n">
        <v>0</v>
      </c>
      <c r="J688" t="n">
        <v>0</v>
      </c>
      <c r="K688" t="n">
        <v>0</v>
      </c>
      <c r="L688" t="n">
        <v>0</v>
      </c>
      <c r="M688" t="n">
        <v>0</v>
      </c>
      <c r="N688" t="n">
        <v>0</v>
      </c>
      <c r="O688" t="n">
        <v>0</v>
      </c>
      <c r="P688" t="n">
        <v>0</v>
      </c>
      <c r="Q688" t="n">
        <v>0</v>
      </c>
      <c r="R688" s="2" t="inlineStr"/>
    </row>
    <row r="689" ht="15" customHeight="1">
      <c r="A689" t="inlineStr">
        <is>
          <t>A 14920-2025</t>
        </is>
      </c>
      <c r="B689" s="1" t="n">
        <v>45743</v>
      </c>
      <c r="C689" s="1" t="n">
        <v>45998</v>
      </c>
      <c r="D689" t="inlineStr">
        <is>
          <t>VÄSTMANLANDS LÄN</t>
        </is>
      </c>
      <c r="E689" t="inlineStr">
        <is>
          <t>SALA</t>
        </is>
      </c>
      <c r="G689" t="n">
        <v>0.5</v>
      </c>
      <c r="H689" t="n">
        <v>0</v>
      </c>
      <c r="I689" t="n">
        <v>0</v>
      </c>
      <c r="J689" t="n">
        <v>0</v>
      </c>
      <c r="K689" t="n">
        <v>0</v>
      </c>
      <c r="L689" t="n">
        <v>0</v>
      </c>
      <c r="M689" t="n">
        <v>0</v>
      </c>
      <c r="N689" t="n">
        <v>0</v>
      </c>
      <c r="O689" t="n">
        <v>0</v>
      </c>
      <c r="P689" t="n">
        <v>0</v>
      </c>
      <c r="Q689" t="n">
        <v>0</v>
      </c>
      <c r="R689" s="2" t="inlineStr"/>
    </row>
    <row r="690" ht="15" customHeight="1">
      <c r="A690" t="inlineStr">
        <is>
          <t>A 15890-2024</t>
        </is>
      </c>
      <c r="B690" s="1" t="n">
        <v>45405</v>
      </c>
      <c r="C690" s="1" t="n">
        <v>45998</v>
      </c>
      <c r="D690" t="inlineStr">
        <is>
          <t>VÄSTMANLANDS LÄN</t>
        </is>
      </c>
      <c r="E690" t="inlineStr">
        <is>
          <t>NORBERG</t>
        </is>
      </c>
      <c r="G690" t="n">
        <v>5.3</v>
      </c>
      <c r="H690" t="n">
        <v>0</v>
      </c>
      <c r="I690" t="n">
        <v>0</v>
      </c>
      <c r="J690" t="n">
        <v>0</v>
      </c>
      <c r="K690" t="n">
        <v>0</v>
      </c>
      <c r="L690" t="n">
        <v>0</v>
      </c>
      <c r="M690" t="n">
        <v>0</v>
      </c>
      <c r="N690" t="n">
        <v>0</v>
      </c>
      <c r="O690" t="n">
        <v>0</v>
      </c>
      <c r="P690" t="n">
        <v>0</v>
      </c>
      <c r="Q690" t="n">
        <v>0</v>
      </c>
      <c r="R690" s="2" t="inlineStr"/>
    </row>
    <row r="691" ht="15" customHeight="1">
      <c r="A691" t="inlineStr">
        <is>
          <t>A 68976-2021</t>
        </is>
      </c>
      <c r="B691" s="1" t="n">
        <v>44530</v>
      </c>
      <c r="C691" s="1" t="n">
        <v>45998</v>
      </c>
      <c r="D691" t="inlineStr">
        <is>
          <t>VÄSTMANLANDS LÄN</t>
        </is>
      </c>
      <c r="E691" t="inlineStr">
        <is>
          <t>KÖPING</t>
        </is>
      </c>
      <c r="G691" t="n">
        <v>13.1</v>
      </c>
      <c r="H691" t="n">
        <v>0</v>
      </c>
      <c r="I691" t="n">
        <v>0</v>
      </c>
      <c r="J691" t="n">
        <v>0</v>
      </c>
      <c r="K691" t="n">
        <v>0</v>
      </c>
      <c r="L691" t="n">
        <v>0</v>
      </c>
      <c r="M691" t="n">
        <v>0</v>
      </c>
      <c r="N691" t="n">
        <v>0</v>
      </c>
      <c r="O691" t="n">
        <v>0</v>
      </c>
      <c r="P691" t="n">
        <v>0</v>
      </c>
      <c r="Q691" t="n">
        <v>0</v>
      </c>
      <c r="R691" s="2" t="inlineStr"/>
    </row>
    <row r="692" ht="15" customHeight="1">
      <c r="A692" t="inlineStr">
        <is>
          <t>A 45714-2021</t>
        </is>
      </c>
      <c r="B692" s="1" t="n">
        <v>44441</v>
      </c>
      <c r="C692" s="1" t="n">
        <v>45998</v>
      </c>
      <c r="D692" t="inlineStr">
        <is>
          <t>VÄSTMANLANDS LÄN</t>
        </is>
      </c>
      <c r="E692" t="inlineStr">
        <is>
          <t>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39868-2024</t>
        </is>
      </c>
      <c r="B693" s="1" t="n">
        <v>45553</v>
      </c>
      <c r="C693" s="1" t="n">
        <v>45998</v>
      </c>
      <c r="D693" t="inlineStr">
        <is>
          <t>VÄSTMANLANDS LÄN</t>
        </is>
      </c>
      <c r="E693" t="inlineStr">
        <is>
          <t>SKINNSKATTEBERG</t>
        </is>
      </c>
      <c r="F693" t="inlineStr">
        <is>
          <t>Kyrkan</t>
        </is>
      </c>
      <c r="G693" t="n">
        <v>2.5</v>
      </c>
      <c r="H693" t="n">
        <v>0</v>
      </c>
      <c r="I693" t="n">
        <v>0</v>
      </c>
      <c r="J693" t="n">
        <v>0</v>
      </c>
      <c r="K693" t="n">
        <v>0</v>
      </c>
      <c r="L693" t="n">
        <v>0</v>
      </c>
      <c r="M693" t="n">
        <v>0</v>
      </c>
      <c r="N693" t="n">
        <v>0</v>
      </c>
      <c r="O693" t="n">
        <v>0</v>
      </c>
      <c r="P693" t="n">
        <v>0</v>
      </c>
      <c r="Q693" t="n">
        <v>0</v>
      </c>
      <c r="R693" s="2" t="inlineStr"/>
    </row>
    <row r="694" ht="15" customHeight="1">
      <c r="A694" t="inlineStr">
        <is>
          <t>A 13241-2025</t>
        </is>
      </c>
      <c r="B694" s="1" t="n">
        <v>45735.47672453704</v>
      </c>
      <c r="C694" s="1" t="n">
        <v>45998</v>
      </c>
      <c r="D694" t="inlineStr">
        <is>
          <t>VÄSTMANLANDS LÄN</t>
        </is>
      </c>
      <c r="E694" t="inlineStr">
        <is>
          <t>VÄSTERÅS</t>
        </is>
      </c>
      <c r="G694" t="n">
        <v>1</v>
      </c>
      <c r="H694" t="n">
        <v>0</v>
      </c>
      <c r="I694" t="n">
        <v>0</v>
      </c>
      <c r="J694" t="n">
        <v>0</v>
      </c>
      <c r="K694" t="n">
        <v>0</v>
      </c>
      <c r="L694" t="n">
        <v>0</v>
      </c>
      <c r="M694" t="n">
        <v>0</v>
      </c>
      <c r="N694" t="n">
        <v>0</v>
      </c>
      <c r="O694" t="n">
        <v>0</v>
      </c>
      <c r="P694" t="n">
        <v>0</v>
      </c>
      <c r="Q694" t="n">
        <v>0</v>
      </c>
      <c r="R694" s="2" t="inlineStr"/>
    </row>
    <row r="695" ht="15" customHeight="1">
      <c r="A695" t="inlineStr">
        <is>
          <t>A 27486-2022</t>
        </is>
      </c>
      <c r="B695" s="1" t="n">
        <v>44742.60846064815</v>
      </c>
      <c r="C695" s="1" t="n">
        <v>45998</v>
      </c>
      <c r="D695" t="inlineStr">
        <is>
          <t>VÄSTMANLANDS LÄN</t>
        </is>
      </c>
      <c r="E695" t="inlineStr">
        <is>
          <t>SALA</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16651-2021</t>
        </is>
      </c>
      <c r="B696" s="1" t="n">
        <v>44294.50096064815</v>
      </c>
      <c r="C696" s="1" t="n">
        <v>45998</v>
      </c>
      <c r="D696" t="inlineStr">
        <is>
          <t>VÄSTMANLANDS LÄN</t>
        </is>
      </c>
      <c r="E696" t="inlineStr">
        <is>
          <t>SALA</t>
        </is>
      </c>
      <c r="G696" t="n">
        <v>7.7</v>
      </c>
      <c r="H696" t="n">
        <v>0</v>
      </c>
      <c r="I696" t="n">
        <v>0</v>
      </c>
      <c r="J696" t="n">
        <v>0</v>
      </c>
      <c r="K696" t="n">
        <v>0</v>
      </c>
      <c r="L696" t="n">
        <v>0</v>
      </c>
      <c r="M696" t="n">
        <v>0</v>
      </c>
      <c r="N696" t="n">
        <v>0</v>
      </c>
      <c r="O696" t="n">
        <v>0</v>
      </c>
      <c r="P696" t="n">
        <v>0</v>
      </c>
      <c r="Q696" t="n">
        <v>0</v>
      </c>
      <c r="R696" s="2" t="inlineStr"/>
    </row>
    <row r="697" ht="15" customHeight="1">
      <c r="A697" t="inlineStr">
        <is>
          <t>A 6666-2024</t>
        </is>
      </c>
      <c r="B697" s="1" t="n">
        <v>45341.75035879629</v>
      </c>
      <c r="C697" s="1" t="n">
        <v>45998</v>
      </c>
      <c r="D697" t="inlineStr">
        <is>
          <t>VÄSTMANLANDS LÄN</t>
        </is>
      </c>
      <c r="E697" t="inlineStr">
        <is>
          <t>ARBOGA</t>
        </is>
      </c>
      <c r="G697" t="n">
        <v>1.5</v>
      </c>
      <c r="H697" t="n">
        <v>0</v>
      </c>
      <c r="I697" t="n">
        <v>0</v>
      </c>
      <c r="J697" t="n">
        <v>0</v>
      </c>
      <c r="K697" t="n">
        <v>0</v>
      </c>
      <c r="L697" t="n">
        <v>0</v>
      </c>
      <c r="M697" t="n">
        <v>0</v>
      </c>
      <c r="N697" t="n">
        <v>0</v>
      </c>
      <c r="O697" t="n">
        <v>0</v>
      </c>
      <c r="P697" t="n">
        <v>0</v>
      </c>
      <c r="Q697" t="n">
        <v>0</v>
      </c>
      <c r="R697" s="2" t="inlineStr"/>
    </row>
    <row r="698" ht="15" customHeight="1">
      <c r="A698" t="inlineStr">
        <is>
          <t>A 51219-2023</t>
        </is>
      </c>
      <c r="B698" s="1" t="n">
        <v>45219.45475694445</v>
      </c>
      <c r="C698" s="1" t="n">
        <v>45998</v>
      </c>
      <c r="D698" t="inlineStr">
        <is>
          <t>VÄSTMANLANDS LÄN</t>
        </is>
      </c>
      <c r="E698" t="inlineStr">
        <is>
          <t>VÄSTERÅS</t>
        </is>
      </c>
      <c r="G698" t="n">
        <v>3.5</v>
      </c>
      <c r="H698" t="n">
        <v>0</v>
      </c>
      <c r="I698" t="n">
        <v>0</v>
      </c>
      <c r="J698" t="n">
        <v>0</v>
      </c>
      <c r="K698" t="n">
        <v>0</v>
      </c>
      <c r="L698" t="n">
        <v>0</v>
      </c>
      <c r="M698" t="n">
        <v>0</v>
      </c>
      <c r="N698" t="n">
        <v>0</v>
      </c>
      <c r="O698" t="n">
        <v>0</v>
      </c>
      <c r="P698" t="n">
        <v>0</v>
      </c>
      <c r="Q698" t="n">
        <v>0</v>
      </c>
      <c r="R698" s="2" t="inlineStr"/>
    </row>
    <row r="699" ht="15" customHeight="1">
      <c r="A699" t="inlineStr">
        <is>
          <t>A 5001-2024</t>
        </is>
      </c>
      <c r="B699" s="1" t="n">
        <v>45329</v>
      </c>
      <c r="C699" s="1" t="n">
        <v>45998</v>
      </c>
      <c r="D699" t="inlineStr">
        <is>
          <t>VÄSTMANLANDS LÄN</t>
        </is>
      </c>
      <c r="E699" t="inlineStr">
        <is>
          <t>SKINNSKATTEBERG</t>
        </is>
      </c>
      <c r="G699" t="n">
        <v>3.4</v>
      </c>
      <c r="H699" t="n">
        <v>0</v>
      </c>
      <c r="I699" t="n">
        <v>0</v>
      </c>
      <c r="J699" t="n">
        <v>0</v>
      </c>
      <c r="K699" t="n">
        <v>0</v>
      </c>
      <c r="L699" t="n">
        <v>0</v>
      </c>
      <c r="M699" t="n">
        <v>0</v>
      </c>
      <c r="N699" t="n">
        <v>0</v>
      </c>
      <c r="O699" t="n">
        <v>0</v>
      </c>
      <c r="P699" t="n">
        <v>0</v>
      </c>
      <c r="Q699" t="n">
        <v>0</v>
      </c>
      <c r="R699" s="2" t="inlineStr"/>
    </row>
    <row r="700" ht="15" customHeight="1">
      <c r="A700" t="inlineStr">
        <is>
          <t>A 12094-2024</t>
        </is>
      </c>
      <c r="B700" s="1" t="n">
        <v>45377.57371527778</v>
      </c>
      <c r="C700" s="1" t="n">
        <v>45998</v>
      </c>
      <c r="D700" t="inlineStr">
        <is>
          <t>VÄSTMANLANDS LÄN</t>
        </is>
      </c>
      <c r="E700" t="inlineStr">
        <is>
          <t>SKINNSKATTEBERG</t>
        </is>
      </c>
      <c r="F700" t="inlineStr">
        <is>
          <t>Sveaskog</t>
        </is>
      </c>
      <c r="G700" t="n">
        <v>13.4</v>
      </c>
      <c r="H700" t="n">
        <v>0</v>
      </c>
      <c r="I700" t="n">
        <v>0</v>
      </c>
      <c r="J700" t="n">
        <v>0</v>
      </c>
      <c r="K700" t="n">
        <v>0</v>
      </c>
      <c r="L700" t="n">
        <v>0</v>
      </c>
      <c r="M700" t="n">
        <v>0</v>
      </c>
      <c r="N700" t="n">
        <v>0</v>
      </c>
      <c r="O700" t="n">
        <v>0</v>
      </c>
      <c r="P700" t="n">
        <v>0</v>
      </c>
      <c r="Q700" t="n">
        <v>0</v>
      </c>
      <c r="R700" s="2" t="inlineStr"/>
    </row>
    <row r="701" ht="15" customHeight="1">
      <c r="A701" t="inlineStr">
        <is>
          <t>A 12095-2024</t>
        </is>
      </c>
      <c r="B701" s="1" t="n">
        <v>45377.5744212963</v>
      </c>
      <c r="C701" s="1" t="n">
        <v>45998</v>
      </c>
      <c r="D701" t="inlineStr">
        <is>
          <t>VÄSTMANLANDS LÄN</t>
        </is>
      </c>
      <c r="E701" t="inlineStr">
        <is>
          <t>SKINNSKATTEBERG</t>
        </is>
      </c>
      <c r="F701" t="inlineStr">
        <is>
          <t>Sveaskog</t>
        </is>
      </c>
      <c r="G701" t="n">
        <v>6.6</v>
      </c>
      <c r="H701" t="n">
        <v>0</v>
      </c>
      <c r="I701" t="n">
        <v>0</v>
      </c>
      <c r="J701" t="n">
        <v>0</v>
      </c>
      <c r="K701" t="n">
        <v>0</v>
      </c>
      <c r="L701" t="n">
        <v>0</v>
      </c>
      <c r="M701" t="n">
        <v>0</v>
      </c>
      <c r="N701" t="n">
        <v>0</v>
      </c>
      <c r="O701" t="n">
        <v>0</v>
      </c>
      <c r="P701" t="n">
        <v>0</v>
      </c>
      <c r="Q701" t="n">
        <v>0</v>
      </c>
      <c r="R701" s="2" t="inlineStr"/>
    </row>
    <row r="702" ht="15" customHeight="1">
      <c r="A702" t="inlineStr">
        <is>
          <t>A 6134-2024</t>
        </is>
      </c>
      <c r="B702" s="1" t="n">
        <v>45337</v>
      </c>
      <c r="C702" s="1" t="n">
        <v>45998</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18960-2025</t>
        </is>
      </c>
      <c r="B703" s="1" t="n">
        <v>45764.52758101852</v>
      </c>
      <c r="C703" s="1" t="n">
        <v>45998</v>
      </c>
      <c r="D703" t="inlineStr">
        <is>
          <t>VÄSTMANLANDS LÄN</t>
        </is>
      </c>
      <c r="E703" t="inlineStr">
        <is>
          <t>NORBERG</t>
        </is>
      </c>
      <c r="F703" t="inlineStr">
        <is>
          <t>Sveaskog</t>
        </is>
      </c>
      <c r="G703" t="n">
        <v>2.8</v>
      </c>
      <c r="H703" t="n">
        <v>0</v>
      </c>
      <c r="I703" t="n">
        <v>0</v>
      </c>
      <c r="J703" t="n">
        <v>0</v>
      </c>
      <c r="K703" t="n">
        <v>0</v>
      </c>
      <c r="L703" t="n">
        <v>0</v>
      </c>
      <c r="M703" t="n">
        <v>0</v>
      </c>
      <c r="N703" t="n">
        <v>0</v>
      </c>
      <c r="O703" t="n">
        <v>0</v>
      </c>
      <c r="P703" t="n">
        <v>0</v>
      </c>
      <c r="Q703" t="n">
        <v>0</v>
      </c>
      <c r="R703" s="2" t="inlineStr"/>
    </row>
    <row r="704" ht="15" customHeight="1">
      <c r="A704" t="inlineStr">
        <is>
          <t>A 23641-2023</t>
        </is>
      </c>
      <c r="B704" s="1" t="n">
        <v>45077.53309027778</v>
      </c>
      <c r="C704" s="1" t="n">
        <v>45998</v>
      </c>
      <c r="D704" t="inlineStr">
        <is>
          <t>VÄSTMANLANDS LÄN</t>
        </is>
      </c>
      <c r="E704" t="inlineStr">
        <is>
          <t>VÄSTERÅS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4385-2025</t>
        </is>
      </c>
      <c r="B705" s="1" t="n">
        <v>45686</v>
      </c>
      <c r="C705" s="1" t="n">
        <v>45998</v>
      </c>
      <c r="D705" t="inlineStr">
        <is>
          <t>VÄSTMANLANDS LÄN</t>
        </is>
      </c>
      <c r="E705" t="inlineStr">
        <is>
          <t>SKINNSKATTEBERG</t>
        </is>
      </c>
      <c r="G705" t="n">
        <v>1.1</v>
      </c>
      <c r="H705" t="n">
        <v>0</v>
      </c>
      <c r="I705" t="n">
        <v>0</v>
      </c>
      <c r="J705" t="n">
        <v>0</v>
      </c>
      <c r="K705" t="n">
        <v>0</v>
      </c>
      <c r="L705" t="n">
        <v>0</v>
      </c>
      <c r="M705" t="n">
        <v>0</v>
      </c>
      <c r="N705" t="n">
        <v>0</v>
      </c>
      <c r="O705" t="n">
        <v>0</v>
      </c>
      <c r="P705" t="n">
        <v>0</v>
      </c>
      <c r="Q705" t="n">
        <v>0</v>
      </c>
      <c r="R705" s="2" t="inlineStr"/>
    </row>
    <row r="706" ht="15" customHeight="1">
      <c r="A706" t="inlineStr">
        <is>
          <t>A 30305-2022</t>
        </is>
      </c>
      <c r="B706" s="1" t="n">
        <v>44760</v>
      </c>
      <c r="C706" s="1" t="n">
        <v>45998</v>
      </c>
      <c r="D706" t="inlineStr">
        <is>
          <t>VÄSTMANLANDS LÄN</t>
        </is>
      </c>
      <c r="E706" t="inlineStr">
        <is>
          <t>ARBOGA</t>
        </is>
      </c>
      <c r="G706" t="n">
        <v>0.3</v>
      </c>
      <c r="H706" t="n">
        <v>0</v>
      </c>
      <c r="I706" t="n">
        <v>0</v>
      </c>
      <c r="J706" t="n">
        <v>0</v>
      </c>
      <c r="K706" t="n">
        <v>0</v>
      </c>
      <c r="L706" t="n">
        <v>0</v>
      </c>
      <c r="M706" t="n">
        <v>0</v>
      </c>
      <c r="N706" t="n">
        <v>0</v>
      </c>
      <c r="O706" t="n">
        <v>0</v>
      </c>
      <c r="P706" t="n">
        <v>0</v>
      </c>
      <c r="Q706" t="n">
        <v>0</v>
      </c>
      <c r="R706" s="2" t="inlineStr"/>
    </row>
    <row r="707" ht="15" customHeight="1">
      <c r="A707" t="inlineStr">
        <is>
          <t>A 15354-2021</t>
        </is>
      </c>
      <c r="B707" s="1" t="n">
        <v>44284</v>
      </c>
      <c r="C707" s="1" t="n">
        <v>45998</v>
      </c>
      <c r="D707" t="inlineStr">
        <is>
          <t>VÄSTMANLANDS LÄN</t>
        </is>
      </c>
      <c r="E707" t="inlineStr">
        <is>
          <t>SALA</t>
        </is>
      </c>
      <c r="F707" t="inlineStr">
        <is>
          <t>Kyrkan</t>
        </is>
      </c>
      <c r="G707" t="n">
        <v>8.5</v>
      </c>
      <c r="H707" t="n">
        <v>0</v>
      </c>
      <c r="I707" t="n">
        <v>0</v>
      </c>
      <c r="J707" t="n">
        <v>0</v>
      </c>
      <c r="K707" t="n">
        <v>0</v>
      </c>
      <c r="L707" t="n">
        <v>0</v>
      </c>
      <c r="M707" t="n">
        <v>0</v>
      </c>
      <c r="N707" t="n">
        <v>0</v>
      </c>
      <c r="O707" t="n">
        <v>0</v>
      </c>
      <c r="P707" t="n">
        <v>0</v>
      </c>
      <c r="Q707" t="n">
        <v>0</v>
      </c>
      <c r="R707" s="2" t="inlineStr"/>
    </row>
    <row r="708" ht="15" customHeight="1">
      <c r="A708" t="inlineStr">
        <is>
          <t>A 10750-2023</t>
        </is>
      </c>
      <c r="B708" s="1" t="n">
        <v>44985</v>
      </c>
      <c r="C708" s="1" t="n">
        <v>45998</v>
      </c>
      <c r="D708" t="inlineStr">
        <is>
          <t>VÄSTMANLANDS LÄN</t>
        </is>
      </c>
      <c r="E708" t="inlineStr">
        <is>
          <t>KÖPING</t>
        </is>
      </c>
      <c r="G708" t="n">
        <v>5.9</v>
      </c>
      <c r="H708" t="n">
        <v>0</v>
      </c>
      <c r="I708" t="n">
        <v>0</v>
      </c>
      <c r="J708" t="n">
        <v>0</v>
      </c>
      <c r="K708" t="n">
        <v>0</v>
      </c>
      <c r="L708" t="n">
        <v>0</v>
      </c>
      <c r="M708" t="n">
        <v>0</v>
      </c>
      <c r="N708" t="n">
        <v>0</v>
      </c>
      <c r="O708" t="n">
        <v>0</v>
      </c>
      <c r="P708" t="n">
        <v>0</v>
      </c>
      <c r="Q708" t="n">
        <v>0</v>
      </c>
      <c r="R708" s="2" t="inlineStr"/>
    </row>
    <row r="709" ht="15" customHeight="1">
      <c r="A709" t="inlineStr">
        <is>
          <t>A 13855-2023</t>
        </is>
      </c>
      <c r="B709" s="1" t="n">
        <v>45007</v>
      </c>
      <c r="C709" s="1" t="n">
        <v>45998</v>
      </c>
      <c r="D709" t="inlineStr">
        <is>
          <t>VÄSTMANLANDS LÄN</t>
        </is>
      </c>
      <c r="E709" t="inlineStr">
        <is>
          <t>SALA</t>
        </is>
      </c>
      <c r="G709" t="n">
        <v>2.9</v>
      </c>
      <c r="H709" t="n">
        <v>0</v>
      </c>
      <c r="I709" t="n">
        <v>0</v>
      </c>
      <c r="J709" t="n">
        <v>0</v>
      </c>
      <c r="K709" t="n">
        <v>0</v>
      </c>
      <c r="L709" t="n">
        <v>0</v>
      </c>
      <c r="M709" t="n">
        <v>0</v>
      </c>
      <c r="N709" t="n">
        <v>0</v>
      </c>
      <c r="O709" t="n">
        <v>0</v>
      </c>
      <c r="P709" t="n">
        <v>0</v>
      </c>
      <c r="Q709" t="n">
        <v>0</v>
      </c>
      <c r="R709" s="2" t="inlineStr"/>
    </row>
    <row r="710" ht="15" customHeight="1">
      <c r="A710" t="inlineStr">
        <is>
          <t>A 13050-2025</t>
        </is>
      </c>
      <c r="B710" s="1" t="n">
        <v>45734.59349537037</v>
      </c>
      <c r="C710" s="1" t="n">
        <v>45998</v>
      </c>
      <c r="D710" t="inlineStr">
        <is>
          <t>VÄSTMANLANDS LÄN</t>
        </is>
      </c>
      <c r="E710" t="inlineStr">
        <is>
          <t>KÖPING</t>
        </is>
      </c>
      <c r="F710" t="inlineStr">
        <is>
          <t>Sveaskog</t>
        </is>
      </c>
      <c r="G710" t="n">
        <v>7.4</v>
      </c>
      <c r="H710" t="n">
        <v>0</v>
      </c>
      <c r="I710" t="n">
        <v>0</v>
      </c>
      <c r="J710" t="n">
        <v>0</v>
      </c>
      <c r="K710" t="n">
        <v>0</v>
      </c>
      <c r="L710" t="n">
        <v>0</v>
      </c>
      <c r="M710" t="n">
        <v>0</v>
      </c>
      <c r="N710" t="n">
        <v>0</v>
      </c>
      <c r="O710" t="n">
        <v>0</v>
      </c>
      <c r="P710" t="n">
        <v>0</v>
      </c>
      <c r="Q710" t="n">
        <v>0</v>
      </c>
      <c r="R710" s="2" t="inlineStr"/>
    </row>
    <row r="711" ht="15" customHeight="1">
      <c r="A711" t="inlineStr">
        <is>
          <t>A 18457-2023</t>
        </is>
      </c>
      <c r="B711" s="1" t="n">
        <v>45042</v>
      </c>
      <c r="C711" s="1" t="n">
        <v>45998</v>
      </c>
      <c r="D711" t="inlineStr">
        <is>
          <t>VÄSTMANLANDS LÄN</t>
        </is>
      </c>
      <c r="E711" t="inlineStr">
        <is>
          <t>VÄSTERÅS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10232-2025</t>
        </is>
      </c>
      <c r="B712" s="1" t="n">
        <v>45720.33230324074</v>
      </c>
      <c r="C712" s="1" t="n">
        <v>45998</v>
      </c>
      <c r="D712" t="inlineStr">
        <is>
          <t>VÄSTMANLANDS LÄN</t>
        </is>
      </c>
      <c r="E712" t="inlineStr">
        <is>
          <t>SKINNSKATTEBERG</t>
        </is>
      </c>
      <c r="G712" t="n">
        <v>2.8</v>
      </c>
      <c r="H712" t="n">
        <v>0</v>
      </c>
      <c r="I712" t="n">
        <v>0</v>
      </c>
      <c r="J712" t="n">
        <v>0</v>
      </c>
      <c r="K712" t="n">
        <v>0</v>
      </c>
      <c r="L712" t="n">
        <v>0</v>
      </c>
      <c r="M712" t="n">
        <v>0</v>
      </c>
      <c r="N712" t="n">
        <v>0</v>
      </c>
      <c r="O712" t="n">
        <v>0</v>
      </c>
      <c r="P712" t="n">
        <v>0</v>
      </c>
      <c r="Q712" t="n">
        <v>0</v>
      </c>
      <c r="R712" s="2" t="inlineStr"/>
    </row>
    <row r="713" ht="15" customHeight="1">
      <c r="A713" t="inlineStr">
        <is>
          <t>A 33931-2022</t>
        </is>
      </c>
      <c r="B713" s="1" t="n">
        <v>44790.65153935185</v>
      </c>
      <c r="C713" s="1" t="n">
        <v>45998</v>
      </c>
      <c r="D713" t="inlineStr">
        <is>
          <t>VÄSTMANLANDS LÄN</t>
        </is>
      </c>
      <c r="E713" t="inlineStr">
        <is>
          <t>SURAHAMMAR</t>
        </is>
      </c>
      <c r="G713" t="n">
        <v>2.2</v>
      </c>
      <c r="H713" t="n">
        <v>0</v>
      </c>
      <c r="I713" t="n">
        <v>0</v>
      </c>
      <c r="J713" t="n">
        <v>0</v>
      </c>
      <c r="K713" t="n">
        <v>0</v>
      </c>
      <c r="L713" t="n">
        <v>0</v>
      </c>
      <c r="M713" t="n">
        <v>0</v>
      </c>
      <c r="N713" t="n">
        <v>0</v>
      </c>
      <c r="O713" t="n">
        <v>0</v>
      </c>
      <c r="P713" t="n">
        <v>0</v>
      </c>
      <c r="Q713" t="n">
        <v>0</v>
      </c>
      <c r="R713" s="2" t="inlineStr"/>
    </row>
    <row r="714" ht="15" customHeight="1">
      <c r="A714" t="inlineStr">
        <is>
          <t>A 44408-2022</t>
        </is>
      </c>
      <c r="B714" s="1" t="n">
        <v>44839</v>
      </c>
      <c r="C714" s="1" t="n">
        <v>45998</v>
      </c>
      <c r="D714" t="inlineStr">
        <is>
          <t>VÄSTMANLANDS LÄN</t>
        </is>
      </c>
      <c r="E714" t="inlineStr">
        <is>
          <t>KÖPING</t>
        </is>
      </c>
      <c r="G714" t="n">
        <v>2.7</v>
      </c>
      <c r="H714" t="n">
        <v>0</v>
      </c>
      <c r="I714" t="n">
        <v>0</v>
      </c>
      <c r="J714" t="n">
        <v>0</v>
      </c>
      <c r="K714" t="n">
        <v>0</v>
      </c>
      <c r="L714" t="n">
        <v>0</v>
      </c>
      <c r="M714" t="n">
        <v>0</v>
      </c>
      <c r="N714" t="n">
        <v>0</v>
      </c>
      <c r="O714" t="n">
        <v>0</v>
      </c>
      <c r="P714" t="n">
        <v>0</v>
      </c>
      <c r="Q714" t="n">
        <v>0</v>
      </c>
      <c r="R714" s="2" t="inlineStr"/>
    </row>
    <row r="715" ht="15" customHeight="1">
      <c r="A715" t="inlineStr">
        <is>
          <t>A 39597-2022</t>
        </is>
      </c>
      <c r="B715" s="1" t="n">
        <v>44818</v>
      </c>
      <c r="C715" s="1" t="n">
        <v>45998</v>
      </c>
      <c r="D715" t="inlineStr">
        <is>
          <t>VÄSTMANLANDS LÄN</t>
        </is>
      </c>
      <c r="E715" t="inlineStr">
        <is>
          <t>SALA</t>
        </is>
      </c>
      <c r="G715" t="n">
        <v>2.3</v>
      </c>
      <c r="H715" t="n">
        <v>0</v>
      </c>
      <c r="I715" t="n">
        <v>0</v>
      </c>
      <c r="J715" t="n">
        <v>0</v>
      </c>
      <c r="K715" t="n">
        <v>0</v>
      </c>
      <c r="L715" t="n">
        <v>0</v>
      </c>
      <c r="M715" t="n">
        <v>0</v>
      </c>
      <c r="N715" t="n">
        <v>0</v>
      </c>
      <c r="O715" t="n">
        <v>0</v>
      </c>
      <c r="P715" t="n">
        <v>0</v>
      </c>
      <c r="Q715" t="n">
        <v>0</v>
      </c>
      <c r="R715" s="2" t="inlineStr"/>
    </row>
    <row r="716" ht="15" customHeight="1">
      <c r="A716" t="inlineStr">
        <is>
          <t>A 19917-2025</t>
        </is>
      </c>
      <c r="B716" s="1" t="n">
        <v>45771</v>
      </c>
      <c r="C716" s="1" t="n">
        <v>45998</v>
      </c>
      <c r="D716" t="inlineStr">
        <is>
          <t>VÄSTMANLANDS LÄN</t>
        </is>
      </c>
      <c r="E716" t="inlineStr">
        <is>
          <t>KUNGSÖR</t>
        </is>
      </c>
      <c r="G716" t="n">
        <v>4.6</v>
      </c>
      <c r="H716" t="n">
        <v>0</v>
      </c>
      <c r="I716" t="n">
        <v>0</v>
      </c>
      <c r="J716" t="n">
        <v>0</v>
      </c>
      <c r="K716" t="n">
        <v>0</v>
      </c>
      <c r="L716" t="n">
        <v>0</v>
      </c>
      <c r="M716" t="n">
        <v>0</v>
      </c>
      <c r="N716" t="n">
        <v>0</v>
      </c>
      <c r="O716" t="n">
        <v>0</v>
      </c>
      <c r="P716" t="n">
        <v>0</v>
      </c>
      <c r="Q716" t="n">
        <v>0</v>
      </c>
      <c r="R716" s="2" t="inlineStr"/>
    </row>
    <row r="717" ht="15" customHeight="1">
      <c r="A717" t="inlineStr">
        <is>
          <t>A 53061-2023</t>
        </is>
      </c>
      <c r="B717" s="1" t="n">
        <v>45227.3034837963</v>
      </c>
      <c r="C717" s="1" t="n">
        <v>45998</v>
      </c>
      <c r="D717" t="inlineStr">
        <is>
          <t>VÄSTMANLANDS LÄN</t>
        </is>
      </c>
      <c r="E717" t="inlineStr">
        <is>
          <t>KÖPING</t>
        </is>
      </c>
      <c r="G717" t="n">
        <v>1.2</v>
      </c>
      <c r="H717" t="n">
        <v>0</v>
      </c>
      <c r="I717" t="n">
        <v>0</v>
      </c>
      <c r="J717" t="n">
        <v>0</v>
      </c>
      <c r="K717" t="n">
        <v>0</v>
      </c>
      <c r="L717" t="n">
        <v>0</v>
      </c>
      <c r="M717" t="n">
        <v>0</v>
      </c>
      <c r="N717" t="n">
        <v>0</v>
      </c>
      <c r="O717" t="n">
        <v>0</v>
      </c>
      <c r="P717" t="n">
        <v>0</v>
      </c>
      <c r="Q717" t="n">
        <v>0</v>
      </c>
      <c r="R717" s="2" t="inlineStr"/>
    </row>
    <row r="718" ht="15" customHeight="1">
      <c r="A718" t="inlineStr">
        <is>
          <t>A 13838-2025</t>
        </is>
      </c>
      <c r="B718" s="1" t="n">
        <v>45737.55372685185</v>
      </c>
      <c r="C718" s="1" t="n">
        <v>45998</v>
      </c>
      <c r="D718" t="inlineStr">
        <is>
          <t>VÄSTMANLANDS LÄN</t>
        </is>
      </c>
      <c r="E718" t="inlineStr">
        <is>
          <t>NORBERG</t>
        </is>
      </c>
      <c r="F718" t="inlineStr">
        <is>
          <t>Sveaskog</t>
        </is>
      </c>
      <c r="G718" t="n">
        <v>4.1</v>
      </c>
      <c r="H718" t="n">
        <v>0</v>
      </c>
      <c r="I718" t="n">
        <v>0</v>
      </c>
      <c r="J718" t="n">
        <v>0</v>
      </c>
      <c r="K718" t="n">
        <v>0</v>
      </c>
      <c r="L718" t="n">
        <v>0</v>
      </c>
      <c r="M718" t="n">
        <v>0</v>
      </c>
      <c r="N718" t="n">
        <v>0</v>
      </c>
      <c r="O718" t="n">
        <v>0</v>
      </c>
      <c r="P718" t="n">
        <v>0</v>
      </c>
      <c r="Q718" t="n">
        <v>0</v>
      </c>
      <c r="R718" s="2" t="inlineStr"/>
    </row>
    <row r="719" ht="15" customHeight="1">
      <c r="A719" t="inlineStr">
        <is>
          <t>A 41114-2022</t>
        </is>
      </c>
      <c r="B719" s="1" t="n">
        <v>44825.68005787037</v>
      </c>
      <c r="C719" s="1" t="n">
        <v>45998</v>
      </c>
      <c r="D719" t="inlineStr">
        <is>
          <t>VÄSTMANLANDS LÄN</t>
        </is>
      </c>
      <c r="E719" t="inlineStr">
        <is>
          <t>VÄSTERÅS</t>
        </is>
      </c>
      <c r="G719" t="n">
        <v>4.1</v>
      </c>
      <c r="H719" t="n">
        <v>0</v>
      </c>
      <c r="I719" t="n">
        <v>0</v>
      </c>
      <c r="J719" t="n">
        <v>0</v>
      </c>
      <c r="K719" t="n">
        <v>0</v>
      </c>
      <c r="L719" t="n">
        <v>0</v>
      </c>
      <c r="M719" t="n">
        <v>0</v>
      </c>
      <c r="N719" t="n">
        <v>0</v>
      </c>
      <c r="O719" t="n">
        <v>0</v>
      </c>
      <c r="P719" t="n">
        <v>0</v>
      </c>
      <c r="Q719" t="n">
        <v>0</v>
      </c>
      <c r="R719" s="2" t="inlineStr"/>
    </row>
    <row r="720" ht="15" customHeight="1">
      <c r="A720" t="inlineStr">
        <is>
          <t>A 50124-2022</t>
        </is>
      </c>
      <c r="B720" s="1" t="n">
        <v>44860</v>
      </c>
      <c r="C720" s="1" t="n">
        <v>45998</v>
      </c>
      <c r="D720" t="inlineStr">
        <is>
          <t>VÄSTMANLANDS LÄN</t>
        </is>
      </c>
      <c r="E720" t="inlineStr">
        <is>
          <t>NORBERG</t>
        </is>
      </c>
      <c r="G720" t="n">
        <v>6.8</v>
      </c>
      <c r="H720" t="n">
        <v>0</v>
      </c>
      <c r="I720" t="n">
        <v>0</v>
      </c>
      <c r="J720" t="n">
        <v>0</v>
      </c>
      <c r="K720" t="n">
        <v>0</v>
      </c>
      <c r="L720" t="n">
        <v>0</v>
      </c>
      <c r="M720" t="n">
        <v>0</v>
      </c>
      <c r="N720" t="n">
        <v>0</v>
      </c>
      <c r="O720" t="n">
        <v>0</v>
      </c>
      <c r="P720" t="n">
        <v>0</v>
      </c>
      <c r="Q720" t="n">
        <v>0</v>
      </c>
      <c r="R720" s="2" t="inlineStr"/>
    </row>
    <row r="721" ht="15" customHeight="1">
      <c r="A721" t="inlineStr">
        <is>
          <t>A 28458-2021</t>
        </is>
      </c>
      <c r="B721" s="1" t="n">
        <v>44356</v>
      </c>
      <c r="C721" s="1" t="n">
        <v>45998</v>
      </c>
      <c r="D721" t="inlineStr">
        <is>
          <t>VÄSTMANLANDS LÄN</t>
        </is>
      </c>
      <c r="E721" t="inlineStr">
        <is>
          <t>NORBERG</t>
        </is>
      </c>
      <c r="G721" t="n">
        <v>1</v>
      </c>
      <c r="H721" t="n">
        <v>0</v>
      </c>
      <c r="I721" t="n">
        <v>0</v>
      </c>
      <c r="J721" t="n">
        <v>0</v>
      </c>
      <c r="K721" t="n">
        <v>0</v>
      </c>
      <c r="L721" t="n">
        <v>0</v>
      </c>
      <c r="M721" t="n">
        <v>0</v>
      </c>
      <c r="N721" t="n">
        <v>0</v>
      </c>
      <c r="O721" t="n">
        <v>0</v>
      </c>
      <c r="P721" t="n">
        <v>0</v>
      </c>
      <c r="Q721" t="n">
        <v>0</v>
      </c>
      <c r="R721" s="2" t="inlineStr"/>
    </row>
    <row r="722" ht="15" customHeight="1">
      <c r="A722" t="inlineStr">
        <is>
          <t>A 47693-2023</t>
        </is>
      </c>
      <c r="B722" s="1" t="n">
        <v>45198</v>
      </c>
      <c r="C722" s="1" t="n">
        <v>45998</v>
      </c>
      <c r="D722" t="inlineStr">
        <is>
          <t>VÄSTMANLANDS LÄN</t>
        </is>
      </c>
      <c r="E722" t="inlineStr">
        <is>
          <t>SKINNSKATTEBERG</t>
        </is>
      </c>
      <c r="G722" t="n">
        <v>1.6</v>
      </c>
      <c r="H722" t="n">
        <v>0</v>
      </c>
      <c r="I722" t="n">
        <v>0</v>
      </c>
      <c r="J722" t="n">
        <v>0</v>
      </c>
      <c r="K722" t="n">
        <v>0</v>
      </c>
      <c r="L722" t="n">
        <v>0</v>
      </c>
      <c r="M722" t="n">
        <v>0</v>
      </c>
      <c r="N722" t="n">
        <v>0</v>
      </c>
      <c r="O722" t="n">
        <v>0</v>
      </c>
      <c r="P722" t="n">
        <v>0</v>
      </c>
      <c r="Q722" t="n">
        <v>0</v>
      </c>
      <c r="R722" s="2" t="inlineStr"/>
    </row>
    <row r="723" ht="15" customHeight="1">
      <c r="A723" t="inlineStr">
        <is>
          <t>A 3945-2024</t>
        </is>
      </c>
      <c r="B723" s="1" t="n">
        <v>45322.65049768519</v>
      </c>
      <c r="C723" s="1" t="n">
        <v>45998</v>
      </c>
      <c r="D723" t="inlineStr">
        <is>
          <t>VÄSTMANLANDS LÄN</t>
        </is>
      </c>
      <c r="E723" t="inlineStr">
        <is>
          <t>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4000-2024</t>
        </is>
      </c>
      <c r="B724" s="1" t="n">
        <v>45322</v>
      </c>
      <c r="C724" s="1" t="n">
        <v>45998</v>
      </c>
      <c r="D724" t="inlineStr">
        <is>
          <t>VÄSTMANLANDS LÄN</t>
        </is>
      </c>
      <c r="E724" t="inlineStr">
        <is>
          <t>SKINNSKATTEBERG</t>
        </is>
      </c>
      <c r="G724" t="n">
        <v>14</v>
      </c>
      <c r="H724" t="n">
        <v>0</v>
      </c>
      <c r="I724" t="n">
        <v>0</v>
      </c>
      <c r="J724" t="n">
        <v>0</v>
      </c>
      <c r="K724" t="n">
        <v>0</v>
      </c>
      <c r="L724" t="n">
        <v>0</v>
      </c>
      <c r="M724" t="n">
        <v>0</v>
      </c>
      <c r="N724" t="n">
        <v>0</v>
      </c>
      <c r="O724" t="n">
        <v>0</v>
      </c>
      <c r="P724" t="n">
        <v>0</v>
      </c>
      <c r="Q724" t="n">
        <v>0</v>
      </c>
      <c r="R724" s="2" t="inlineStr"/>
    </row>
    <row r="725" ht="15" customHeight="1">
      <c r="A725" t="inlineStr">
        <is>
          <t>A 25860-2024</t>
        </is>
      </c>
      <c r="B725" s="1" t="n">
        <v>45467.46278935186</v>
      </c>
      <c r="C725" s="1" t="n">
        <v>45998</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32316-2024</t>
        </is>
      </c>
      <c r="B726" s="1" t="n">
        <v>45512.46059027778</v>
      </c>
      <c r="C726" s="1" t="n">
        <v>45998</v>
      </c>
      <c r="D726" t="inlineStr">
        <is>
          <t>VÄSTMANLANDS LÄN</t>
        </is>
      </c>
      <c r="E726" t="inlineStr">
        <is>
          <t>SKINNSKATTEBERG</t>
        </is>
      </c>
      <c r="F726" t="inlineStr">
        <is>
          <t>Sveaskog</t>
        </is>
      </c>
      <c r="G726" t="n">
        <v>3.6</v>
      </c>
      <c r="H726" t="n">
        <v>0</v>
      </c>
      <c r="I726" t="n">
        <v>0</v>
      </c>
      <c r="J726" t="n">
        <v>0</v>
      </c>
      <c r="K726" t="n">
        <v>0</v>
      </c>
      <c r="L726" t="n">
        <v>0</v>
      </c>
      <c r="M726" t="n">
        <v>0</v>
      </c>
      <c r="N726" t="n">
        <v>0</v>
      </c>
      <c r="O726" t="n">
        <v>0</v>
      </c>
      <c r="P726" t="n">
        <v>0</v>
      </c>
      <c r="Q726" t="n">
        <v>0</v>
      </c>
      <c r="R726" s="2" t="inlineStr"/>
    </row>
    <row r="727" ht="15" customHeight="1">
      <c r="A727" t="inlineStr">
        <is>
          <t>A 34461-2022</t>
        </is>
      </c>
      <c r="B727" s="1" t="n">
        <v>44792</v>
      </c>
      <c r="C727" s="1" t="n">
        <v>45998</v>
      </c>
      <c r="D727" t="inlineStr">
        <is>
          <t>VÄSTMANLANDS LÄN</t>
        </is>
      </c>
      <c r="E727" t="inlineStr">
        <is>
          <t>VÄSTERÅS</t>
        </is>
      </c>
      <c r="G727" t="n">
        <v>9.6</v>
      </c>
      <c r="H727" t="n">
        <v>0</v>
      </c>
      <c r="I727" t="n">
        <v>0</v>
      </c>
      <c r="J727" t="n">
        <v>0</v>
      </c>
      <c r="K727" t="n">
        <v>0</v>
      </c>
      <c r="L727" t="n">
        <v>0</v>
      </c>
      <c r="M727" t="n">
        <v>0</v>
      </c>
      <c r="N727" t="n">
        <v>0</v>
      </c>
      <c r="O727" t="n">
        <v>0</v>
      </c>
      <c r="P727" t="n">
        <v>0</v>
      </c>
      <c r="Q727" t="n">
        <v>0</v>
      </c>
      <c r="R727" s="2" t="inlineStr"/>
    </row>
    <row r="728" ht="15" customHeight="1">
      <c r="A728" t="inlineStr">
        <is>
          <t>A 35684-2024</t>
        </is>
      </c>
      <c r="B728" s="1" t="n">
        <v>45532</v>
      </c>
      <c r="C728" s="1" t="n">
        <v>45998</v>
      </c>
      <c r="D728" t="inlineStr">
        <is>
          <t>VÄSTMANLANDS LÄN</t>
        </is>
      </c>
      <c r="E728" t="inlineStr">
        <is>
          <t>KÖPING</t>
        </is>
      </c>
      <c r="G728" t="n">
        <v>0.8</v>
      </c>
      <c r="H728" t="n">
        <v>0</v>
      </c>
      <c r="I728" t="n">
        <v>0</v>
      </c>
      <c r="J728" t="n">
        <v>0</v>
      </c>
      <c r="K728" t="n">
        <v>0</v>
      </c>
      <c r="L728" t="n">
        <v>0</v>
      </c>
      <c r="M728" t="n">
        <v>0</v>
      </c>
      <c r="N728" t="n">
        <v>0</v>
      </c>
      <c r="O728" t="n">
        <v>0</v>
      </c>
      <c r="P728" t="n">
        <v>0</v>
      </c>
      <c r="Q728" t="n">
        <v>0</v>
      </c>
      <c r="R728" s="2" t="inlineStr"/>
    </row>
    <row r="729" ht="15" customHeight="1">
      <c r="A729" t="inlineStr">
        <is>
          <t>A 35706-2024</t>
        </is>
      </c>
      <c r="B729" s="1" t="n">
        <v>45532</v>
      </c>
      <c r="C729" s="1" t="n">
        <v>45998</v>
      </c>
      <c r="D729" t="inlineStr">
        <is>
          <t>VÄSTMANLANDS LÄN</t>
        </is>
      </c>
      <c r="E729" t="inlineStr">
        <is>
          <t>SKINNSKATTEBERG</t>
        </is>
      </c>
      <c r="G729" t="n">
        <v>0.4</v>
      </c>
      <c r="H729" t="n">
        <v>0</v>
      </c>
      <c r="I729" t="n">
        <v>0</v>
      </c>
      <c r="J729" t="n">
        <v>0</v>
      </c>
      <c r="K729" t="n">
        <v>0</v>
      </c>
      <c r="L729" t="n">
        <v>0</v>
      </c>
      <c r="M729" t="n">
        <v>0</v>
      </c>
      <c r="N729" t="n">
        <v>0</v>
      </c>
      <c r="O729" t="n">
        <v>0</v>
      </c>
      <c r="P729" t="n">
        <v>0</v>
      </c>
      <c r="Q729" t="n">
        <v>0</v>
      </c>
      <c r="R729" s="2" t="inlineStr"/>
    </row>
    <row r="730" ht="15" customHeight="1">
      <c r="A730" t="inlineStr">
        <is>
          <t>A 53148-2021</t>
        </is>
      </c>
      <c r="B730" s="1" t="n">
        <v>44468</v>
      </c>
      <c r="C730" s="1" t="n">
        <v>45998</v>
      </c>
      <c r="D730" t="inlineStr">
        <is>
          <t>VÄSTMANLANDS LÄN</t>
        </is>
      </c>
      <c r="E730" t="inlineStr">
        <is>
          <t>KÖPING</t>
        </is>
      </c>
      <c r="F730" t="inlineStr">
        <is>
          <t>Sveaskog</t>
        </is>
      </c>
      <c r="G730" t="n">
        <v>3.8</v>
      </c>
      <c r="H730" t="n">
        <v>0</v>
      </c>
      <c r="I730" t="n">
        <v>0</v>
      </c>
      <c r="J730" t="n">
        <v>0</v>
      </c>
      <c r="K730" t="n">
        <v>0</v>
      </c>
      <c r="L730" t="n">
        <v>0</v>
      </c>
      <c r="M730" t="n">
        <v>0</v>
      </c>
      <c r="N730" t="n">
        <v>0</v>
      </c>
      <c r="O730" t="n">
        <v>0</v>
      </c>
      <c r="P730" t="n">
        <v>0</v>
      </c>
      <c r="Q730" t="n">
        <v>0</v>
      </c>
      <c r="R730" s="2" t="inlineStr"/>
    </row>
    <row r="731" ht="15" customHeight="1">
      <c r="A731" t="inlineStr">
        <is>
          <t>A 18877-2023</t>
        </is>
      </c>
      <c r="B731" s="1" t="n">
        <v>45044</v>
      </c>
      <c r="C731" s="1" t="n">
        <v>45998</v>
      </c>
      <c r="D731" t="inlineStr">
        <is>
          <t>VÄSTMANLANDS LÄN</t>
        </is>
      </c>
      <c r="E731" t="inlineStr">
        <is>
          <t>SALA</t>
        </is>
      </c>
      <c r="F731" t="inlineStr">
        <is>
          <t>Kommuner</t>
        </is>
      </c>
      <c r="G731" t="n">
        <v>4.4</v>
      </c>
      <c r="H731" t="n">
        <v>0</v>
      </c>
      <c r="I731" t="n">
        <v>0</v>
      </c>
      <c r="J731" t="n">
        <v>0</v>
      </c>
      <c r="K731" t="n">
        <v>0</v>
      </c>
      <c r="L731" t="n">
        <v>0</v>
      </c>
      <c r="M731" t="n">
        <v>0</v>
      </c>
      <c r="N731" t="n">
        <v>0</v>
      </c>
      <c r="O731" t="n">
        <v>0</v>
      </c>
      <c r="P731" t="n">
        <v>0</v>
      </c>
      <c r="Q731" t="n">
        <v>0</v>
      </c>
      <c r="R731" s="2" t="inlineStr"/>
    </row>
    <row r="732" ht="15" customHeight="1">
      <c r="A732" t="inlineStr">
        <is>
          <t>A 55556-2023</t>
        </is>
      </c>
      <c r="B732" s="1" t="n">
        <v>45232</v>
      </c>
      <c r="C732" s="1" t="n">
        <v>45998</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22026-2021</t>
        </is>
      </c>
      <c r="B733" s="1" t="n">
        <v>44323</v>
      </c>
      <c r="C733" s="1" t="n">
        <v>45998</v>
      </c>
      <c r="D733" t="inlineStr">
        <is>
          <t>VÄSTMANLANDS LÄN</t>
        </is>
      </c>
      <c r="E733" t="inlineStr">
        <is>
          <t>SALA</t>
        </is>
      </c>
      <c r="G733" t="n">
        <v>2.9</v>
      </c>
      <c r="H733" t="n">
        <v>0</v>
      </c>
      <c r="I733" t="n">
        <v>0</v>
      </c>
      <c r="J733" t="n">
        <v>0</v>
      </c>
      <c r="K733" t="n">
        <v>0</v>
      </c>
      <c r="L733" t="n">
        <v>0</v>
      </c>
      <c r="M733" t="n">
        <v>0</v>
      </c>
      <c r="N733" t="n">
        <v>0</v>
      </c>
      <c r="O733" t="n">
        <v>0</v>
      </c>
      <c r="P733" t="n">
        <v>0</v>
      </c>
      <c r="Q733" t="n">
        <v>0</v>
      </c>
      <c r="R733" s="2" t="inlineStr"/>
    </row>
    <row r="734" ht="15" customHeight="1">
      <c r="A734" t="inlineStr">
        <is>
          <t>A 60627-2021</t>
        </is>
      </c>
      <c r="B734" s="1" t="n">
        <v>44496</v>
      </c>
      <c r="C734" s="1" t="n">
        <v>45998</v>
      </c>
      <c r="D734" t="inlineStr">
        <is>
          <t>VÄSTMANLANDS LÄN</t>
        </is>
      </c>
      <c r="E734" t="inlineStr">
        <is>
          <t>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852-2021</t>
        </is>
      </c>
      <c r="B735" s="1" t="n">
        <v>44204</v>
      </c>
      <c r="C735" s="1" t="n">
        <v>45998</v>
      </c>
      <c r="D735" t="inlineStr">
        <is>
          <t>VÄSTMANLANDS LÄN</t>
        </is>
      </c>
      <c r="E735" t="inlineStr">
        <is>
          <t>SKINNSKATTEBERG</t>
        </is>
      </c>
      <c r="G735" t="n">
        <v>1.3</v>
      </c>
      <c r="H735" t="n">
        <v>0</v>
      </c>
      <c r="I735" t="n">
        <v>0</v>
      </c>
      <c r="J735" t="n">
        <v>0</v>
      </c>
      <c r="K735" t="n">
        <v>0</v>
      </c>
      <c r="L735" t="n">
        <v>0</v>
      </c>
      <c r="M735" t="n">
        <v>0</v>
      </c>
      <c r="N735" t="n">
        <v>0</v>
      </c>
      <c r="O735" t="n">
        <v>0</v>
      </c>
      <c r="P735" t="n">
        <v>0</v>
      </c>
      <c r="Q735" t="n">
        <v>0</v>
      </c>
      <c r="R735" s="2" t="inlineStr"/>
    </row>
    <row r="736" ht="15" customHeight="1">
      <c r="A736" t="inlineStr">
        <is>
          <t>A 34494-2023</t>
        </is>
      </c>
      <c r="B736" s="1" t="n">
        <v>45133</v>
      </c>
      <c r="C736" s="1" t="n">
        <v>45998</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15551-2024</t>
        </is>
      </c>
      <c r="B737" s="1" t="n">
        <v>45401.63582175926</v>
      </c>
      <c r="C737" s="1" t="n">
        <v>45998</v>
      </c>
      <c r="D737" t="inlineStr">
        <is>
          <t>VÄSTMANLANDS LÄN</t>
        </is>
      </c>
      <c r="E737" t="inlineStr">
        <is>
          <t>KÖPING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24427-2023</t>
        </is>
      </c>
      <c r="B738" s="1" t="n">
        <v>45082.48634259259</v>
      </c>
      <c r="C738" s="1" t="n">
        <v>45998</v>
      </c>
      <c r="D738" t="inlineStr">
        <is>
          <t>VÄSTMANLANDS LÄN</t>
        </is>
      </c>
      <c r="E738" t="inlineStr">
        <is>
          <t>SKINNSKATTEBERG</t>
        </is>
      </c>
      <c r="G738" t="n">
        <v>3.3</v>
      </c>
      <c r="H738" t="n">
        <v>0</v>
      </c>
      <c r="I738" t="n">
        <v>0</v>
      </c>
      <c r="J738" t="n">
        <v>0</v>
      </c>
      <c r="K738" t="n">
        <v>0</v>
      </c>
      <c r="L738" t="n">
        <v>0</v>
      </c>
      <c r="M738" t="n">
        <v>0</v>
      </c>
      <c r="N738" t="n">
        <v>0</v>
      </c>
      <c r="O738" t="n">
        <v>0</v>
      </c>
      <c r="P738" t="n">
        <v>0</v>
      </c>
      <c r="Q738" t="n">
        <v>0</v>
      </c>
      <c r="R738" s="2" t="inlineStr"/>
    </row>
    <row r="739" ht="15" customHeight="1">
      <c r="A739" t="inlineStr">
        <is>
          <t>A 19358-2024</t>
        </is>
      </c>
      <c r="B739" s="1" t="n">
        <v>45429</v>
      </c>
      <c r="C739" s="1" t="n">
        <v>45998</v>
      </c>
      <c r="D739" t="inlineStr">
        <is>
          <t>VÄSTMANLANDS LÄN</t>
        </is>
      </c>
      <c r="E739" t="inlineStr">
        <is>
          <t>KÖPING</t>
        </is>
      </c>
      <c r="G739" t="n">
        <v>8.5</v>
      </c>
      <c r="H739" t="n">
        <v>0</v>
      </c>
      <c r="I739" t="n">
        <v>0</v>
      </c>
      <c r="J739" t="n">
        <v>0</v>
      </c>
      <c r="K739" t="n">
        <v>0</v>
      </c>
      <c r="L739" t="n">
        <v>0</v>
      </c>
      <c r="M739" t="n">
        <v>0</v>
      </c>
      <c r="N739" t="n">
        <v>0</v>
      </c>
      <c r="O739" t="n">
        <v>0</v>
      </c>
      <c r="P739" t="n">
        <v>0</v>
      </c>
      <c r="Q739" t="n">
        <v>0</v>
      </c>
      <c r="R739" s="2" t="inlineStr"/>
    </row>
    <row r="740" ht="15" customHeight="1">
      <c r="A740" t="inlineStr">
        <is>
          <t>A 13160-2024</t>
        </is>
      </c>
      <c r="B740" s="1" t="n">
        <v>45386</v>
      </c>
      <c r="C740" s="1" t="n">
        <v>45998</v>
      </c>
      <c r="D740" t="inlineStr">
        <is>
          <t>VÄSTMANLANDS LÄN</t>
        </is>
      </c>
      <c r="E740" t="inlineStr">
        <is>
          <t>KÖPING</t>
        </is>
      </c>
      <c r="G740" t="n">
        <v>1.5</v>
      </c>
      <c r="H740" t="n">
        <v>0</v>
      </c>
      <c r="I740" t="n">
        <v>0</v>
      </c>
      <c r="J740" t="n">
        <v>0</v>
      </c>
      <c r="K740" t="n">
        <v>0</v>
      </c>
      <c r="L740" t="n">
        <v>0</v>
      </c>
      <c r="M740" t="n">
        <v>0</v>
      </c>
      <c r="N740" t="n">
        <v>0</v>
      </c>
      <c r="O740" t="n">
        <v>0</v>
      </c>
      <c r="P740" t="n">
        <v>0</v>
      </c>
      <c r="Q740" t="n">
        <v>0</v>
      </c>
      <c r="R740" s="2" t="inlineStr"/>
    </row>
    <row r="741" ht="15" customHeight="1">
      <c r="A741" t="inlineStr">
        <is>
          <t>A 27580-2024</t>
        </is>
      </c>
      <c r="B741" s="1" t="n">
        <v>45474.65596064815</v>
      </c>
      <c r="C741" s="1" t="n">
        <v>45998</v>
      </c>
      <c r="D741" t="inlineStr">
        <is>
          <t>VÄSTMANLANDS LÄN</t>
        </is>
      </c>
      <c r="E741" t="inlineStr">
        <is>
          <t>NORBERG</t>
        </is>
      </c>
      <c r="G741" t="n">
        <v>3.9</v>
      </c>
      <c r="H741" t="n">
        <v>0</v>
      </c>
      <c r="I741" t="n">
        <v>0</v>
      </c>
      <c r="J741" t="n">
        <v>0</v>
      </c>
      <c r="K741" t="n">
        <v>0</v>
      </c>
      <c r="L741" t="n">
        <v>0</v>
      </c>
      <c r="M741" t="n">
        <v>0</v>
      </c>
      <c r="N741" t="n">
        <v>0</v>
      </c>
      <c r="O741" t="n">
        <v>0</v>
      </c>
      <c r="P741" t="n">
        <v>0</v>
      </c>
      <c r="Q741" t="n">
        <v>0</v>
      </c>
      <c r="R741" s="2" t="inlineStr"/>
    </row>
    <row r="742" ht="15" customHeight="1">
      <c r="A742" t="inlineStr">
        <is>
          <t>A 17258-2024</t>
        </is>
      </c>
      <c r="B742" s="1" t="n">
        <v>45414</v>
      </c>
      <c r="C742" s="1" t="n">
        <v>45998</v>
      </c>
      <c r="D742" t="inlineStr">
        <is>
          <t>VÄSTMANLANDS LÄN</t>
        </is>
      </c>
      <c r="E742" t="inlineStr">
        <is>
          <t>VÄSTERÅS</t>
        </is>
      </c>
      <c r="G742" t="n">
        <v>1.3</v>
      </c>
      <c r="H742" t="n">
        <v>0</v>
      </c>
      <c r="I742" t="n">
        <v>0</v>
      </c>
      <c r="J742" t="n">
        <v>0</v>
      </c>
      <c r="K742" t="n">
        <v>0</v>
      </c>
      <c r="L742" t="n">
        <v>0</v>
      </c>
      <c r="M742" t="n">
        <v>0</v>
      </c>
      <c r="N742" t="n">
        <v>0</v>
      </c>
      <c r="O742" t="n">
        <v>0</v>
      </c>
      <c r="P742" t="n">
        <v>0</v>
      </c>
      <c r="Q742" t="n">
        <v>0</v>
      </c>
      <c r="R742" s="2" t="inlineStr"/>
    </row>
    <row r="743" ht="15" customHeight="1">
      <c r="A743" t="inlineStr">
        <is>
          <t>A 29233-2022</t>
        </is>
      </c>
      <c r="B743" s="1" t="n">
        <v>44750</v>
      </c>
      <c r="C743" s="1" t="n">
        <v>45998</v>
      </c>
      <c r="D743" t="inlineStr">
        <is>
          <t>VÄSTMANLANDS LÄN</t>
        </is>
      </c>
      <c r="E743" t="inlineStr">
        <is>
          <t>SALA</t>
        </is>
      </c>
      <c r="G743" t="n">
        <v>2.4</v>
      </c>
      <c r="H743" t="n">
        <v>0</v>
      </c>
      <c r="I743" t="n">
        <v>0</v>
      </c>
      <c r="J743" t="n">
        <v>0</v>
      </c>
      <c r="K743" t="n">
        <v>0</v>
      </c>
      <c r="L743" t="n">
        <v>0</v>
      </c>
      <c r="M743" t="n">
        <v>0</v>
      </c>
      <c r="N743" t="n">
        <v>0</v>
      </c>
      <c r="O743" t="n">
        <v>0</v>
      </c>
      <c r="P743" t="n">
        <v>0</v>
      </c>
      <c r="Q743" t="n">
        <v>0</v>
      </c>
      <c r="R743" s="2" t="inlineStr"/>
    </row>
    <row r="744" ht="15" customHeight="1">
      <c r="A744" t="inlineStr">
        <is>
          <t>A 22662-2023</t>
        </is>
      </c>
      <c r="B744" s="1" t="n">
        <v>45071</v>
      </c>
      <c r="C744" s="1" t="n">
        <v>45998</v>
      </c>
      <c r="D744" t="inlineStr">
        <is>
          <t>VÄSTMANLANDS LÄN</t>
        </is>
      </c>
      <c r="E744" t="inlineStr">
        <is>
          <t>SURAHAMMAR</t>
        </is>
      </c>
      <c r="F744" t="inlineStr">
        <is>
          <t>Sveaskog</t>
        </is>
      </c>
      <c r="G744" t="n">
        <v>0.6</v>
      </c>
      <c r="H744" t="n">
        <v>0</v>
      </c>
      <c r="I744" t="n">
        <v>0</v>
      </c>
      <c r="J744" t="n">
        <v>0</v>
      </c>
      <c r="K744" t="n">
        <v>0</v>
      </c>
      <c r="L744" t="n">
        <v>0</v>
      </c>
      <c r="M744" t="n">
        <v>0</v>
      </c>
      <c r="N744" t="n">
        <v>0</v>
      </c>
      <c r="O744" t="n">
        <v>0</v>
      </c>
      <c r="P744" t="n">
        <v>0</v>
      </c>
      <c r="Q744" t="n">
        <v>0</v>
      </c>
      <c r="R744" s="2" t="inlineStr"/>
    </row>
    <row r="745" ht="15" customHeight="1">
      <c r="A745" t="inlineStr">
        <is>
          <t>A 53653-2023</t>
        </is>
      </c>
      <c r="B745" s="1" t="n">
        <v>45230.60912037037</v>
      </c>
      <c r="C745" s="1" t="n">
        <v>45998</v>
      </c>
      <c r="D745" t="inlineStr">
        <is>
          <t>VÄSTMANLANDS LÄN</t>
        </is>
      </c>
      <c r="E745" t="inlineStr">
        <is>
          <t>ARBOGA</t>
        </is>
      </c>
      <c r="G745" t="n">
        <v>4.5</v>
      </c>
      <c r="H745" t="n">
        <v>0</v>
      </c>
      <c r="I745" t="n">
        <v>0</v>
      </c>
      <c r="J745" t="n">
        <v>0</v>
      </c>
      <c r="K745" t="n">
        <v>0</v>
      </c>
      <c r="L745" t="n">
        <v>0</v>
      </c>
      <c r="M745" t="n">
        <v>0</v>
      </c>
      <c r="N745" t="n">
        <v>0</v>
      </c>
      <c r="O745" t="n">
        <v>0</v>
      </c>
      <c r="P745" t="n">
        <v>0</v>
      </c>
      <c r="Q745" t="n">
        <v>0</v>
      </c>
      <c r="R745" s="2" t="inlineStr"/>
    </row>
    <row r="746" ht="15" customHeight="1">
      <c r="A746" t="inlineStr">
        <is>
          <t>A 13388-2025</t>
        </is>
      </c>
      <c r="B746" s="1" t="n">
        <v>45735</v>
      </c>
      <c r="C746" s="1" t="n">
        <v>45998</v>
      </c>
      <c r="D746" t="inlineStr">
        <is>
          <t>VÄSTMANLANDS LÄN</t>
        </is>
      </c>
      <c r="E746" t="inlineStr">
        <is>
          <t>VÄSTERÅS</t>
        </is>
      </c>
      <c r="G746" t="n">
        <v>0.9</v>
      </c>
      <c r="H746" t="n">
        <v>0</v>
      </c>
      <c r="I746" t="n">
        <v>0</v>
      </c>
      <c r="J746" t="n">
        <v>0</v>
      </c>
      <c r="K746" t="n">
        <v>0</v>
      </c>
      <c r="L746" t="n">
        <v>0</v>
      </c>
      <c r="M746" t="n">
        <v>0</v>
      </c>
      <c r="N746" t="n">
        <v>0</v>
      </c>
      <c r="O746" t="n">
        <v>0</v>
      </c>
      <c r="P746" t="n">
        <v>0</v>
      </c>
      <c r="Q746" t="n">
        <v>0</v>
      </c>
      <c r="R746" s="2" t="inlineStr"/>
    </row>
    <row r="747" ht="15" customHeight="1">
      <c r="A747" t="inlineStr">
        <is>
          <t>A 13752-2025</t>
        </is>
      </c>
      <c r="B747" s="1" t="n">
        <v>45737.41416666667</v>
      </c>
      <c r="C747" s="1" t="n">
        <v>45998</v>
      </c>
      <c r="D747" t="inlineStr">
        <is>
          <t>VÄSTMANLANDS LÄN</t>
        </is>
      </c>
      <c r="E747" t="inlineStr">
        <is>
          <t>SALA</t>
        </is>
      </c>
      <c r="G747" t="n">
        <v>0.4</v>
      </c>
      <c r="H747" t="n">
        <v>0</v>
      </c>
      <c r="I747" t="n">
        <v>0</v>
      </c>
      <c r="J747" t="n">
        <v>0</v>
      </c>
      <c r="K747" t="n">
        <v>0</v>
      </c>
      <c r="L747" t="n">
        <v>0</v>
      </c>
      <c r="M747" t="n">
        <v>0</v>
      </c>
      <c r="N747" t="n">
        <v>0</v>
      </c>
      <c r="O747" t="n">
        <v>0</v>
      </c>
      <c r="P747" t="n">
        <v>0</v>
      </c>
      <c r="Q747" t="n">
        <v>0</v>
      </c>
      <c r="R747" s="2" t="inlineStr"/>
    </row>
    <row r="748" ht="15" customHeight="1">
      <c r="A748" t="inlineStr">
        <is>
          <t>A 37776-2022</t>
        </is>
      </c>
      <c r="B748" s="1" t="n">
        <v>44810.64696759259</v>
      </c>
      <c r="C748" s="1" t="n">
        <v>45998</v>
      </c>
      <c r="D748" t="inlineStr">
        <is>
          <t>VÄSTMANLANDS LÄN</t>
        </is>
      </c>
      <c r="E748" t="inlineStr">
        <is>
          <t>KÖPING</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61083-2022</t>
        </is>
      </c>
      <c r="B749" s="1" t="n">
        <v>44915</v>
      </c>
      <c r="C749" s="1" t="n">
        <v>45998</v>
      </c>
      <c r="D749" t="inlineStr">
        <is>
          <t>VÄSTMANLANDS LÄN</t>
        </is>
      </c>
      <c r="E749" t="inlineStr">
        <is>
          <t>KÖPING</t>
        </is>
      </c>
      <c r="G749" t="n">
        <v>6.7</v>
      </c>
      <c r="H749" t="n">
        <v>0</v>
      </c>
      <c r="I749" t="n">
        <v>0</v>
      </c>
      <c r="J749" t="n">
        <v>0</v>
      </c>
      <c r="K749" t="n">
        <v>0</v>
      </c>
      <c r="L749" t="n">
        <v>0</v>
      </c>
      <c r="M749" t="n">
        <v>0</v>
      </c>
      <c r="N749" t="n">
        <v>0</v>
      </c>
      <c r="O749" t="n">
        <v>0</v>
      </c>
      <c r="P749" t="n">
        <v>0</v>
      </c>
      <c r="Q749" t="n">
        <v>0</v>
      </c>
      <c r="R749" s="2" t="inlineStr"/>
    </row>
    <row r="750" ht="15" customHeight="1">
      <c r="A750" t="inlineStr">
        <is>
          <t>A 13338-2025</t>
        </is>
      </c>
      <c r="B750" s="1" t="n">
        <v>45735</v>
      </c>
      <c r="C750" s="1" t="n">
        <v>45998</v>
      </c>
      <c r="D750" t="inlineStr">
        <is>
          <t>VÄSTMANLANDS LÄN</t>
        </is>
      </c>
      <c r="E750" t="inlineStr">
        <is>
          <t>VÄSTERÅS</t>
        </is>
      </c>
      <c r="G750" t="n">
        <v>7.5</v>
      </c>
      <c r="H750" t="n">
        <v>0</v>
      </c>
      <c r="I750" t="n">
        <v>0</v>
      </c>
      <c r="J750" t="n">
        <v>0</v>
      </c>
      <c r="K750" t="n">
        <v>0</v>
      </c>
      <c r="L750" t="n">
        <v>0</v>
      </c>
      <c r="M750" t="n">
        <v>0</v>
      </c>
      <c r="N750" t="n">
        <v>0</v>
      </c>
      <c r="O750" t="n">
        <v>0</v>
      </c>
      <c r="P750" t="n">
        <v>0</v>
      </c>
      <c r="Q750" t="n">
        <v>0</v>
      </c>
      <c r="R750" s="2" t="inlineStr"/>
    </row>
    <row r="751" ht="15" customHeight="1">
      <c r="A751" t="inlineStr">
        <is>
          <t>A 49847-2021</t>
        </is>
      </c>
      <c r="B751" s="1" t="n">
        <v>44455.64971064815</v>
      </c>
      <c r="C751" s="1" t="n">
        <v>45998</v>
      </c>
      <c r="D751" t="inlineStr">
        <is>
          <t>VÄSTMANLANDS LÄN</t>
        </is>
      </c>
      <c r="E751" t="inlineStr">
        <is>
          <t>SKINNSKATTEBERG</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16160-2024</t>
        </is>
      </c>
      <c r="B752" s="1" t="n">
        <v>45406</v>
      </c>
      <c r="C752" s="1" t="n">
        <v>45998</v>
      </c>
      <c r="D752" t="inlineStr">
        <is>
          <t>VÄSTMANLANDS LÄN</t>
        </is>
      </c>
      <c r="E752" t="inlineStr">
        <is>
          <t>SALA</t>
        </is>
      </c>
      <c r="G752" t="n">
        <v>1.1</v>
      </c>
      <c r="H752" t="n">
        <v>0</v>
      </c>
      <c r="I752" t="n">
        <v>0</v>
      </c>
      <c r="J752" t="n">
        <v>0</v>
      </c>
      <c r="K752" t="n">
        <v>0</v>
      </c>
      <c r="L752" t="n">
        <v>0</v>
      </c>
      <c r="M752" t="n">
        <v>0</v>
      </c>
      <c r="N752" t="n">
        <v>0</v>
      </c>
      <c r="O752" t="n">
        <v>0</v>
      </c>
      <c r="P752" t="n">
        <v>0</v>
      </c>
      <c r="Q752" t="n">
        <v>0</v>
      </c>
      <c r="R752" s="2" t="inlineStr"/>
    </row>
    <row r="753" ht="15" customHeight="1">
      <c r="A753" t="inlineStr">
        <is>
          <t>A 14770-2024</t>
        </is>
      </c>
      <c r="B753" s="1" t="n">
        <v>45397</v>
      </c>
      <c r="C753" s="1" t="n">
        <v>45998</v>
      </c>
      <c r="D753" t="inlineStr">
        <is>
          <t>VÄSTMANLANDS LÄN</t>
        </is>
      </c>
      <c r="E753" t="inlineStr">
        <is>
          <t>ARBOGA</t>
        </is>
      </c>
      <c r="G753" t="n">
        <v>3</v>
      </c>
      <c r="H753" t="n">
        <v>0</v>
      </c>
      <c r="I753" t="n">
        <v>0</v>
      </c>
      <c r="J753" t="n">
        <v>0</v>
      </c>
      <c r="K753" t="n">
        <v>0</v>
      </c>
      <c r="L753" t="n">
        <v>0</v>
      </c>
      <c r="M753" t="n">
        <v>0</v>
      </c>
      <c r="N753" t="n">
        <v>0</v>
      </c>
      <c r="O753" t="n">
        <v>0</v>
      </c>
      <c r="P753" t="n">
        <v>0</v>
      </c>
      <c r="Q753" t="n">
        <v>0</v>
      </c>
      <c r="R753" s="2" t="inlineStr"/>
    </row>
    <row r="754" ht="15" customHeight="1">
      <c r="A754" t="inlineStr">
        <is>
          <t>A 40597-2022</t>
        </is>
      </c>
      <c r="B754" s="1" t="n">
        <v>44823.84862268518</v>
      </c>
      <c r="C754" s="1" t="n">
        <v>45998</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row r="755" ht="15" customHeight="1">
      <c r="A755" t="inlineStr">
        <is>
          <t>A 19398-2025</t>
        </is>
      </c>
      <c r="B755" s="1" t="n">
        <v>45769</v>
      </c>
      <c r="C755" s="1" t="n">
        <v>45998</v>
      </c>
      <c r="D755" t="inlineStr">
        <is>
          <t>VÄSTMANLANDS LÄN</t>
        </is>
      </c>
      <c r="E755" t="inlineStr">
        <is>
          <t>SALA</t>
        </is>
      </c>
      <c r="G755" t="n">
        <v>0.4</v>
      </c>
      <c r="H755" t="n">
        <v>0</v>
      </c>
      <c r="I755" t="n">
        <v>0</v>
      </c>
      <c r="J755" t="n">
        <v>0</v>
      </c>
      <c r="K755" t="n">
        <v>0</v>
      </c>
      <c r="L755" t="n">
        <v>0</v>
      </c>
      <c r="M755" t="n">
        <v>0</v>
      </c>
      <c r="N755" t="n">
        <v>0</v>
      </c>
      <c r="O755" t="n">
        <v>0</v>
      </c>
      <c r="P755" t="n">
        <v>0</v>
      </c>
      <c r="Q755" t="n">
        <v>0</v>
      </c>
      <c r="R755" s="2" t="inlineStr"/>
    </row>
    <row r="756" ht="15" customHeight="1">
      <c r="A756" t="inlineStr">
        <is>
          <t>A 10263-2024</t>
        </is>
      </c>
      <c r="B756" s="1" t="n">
        <v>45365.43090277778</v>
      </c>
      <c r="C756" s="1" t="n">
        <v>45998</v>
      </c>
      <c r="D756" t="inlineStr">
        <is>
          <t>VÄSTMANLANDS LÄN</t>
        </is>
      </c>
      <c r="E756" t="inlineStr">
        <is>
          <t>HALLSTAHAMMAR</t>
        </is>
      </c>
      <c r="F756" t="inlineStr">
        <is>
          <t>Kyrkan</t>
        </is>
      </c>
      <c r="G756" t="n">
        <v>1.4</v>
      </c>
      <c r="H756" t="n">
        <v>0</v>
      </c>
      <c r="I756" t="n">
        <v>0</v>
      </c>
      <c r="J756" t="n">
        <v>0</v>
      </c>
      <c r="K756" t="n">
        <v>0</v>
      </c>
      <c r="L756" t="n">
        <v>0</v>
      </c>
      <c r="M756" t="n">
        <v>0</v>
      </c>
      <c r="N756" t="n">
        <v>0</v>
      </c>
      <c r="O756" t="n">
        <v>0</v>
      </c>
      <c r="P756" t="n">
        <v>0</v>
      </c>
      <c r="Q756" t="n">
        <v>0</v>
      </c>
      <c r="R756" s="2" t="inlineStr"/>
    </row>
    <row r="757" ht="15" customHeight="1">
      <c r="A757" t="inlineStr">
        <is>
          <t>A 7187-2025</t>
        </is>
      </c>
      <c r="B757" s="1" t="n">
        <v>45702</v>
      </c>
      <c r="C757" s="1" t="n">
        <v>45998</v>
      </c>
      <c r="D757" t="inlineStr">
        <is>
          <t>VÄSTMANLANDS LÄN</t>
        </is>
      </c>
      <c r="E757" t="inlineStr">
        <is>
          <t>ARBOGA</t>
        </is>
      </c>
      <c r="G757" t="n">
        <v>1.6</v>
      </c>
      <c r="H757" t="n">
        <v>0</v>
      </c>
      <c r="I757" t="n">
        <v>0</v>
      </c>
      <c r="J757" t="n">
        <v>0</v>
      </c>
      <c r="K757" t="n">
        <v>0</v>
      </c>
      <c r="L757" t="n">
        <v>0</v>
      </c>
      <c r="M757" t="n">
        <v>0</v>
      </c>
      <c r="N757" t="n">
        <v>0</v>
      </c>
      <c r="O757" t="n">
        <v>0</v>
      </c>
      <c r="P757" t="n">
        <v>0</v>
      </c>
      <c r="Q757" t="n">
        <v>0</v>
      </c>
      <c r="R757" s="2" t="inlineStr"/>
    </row>
    <row r="758" ht="15" customHeight="1">
      <c r="A758" t="inlineStr">
        <is>
          <t>A 7196-2025</t>
        </is>
      </c>
      <c r="B758" s="1" t="n">
        <v>45702</v>
      </c>
      <c r="C758" s="1" t="n">
        <v>45998</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6183-2025</t>
        </is>
      </c>
      <c r="B759" s="1" t="n">
        <v>45698</v>
      </c>
      <c r="C759" s="1" t="n">
        <v>45998</v>
      </c>
      <c r="D759" t="inlineStr">
        <is>
          <t>VÄSTMANLANDS LÄN</t>
        </is>
      </c>
      <c r="E759" t="inlineStr">
        <is>
          <t>SALA</t>
        </is>
      </c>
      <c r="F759" t="inlineStr">
        <is>
          <t>Bergvik skog öst AB</t>
        </is>
      </c>
      <c r="G759" t="n">
        <v>2.3</v>
      </c>
      <c r="H759" t="n">
        <v>0</v>
      </c>
      <c r="I759" t="n">
        <v>0</v>
      </c>
      <c r="J759" t="n">
        <v>0</v>
      </c>
      <c r="K759" t="n">
        <v>0</v>
      </c>
      <c r="L759" t="n">
        <v>0</v>
      </c>
      <c r="M759" t="n">
        <v>0</v>
      </c>
      <c r="N759" t="n">
        <v>0</v>
      </c>
      <c r="O759" t="n">
        <v>0</v>
      </c>
      <c r="P759" t="n">
        <v>0</v>
      </c>
      <c r="Q759" t="n">
        <v>0</v>
      </c>
      <c r="R759" s="2" t="inlineStr"/>
    </row>
    <row r="760" ht="15" customHeight="1">
      <c r="A760" t="inlineStr">
        <is>
          <t>A 58246-2023</t>
        </is>
      </c>
      <c r="B760" s="1" t="n">
        <v>45250.47649305555</v>
      </c>
      <c r="C760" s="1" t="n">
        <v>45998</v>
      </c>
      <c r="D760" t="inlineStr">
        <is>
          <t>VÄSTMANLANDS LÄN</t>
        </is>
      </c>
      <c r="E760" t="inlineStr">
        <is>
          <t>SKINNSKATTEBERG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20248-2024</t>
        </is>
      </c>
      <c r="B761" s="1" t="n">
        <v>45434</v>
      </c>
      <c r="C761" s="1" t="n">
        <v>45998</v>
      </c>
      <c r="D761" t="inlineStr">
        <is>
          <t>VÄSTMANLANDS LÄN</t>
        </is>
      </c>
      <c r="E761" t="inlineStr">
        <is>
          <t>SKINNSKATTEBERG</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18518-2024</t>
        </is>
      </c>
      <c r="B762" s="1" t="n">
        <v>45425.60681712963</v>
      </c>
      <c r="C762" s="1" t="n">
        <v>45998</v>
      </c>
      <c r="D762" t="inlineStr">
        <is>
          <t>VÄSTMANLANDS LÄN</t>
        </is>
      </c>
      <c r="E762" t="inlineStr">
        <is>
          <t>SKINNSKATTEBERG</t>
        </is>
      </c>
      <c r="F762" t="inlineStr">
        <is>
          <t>Sveaskog</t>
        </is>
      </c>
      <c r="G762" t="n">
        <v>7.9</v>
      </c>
      <c r="H762" t="n">
        <v>0</v>
      </c>
      <c r="I762" t="n">
        <v>0</v>
      </c>
      <c r="J762" t="n">
        <v>0</v>
      </c>
      <c r="K762" t="n">
        <v>0</v>
      </c>
      <c r="L762" t="n">
        <v>0</v>
      </c>
      <c r="M762" t="n">
        <v>0</v>
      </c>
      <c r="N762" t="n">
        <v>0</v>
      </c>
      <c r="O762" t="n">
        <v>0</v>
      </c>
      <c r="P762" t="n">
        <v>0</v>
      </c>
      <c r="Q762" t="n">
        <v>0</v>
      </c>
      <c r="R762" s="2" t="inlineStr"/>
    </row>
    <row r="763" ht="15" customHeight="1">
      <c r="A763" t="inlineStr">
        <is>
          <t>A 51119-2023</t>
        </is>
      </c>
      <c r="B763" s="1" t="n">
        <v>45219.30594907407</v>
      </c>
      <c r="C763" s="1" t="n">
        <v>45998</v>
      </c>
      <c r="D763" t="inlineStr">
        <is>
          <t>VÄSTMANLANDS LÄN</t>
        </is>
      </c>
      <c r="E763" t="inlineStr">
        <is>
          <t>KÖPING</t>
        </is>
      </c>
      <c r="G763" t="n">
        <v>2.1</v>
      </c>
      <c r="H763" t="n">
        <v>0</v>
      </c>
      <c r="I763" t="n">
        <v>0</v>
      </c>
      <c r="J763" t="n">
        <v>0</v>
      </c>
      <c r="K763" t="n">
        <v>0</v>
      </c>
      <c r="L763" t="n">
        <v>0</v>
      </c>
      <c r="M763" t="n">
        <v>0</v>
      </c>
      <c r="N763" t="n">
        <v>0</v>
      </c>
      <c r="O763" t="n">
        <v>0</v>
      </c>
      <c r="P763" t="n">
        <v>0</v>
      </c>
      <c r="Q763" t="n">
        <v>0</v>
      </c>
      <c r="R763" s="2" t="inlineStr"/>
    </row>
    <row r="764" ht="15" customHeight="1">
      <c r="A764" t="inlineStr">
        <is>
          <t>A 40871-2021</t>
        </is>
      </c>
      <c r="B764" s="1" t="n">
        <v>44421</v>
      </c>
      <c r="C764" s="1" t="n">
        <v>45998</v>
      </c>
      <c r="D764" t="inlineStr">
        <is>
          <t>VÄSTMANLANDS LÄN</t>
        </is>
      </c>
      <c r="E764" t="inlineStr">
        <is>
          <t>SALA</t>
        </is>
      </c>
      <c r="G764" t="n">
        <v>1.4</v>
      </c>
      <c r="H764" t="n">
        <v>0</v>
      </c>
      <c r="I764" t="n">
        <v>0</v>
      </c>
      <c r="J764" t="n">
        <v>0</v>
      </c>
      <c r="K764" t="n">
        <v>0</v>
      </c>
      <c r="L764" t="n">
        <v>0</v>
      </c>
      <c r="M764" t="n">
        <v>0</v>
      </c>
      <c r="N764" t="n">
        <v>0</v>
      </c>
      <c r="O764" t="n">
        <v>0</v>
      </c>
      <c r="P764" t="n">
        <v>0</v>
      </c>
      <c r="Q764" t="n">
        <v>0</v>
      </c>
      <c r="R764" s="2" t="inlineStr"/>
    </row>
    <row r="765" ht="15" customHeight="1">
      <c r="A765" t="inlineStr">
        <is>
          <t>A 19803-2024</t>
        </is>
      </c>
      <c r="B765" s="1" t="n">
        <v>45432</v>
      </c>
      <c r="C765" s="1" t="n">
        <v>45998</v>
      </c>
      <c r="D765" t="inlineStr">
        <is>
          <t>VÄSTMANLANDS LÄN</t>
        </is>
      </c>
      <c r="E765" t="inlineStr">
        <is>
          <t>SALA</t>
        </is>
      </c>
      <c r="G765" t="n">
        <v>3.1</v>
      </c>
      <c r="H765" t="n">
        <v>0</v>
      </c>
      <c r="I765" t="n">
        <v>0</v>
      </c>
      <c r="J765" t="n">
        <v>0</v>
      </c>
      <c r="K765" t="n">
        <v>0</v>
      </c>
      <c r="L765" t="n">
        <v>0</v>
      </c>
      <c r="M765" t="n">
        <v>0</v>
      </c>
      <c r="N765" t="n">
        <v>0</v>
      </c>
      <c r="O765" t="n">
        <v>0</v>
      </c>
      <c r="P765" t="n">
        <v>0</v>
      </c>
      <c r="Q765" t="n">
        <v>0</v>
      </c>
      <c r="R765" s="2" t="inlineStr"/>
    </row>
    <row r="766" ht="15" customHeight="1">
      <c r="A766" t="inlineStr">
        <is>
          <t>A 21509-2024</t>
        </is>
      </c>
      <c r="B766" s="1" t="n">
        <v>45441</v>
      </c>
      <c r="C766" s="1" t="n">
        <v>45998</v>
      </c>
      <c r="D766" t="inlineStr">
        <is>
          <t>VÄSTMANLANDS LÄN</t>
        </is>
      </c>
      <c r="E766" t="inlineStr">
        <is>
          <t>SURAHAMMAR</t>
        </is>
      </c>
      <c r="F766" t="inlineStr">
        <is>
          <t>Bergvik skog väst AB</t>
        </is>
      </c>
      <c r="G766" t="n">
        <v>3.9</v>
      </c>
      <c r="H766" t="n">
        <v>0</v>
      </c>
      <c r="I766" t="n">
        <v>0</v>
      </c>
      <c r="J766" t="n">
        <v>0</v>
      </c>
      <c r="K766" t="n">
        <v>0</v>
      </c>
      <c r="L766" t="n">
        <v>0</v>
      </c>
      <c r="M766" t="n">
        <v>0</v>
      </c>
      <c r="N766" t="n">
        <v>0</v>
      </c>
      <c r="O766" t="n">
        <v>0</v>
      </c>
      <c r="P766" t="n">
        <v>0</v>
      </c>
      <c r="Q766" t="n">
        <v>0</v>
      </c>
      <c r="R766" s="2" t="inlineStr"/>
    </row>
    <row r="767" ht="15" customHeight="1">
      <c r="A767" t="inlineStr">
        <is>
          <t>A 42832-2022</t>
        </is>
      </c>
      <c r="B767" s="1" t="n">
        <v>44832</v>
      </c>
      <c r="C767" s="1" t="n">
        <v>45998</v>
      </c>
      <c r="D767" t="inlineStr">
        <is>
          <t>VÄSTMANLANDS LÄN</t>
        </is>
      </c>
      <c r="E767" t="inlineStr">
        <is>
          <t>SURAHAMMAR</t>
        </is>
      </c>
      <c r="G767" t="n">
        <v>1.1</v>
      </c>
      <c r="H767" t="n">
        <v>0</v>
      </c>
      <c r="I767" t="n">
        <v>0</v>
      </c>
      <c r="J767" t="n">
        <v>0</v>
      </c>
      <c r="K767" t="n">
        <v>0</v>
      </c>
      <c r="L767" t="n">
        <v>0</v>
      </c>
      <c r="M767" t="n">
        <v>0</v>
      </c>
      <c r="N767" t="n">
        <v>0</v>
      </c>
      <c r="O767" t="n">
        <v>0</v>
      </c>
      <c r="P767" t="n">
        <v>0</v>
      </c>
      <c r="Q767" t="n">
        <v>0</v>
      </c>
      <c r="R767" s="2" t="inlineStr"/>
    </row>
    <row r="768" ht="15" customHeight="1">
      <c r="A768" t="inlineStr">
        <is>
          <t>A 42841-2022</t>
        </is>
      </c>
      <c r="B768" s="1" t="n">
        <v>44832</v>
      </c>
      <c r="C768" s="1" t="n">
        <v>45998</v>
      </c>
      <c r="D768" t="inlineStr">
        <is>
          <t>VÄSTMANLANDS LÄN</t>
        </is>
      </c>
      <c r="E768" t="inlineStr">
        <is>
          <t>SURAHAMMAR</t>
        </is>
      </c>
      <c r="G768" t="n">
        <v>1.8</v>
      </c>
      <c r="H768" t="n">
        <v>0</v>
      </c>
      <c r="I768" t="n">
        <v>0</v>
      </c>
      <c r="J768" t="n">
        <v>0</v>
      </c>
      <c r="K768" t="n">
        <v>0</v>
      </c>
      <c r="L768" t="n">
        <v>0</v>
      </c>
      <c r="M768" t="n">
        <v>0</v>
      </c>
      <c r="N768" t="n">
        <v>0</v>
      </c>
      <c r="O768" t="n">
        <v>0</v>
      </c>
      <c r="P768" t="n">
        <v>0</v>
      </c>
      <c r="Q768" t="n">
        <v>0</v>
      </c>
      <c r="R768" s="2" t="inlineStr"/>
    </row>
    <row r="769" ht="15" customHeight="1">
      <c r="A769" t="inlineStr">
        <is>
          <t>A 52799-2021</t>
        </is>
      </c>
      <c r="B769" s="1" t="n">
        <v>44467</v>
      </c>
      <c r="C769" s="1" t="n">
        <v>45998</v>
      </c>
      <c r="D769" t="inlineStr">
        <is>
          <t>VÄSTMANLANDS LÄN</t>
        </is>
      </c>
      <c r="E769" t="inlineStr">
        <is>
          <t>KÖPING</t>
        </is>
      </c>
      <c r="G769" t="n">
        <v>0.4</v>
      </c>
      <c r="H769" t="n">
        <v>0</v>
      </c>
      <c r="I769" t="n">
        <v>0</v>
      </c>
      <c r="J769" t="n">
        <v>0</v>
      </c>
      <c r="K769" t="n">
        <v>0</v>
      </c>
      <c r="L769" t="n">
        <v>0</v>
      </c>
      <c r="M769" t="n">
        <v>0</v>
      </c>
      <c r="N769" t="n">
        <v>0</v>
      </c>
      <c r="O769" t="n">
        <v>0</v>
      </c>
      <c r="P769" t="n">
        <v>0</v>
      </c>
      <c r="Q769" t="n">
        <v>0</v>
      </c>
      <c r="R769" s="2" t="inlineStr"/>
    </row>
    <row r="770" ht="15" customHeight="1">
      <c r="A770" t="inlineStr">
        <is>
          <t>A 11752-2021</t>
        </is>
      </c>
      <c r="B770" s="1" t="n">
        <v>44265</v>
      </c>
      <c r="C770" s="1" t="n">
        <v>45998</v>
      </c>
      <c r="D770" t="inlineStr">
        <is>
          <t>VÄSTMANLANDS LÄN</t>
        </is>
      </c>
      <c r="E770" t="inlineStr">
        <is>
          <t>VÄSTERÅS</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16393-2024</t>
        </is>
      </c>
      <c r="B771" s="1" t="n">
        <v>45407.62472222222</v>
      </c>
      <c r="C771" s="1" t="n">
        <v>45998</v>
      </c>
      <c r="D771" t="inlineStr">
        <is>
          <t>VÄSTMANLANDS LÄN</t>
        </is>
      </c>
      <c r="E771" t="inlineStr">
        <is>
          <t>SKINNSKATTEBERG</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16394-2024</t>
        </is>
      </c>
      <c r="B772" s="1" t="n">
        <v>45407.62637731482</v>
      </c>
      <c r="C772" s="1" t="n">
        <v>45998</v>
      </c>
      <c r="D772" t="inlineStr">
        <is>
          <t>VÄSTMANLANDS LÄN</t>
        </is>
      </c>
      <c r="E772" t="inlineStr">
        <is>
          <t>SKINNSKATTEBERG</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9201-2025</t>
        </is>
      </c>
      <c r="B773" s="1" t="n">
        <v>45714</v>
      </c>
      <c r="C773" s="1" t="n">
        <v>45998</v>
      </c>
      <c r="D773" t="inlineStr">
        <is>
          <t>VÄSTMANLANDS LÄN</t>
        </is>
      </c>
      <c r="E773" t="inlineStr">
        <is>
          <t>NORBERG</t>
        </is>
      </c>
      <c r="F773" t="inlineStr">
        <is>
          <t>Bergvik skog väst AB</t>
        </is>
      </c>
      <c r="G773" t="n">
        <v>15.4</v>
      </c>
      <c r="H773" t="n">
        <v>0</v>
      </c>
      <c r="I773" t="n">
        <v>0</v>
      </c>
      <c r="J773" t="n">
        <v>0</v>
      </c>
      <c r="K773" t="n">
        <v>0</v>
      </c>
      <c r="L773" t="n">
        <v>0</v>
      </c>
      <c r="M773" t="n">
        <v>0</v>
      </c>
      <c r="N773" t="n">
        <v>0</v>
      </c>
      <c r="O773" t="n">
        <v>0</v>
      </c>
      <c r="P773" t="n">
        <v>0</v>
      </c>
      <c r="Q773" t="n">
        <v>0</v>
      </c>
      <c r="R773" s="2" t="inlineStr"/>
    </row>
    <row r="774" ht="15" customHeight="1">
      <c r="A774" t="inlineStr">
        <is>
          <t>A 24158-2023</t>
        </is>
      </c>
      <c r="B774" s="1" t="n">
        <v>45079</v>
      </c>
      <c r="C774" s="1" t="n">
        <v>45998</v>
      </c>
      <c r="D774" t="inlineStr">
        <is>
          <t>VÄSTMANLANDS LÄN</t>
        </is>
      </c>
      <c r="E774" t="inlineStr">
        <is>
          <t>SURAHAMMAR</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21972-2023</t>
        </is>
      </c>
      <c r="B775" s="1" t="n">
        <v>45068.66232638889</v>
      </c>
      <c r="C775" s="1" t="n">
        <v>45998</v>
      </c>
      <c r="D775" t="inlineStr">
        <is>
          <t>VÄSTMANLANDS LÄN</t>
        </is>
      </c>
      <c r="E775" t="inlineStr">
        <is>
          <t>HALLSTAHAMMAR</t>
        </is>
      </c>
      <c r="G775" t="n">
        <v>1.5</v>
      </c>
      <c r="H775" t="n">
        <v>0</v>
      </c>
      <c r="I775" t="n">
        <v>0</v>
      </c>
      <c r="J775" t="n">
        <v>0</v>
      </c>
      <c r="K775" t="n">
        <v>0</v>
      </c>
      <c r="L775" t="n">
        <v>0</v>
      </c>
      <c r="M775" t="n">
        <v>0</v>
      </c>
      <c r="N775" t="n">
        <v>0</v>
      </c>
      <c r="O775" t="n">
        <v>0</v>
      </c>
      <c r="P775" t="n">
        <v>0</v>
      </c>
      <c r="Q775" t="n">
        <v>0</v>
      </c>
      <c r="R775" s="2" t="inlineStr"/>
    </row>
    <row r="776" ht="15" customHeight="1">
      <c r="A776" t="inlineStr">
        <is>
          <t>A 22921-2023</t>
        </is>
      </c>
      <c r="B776" s="1" t="n">
        <v>45070</v>
      </c>
      <c r="C776" s="1" t="n">
        <v>45998</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23455-2024</t>
        </is>
      </c>
      <c r="B777" s="1" t="n">
        <v>45453</v>
      </c>
      <c r="C777" s="1" t="n">
        <v>45998</v>
      </c>
      <c r="D777" t="inlineStr">
        <is>
          <t>VÄSTMANLANDS LÄN</t>
        </is>
      </c>
      <c r="E777" t="inlineStr">
        <is>
          <t>VÄSTERÅS</t>
        </is>
      </c>
      <c r="G777" t="n">
        <v>2.6</v>
      </c>
      <c r="H777" t="n">
        <v>0</v>
      </c>
      <c r="I777" t="n">
        <v>0</v>
      </c>
      <c r="J777" t="n">
        <v>0</v>
      </c>
      <c r="K777" t="n">
        <v>0</v>
      </c>
      <c r="L777" t="n">
        <v>0</v>
      </c>
      <c r="M777" t="n">
        <v>0</v>
      </c>
      <c r="N777" t="n">
        <v>0</v>
      </c>
      <c r="O777" t="n">
        <v>0</v>
      </c>
      <c r="P777" t="n">
        <v>0</v>
      </c>
      <c r="Q777" t="n">
        <v>0</v>
      </c>
      <c r="R777" s="2" t="inlineStr"/>
    </row>
    <row r="778" ht="15" customHeight="1">
      <c r="A778" t="inlineStr">
        <is>
          <t>A 64833-2021</t>
        </is>
      </c>
      <c r="B778" s="1" t="n">
        <v>44512</v>
      </c>
      <c r="C778" s="1" t="n">
        <v>45998</v>
      </c>
      <c r="D778" t="inlineStr">
        <is>
          <t>VÄSTMANLANDS LÄN</t>
        </is>
      </c>
      <c r="E778" t="inlineStr">
        <is>
          <t>ARBOGA</t>
        </is>
      </c>
      <c r="G778" t="n">
        <v>1.5</v>
      </c>
      <c r="H778" t="n">
        <v>0</v>
      </c>
      <c r="I778" t="n">
        <v>0</v>
      </c>
      <c r="J778" t="n">
        <v>0</v>
      </c>
      <c r="K778" t="n">
        <v>0</v>
      </c>
      <c r="L778" t="n">
        <v>0</v>
      </c>
      <c r="M778" t="n">
        <v>0</v>
      </c>
      <c r="N778" t="n">
        <v>0</v>
      </c>
      <c r="O778" t="n">
        <v>0</v>
      </c>
      <c r="P778" t="n">
        <v>0</v>
      </c>
      <c r="Q778" t="n">
        <v>0</v>
      </c>
      <c r="R778" s="2" t="inlineStr"/>
    </row>
    <row r="779" ht="15" customHeight="1">
      <c r="A779" t="inlineStr">
        <is>
          <t>A 15273-2024</t>
        </is>
      </c>
      <c r="B779" s="1" t="n">
        <v>45400.58168981481</v>
      </c>
      <c r="C779" s="1" t="n">
        <v>45998</v>
      </c>
      <c r="D779" t="inlineStr">
        <is>
          <t>VÄSTMANLANDS LÄN</t>
        </is>
      </c>
      <c r="E779" t="inlineStr">
        <is>
          <t>VÄSTERÅS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40815-2022</t>
        </is>
      </c>
      <c r="B780" s="1" t="n">
        <v>44824</v>
      </c>
      <c r="C780" s="1" t="n">
        <v>45998</v>
      </c>
      <c r="D780" t="inlineStr">
        <is>
          <t>VÄSTMANLANDS LÄN</t>
        </is>
      </c>
      <c r="E780" t="inlineStr">
        <is>
          <t>KUNGSÖR</t>
        </is>
      </c>
      <c r="G780" t="n">
        <v>15.9</v>
      </c>
      <c r="H780" t="n">
        <v>0</v>
      </c>
      <c r="I780" t="n">
        <v>0</v>
      </c>
      <c r="J780" t="n">
        <v>0</v>
      </c>
      <c r="K780" t="n">
        <v>0</v>
      </c>
      <c r="L780" t="n">
        <v>0</v>
      </c>
      <c r="M780" t="n">
        <v>0</v>
      </c>
      <c r="N780" t="n">
        <v>0</v>
      </c>
      <c r="O780" t="n">
        <v>0</v>
      </c>
      <c r="P780" t="n">
        <v>0</v>
      </c>
      <c r="Q780" t="n">
        <v>0</v>
      </c>
      <c r="R780" s="2" t="inlineStr"/>
    </row>
    <row r="781" ht="15" customHeight="1">
      <c r="A781" t="inlineStr">
        <is>
          <t>A 20379-2024</t>
        </is>
      </c>
      <c r="B781" s="1" t="n">
        <v>45435</v>
      </c>
      <c r="C781" s="1" t="n">
        <v>45998</v>
      </c>
      <c r="D781" t="inlineStr">
        <is>
          <t>VÄSTMANLANDS LÄN</t>
        </is>
      </c>
      <c r="E781" t="inlineStr">
        <is>
          <t>SKINNSKATTEBERG</t>
        </is>
      </c>
      <c r="G781" t="n">
        <v>1.2</v>
      </c>
      <c r="H781" t="n">
        <v>0</v>
      </c>
      <c r="I781" t="n">
        <v>0</v>
      </c>
      <c r="J781" t="n">
        <v>0</v>
      </c>
      <c r="K781" t="n">
        <v>0</v>
      </c>
      <c r="L781" t="n">
        <v>0</v>
      </c>
      <c r="M781" t="n">
        <v>0</v>
      </c>
      <c r="N781" t="n">
        <v>0</v>
      </c>
      <c r="O781" t="n">
        <v>0</v>
      </c>
      <c r="P781" t="n">
        <v>0</v>
      </c>
      <c r="Q781" t="n">
        <v>0</v>
      </c>
      <c r="R781" s="2" t="inlineStr"/>
    </row>
    <row r="782" ht="15" customHeight="1">
      <c r="A782" t="inlineStr">
        <is>
          <t>A 8746-2023</t>
        </is>
      </c>
      <c r="B782" s="1" t="n">
        <v>44973</v>
      </c>
      <c r="C782" s="1" t="n">
        <v>45998</v>
      </c>
      <c r="D782" t="inlineStr">
        <is>
          <t>VÄSTMANLANDS LÄN</t>
        </is>
      </c>
      <c r="E782" t="inlineStr">
        <is>
          <t>NORBERG</t>
        </is>
      </c>
      <c r="G782" t="n">
        <v>1</v>
      </c>
      <c r="H782" t="n">
        <v>0</v>
      </c>
      <c r="I782" t="n">
        <v>0</v>
      </c>
      <c r="J782" t="n">
        <v>0</v>
      </c>
      <c r="K782" t="n">
        <v>0</v>
      </c>
      <c r="L782" t="n">
        <v>0</v>
      </c>
      <c r="M782" t="n">
        <v>0</v>
      </c>
      <c r="N782" t="n">
        <v>0</v>
      </c>
      <c r="O782" t="n">
        <v>0</v>
      </c>
      <c r="P782" t="n">
        <v>0</v>
      </c>
      <c r="Q782" t="n">
        <v>0</v>
      </c>
      <c r="R782" s="2" t="inlineStr"/>
    </row>
    <row r="783" ht="15" customHeight="1">
      <c r="A783" t="inlineStr">
        <is>
          <t>A 16133-2025</t>
        </is>
      </c>
      <c r="B783" s="1" t="n">
        <v>45750</v>
      </c>
      <c r="C783" s="1" t="n">
        <v>45998</v>
      </c>
      <c r="D783" t="inlineStr">
        <is>
          <t>VÄSTMANLANDS LÄN</t>
        </is>
      </c>
      <c r="E783" t="inlineStr">
        <is>
          <t>SALA</t>
        </is>
      </c>
      <c r="G783" t="n">
        <v>0.9</v>
      </c>
      <c r="H783" t="n">
        <v>0</v>
      </c>
      <c r="I783" t="n">
        <v>0</v>
      </c>
      <c r="J783" t="n">
        <v>0</v>
      </c>
      <c r="K783" t="n">
        <v>0</v>
      </c>
      <c r="L783" t="n">
        <v>0</v>
      </c>
      <c r="M783" t="n">
        <v>0</v>
      </c>
      <c r="N783" t="n">
        <v>0</v>
      </c>
      <c r="O783" t="n">
        <v>0</v>
      </c>
      <c r="P783" t="n">
        <v>0</v>
      </c>
      <c r="Q783" t="n">
        <v>0</v>
      </c>
      <c r="R783" s="2" t="inlineStr"/>
    </row>
    <row r="784" ht="15" customHeight="1">
      <c r="A784" t="inlineStr">
        <is>
          <t>A 20430-2024</t>
        </is>
      </c>
      <c r="B784" s="1" t="n">
        <v>45435</v>
      </c>
      <c r="C784" s="1" t="n">
        <v>45998</v>
      </c>
      <c r="D784" t="inlineStr">
        <is>
          <t>VÄSTMANLANDS LÄN</t>
        </is>
      </c>
      <c r="E784" t="inlineStr">
        <is>
          <t>SKINNSKATTEBERG</t>
        </is>
      </c>
      <c r="G784" t="n">
        <v>1.9</v>
      </c>
      <c r="H784" t="n">
        <v>0</v>
      </c>
      <c r="I784" t="n">
        <v>0</v>
      </c>
      <c r="J784" t="n">
        <v>0</v>
      </c>
      <c r="K784" t="n">
        <v>0</v>
      </c>
      <c r="L784" t="n">
        <v>0</v>
      </c>
      <c r="M784" t="n">
        <v>0</v>
      </c>
      <c r="N784" t="n">
        <v>0</v>
      </c>
      <c r="O784" t="n">
        <v>0</v>
      </c>
      <c r="P784" t="n">
        <v>0</v>
      </c>
      <c r="Q784" t="n">
        <v>0</v>
      </c>
      <c r="R784" s="2" t="inlineStr"/>
    </row>
    <row r="785" ht="15" customHeight="1">
      <c r="A785" t="inlineStr">
        <is>
          <t>A 43303-2022</t>
        </is>
      </c>
      <c r="B785" s="1" t="n">
        <v>44834.54392361111</v>
      </c>
      <c r="C785" s="1" t="n">
        <v>45998</v>
      </c>
      <c r="D785" t="inlineStr">
        <is>
          <t>VÄSTMANLANDS LÄN</t>
        </is>
      </c>
      <c r="E785" t="inlineStr">
        <is>
          <t>KÖPING</t>
        </is>
      </c>
      <c r="G785" t="n">
        <v>2.6</v>
      </c>
      <c r="H785" t="n">
        <v>0</v>
      </c>
      <c r="I785" t="n">
        <v>0</v>
      </c>
      <c r="J785" t="n">
        <v>0</v>
      </c>
      <c r="K785" t="n">
        <v>0</v>
      </c>
      <c r="L785" t="n">
        <v>0</v>
      </c>
      <c r="M785" t="n">
        <v>0</v>
      </c>
      <c r="N785" t="n">
        <v>0</v>
      </c>
      <c r="O785" t="n">
        <v>0</v>
      </c>
      <c r="P785" t="n">
        <v>0</v>
      </c>
      <c r="Q785" t="n">
        <v>0</v>
      </c>
      <c r="R785" s="2" t="inlineStr"/>
    </row>
    <row r="786" ht="15" customHeight="1">
      <c r="A786" t="inlineStr">
        <is>
          <t>A 24121-2024</t>
        </is>
      </c>
      <c r="B786" s="1" t="n">
        <v>45456</v>
      </c>
      <c r="C786" s="1" t="n">
        <v>45998</v>
      </c>
      <c r="D786" t="inlineStr">
        <is>
          <t>VÄSTMANLANDS LÄN</t>
        </is>
      </c>
      <c r="E786" t="inlineStr">
        <is>
          <t>VÄSTERÅS</t>
        </is>
      </c>
      <c r="G786" t="n">
        <v>3.9</v>
      </c>
      <c r="H786" t="n">
        <v>0</v>
      </c>
      <c r="I786" t="n">
        <v>0</v>
      </c>
      <c r="J786" t="n">
        <v>0</v>
      </c>
      <c r="K786" t="n">
        <v>0</v>
      </c>
      <c r="L786" t="n">
        <v>0</v>
      </c>
      <c r="M786" t="n">
        <v>0</v>
      </c>
      <c r="N786" t="n">
        <v>0</v>
      </c>
      <c r="O786" t="n">
        <v>0</v>
      </c>
      <c r="P786" t="n">
        <v>0</v>
      </c>
      <c r="Q786" t="n">
        <v>0</v>
      </c>
      <c r="R786" s="2" t="inlineStr"/>
    </row>
    <row r="787" ht="15" customHeight="1">
      <c r="A787" t="inlineStr">
        <is>
          <t>A 59615-2021</t>
        </is>
      </c>
      <c r="B787" s="1" t="n">
        <v>44491.70662037037</v>
      </c>
      <c r="C787" s="1" t="n">
        <v>45998</v>
      </c>
      <c r="D787" t="inlineStr">
        <is>
          <t>VÄSTMANLANDS LÄN</t>
        </is>
      </c>
      <c r="E787" t="inlineStr">
        <is>
          <t>KUNGSÖR</t>
        </is>
      </c>
      <c r="G787" t="n">
        <v>6.8</v>
      </c>
      <c r="H787" t="n">
        <v>0</v>
      </c>
      <c r="I787" t="n">
        <v>0</v>
      </c>
      <c r="J787" t="n">
        <v>0</v>
      </c>
      <c r="K787" t="n">
        <v>0</v>
      </c>
      <c r="L787" t="n">
        <v>0</v>
      </c>
      <c r="M787" t="n">
        <v>0</v>
      </c>
      <c r="N787" t="n">
        <v>0</v>
      </c>
      <c r="O787" t="n">
        <v>0</v>
      </c>
      <c r="P787" t="n">
        <v>0</v>
      </c>
      <c r="Q787" t="n">
        <v>0</v>
      </c>
      <c r="R787" s="2" t="inlineStr"/>
    </row>
    <row r="788" ht="15" customHeight="1">
      <c r="A788" t="inlineStr">
        <is>
          <t>A 30147-2022</t>
        </is>
      </c>
      <c r="B788" s="1" t="n">
        <v>44757.49366898148</v>
      </c>
      <c r="C788" s="1" t="n">
        <v>45998</v>
      </c>
      <c r="D788" t="inlineStr">
        <is>
          <t>VÄSTMANLANDS LÄN</t>
        </is>
      </c>
      <c r="E788" t="inlineStr">
        <is>
          <t>KÖPING</t>
        </is>
      </c>
      <c r="G788" t="n">
        <v>1.3</v>
      </c>
      <c r="H788" t="n">
        <v>0</v>
      </c>
      <c r="I788" t="n">
        <v>0</v>
      </c>
      <c r="J788" t="n">
        <v>0</v>
      </c>
      <c r="K788" t="n">
        <v>0</v>
      </c>
      <c r="L788" t="n">
        <v>0</v>
      </c>
      <c r="M788" t="n">
        <v>0</v>
      </c>
      <c r="N788" t="n">
        <v>0</v>
      </c>
      <c r="O788" t="n">
        <v>0</v>
      </c>
      <c r="P788" t="n">
        <v>0</v>
      </c>
      <c r="Q788" t="n">
        <v>0</v>
      </c>
      <c r="R788" s="2" t="inlineStr"/>
    </row>
    <row r="789" ht="15" customHeight="1">
      <c r="A789" t="inlineStr">
        <is>
          <t>A 24864-2024</t>
        </is>
      </c>
      <c r="B789" s="1" t="n">
        <v>45461.48888888889</v>
      </c>
      <c r="C789" s="1" t="n">
        <v>45998</v>
      </c>
      <c r="D789" t="inlineStr">
        <is>
          <t>VÄSTMANLANDS LÄN</t>
        </is>
      </c>
      <c r="E789" t="inlineStr">
        <is>
          <t>SALA</t>
        </is>
      </c>
      <c r="G789" t="n">
        <v>0.6</v>
      </c>
      <c r="H789" t="n">
        <v>0</v>
      </c>
      <c r="I789" t="n">
        <v>0</v>
      </c>
      <c r="J789" t="n">
        <v>0</v>
      </c>
      <c r="K789" t="n">
        <v>0</v>
      </c>
      <c r="L789" t="n">
        <v>0</v>
      </c>
      <c r="M789" t="n">
        <v>0</v>
      </c>
      <c r="N789" t="n">
        <v>0</v>
      </c>
      <c r="O789" t="n">
        <v>0</v>
      </c>
      <c r="P789" t="n">
        <v>0</v>
      </c>
      <c r="Q789" t="n">
        <v>0</v>
      </c>
      <c r="R789" s="2" t="inlineStr"/>
    </row>
    <row r="790" ht="15" customHeight="1">
      <c r="A790" t="inlineStr">
        <is>
          <t>A 1118-2024</t>
        </is>
      </c>
      <c r="B790" s="1" t="n">
        <v>45302</v>
      </c>
      <c r="C790" s="1" t="n">
        <v>45998</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37751-2022</t>
        </is>
      </c>
      <c r="B791" s="1" t="n">
        <v>44810.59604166666</v>
      </c>
      <c r="C791" s="1" t="n">
        <v>45998</v>
      </c>
      <c r="D791" t="inlineStr">
        <is>
          <t>VÄSTMANLANDS LÄN</t>
        </is>
      </c>
      <c r="E791" t="inlineStr">
        <is>
          <t>KÖPING</t>
        </is>
      </c>
      <c r="G791" t="n">
        <v>2.2</v>
      </c>
      <c r="H791" t="n">
        <v>0</v>
      </c>
      <c r="I791" t="n">
        <v>0</v>
      </c>
      <c r="J791" t="n">
        <v>0</v>
      </c>
      <c r="K791" t="n">
        <v>0</v>
      </c>
      <c r="L791" t="n">
        <v>0</v>
      </c>
      <c r="M791" t="n">
        <v>0</v>
      </c>
      <c r="N791" t="n">
        <v>0</v>
      </c>
      <c r="O791" t="n">
        <v>0</v>
      </c>
      <c r="P791" t="n">
        <v>0</v>
      </c>
      <c r="Q791" t="n">
        <v>0</v>
      </c>
      <c r="R791" s="2" t="inlineStr"/>
    </row>
    <row r="792" ht="15" customHeight="1">
      <c r="A792" t="inlineStr">
        <is>
          <t>A 63933-2023</t>
        </is>
      </c>
      <c r="B792" s="1" t="n">
        <v>45278</v>
      </c>
      <c r="C792" s="1" t="n">
        <v>45998</v>
      </c>
      <c r="D792" t="inlineStr">
        <is>
          <t>VÄSTMANLANDS LÄN</t>
        </is>
      </c>
      <c r="E792" t="inlineStr">
        <is>
          <t>SALA</t>
        </is>
      </c>
      <c r="G792" t="n">
        <v>1.4</v>
      </c>
      <c r="H792" t="n">
        <v>0</v>
      </c>
      <c r="I792" t="n">
        <v>0</v>
      </c>
      <c r="J792" t="n">
        <v>0</v>
      </c>
      <c r="K792" t="n">
        <v>0</v>
      </c>
      <c r="L792" t="n">
        <v>0</v>
      </c>
      <c r="M792" t="n">
        <v>0</v>
      </c>
      <c r="N792" t="n">
        <v>0</v>
      </c>
      <c r="O792" t="n">
        <v>0</v>
      </c>
      <c r="P792" t="n">
        <v>0</v>
      </c>
      <c r="Q792" t="n">
        <v>0</v>
      </c>
      <c r="R792" s="2" t="inlineStr"/>
    </row>
    <row r="793" ht="15" customHeight="1">
      <c r="A793" t="inlineStr">
        <is>
          <t>A 401-2024</t>
        </is>
      </c>
      <c r="B793" s="1" t="n">
        <v>45296.45457175926</v>
      </c>
      <c r="C793" s="1" t="n">
        <v>45998</v>
      </c>
      <c r="D793" t="inlineStr">
        <is>
          <t>VÄSTMANLANDS LÄN</t>
        </is>
      </c>
      <c r="E793" t="inlineStr">
        <is>
          <t>VÄSTERÅS</t>
        </is>
      </c>
      <c r="G793" t="n">
        <v>6.1</v>
      </c>
      <c r="H793" t="n">
        <v>0</v>
      </c>
      <c r="I793" t="n">
        <v>0</v>
      </c>
      <c r="J793" t="n">
        <v>0</v>
      </c>
      <c r="K793" t="n">
        <v>0</v>
      </c>
      <c r="L793" t="n">
        <v>0</v>
      </c>
      <c r="M793" t="n">
        <v>0</v>
      </c>
      <c r="N793" t="n">
        <v>0</v>
      </c>
      <c r="O793" t="n">
        <v>0</v>
      </c>
      <c r="P793" t="n">
        <v>0</v>
      </c>
      <c r="Q793" t="n">
        <v>0</v>
      </c>
      <c r="R793" s="2" t="inlineStr"/>
    </row>
    <row r="794" ht="15" customHeight="1">
      <c r="A794" t="inlineStr">
        <is>
          <t>A 54657-2023</t>
        </is>
      </c>
      <c r="B794" s="1" t="n">
        <v>45235</v>
      </c>
      <c r="C794" s="1" t="n">
        <v>45998</v>
      </c>
      <c r="D794" t="inlineStr">
        <is>
          <t>VÄSTMANLANDS LÄN</t>
        </is>
      </c>
      <c r="E794" t="inlineStr">
        <is>
          <t>KÖPING</t>
        </is>
      </c>
      <c r="G794" t="n">
        <v>4.2</v>
      </c>
      <c r="H794" t="n">
        <v>0</v>
      </c>
      <c r="I794" t="n">
        <v>0</v>
      </c>
      <c r="J794" t="n">
        <v>0</v>
      </c>
      <c r="K794" t="n">
        <v>0</v>
      </c>
      <c r="L794" t="n">
        <v>0</v>
      </c>
      <c r="M794" t="n">
        <v>0</v>
      </c>
      <c r="N794" t="n">
        <v>0</v>
      </c>
      <c r="O794" t="n">
        <v>0</v>
      </c>
      <c r="P794" t="n">
        <v>0</v>
      </c>
      <c r="Q794" t="n">
        <v>0</v>
      </c>
      <c r="R794" s="2" t="inlineStr"/>
    </row>
    <row r="795" ht="15" customHeight="1">
      <c r="A795" t="inlineStr">
        <is>
          <t>A 13632-2025</t>
        </is>
      </c>
      <c r="B795" s="1" t="n">
        <v>45736</v>
      </c>
      <c r="C795" s="1" t="n">
        <v>45998</v>
      </c>
      <c r="D795" t="inlineStr">
        <is>
          <t>VÄSTMANLANDS LÄN</t>
        </is>
      </c>
      <c r="E795" t="inlineStr">
        <is>
          <t>VÄSTERÅS</t>
        </is>
      </c>
      <c r="G795" t="n">
        <v>1</v>
      </c>
      <c r="H795" t="n">
        <v>0</v>
      </c>
      <c r="I795" t="n">
        <v>0</v>
      </c>
      <c r="J795" t="n">
        <v>0</v>
      </c>
      <c r="K795" t="n">
        <v>0</v>
      </c>
      <c r="L795" t="n">
        <v>0</v>
      </c>
      <c r="M795" t="n">
        <v>0</v>
      </c>
      <c r="N795" t="n">
        <v>0</v>
      </c>
      <c r="O795" t="n">
        <v>0</v>
      </c>
      <c r="P795" t="n">
        <v>0</v>
      </c>
      <c r="Q795" t="n">
        <v>0</v>
      </c>
      <c r="R795" s="2" t="inlineStr"/>
    </row>
    <row r="796" ht="15" customHeight="1">
      <c r="A796" t="inlineStr">
        <is>
          <t>A 53183-2021</t>
        </is>
      </c>
      <c r="B796" s="1" t="n">
        <v>44468</v>
      </c>
      <c r="C796" s="1" t="n">
        <v>45998</v>
      </c>
      <c r="D796" t="inlineStr">
        <is>
          <t>VÄSTMANLANDS LÄN</t>
        </is>
      </c>
      <c r="E796" t="inlineStr">
        <is>
          <t>SKINNSKATTEBERG</t>
        </is>
      </c>
      <c r="F796" t="inlineStr">
        <is>
          <t>Sveaskog</t>
        </is>
      </c>
      <c r="G796" t="n">
        <v>2.2</v>
      </c>
      <c r="H796" t="n">
        <v>0</v>
      </c>
      <c r="I796" t="n">
        <v>0</v>
      </c>
      <c r="J796" t="n">
        <v>0</v>
      </c>
      <c r="K796" t="n">
        <v>0</v>
      </c>
      <c r="L796" t="n">
        <v>0</v>
      </c>
      <c r="M796" t="n">
        <v>0</v>
      </c>
      <c r="N796" t="n">
        <v>0</v>
      </c>
      <c r="O796" t="n">
        <v>0</v>
      </c>
      <c r="P796" t="n">
        <v>0</v>
      </c>
      <c r="Q796" t="n">
        <v>0</v>
      </c>
      <c r="R796" s="2" t="inlineStr"/>
    </row>
    <row r="797" ht="15" customHeight="1">
      <c r="A797" t="inlineStr">
        <is>
          <t>A 27589-2024</t>
        </is>
      </c>
      <c r="B797" s="1" t="n">
        <v>45474.67520833333</v>
      </c>
      <c r="C797" s="1" t="n">
        <v>45998</v>
      </c>
      <c r="D797" t="inlineStr">
        <is>
          <t>VÄSTMANLANDS LÄN</t>
        </is>
      </c>
      <c r="E797" t="inlineStr">
        <is>
          <t>NORBERG</t>
        </is>
      </c>
      <c r="G797" t="n">
        <v>2.7</v>
      </c>
      <c r="H797" t="n">
        <v>0</v>
      </c>
      <c r="I797" t="n">
        <v>0</v>
      </c>
      <c r="J797" t="n">
        <v>0</v>
      </c>
      <c r="K797" t="n">
        <v>0</v>
      </c>
      <c r="L797" t="n">
        <v>0</v>
      </c>
      <c r="M797" t="n">
        <v>0</v>
      </c>
      <c r="N797" t="n">
        <v>0</v>
      </c>
      <c r="O797" t="n">
        <v>0</v>
      </c>
      <c r="P797" t="n">
        <v>0</v>
      </c>
      <c r="Q797" t="n">
        <v>0</v>
      </c>
      <c r="R797" s="2" t="inlineStr"/>
    </row>
    <row r="798" ht="15" customHeight="1">
      <c r="A798" t="inlineStr">
        <is>
          <t>A 51951-2023</t>
        </is>
      </c>
      <c r="B798" s="1" t="n">
        <v>45223</v>
      </c>
      <c r="C798" s="1" t="n">
        <v>45998</v>
      </c>
      <c r="D798" t="inlineStr">
        <is>
          <t>VÄSTMANLANDS LÄN</t>
        </is>
      </c>
      <c r="E798" t="inlineStr">
        <is>
          <t>VÄSTERÅS</t>
        </is>
      </c>
      <c r="G798" t="n">
        <v>1.4</v>
      </c>
      <c r="H798" t="n">
        <v>0</v>
      </c>
      <c r="I798" t="n">
        <v>0</v>
      </c>
      <c r="J798" t="n">
        <v>0</v>
      </c>
      <c r="K798" t="n">
        <v>0</v>
      </c>
      <c r="L798" t="n">
        <v>0</v>
      </c>
      <c r="M798" t="n">
        <v>0</v>
      </c>
      <c r="N798" t="n">
        <v>0</v>
      </c>
      <c r="O798" t="n">
        <v>0</v>
      </c>
      <c r="P798" t="n">
        <v>0</v>
      </c>
      <c r="Q798" t="n">
        <v>0</v>
      </c>
      <c r="R798" s="2" t="inlineStr"/>
    </row>
    <row r="799" ht="15" customHeight="1">
      <c r="A799" t="inlineStr">
        <is>
          <t>A 56916-2022</t>
        </is>
      </c>
      <c r="B799" s="1" t="n">
        <v>44888</v>
      </c>
      <c r="C799" s="1" t="n">
        <v>45998</v>
      </c>
      <c r="D799" t="inlineStr">
        <is>
          <t>VÄSTMANLANDS LÄN</t>
        </is>
      </c>
      <c r="E799" t="inlineStr">
        <is>
          <t>SALA</t>
        </is>
      </c>
      <c r="G799" t="n">
        <v>1.7</v>
      </c>
      <c r="H799" t="n">
        <v>0</v>
      </c>
      <c r="I799" t="n">
        <v>0</v>
      </c>
      <c r="J799" t="n">
        <v>0</v>
      </c>
      <c r="K799" t="n">
        <v>0</v>
      </c>
      <c r="L799" t="n">
        <v>0</v>
      </c>
      <c r="M799" t="n">
        <v>0</v>
      </c>
      <c r="N799" t="n">
        <v>0</v>
      </c>
      <c r="O799" t="n">
        <v>0</v>
      </c>
      <c r="P799" t="n">
        <v>0</v>
      </c>
      <c r="Q799" t="n">
        <v>0</v>
      </c>
      <c r="R799" s="2" t="inlineStr"/>
    </row>
    <row r="800" ht="15" customHeight="1">
      <c r="A800" t="inlineStr">
        <is>
          <t>A 37190-2024</t>
        </is>
      </c>
      <c r="B800" s="1" t="n">
        <v>45539</v>
      </c>
      <c r="C800" s="1" t="n">
        <v>45998</v>
      </c>
      <c r="D800" t="inlineStr">
        <is>
          <t>VÄSTMANLANDS LÄN</t>
        </is>
      </c>
      <c r="E800" t="inlineStr">
        <is>
          <t>SALA</t>
        </is>
      </c>
      <c r="G800" t="n">
        <v>0.9</v>
      </c>
      <c r="H800" t="n">
        <v>0</v>
      </c>
      <c r="I800" t="n">
        <v>0</v>
      </c>
      <c r="J800" t="n">
        <v>0</v>
      </c>
      <c r="K800" t="n">
        <v>0</v>
      </c>
      <c r="L800" t="n">
        <v>0</v>
      </c>
      <c r="M800" t="n">
        <v>0</v>
      </c>
      <c r="N800" t="n">
        <v>0</v>
      </c>
      <c r="O800" t="n">
        <v>0</v>
      </c>
      <c r="P800" t="n">
        <v>0</v>
      </c>
      <c r="Q800" t="n">
        <v>0</v>
      </c>
      <c r="R800" s="2" t="inlineStr"/>
    </row>
    <row r="801" ht="15" customHeight="1">
      <c r="A801" t="inlineStr">
        <is>
          <t>A 6127-2025</t>
        </is>
      </c>
      <c r="B801" s="1" t="n">
        <v>45698</v>
      </c>
      <c r="C801" s="1" t="n">
        <v>45998</v>
      </c>
      <c r="D801" t="inlineStr">
        <is>
          <t>VÄSTMANLANDS LÄN</t>
        </is>
      </c>
      <c r="E801" t="inlineStr">
        <is>
          <t>SALA</t>
        </is>
      </c>
      <c r="F801" t="inlineStr">
        <is>
          <t>Bergvik skog öst AB</t>
        </is>
      </c>
      <c r="G801" t="n">
        <v>4.3</v>
      </c>
      <c r="H801" t="n">
        <v>0</v>
      </c>
      <c r="I801" t="n">
        <v>0</v>
      </c>
      <c r="J801" t="n">
        <v>0</v>
      </c>
      <c r="K801" t="n">
        <v>0</v>
      </c>
      <c r="L801" t="n">
        <v>0</v>
      </c>
      <c r="M801" t="n">
        <v>0</v>
      </c>
      <c r="N801" t="n">
        <v>0</v>
      </c>
      <c r="O801" t="n">
        <v>0</v>
      </c>
      <c r="P801" t="n">
        <v>0</v>
      </c>
      <c r="Q801" t="n">
        <v>0</v>
      </c>
      <c r="R801" s="2" t="inlineStr"/>
    </row>
    <row r="802" ht="15" customHeight="1">
      <c r="A802" t="inlineStr">
        <is>
          <t>A 13121-2024</t>
        </is>
      </c>
      <c r="B802" s="1" t="n">
        <v>45385.8783912037</v>
      </c>
      <c r="C802" s="1" t="n">
        <v>45998</v>
      </c>
      <c r="D802" t="inlineStr">
        <is>
          <t>VÄSTMANLANDS LÄN</t>
        </is>
      </c>
      <c r="E802" t="inlineStr">
        <is>
          <t>ARBOGA</t>
        </is>
      </c>
      <c r="G802" t="n">
        <v>1.4</v>
      </c>
      <c r="H802" t="n">
        <v>0</v>
      </c>
      <c r="I802" t="n">
        <v>0</v>
      </c>
      <c r="J802" t="n">
        <v>0</v>
      </c>
      <c r="K802" t="n">
        <v>0</v>
      </c>
      <c r="L802" t="n">
        <v>0</v>
      </c>
      <c r="M802" t="n">
        <v>0</v>
      </c>
      <c r="N802" t="n">
        <v>0</v>
      </c>
      <c r="O802" t="n">
        <v>0</v>
      </c>
      <c r="P802" t="n">
        <v>0</v>
      </c>
      <c r="Q802" t="n">
        <v>0</v>
      </c>
      <c r="R802" s="2" t="inlineStr"/>
    </row>
    <row r="803" ht="15" customHeight="1">
      <c r="A803" t="inlineStr">
        <is>
          <t>A 15272-2025</t>
        </is>
      </c>
      <c r="B803" s="1" t="n">
        <v>45744</v>
      </c>
      <c r="C803" s="1" t="n">
        <v>45998</v>
      </c>
      <c r="D803" t="inlineStr">
        <is>
          <t>VÄSTMANLANDS LÄN</t>
        </is>
      </c>
      <c r="E803" t="inlineStr">
        <is>
          <t>SALA</t>
        </is>
      </c>
      <c r="G803" t="n">
        <v>0.7</v>
      </c>
      <c r="H803" t="n">
        <v>0</v>
      </c>
      <c r="I803" t="n">
        <v>0</v>
      </c>
      <c r="J803" t="n">
        <v>0</v>
      </c>
      <c r="K803" t="n">
        <v>0</v>
      </c>
      <c r="L803" t="n">
        <v>0</v>
      </c>
      <c r="M803" t="n">
        <v>0</v>
      </c>
      <c r="N803" t="n">
        <v>0</v>
      </c>
      <c r="O803" t="n">
        <v>0</v>
      </c>
      <c r="P803" t="n">
        <v>0</v>
      </c>
      <c r="Q803" t="n">
        <v>0</v>
      </c>
      <c r="R803" s="2" t="inlineStr"/>
    </row>
    <row r="804" ht="15" customHeight="1">
      <c r="A804" t="inlineStr">
        <is>
          <t>A 24834-2021</t>
        </is>
      </c>
      <c r="B804" s="1" t="n">
        <v>44340</v>
      </c>
      <c r="C804" s="1" t="n">
        <v>45998</v>
      </c>
      <c r="D804" t="inlineStr">
        <is>
          <t>VÄSTMANLANDS LÄN</t>
        </is>
      </c>
      <c r="E804" t="inlineStr">
        <is>
          <t>VÄSTERÅS</t>
        </is>
      </c>
      <c r="G804" t="n">
        <v>4.8</v>
      </c>
      <c r="H804" t="n">
        <v>0</v>
      </c>
      <c r="I804" t="n">
        <v>0</v>
      </c>
      <c r="J804" t="n">
        <v>0</v>
      </c>
      <c r="K804" t="n">
        <v>0</v>
      </c>
      <c r="L804" t="n">
        <v>0</v>
      </c>
      <c r="M804" t="n">
        <v>0</v>
      </c>
      <c r="N804" t="n">
        <v>0</v>
      </c>
      <c r="O804" t="n">
        <v>0</v>
      </c>
      <c r="P804" t="n">
        <v>0</v>
      </c>
      <c r="Q804" t="n">
        <v>0</v>
      </c>
      <c r="R804" s="2" t="inlineStr"/>
    </row>
    <row r="805" ht="15" customHeight="1">
      <c r="A805" t="inlineStr">
        <is>
          <t>A 39439-2021</t>
        </is>
      </c>
      <c r="B805" s="1" t="n">
        <v>44414</v>
      </c>
      <c r="C805" s="1" t="n">
        <v>45998</v>
      </c>
      <c r="D805" t="inlineStr">
        <is>
          <t>VÄSTMANLANDS LÄN</t>
        </is>
      </c>
      <c r="E805" t="inlineStr">
        <is>
          <t>SALA</t>
        </is>
      </c>
      <c r="G805" t="n">
        <v>1.1</v>
      </c>
      <c r="H805" t="n">
        <v>0</v>
      </c>
      <c r="I805" t="n">
        <v>0</v>
      </c>
      <c r="J805" t="n">
        <v>0</v>
      </c>
      <c r="K805" t="n">
        <v>0</v>
      </c>
      <c r="L805" t="n">
        <v>0</v>
      </c>
      <c r="M805" t="n">
        <v>0</v>
      </c>
      <c r="N805" t="n">
        <v>0</v>
      </c>
      <c r="O805" t="n">
        <v>0</v>
      </c>
      <c r="P805" t="n">
        <v>0</v>
      </c>
      <c r="Q805" t="n">
        <v>0</v>
      </c>
      <c r="R805" s="2" t="inlineStr"/>
    </row>
    <row r="806" ht="15" customHeight="1">
      <c r="A806" t="inlineStr">
        <is>
          <t>A 35600-2021</t>
        </is>
      </c>
      <c r="B806" s="1" t="n">
        <v>44386</v>
      </c>
      <c r="C806" s="1" t="n">
        <v>45998</v>
      </c>
      <c r="D806" t="inlineStr">
        <is>
          <t>VÄSTMANLANDS LÄN</t>
        </is>
      </c>
      <c r="E806" t="inlineStr">
        <is>
          <t>ARBOGA</t>
        </is>
      </c>
      <c r="G806" t="n">
        <v>0.3</v>
      </c>
      <c r="H806" t="n">
        <v>0</v>
      </c>
      <c r="I806" t="n">
        <v>0</v>
      </c>
      <c r="J806" t="n">
        <v>0</v>
      </c>
      <c r="K806" t="n">
        <v>0</v>
      </c>
      <c r="L806" t="n">
        <v>0</v>
      </c>
      <c r="M806" t="n">
        <v>0</v>
      </c>
      <c r="N806" t="n">
        <v>0</v>
      </c>
      <c r="O806" t="n">
        <v>0</v>
      </c>
      <c r="P806" t="n">
        <v>0</v>
      </c>
      <c r="Q806" t="n">
        <v>0</v>
      </c>
      <c r="R806" s="2" t="inlineStr"/>
    </row>
    <row r="807" ht="15" customHeight="1">
      <c r="A807" t="inlineStr">
        <is>
          <t>A 16729-2024</t>
        </is>
      </c>
      <c r="B807" s="1" t="n">
        <v>45410.6364699074</v>
      </c>
      <c r="C807" s="1" t="n">
        <v>45998</v>
      </c>
      <c r="D807" t="inlineStr">
        <is>
          <t>VÄSTMANLANDS LÄN</t>
        </is>
      </c>
      <c r="E807" t="inlineStr">
        <is>
          <t>SKINNSKATTEBERG</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18128-2024</t>
        </is>
      </c>
      <c r="B808" s="1" t="n">
        <v>45420.56232638889</v>
      </c>
      <c r="C808" s="1" t="n">
        <v>45998</v>
      </c>
      <c r="D808" t="inlineStr">
        <is>
          <t>VÄSTMANLANDS LÄN</t>
        </is>
      </c>
      <c r="E808" t="inlineStr">
        <is>
          <t>NORBERG</t>
        </is>
      </c>
      <c r="G808" t="n">
        <v>0.8</v>
      </c>
      <c r="H808" t="n">
        <v>0</v>
      </c>
      <c r="I808" t="n">
        <v>0</v>
      </c>
      <c r="J808" t="n">
        <v>0</v>
      </c>
      <c r="K808" t="n">
        <v>0</v>
      </c>
      <c r="L808" t="n">
        <v>0</v>
      </c>
      <c r="M808" t="n">
        <v>0</v>
      </c>
      <c r="N808" t="n">
        <v>0</v>
      </c>
      <c r="O808" t="n">
        <v>0</v>
      </c>
      <c r="P808" t="n">
        <v>0</v>
      </c>
      <c r="Q808" t="n">
        <v>0</v>
      </c>
      <c r="R808" s="2" t="inlineStr"/>
    </row>
    <row r="809" ht="15" customHeight="1">
      <c r="A809" t="inlineStr">
        <is>
          <t>A 33512-2021</t>
        </is>
      </c>
      <c r="B809" s="1" t="n">
        <v>44377</v>
      </c>
      <c r="C809" s="1" t="n">
        <v>45998</v>
      </c>
      <c r="D809" t="inlineStr">
        <is>
          <t>VÄSTMANLANDS LÄN</t>
        </is>
      </c>
      <c r="E809" t="inlineStr">
        <is>
          <t>VÄSTERÅS</t>
        </is>
      </c>
      <c r="G809" t="n">
        <v>2</v>
      </c>
      <c r="H809" t="n">
        <v>0</v>
      </c>
      <c r="I809" t="n">
        <v>0</v>
      </c>
      <c r="J809" t="n">
        <v>0</v>
      </c>
      <c r="K809" t="n">
        <v>0</v>
      </c>
      <c r="L809" t="n">
        <v>0</v>
      </c>
      <c r="M809" t="n">
        <v>0</v>
      </c>
      <c r="N809" t="n">
        <v>0</v>
      </c>
      <c r="O809" t="n">
        <v>0</v>
      </c>
      <c r="P809" t="n">
        <v>0</v>
      </c>
      <c r="Q809" t="n">
        <v>0</v>
      </c>
      <c r="R809" s="2" t="inlineStr"/>
    </row>
    <row r="810" ht="15" customHeight="1">
      <c r="A810" t="inlineStr">
        <is>
          <t>A 39127-2022</t>
        </is>
      </c>
      <c r="B810" s="1" t="n">
        <v>44816</v>
      </c>
      <c r="C810" s="1" t="n">
        <v>45998</v>
      </c>
      <c r="D810" t="inlineStr">
        <is>
          <t>VÄSTMANLANDS LÄN</t>
        </is>
      </c>
      <c r="E810" t="inlineStr">
        <is>
          <t>VÄSTERÅS</t>
        </is>
      </c>
      <c r="G810" t="n">
        <v>4.5</v>
      </c>
      <c r="H810" t="n">
        <v>0</v>
      </c>
      <c r="I810" t="n">
        <v>0</v>
      </c>
      <c r="J810" t="n">
        <v>0</v>
      </c>
      <c r="K810" t="n">
        <v>0</v>
      </c>
      <c r="L810" t="n">
        <v>0</v>
      </c>
      <c r="M810" t="n">
        <v>0</v>
      </c>
      <c r="N810" t="n">
        <v>0</v>
      </c>
      <c r="O810" t="n">
        <v>0</v>
      </c>
      <c r="P810" t="n">
        <v>0</v>
      </c>
      <c r="Q810" t="n">
        <v>0</v>
      </c>
      <c r="R810" s="2" t="inlineStr"/>
    </row>
    <row r="811" ht="15" customHeight="1">
      <c r="A811" t="inlineStr">
        <is>
          <t>A 67005-2020</t>
        </is>
      </c>
      <c r="B811" s="1" t="n">
        <v>44180</v>
      </c>
      <c r="C811" s="1" t="n">
        <v>45998</v>
      </c>
      <c r="D811" t="inlineStr">
        <is>
          <t>VÄSTMANLANDS LÄN</t>
        </is>
      </c>
      <c r="E811" t="inlineStr">
        <is>
          <t>KÖPING</t>
        </is>
      </c>
      <c r="F811" t="inlineStr">
        <is>
          <t>Allmännings- och besparingsskogar</t>
        </is>
      </c>
      <c r="G811" t="n">
        <v>4.6</v>
      </c>
      <c r="H811" t="n">
        <v>0</v>
      </c>
      <c r="I811" t="n">
        <v>0</v>
      </c>
      <c r="J811" t="n">
        <v>0</v>
      </c>
      <c r="K811" t="n">
        <v>0</v>
      </c>
      <c r="L811" t="n">
        <v>0</v>
      </c>
      <c r="M811" t="n">
        <v>0</v>
      </c>
      <c r="N811" t="n">
        <v>0</v>
      </c>
      <c r="O811" t="n">
        <v>0</v>
      </c>
      <c r="P811" t="n">
        <v>0</v>
      </c>
      <c r="Q811" t="n">
        <v>0</v>
      </c>
      <c r="R811" s="2" t="inlineStr"/>
    </row>
    <row r="812" ht="15" customHeight="1">
      <c r="A812" t="inlineStr">
        <is>
          <t>A 37210-2022</t>
        </is>
      </c>
      <c r="B812" s="1" t="n">
        <v>44806.65509259259</v>
      </c>
      <c r="C812" s="1" t="n">
        <v>45998</v>
      </c>
      <c r="D812" t="inlineStr">
        <is>
          <t>VÄSTMANLANDS LÄN</t>
        </is>
      </c>
      <c r="E812" t="inlineStr">
        <is>
          <t>SKINNSKATTEBERG</t>
        </is>
      </c>
      <c r="G812" t="n">
        <v>1.5</v>
      </c>
      <c r="H812" t="n">
        <v>0</v>
      </c>
      <c r="I812" t="n">
        <v>0</v>
      </c>
      <c r="J812" t="n">
        <v>0</v>
      </c>
      <c r="K812" t="n">
        <v>0</v>
      </c>
      <c r="L812" t="n">
        <v>0</v>
      </c>
      <c r="M812" t="n">
        <v>0</v>
      </c>
      <c r="N812" t="n">
        <v>0</v>
      </c>
      <c r="O812" t="n">
        <v>0</v>
      </c>
      <c r="P812" t="n">
        <v>0</v>
      </c>
      <c r="Q812" t="n">
        <v>0</v>
      </c>
      <c r="R812" s="2" t="inlineStr"/>
    </row>
    <row r="813" ht="15" customHeight="1">
      <c r="A813" t="inlineStr">
        <is>
          <t>A 24248-2023</t>
        </is>
      </c>
      <c r="B813" s="1" t="n">
        <v>45079</v>
      </c>
      <c r="C813" s="1" t="n">
        <v>45998</v>
      </c>
      <c r="D813" t="inlineStr">
        <is>
          <t>VÄSTMANLANDS LÄN</t>
        </is>
      </c>
      <c r="E813" t="inlineStr">
        <is>
          <t>SALA</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22484-2023</t>
        </is>
      </c>
      <c r="B814" s="1" t="n">
        <v>45071</v>
      </c>
      <c r="C814" s="1" t="n">
        <v>45998</v>
      </c>
      <c r="D814" t="inlineStr">
        <is>
          <t>VÄSTMANLANDS LÄN</t>
        </is>
      </c>
      <c r="E814" t="inlineStr">
        <is>
          <t>FAGERSTA</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11389-2024</t>
        </is>
      </c>
      <c r="B815" s="1" t="n">
        <v>45372.45016203704</v>
      </c>
      <c r="C815" s="1" t="n">
        <v>45998</v>
      </c>
      <c r="D815" t="inlineStr">
        <is>
          <t>VÄSTMANLANDS LÄN</t>
        </is>
      </c>
      <c r="E815" t="inlineStr">
        <is>
          <t>SALA</t>
        </is>
      </c>
      <c r="G815" t="n">
        <v>0.5</v>
      </c>
      <c r="H815" t="n">
        <v>0</v>
      </c>
      <c r="I815" t="n">
        <v>0</v>
      </c>
      <c r="J815" t="n">
        <v>0</v>
      </c>
      <c r="K815" t="n">
        <v>0</v>
      </c>
      <c r="L815" t="n">
        <v>0</v>
      </c>
      <c r="M815" t="n">
        <v>0</v>
      </c>
      <c r="N815" t="n">
        <v>0</v>
      </c>
      <c r="O815" t="n">
        <v>0</v>
      </c>
      <c r="P815" t="n">
        <v>0</v>
      </c>
      <c r="Q815" t="n">
        <v>0</v>
      </c>
      <c r="R815" s="2" t="inlineStr"/>
    </row>
    <row r="816" ht="15" customHeight="1">
      <c r="A816" t="inlineStr">
        <is>
          <t>A 56706-2022</t>
        </is>
      </c>
      <c r="B816" s="1" t="n">
        <v>44893.78893518518</v>
      </c>
      <c r="C816" s="1" t="n">
        <v>45998</v>
      </c>
      <c r="D816" t="inlineStr">
        <is>
          <t>VÄSTMANLANDS LÄN</t>
        </is>
      </c>
      <c r="E816" t="inlineStr">
        <is>
          <t>SALA</t>
        </is>
      </c>
      <c r="G816" t="n">
        <v>4.5</v>
      </c>
      <c r="H816" t="n">
        <v>0</v>
      </c>
      <c r="I816" t="n">
        <v>0</v>
      </c>
      <c r="J816" t="n">
        <v>0</v>
      </c>
      <c r="K816" t="n">
        <v>0</v>
      </c>
      <c r="L816" t="n">
        <v>0</v>
      </c>
      <c r="M816" t="n">
        <v>0</v>
      </c>
      <c r="N816" t="n">
        <v>0</v>
      </c>
      <c r="O816" t="n">
        <v>0</v>
      </c>
      <c r="P816" t="n">
        <v>0</v>
      </c>
      <c r="Q816" t="n">
        <v>0</v>
      </c>
      <c r="R816" s="2" t="inlineStr"/>
    </row>
    <row r="817" ht="15" customHeight="1">
      <c r="A817" t="inlineStr">
        <is>
          <t>A 56707-2022</t>
        </is>
      </c>
      <c r="B817" s="1" t="n">
        <v>44893.79412037037</v>
      </c>
      <c r="C817" s="1" t="n">
        <v>45998</v>
      </c>
      <c r="D817" t="inlineStr">
        <is>
          <t>VÄSTMANLANDS LÄN</t>
        </is>
      </c>
      <c r="E817" t="inlineStr">
        <is>
          <t>SALA</t>
        </is>
      </c>
      <c r="G817" t="n">
        <v>1</v>
      </c>
      <c r="H817" t="n">
        <v>0</v>
      </c>
      <c r="I817" t="n">
        <v>0</v>
      </c>
      <c r="J817" t="n">
        <v>0</v>
      </c>
      <c r="K817" t="n">
        <v>0</v>
      </c>
      <c r="L817" t="n">
        <v>0</v>
      </c>
      <c r="M817" t="n">
        <v>0</v>
      </c>
      <c r="N817" t="n">
        <v>0</v>
      </c>
      <c r="O817" t="n">
        <v>0</v>
      </c>
      <c r="P817" t="n">
        <v>0</v>
      </c>
      <c r="Q817" t="n">
        <v>0</v>
      </c>
      <c r="R817" s="2" t="inlineStr"/>
    </row>
    <row r="818" ht="15" customHeight="1">
      <c r="A818" t="inlineStr">
        <is>
          <t>A 17612-2025</t>
        </is>
      </c>
      <c r="B818" s="1" t="n">
        <v>45757.79734953704</v>
      </c>
      <c r="C818" s="1" t="n">
        <v>45998</v>
      </c>
      <c r="D818" t="inlineStr">
        <is>
          <t>VÄSTMANLANDS LÄN</t>
        </is>
      </c>
      <c r="E818" t="inlineStr">
        <is>
          <t>FAGERSTA</t>
        </is>
      </c>
      <c r="F818" t="inlineStr">
        <is>
          <t>Sveaskog</t>
        </is>
      </c>
      <c r="G818" t="n">
        <v>7.1</v>
      </c>
      <c r="H818" t="n">
        <v>0</v>
      </c>
      <c r="I818" t="n">
        <v>0</v>
      </c>
      <c r="J818" t="n">
        <v>0</v>
      </c>
      <c r="K818" t="n">
        <v>0</v>
      </c>
      <c r="L818" t="n">
        <v>0</v>
      </c>
      <c r="M818" t="n">
        <v>0</v>
      </c>
      <c r="N818" t="n">
        <v>0</v>
      </c>
      <c r="O818" t="n">
        <v>0</v>
      </c>
      <c r="P818" t="n">
        <v>0</v>
      </c>
      <c r="Q818" t="n">
        <v>0</v>
      </c>
      <c r="R818" s="2" t="inlineStr"/>
    </row>
    <row r="819" ht="15" customHeight="1">
      <c r="A819" t="inlineStr">
        <is>
          <t>A 22591-2024</t>
        </is>
      </c>
      <c r="B819" s="1" t="n">
        <v>45447.60587962963</v>
      </c>
      <c r="C819" s="1" t="n">
        <v>45998</v>
      </c>
      <c r="D819" t="inlineStr">
        <is>
          <t>VÄSTMANLANDS LÄN</t>
        </is>
      </c>
      <c r="E819" t="inlineStr">
        <is>
          <t>SKINNSKATTEBERG</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30971-2022</t>
        </is>
      </c>
      <c r="B820" s="1" t="n">
        <v>44768.46725694444</v>
      </c>
      <c r="C820" s="1" t="n">
        <v>45998</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55072-2021</t>
        </is>
      </c>
      <c r="B821" s="1" t="n">
        <v>44474.64513888889</v>
      </c>
      <c r="C821" s="1" t="n">
        <v>45998</v>
      </c>
      <c r="D821" t="inlineStr">
        <is>
          <t>VÄSTMANLANDS LÄN</t>
        </is>
      </c>
      <c r="E821" t="inlineStr">
        <is>
          <t>KUNGSÖR</t>
        </is>
      </c>
      <c r="G821" t="n">
        <v>3.4</v>
      </c>
      <c r="H821" t="n">
        <v>0</v>
      </c>
      <c r="I821" t="n">
        <v>0</v>
      </c>
      <c r="J821" t="n">
        <v>0</v>
      </c>
      <c r="K821" t="n">
        <v>0</v>
      </c>
      <c r="L821" t="n">
        <v>0</v>
      </c>
      <c r="M821" t="n">
        <v>0</v>
      </c>
      <c r="N821" t="n">
        <v>0</v>
      </c>
      <c r="O821" t="n">
        <v>0</v>
      </c>
      <c r="P821" t="n">
        <v>0</v>
      </c>
      <c r="Q821" t="n">
        <v>0</v>
      </c>
      <c r="R821" s="2" t="inlineStr"/>
    </row>
    <row r="822" ht="15" customHeight="1">
      <c r="A822" t="inlineStr">
        <is>
          <t>A 13239-2025</t>
        </is>
      </c>
      <c r="B822" s="1" t="n">
        <v>45735.47221064815</v>
      </c>
      <c r="C822" s="1" t="n">
        <v>45998</v>
      </c>
      <c r="D822" t="inlineStr">
        <is>
          <t>VÄSTMANLANDS LÄN</t>
        </is>
      </c>
      <c r="E822" t="inlineStr">
        <is>
          <t>VÄSTERÅS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55079-2021</t>
        </is>
      </c>
      <c r="B823" s="1" t="n">
        <v>44474</v>
      </c>
      <c r="C823" s="1" t="n">
        <v>45998</v>
      </c>
      <c r="D823" t="inlineStr">
        <is>
          <t>VÄSTMANLANDS LÄN</t>
        </is>
      </c>
      <c r="E823" t="inlineStr">
        <is>
          <t>KUNGSÖR</t>
        </is>
      </c>
      <c r="G823" t="n">
        <v>1.1</v>
      </c>
      <c r="H823" t="n">
        <v>0</v>
      </c>
      <c r="I823" t="n">
        <v>0</v>
      </c>
      <c r="J823" t="n">
        <v>0</v>
      </c>
      <c r="K823" t="n">
        <v>0</v>
      </c>
      <c r="L823" t="n">
        <v>0</v>
      </c>
      <c r="M823" t="n">
        <v>0</v>
      </c>
      <c r="N823" t="n">
        <v>0</v>
      </c>
      <c r="O823" t="n">
        <v>0</v>
      </c>
      <c r="P823" t="n">
        <v>0</v>
      </c>
      <c r="Q823" t="n">
        <v>0</v>
      </c>
      <c r="R823" s="2" t="inlineStr"/>
    </row>
    <row r="824" ht="15" customHeight="1">
      <c r="A824" t="inlineStr">
        <is>
          <t>A 38066-2021</t>
        </is>
      </c>
      <c r="B824" s="1" t="n">
        <v>44404</v>
      </c>
      <c r="C824" s="1" t="n">
        <v>45998</v>
      </c>
      <c r="D824" t="inlineStr">
        <is>
          <t>VÄSTMANLANDS LÄN</t>
        </is>
      </c>
      <c r="E824" t="inlineStr">
        <is>
          <t>ARBOGA</t>
        </is>
      </c>
      <c r="G824" t="n">
        <v>5.1</v>
      </c>
      <c r="H824" t="n">
        <v>0</v>
      </c>
      <c r="I824" t="n">
        <v>0</v>
      </c>
      <c r="J824" t="n">
        <v>0</v>
      </c>
      <c r="K824" t="n">
        <v>0</v>
      </c>
      <c r="L824" t="n">
        <v>0</v>
      </c>
      <c r="M824" t="n">
        <v>0</v>
      </c>
      <c r="N824" t="n">
        <v>0</v>
      </c>
      <c r="O824" t="n">
        <v>0</v>
      </c>
      <c r="P824" t="n">
        <v>0</v>
      </c>
      <c r="Q824" t="n">
        <v>0</v>
      </c>
      <c r="R824" s="2" t="inlineStr"/>
    </row>
    <row r="825" ht="15" customHeight="1">
      <c r="A825" t="inlineStr">
        <is>
          <t>A 38195-2021</t>
        </is>
      </c>
      <c r="B825" s="1" t="n">
        <v>44405</v>
      </c>
      <c r="C825" s="1" t="n">
        <v>45998</v>
      </c>
      <c r="D825" t="inlineStr">
        <is>
          <t>VÄSTMANLANDS LÄN</t>
        </is>
      </c>
      <c r="E825" t="inlineStr">
        <is>
          <t>SALA</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36539-2021</t>
        </is>
      </c>
      <c r="B826" s="1" t="n">
        <v>44391.4878587963</v>
      </c>
      <c r="C826" s="1" t="n">
        <v>45998</v>
      </c>
      <c r="D826" t="inlineStr">
        <is>
          <t>VÄSTMANLANDS LÄN</t>
        </is>
      </c>
      <c r="E826" t="inlineStr">
        <is>
          <t>KUNGSÖR</t>
        </is>
      </c>
      <c r="G826" t="n">
        <v>0.7</v>
      </c>
      <c r="H826" t="n">
        <v>0</v>
      </c>
      <c r="I826" t="n">
        <v>0</v>
      </c>
      <c r="J826" t="n">
        <v>0</v>
      </c>
      <c r="K826" t="n">
        <v>0</v>
      </c>
      <c r="L826" t="n">
        <v>0</v>
      </c>
      <c r="M826" t="n">
        <v>0</v>
      </c>
      <c r="N826" t="n">
        <v>0</v>
      </c>
      <c r="O826" t="n">
        <v>0</v>
      </c>
      <c r="P826" t="n">
        <v>0</v>
      </c>
      <c r="Q826" t="n">
        <v>0</v>
      </c>
      <c r="R826" s="2" t="inlineStr"/>
    </row>
    <row r="827" ht="15" customHeight="1">
      <c r="A827" t="inlineStr">
        <is>
          <t>A 27228-2023</t>
        </is>
      </c>
      <c r="B827" s="1" t="n">
        <v>45096.59189814814</v>
      </c>
      <c r="C827" s="1" t="n">
        <v>45998</v>
      </c>
      <c r="D827" t="inlineStr">
        <is>
          <t>VÄSTMANLANDS LÄN</t>
        </is>
      </c>
      <c r="E827" t="inlineStr">
        <is>
          <t>SALA</t>
        </is>
      </c>
      <c r="G827" t="n">
        <v>1</v>
      </c>
      <c r="H827" t="n">
        <v>0</v>
      </c>
      <c r="I827" t="n">
        <v>0</v>
      </c>
      <c r="J827" t="n">
        <v>0</v>
      </c>
      <c r="K827" t="n">
        <v>0</v>
      </c>
      <c r="L827" t="n">
        <v>0</v>
      </c>
      <c r="M827" t="n">
        <v>0</v>
      </c>
      <c r="N827" t="n">
        <v>0</v>
      </c>
      <c r="O827" t="n">
        <v>0</v>
      </c>
      <c r="P827" t="n">
        <v>0</v>
      </c>
      <c r="Q827" t="n">
        <v>0</v>
      </c>
      <c r="R827" s="2" t="inlineStr"/>
    </row>
    <row r="828" ht="15" customHeight="1">
      <c r="A828" t="inlineStr">
        <is>
          <t>A 10225-2023</t>
        </is>
      </c>
      <c r="B828" s="1" t="n">
        <v>44986.61635416667</v>
      </c>
      <c r="C828" s="1" t="n">
        <v>45998</v>
      </c>
      <c r="D828" t="inlineStr">
        <is>
          <t>VÄSTMANLANDS LÄN</t>
        </is>
      </c>
      <c r="E828" t="inlineStr">
        <is>
          <t>VÄSTERÅS</t>
        </is>
      </c>
      <c r="G828" t="n">
        <v>1.2</v>
      </c>
      <c r="H828" t="n">
        <v>0</v>
      </c>
      <c r="I828" t="n">
        <v>0</v>
      </c>
      <c r="J828" t="n">
        <v>0</v>
      </c>
      <c r="K828" t="n">
        <v>0</v>
      </c>
      <c r="L828" t="n">
        <v>0</v>
      </c>
      <c r="M828" t="n">
        <v>0</v>
      </c>
      <c r="N828" t="n">
        <v>0</v>
      </c>
      <c r="O828" t="n">
        <v>0</v>
      </c>
      <c r="P828" t="n">
        <v>0</v>
      </c>
      <c r="Q828" t="n">
        <v>0</v>
      </c>
      <c r="R828" s="2" t="inlineStr"/>
    </row>
    <row r="829" ht="15" customHeight="1">
      <c r="A829" t="inlineStr">
        <is>
          <t>A 73083-2021</t>
        </is>
      </c>
      <c r="B829" s="1" t="n">
        <v>44550</v>
      </c>
      <c r="C829" s="1" t="n">
        <v>45998</v>
      </c>
      <c r="D829" t="inlineStr">
        <is>
          <t>VÄSTMANLANDS LÄN</t>
        </is>
      </c>
      <c r="E829" t="inlineStr">
        <is>
          <t>NORBERG</t>
        </is>
      </c>
      <c r="F829" t="inlineStr">
        <is>
          <t>Bergvik skog väst AB</t>
        </is>
      </c>
      <c r="G829" t="n">
        <v>10.1</v>
      </c>
      <c r="H829" t="n">
        <v>0</v>
      </c>
      <c r="I829" t="n">
        <v>0</v>
      </c>
      <c r="J829" t="n">
        <v>0</v>
      </c>
      <c r="K829" t="n">
        <v>0</v>
      </c>
      <c r="L829" t="n">
        <v>0</v>
      </c>
      <c r="M829" t="n">
        <v>0</v>
      </c>
      <c r="N829" t="n">
        <v>0</v>
      </c>
      <c r="O829" t="n">
        <v>0</v>
      </c>
      <c r="P829" t="n">
        <v>0</v>
      </c>
      <c r="Q829" t="n">
        <v>0</v>
      </c>
      <c r="R829" s="2" t="inlineStr"/>
    </row>
    <row r="830" ht="15" customHeight="1">
      <c r="A830" t="inlineStr">
        <is>
          <t>A 57760-2022</t>
        </is>
      </c>
      <c r="B830" s="1" t="n">
        <v>44897</v>
      </c>
      <c r="C830" s="1" t="n">
        <v>45998</v>
      </c>
      <c r="D830" t="inlineStr">
        <is>
          <t>VÄSTMANLANDS LÄN</t>
        </is>
      </c>
      <c r="E830" t="inlineStr">
        <is>
          <t>KÖPING</t>
        </is>
      </c>
      <c r="G830" t="n">
        <v>6</v>
      </c>
      <c r="H830" t="n">
        <v>0</v>
      </c>
      <c r="I830" t="n">
        <v>0</v>
      </c>
      <c r="J830" t="n">
        <v>0</v>
      </c>
      <c r="K830" t="n">
        <v>0</v>
      </c>
      <c r="L830" t="n">
        <v>0</v>
      </c>
      <c r="M830" t="n">
        <v>0</v>
      </c>
      <c r="N830" t="n">
        <v>0</v>
      </c>
      <c r="O830" t="n">
        <v>0</v>
      </c>
      <c r="P830" t="n">
        <v>0</v>
      </c>
      <c r="Q830" t="n">
        <v>0</v>
      </c>
      <c r="R830" s="2" t="inlineStr"/>
    </row>
    <row r="831" ht="15" customHeight="1">
      <c r="A831" t="inlineStr">
        <is>
          <t>A 46126-2022</t>
        </is>
      </c>
      <c r="B831" s="1" t="n">
        <v>44847</v>
      </c>
      <c r="C831" s="1" t="n">
        <v>45998</v>
      </c>
      <c r="D831" t="inlineStr">
        <is>
          <t>VÄSTMANLANDS LÄN</t>
        </is>
      </c>
      <c r="E831" t="inlineStr">
        <is>
          <t>KÖPING</t>
        </is>
      </c>
      <c r="G831" t="n">
        <v>17.5</v>
      </c>
      <c r="H831" t="n">
        <v>0</v>
      </c>
      <c r="I831" t="n">
        <v>0</v>
      </c>
      <c r="J831" t="n">
        <v>0</v>
      </c>
      <c r="K831" t="n">
        <v>0</v>
      </c>
      <c r="L831" t="n">
        <v>0</v>
      </c>
      <c r="M831" t="n">
        <v>0</v>
      </c>
      <c r="N831" t="n">
        <v>0</v>
      </c>
      <c r="O831" t="n">
        <v>0</v>
      </c>
      <c r="P831" t="n">
        <v>0</v>
      </c>
      <c r="Q831" t="n">
        <v>0</v>
      </c>
      <c r="R831" s="2" t="inlineStr"/>
    </row>
    <row r="832" ht="15" customHeight="1">
      <c r="A832" t="inlineStr">
        <is>
          <t>A 20909-2024</t>
        </is>
      </c>
      <c r="B832" s="1" t="n">
        <v>45439</v>
      </c>
      <c r="C832" s="1" t="n">
        <v>45998</v>
      </c>
      <c r="D832" t="inlineStr">
        <is>
          <t>VÄSTMANLANDS LÄN</t>
        </is>
      </c>
      <c r="E832" t="inlineStr">
        <is>
          <t>FAGERSTA</t>
        </is>
      </c>
      <c r="G832" t="n">
        <v>6.9</v>
      </c>
      <c r="H832" t="n">
        <v>0</v>
      </c>
      <c r="I832" t="n">
        <v>0</v>
      </c>
      <c r="J832" t="n">
        <v>0</v>
      </c>
      <c r="K832" t="n">
        <v>0</v>
      </c>
      <c r="L832" t="n">
        <v>0</v>
      </c>
      <c r="M832" t="n">
        <v>0</v>
      </c>
      <c r="N832" t="n">
        <v>0</v>
      </c>
      <c r="O832" t="n">
        <v>0</v>
      </c>
      <c r="P832" t="n">
        <v>0</v>
      </c>
      <c r="Q832" t="n">
        <v>0</v>
      </c>
      <c r="R832" s="2" t="inlineStr"/>
    </row>
    <row r="833" ht="15" customHeight="1">
      <c r="A833" t="inlineStr">
        <is>
          <t>A 66952-2020</t>
        </is>
      </c>
      <c r="B833" s="1" t="n">
        <v>44180</v>
      </c>
      <c r="C833" s="1" t="n">
        <v>45998</v>
      </c>
      <c r="D833" t="inlineStr">
        <is>
          <t>VÄSTMANLANDS LÄN</t>
        </is>
      </c>
      <c r="E833" t="inlineStr">
        <is>
          <t>SKINNSKATTEBERG</t>
        </is>
      </c>
      <c r="F833" t="inlineStr">
        <is>
          <t>Sveaskog</t>
        </is>
      </c>
      <c r="G833" t="n">
        <v>3.7</v>
      </c>
      <c r="H833" t="n">
        <v>0</v>
      </c>
      <c r="I833" t="n">
        <v>0</v>
      </c>
      <c r="J833" t="n">
        <v>0</v>
      </c>
      <c r="K833" t="n">
        <v>0</v>
      </c>
      <c r="L833" t="n">
        <v>0</v>
      </c>
      <c r="M833" t="n">
        <v>0</v>
      </c>
      <c r="N833" t="n">
        <v>0</v>
      </c>
      <c r="O833" t="n">
        <v>0</v>
      </c>
      <c r="P833" t="n">
        <v>0</v>
      </c>
      <c r="Q833" t="n">
        <v>0</v>
      </c>
      <c r="R833" s="2" t="inlineStr"/>
    </row>
    <row r="834" ht="15" customHeight="1">
      <c r="A834" t="inlineStr">
        <is>
          <t>A 53838-2022</t>
        </is>
      </c>
      <c r="B834" s="1" t="n">
        <v>44880.59363425926</v>
      </c>
      <c r="C834" s="1" t="n">
        <v>45998</v>
      </c>
      <c r="D834" t="inlineStr">
        <is>
          <t>VÄSTMANLANDS LÄN</t>
        </is>
      </c>
      <c r="E834" t="inlineStr">
        <is>
          <t>SALA</t>
        </is>
      </c>
      <c r="G834" t="n">
        <v>3.9</v>
      </c>
      <c r="H834" t="n">
        <v>0</v>
      </c>
      <c r="I834" t="n">
        <v>0</v>
      </c>
      <c r="J834" t="n">
        <v>0</v>
      </c>
      <c r="K834" t="n">
        <v>0</v>
      </c>
      <c r="L834" t="n">
        <v>0</v>
      </c>
      <c r="M834" t="n">
        <v>0</v>
      </c>
      <c r="N834" t="n">
        <v>0</v>
      </c>
      <c r="O834" t="n">
        <v>0</v>
      </c>
      <c r="P834" t="n">
        <v>0</v>
      </c>
      <c r="Q834" t="n">
        <v>0</v>
      </c>
      <c r="R834" s="2" t="inlineStr"/>
    </row>
    <row r="835" ht="15" customHeight="1">
      <c r="A835" t="inlineStr">
        <is>
          <t>A 25850-2024</t>
        </is>
      </c>
      <c r="B835" s="1" t="n">
        <v>45467</v>
      </c>
      <c r="C835" s="1" t="n">
        <v>45998</v>
      </c>
      <c r="D835" t="inlineStr">
        <is>
          <t>VÄSTMANLANDS LÄN</t>
        </is>
      </c>
      <c r="E835" t="inlineStr">
        <is>
          <t>VÄSTERÅS</t>
        </is>
      </c>
      <c r="F835" t="inlineStr">
        <is>
          <t>Kommuner</t>
        </is>
      </c>
      <c r="G835" t="n">
        <v>1.8</v>
      </c>
      <c r="H835" t="n">
        <v>0</v>
      </c>
      <c r="I835" t="n">
        <v>0</v>
      </c>
      <c r="J835" t="n">
        <v>0</v>
      </c>
      <c r="K835" t="n">
        <v>0</v>
      </c>
      <c r="L835" t="n">
        <v>0</v>
      </c>
      <c r="M835" t="n">
        <v>0</v>
      </c>
      <c r="N835" t="n">
        <v>0</v>
      </c>
      <c r="O835" t="n">
        <v>0</v>
      </c>
      <c r="P835" t="n">
        <v>0</v>
      </c>
      <c r="Q835" t="n">
        <v>0</v>
      </c>
      <c r="R835" s="2" t="inlineStr"/>
    </row>
    <row r="836" ht="15" customHeight="1">
      <c r="A836" t="inlineStr">
        <is>
          <t>A 52795-2023</t>
        </is>
      </c>
      <c r="B836" s="1" t="n">
        <v>45226.35605324074</v>
      </c>
      <c r="C836" s="1" t="n">
        <v>45998</v>
      </c>
      <c r="D836" t="inlineStr">
        <is>
          <t>VÄSTMANLANDS LÄN</t>
        </is>
      </c>
      <c r="E836" t="inlineStr">
        <is>
          <t>KUNGSÖR</t>
        </is>
      </c>
      <c r="G836" t="n">
        <v>3.7</v>
      </c>
      <c r="H836" t="n">
        <v>0</v>
      </c>
      <c r="I836" t="n">
        <v>0</v>
      </c>
      <c r="J836" t="n">
        <v>0</v>
      </c>
      <c r="K836" t="n">
        <v>0</v>
      </c>
      <c r="L836" t="n">
        <v>0</v>
      </c>
      <c r="M836" t="n">
        <v>0</v>
      </c>
      <c r="N836" t="n">
        <v>0</v>
      </c>
      <c r="O836" t="n">
        <v>0</v>
      </c>
      <c r="P836" t="n">
        <v>0</v>
      </c>
      <c r="Q836" t="n">
        <v>0</v>
      </c>
      <c r="R836" s="2" t="inlineStr"/>
    </row>
    <row r="837" ht="15" customHeight="1">
      <c r="A837" t="inlineStr">
        <is>
          <t>A 46124-2022</t>
        </is>
      </c>
      <c r="B837" s="1" t="n">
        <v>44847</v>
      </c>
      <c r="C837" s="1" t="n">
        <v>45998</v>
      </c>
      <c r="D837" t="inlineStr">
        <is>
          <t>VÄSTMANLANDS LÄN</t>
        </is>
      </c>
      <c r="E837" t="inlineStr">
        <is>
          <t>KÖPING</t>
        </is>
      </c>
      <c r="G837" t="n">
        <v>8</v>
      </c>
      <c r="H837" t="n">
        <v>0</v>
      </c>
      <c r="I837" t="n">
        <v>0</v>
      </c>
      <c r="J837" t="n">
        <v>0</v>
      </c>
      <c r="K837" t="n">
        <v>0</v>
      </c>
      <c r="L837" t="n">
        <v>0</v>
      </c>
      <c r="M837" t="n">
        <v>0</v>
      </c>
      <c r="N837" t="n">
        <v>0</v>
      </c>
      <c r="O837" t="n">
        <v>0</v>
      </c>
      <c r="P837" t="n">
        <v>0</v>
      </c>
      <c r="Q837" t="n">
        <v>0</v>
      </c>
      <c r="R837" s="2" t="inlineStr"/>
    </row>
    <row r="838" ht="15" customHeight="1">
      <c r="A838" t="inlineStr">
        <is>
          <t>A 46156-2022</t>
        </is>
      </c>
      <c r="B838" s="1" t="n">
        <v>44847.4725462963</v>
      </c>
      <c r="C838" s="1" t="n">
        <v>45998</v>
      </c>
      <c r="D838" t="inlineStr">
        <is>
          <t>VÄSTMANLANDS LÄN</t>
        </is>
      </c>
      <c r="E838" t="inlineStr">
        <is>
          <t>VÄSTERÅS</t>
        </is>
      </c>
      <c r="G838" t="n">
        <v>3.2</v>
      </c>
      <c r="H838" t="n">
        <v>0</v>
      </c>
      <c r="I838" t="n">
        <v>0</v>
      </c>
      <c r="J838" t="n">
        <v>0</v>
      </c>
      <c r="K838" t="n">
        <v>0</v>
      </c>
      <c r="L838" t="n">
        <v>0</v>
      </c>
      <c r="M838" t="n">
        <v>0</v>
      </c>
      <c r="N838" t="n">
        <v>0</v>
      </c>
      <c r="O838" t="n">
        <v>0</v>
      </c>
      <c r="P838" t="n">
        <v>0</v>
      </c>
      <c r="Q838" t="n">
        <v>0</v>
      </c>
      <c r="R838" s="2" t="inlineStr"/>
    </row>
    <row r="839" ht="15" customHeight="1">
      <c r="A839" t="inlineStr">
        <is>
          <t>A 56532-2022</t>
        </is>
      </c>
      <c r="B839" s="1" t="n">
        <v>44893</v>
      </c>
      <c r="C839" s="1" t="n">
        <v>45998</v>
      </c>
      <c r="D839" t="inlineStr">
        <is>
          <t>VÄSTMANLANDS LÄN</t>
        </is>
      </c>
      <c r="E839" t="inlineStr">
        <is>
          <t>VÄSTERÅS</t>
        </is>
      </c>
      <c r="G839" t="n">
        <v>2.2</v>
      </c>
      <c r="H839" t="n">
        <v>0</v>
      </c>
      <c r="I839" t="n">
        <v>0</v>
      </c>
      <c r="J839" t="n">
        <v>0</v>
      </c>
      <c r="K839" t="n">
        <v>0</v>
      </c>
      <c r="L839" t="n">
        <v>0</v>
      </c>
      <c r="M839" t="n">
        <v>0</v>
      </c>
      <c r="N839" t="n">
        <v>0</v>
      </c>
      <c r="O839" t="n">
        <v>0</v>
      </c>
      <c r="P839" t="n">
        <v>0</v>
      </c>
      <c r="Q839" t="n">
        <v>0</v>
      </c>
      <c r="R839" s="2" t="inlineStr"/>
    </row>
    <row r="840" ht="15" customHeight="1">
      <c r="A840" t="inlineStr">
        <is>
          <t>A 52600-2021</t>
        </is>
      </c>
      <c r="B840" s="1" t="n">
        <v>44466.58774305556</v>
      </c>
      <c r="C840" s="1" t="n">
        <v>45998</v>
      </c>
      <c r="D840" t="inlineStr">
        <is>
          <t>VÄSTMANLANDS LÄN</t>
        </is>
      </c>
      <c r="E840" t="inlineStr">
        <is>
          <t>SKINNSKATTEBERG</t>
        </is>
      </c>
      <c r="G840" t="n">
        <v>0.8</v>
      </c>
      <c r="H840" t="n">
        <v>0</v>
      </c>
      <c r="I840" t="n">
        <v>0</v>
      </c>
      <c r="J840" t="n">
        <v>0</v>
      </c>
      <c r="K840" t="n">
        <v>0</v>
      </c>
      <c r="L840" t="n">
        <v>0</v>
      </c>
      <c r="M840" t="n">
        <v>0</v>
      </c>
      <c r="N840" t="n">
        <v>0</v>
      </c>
      <c r="O840" t="n">
        <v>0</v>
      </c>
      <c r="P840" t="n">
        <v>0</v>
      </c>
      <c r="Q840" t="n">
        <v>0</v>
      </c>
      <c r="R840" s="2" t="inlineStr"/>
    </row>
    <row r="841" ht="15" customHeight="1">
      <c r="A841" t="inlineStr">
        <is>
          <t>A 2900-2023</t>
        </is>
      </c>
      <c r="B841" s="1" t="n">
        <v>44943</v>
      </c>
      <c r="C841" s="1" t="n">
        <v>45998</v>
      </c>
      <c r="D841" t="inlineStr">
        <is>
          <t>VÄSTMANLANDS LÄN</t>
        </is>
      </c>
      <c r="E841" t="inlineStr">
        <is>
          <t>SALA</t>
        </is>
      </c>
      <c r="G841" t="n">
        <v>0.5</v>
      </c>
      <c r="H841" t="n">
        <v>0</v>
      </c>
      <c r="I841" t="n">
        <v>0</v>
      </c>
      <c r="J841" t="n">
        <v>0</v>
      </c>
      <c r="K841" t="n">
        <v>0</v>
      </c>
      <c r="L841" t="n">
        <v>0</v>
      </c>
      <c r="M841" t="n">
        <v>0</v>
      </c>
      <c r="N841" t="n">
        <v>0</v>
      </c>
      <c r="O841" t="n">
        <v>0</v>
      </c>
      <c r="P841" t="n">
        <v>0</v>
      </c>
      <c r="Q841" t="n">
        <v>0</v>
      </c>
      <c r="R841" s="2" t="inlineStr"/>
    </row>
    <row r="842" ht="15" customHeight="1">
      <c r="A842" t="inlineStr">
        <is>
          <t>A 16089-2024</t>
        </is>
      </c>
      <c r="B842" s="1" t="n">
        <v>45406.39024305555</v>
      </c>
      <c r="C842" s="1" t="n">
        <v>45998</v>
      </c>
      <c r="D842" t="inlineStr">
        <is>
          <t>VÄSTMANLANDS LÄN</t>
        </is>
      </c>
      <c r="E842" t="inlineStr">
        <is>
          <t>SKINNSKATTEBERG</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58960-2022</t>
        </is>
      </c>
      <c r="B843" s="1" t="n">
        <v>44903</v>
      </c>
      <c r="C843" s="1" t="n">
        <v>45998</v>
      </c>
      <c r="D843" t="inlineStr">
        <is>
          <t>VÄSTMANLANDS LÄN</t>
        </is>
      </c>
      <c r="E843" t="inlineStr">
        <is>
          <t>VÄSTERÅS</t>
        </is>
      </c>
      <c r="G843" t="n">
        <v>0.9</v>
      </c>
      <c r="H843" t="n">
        <v>0</v>
      </c>
      <c r="I843" t="n">
        <v>0</v>
      </c>
      <c r="J843" t="n">
        <v>0</v>
      </c>
      <c r="K843" t="n">
        <v>0</v>
      </c>
      <c r="L843" t="n">
        <v>0</v>
      </c>
      <c r="M843" t="n">
        <v>0</v>
      </c>
      <c r="N843" t="n">
        <v>0</v>
      </c>
      <c r="O843" t="n">
        <v>0</v>
      </c>
      <c r="P843" t="n">
        <v>0</v>
      </c>
      <c r="Q843" t="n">
        <v>0</v>
      </c>
      <c r="R843" s="2" t="inlineStr"/>
    </row>
    <row r="844" ht="15" customHeight="1">
      <c r="A844" t="inlineStr">
        <is>
          <t>A 12405-2024</t>
        </is>
      </c>
      <c r="B844" s="1" t="n">
        <v>45379.39054398148</v>
      </c>
      <c r="C844" s="1" t="n">
        <v>45998</v>
      </c>
      <c r="D844" t="inlineStr">
        <is>
          <t>VÄSTMANLANDS LÄN</t>
        </is>
      </c>
      <c r="E844" t="inlineStr">
        <is>
          <t>ARBOGA</t>
        </is>
      </c>
      <c r="G844" t="n">
        <v>1.3</v>
      </c>
      <c r="H844" t="n">
        <v>0</v>
      </c>
      <c r="I844" t="n">
        <v>0</v>
      </c>
      <c r="J844" t="n">
        <v>0</v>
      </c>
      <c r="K844" t="n">
        <v>0</v>
      </c>
      <c r="L844" t="n">
        <v>0</v>
      </c>
      <c r="M844" t="n">
        <v>0</v>
      </c>
      <c r="N844" t="n">
        <v>0</v>
      </c>
      <c r="O844" t="n">
        <v>0</v>
      </c>
      <c r="P844" t="n">
        <v>0</v>
      </c>
      <c r="Q844" t="n">
        <v>0</v>
      </c>
      <c r="R844" s="2" t="inlineStr"/>
    </row>
    <row r="845" ht="15" customHeight="1">
      <c r="A845" t="inlineStr">
        <is>
          <t>A 9491-2024</t>
        </is>
      </c>
      <c r="B845" s="1" t="n">
        <v>45359</v>
      </c>
      <c r="C845" s="1" t="n">
        <v>45998</v>
      </c>
      <c r="D845" t="inlineStr">
        <is>
          <t>VÄSTMANLANDS LÄN</t>
        </is>
      </c>
      <c r="E845" t="inlineStr">
        <is>
          <t>SKINNSKATTEBERG</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60730-2023</t>
        </is>
      </c>
      <c r="B846" s="1" t="n">
        <v>45260</v>
      </c>
      <c r="C846" s="1" t="n">
        <v>45998</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45998</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60949-2022</t>
        </is>
      </c>
      <c r="B848" s="1" t="n">
        <v>44908</v>
      </c>
      <c r="C848" s="1" t="n">
        <v>45998</v>
      </c>
      <c r="D848" t="inlineStr">
        <is>
          <t>VÄSTMANLANDS LÄN</t>
        </is>
      </c>
      <c r="E848" t="inlineStr">
        <is>
          <t>VÄSTERÅS</t>
        </is>
      </c>
      <c r="G848" t="n">
        <v>6.1</v>
      </c>
      <c r="H848" t="n">
        <v>0</v>
      </c>
      <c r="I848" t="n">
        <v>0</v>
      </c>
      <c r="J848" t="n">
        <v>0</v>
      </c>
      <c r="K848" t="n">
        <v>0</v>
      </c>
      <c r="L848" t="n">
        <v>0</v>
      </c>
      <c r="M848" t="n">
        <v>0</v>
      </c>
      <c r="N848" t="n">
        <v>0</v>
      </c>
      <c r="O848" t="n">
        <v>0</v>
      </c>
      <c r="P848" t="n">
        <v>0</v>
      </c>
      <c r="Q848" t="n">
        <v>0</v>
      </c>
      <c r="R848" s="2" t="inlineStr"/>
    </row>
    <row r="849" ht="15" customHeight="1">
      <c r="A849" t="inlineStr">
        <is>
          <t>A 52396-2022</t>
        </is>
      </c>
      <c r="B849" s="1" t="n">
        <v>44874.39711805555</v>
      </c>
      <c r="C849" s="1" t="n">
        <v>45998</v>
      </c>
      <c r="D849" t="inlineStr">
        <is>
          <t>VÄSTMANLANDS LÄN</t>
        </is>
      </c>
      <c r="E849" t="inlineStr">
        <is>
          <t>VÄSTERÅS</t>
        </is>
      </c>
      <c r="G849" t="n">
        <v>0.5</v>
      </c>
      <c r="H849" t="n">
        <v>0</v>
      </c>
      <c r="I849" t="n">
        <v>0</v>
      </c>
      <c r="J849" t="n">
        <v>0</v>
      </c>
      <c r="K849" t="n">
        <v>0</v>
      </c>
      <c r="L849" t="n">
        <v>0</v>
      </c>
      <c r="M849" t="n">
        <v>0</v>
      </c>
      <c r="N849" t="n">
        <v>0</v>
      </c>
      <c r="O849" t="n">
        <v>0</v>
      </c>
      <c r="P849" t="n">
        <v>0</v>
      </c>
      <c r="Q849" t="n">
        <v>0</v>
      </c>
      <c r="R849" s="2" t="inlineStr"/>
    </row>
    <row r="850" ht="15" customHeight="1">
      <c r="A850" t="inlineStr">
        <is>
          <t>A 24572-2023</t>
        </is>
      </c>
      <c r="B850" s="1" t="n">
        <v>45083</v>
      </c>
      <c r="C850" s="1" t="n">
        <v>45998</v>
      </c>
      <c r="D850" t="inlineStr">
        <is>
          <t>VÄSTMANLANDS LÄN</t>
        </is>
      </c>
      <c r="E850" t="inlineStr">
        <is>
          <t>VÄSTERÅS</t>
        </is>
      </c>
      <c r="G850" t="n">
        <v>1.3</v>
      </c>
      <c r="H850" t="n">
        <v>0</v>
      </c>
      <c r="I850" t="n">
        <v>0</v>
      </c>
      <c r="J850" t="n">
        <v>0</v>
      </c>
      <c r="K850" t="n">
        <v>0</v>
      </c>
      <c r="L850" t="n">
        <v>0</v>
      </c>
      <c r="M850" t="n">
        <v>0</v>
      </c>
      <c r="N850" t="n">
        <v>0</v>
      </c>
      <c r="O850" t="n">
        <v>0</v>
      </c>
      <c r="P850" t="n">
        <v>0</v>
      </c>
      <c r="Q850" t="n">
        <v>0</v>
      </c>
      <c r="R850" s="2" t="inlineStr"/>
    </row>
    <row r="851" ht="15" customHeight="1">
      <c r="A851" t="inlineStr">
        <is>
          <t>A 45048-2024</t>
        </is>
      </c>
      <c r="B851" s="1" t="n">
        <v>45575</v>
      </c>
      <c r="C851" s="1" t="n">
        <v>45998</v>
      </c>
      <c r="D851" t="inlineStr">
        <is>
          <t>VÄSTMANLANDS LÄN</t>
        </is>
      </c>
      <c r="E851" t="inlineStr">
        <is>
          <t>KÖPING</t>
        </is>
      </c>
      <c r="F851" t="inlineStr">
        <is>
          <t>Sveaskog</t>
        </is>
      </c>
      <c r="G851" t="n">
        <v>3.4</v>
      </c>
      <c r="H851" t="n">
        <v>0</v>
      </c>
      <c r="I851" t="n">
        <v>0</v>
      </c>
      <c r="J851" t="n">
        <v>0</v>
      </c>
      <c r="K851" t="n">
        <v>0</v>
      </c>
      <c r="L851" t="n">
        <v>0</v>
      </c>
      <c r="M851" t="n">
        <v>0</v>
      </c>
      <c r="N851" t="n">
        <v>0</v>
      </c>
      <c r="O851" t="n">
        <v>0</v>
      </c>
      <c r="P851" t="n">
        <v>0</v>
      </c>
      <c r="Q851" t="n">
        <v>0</v>
      </c>
      <c r="R851" s="2" t="inlineStr"/>
    </row>
    <row r="852" ht="15" customHeight="1">
      <c r="A852" t="inlineStr">
        <is>
          <t>A 13837-2025</t>
        </is>
      </c>
      <c r="B852" s="1" t="n">
        <v>45737.55307870371</v>
      </c>
      <c r="C852" s="1" t="n">
        <v>45998</v>
      </c>
      <c r="D852" t="inlineStr">
        <is>
          <t>VÄSTMANLANDS LÄN</t>
        </is>
      </c>
      <c r="E852" t="inlineStr">
        <is>
          <t>NORBERG</t>
        </is>
      </c>
      <c r="F852" t="inlineStr">
        <is>
          <t>Sveaskog</t>
        </is>
      </c>
      <c r="G852" t="n">
        <v>5.8</v>
      </c>
      <c r="H852" t="n">
        <v>0</v>
      </c>
      <c r="I852" t="n">
        <v>0</v>
      </c>
      <c r="J852" t="n">
        <v>0</v>
      </c>
      <c r="K852" t="n">
        <v>0</v>
      </c>
      <c r="L852" t="n">
        <v>0</v>
      </c>
      <c r="M852" t="n">
        <v>0</v>
      </c>
      <c r="N852" t="n">
        <v>0</v>
      </c>
      <c r="O852" t="n">
        <v>0</v>
      </c>
      <c r="P852" t="n">
        <v>0</v>
      </c>
      <c r="Q852" t="n">
        <v>0</v>
      </c>
      <c r="R852" s="2" t="inlineStr"/>
    </row>
    <row r="853" ht="15" customHeight="1">
      <c r="A853" t="inlineStr">
        <is>
          <t>A 56980-2021</t>
        </is>
      </c>
      <c r="B853" s="1" t="n">
        <v>44482.43167824074</v>
      </c>
      <c r="C853" s="1" t="n">
        <v>45998</v>
      </c>
      <c r="D853" t="inlineStr">
        <is>
          <t>VÄSTMANLANDS LÄN</t>
        </is>
      </c>
      <c r="E853" t="inlineStr">
        <is>
          <t>VÄSTERÅS</t>
        </is>
      </c>
      <c r="G853" t="n">
        <v>1</v>
      </c>
      <c r="H853" t="n">
        <v>0</v>
      </c>
      <c r="I853" t="n">
        <v>0</v>
      </c>
      <c r="J853" t="n">
        <v>0</v>
      </c>
      <c r="K853" t="n">
        <v>0</v>
      </c>
      <c r="L853" t="n">
        <v>0</v>
      </c>
      <c r="M853" t="n">
        <v>0</v>
      </c>
      <c r="N853" t="n">
        <v>0</v>
      </c>
      <c r="O853" t="n">
        <v>0</v>
      </c>
      <c r="P853" t="n">
        <v>0</v>
      </c>
      <c r="Q853" t="n">
        <v>0</v>
      </c>
      <c r="R853" s="2" t="inlineStr"/>
    </row>
    <row r="854" ht="15" customHeight="1">
      <c r="A854" t="inlineStr">
        <is>
          <t>A 30174-2021</t>
        </is>
      </c>
      <c r="B854" s="1" t="n">
        <v>44363</v>
      </c>
      <c r="C854" s="1" t="n">
        <v>45998</v>
      </c>
      <c r="D854" t="inlineStr">
        <is>
          <t>VÄSTMANLANDS LÄN</t>
        </is>
      </c>
      <c r="E854" t="inlineStr">
        <is>
          <t>HALLSTAHAMMAR</t>
        </is>
      </c>
      <c r="G854" t="n">
        <v>1.8</v>
      </c>
      <c r="H854" t="n">
        <v>0</v>
      </c>
      <c r="I854" t="n">
        <v>0</v>
      </c>
      <c r="J854" t="n">
        <v>0</v>
      </c>
      <c r="K854" t="n">
        <v>0</v>
      </c>
      <c r="L854" t="n">
        <v>0</v>
      </c>
      <c r="M854" t="n">
        <v>0</v>
      </c>
      <c r="N854" t="n">
        <v>0</v>
      </c>
      <c r="O854" t="n">
        <v>0</v>
      </c>
      <c r="P854" t="n">
        <v>0</v>
      </c>
      <c r="Q854" t="n">
        <v>0</v>
      </c>
      <c r="R854" s="2" t="inlineStr"/>
    </row>
    <row r="855" ht="15" customHeight="1">
      <c r="A855" t="inlineStr">
        <is>
          <t>A 25662-2024</t>
        </is>
      </c>
      <c r="B855" s="1" t="n">
        <v>45463.7021875</v>
      </c>
      <c r="C855" s="1" t="n">
        <v>45998</v>
      </c>
      <c r="D855" t="inlineStr">
        <is>
          <t>VÄSTMANLANDS LÄN</t>
        </is>
      </c>
      <c r="E855" t="inlineStr">
        <is>
          <t>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25260-2023</t>
        </is>
      </c>
      <c r="B856" s="1" t="n">
        <v>45086</v>
      </c>
      <c r="C856" s="1" t="n">
        <v>45998</v>
      </c>
      <c r="D856" t="inlineStr">
        <is>
          <t>VÄSTMANLANDS LÄN</t>
        </is>
      </c>
      <c r="E856" t="inlineStr">
        <is>
          <t>SALA</t>
        </is>
      </c>
      <c r="F856" t="inlineStr">
        <is>
          <t>Sveaskog</t>
        </is>
      </c>
      <c r="G856" t="n">
        <v>3.2</v>
      </c>
      <c r="H856" t="n">
        <v>0</v>
      </c>
      <c r="I856" t="n">
        <v>0</v>
      </c>
      <c r="J856" t="n">
        <v>0</v>
      </c>
      <c r="K856" t="n">
        <v>0</v>
      </c>
      <c r="L856" t="n">
        <v>0</v>
      </c>
      <c r="M856" t="n">
        <v>0</v>
      </c>
      <c r="N856" t="n">
        <v>0</v>
      </c>
      <c r="O856" t="n">
        <v>0</v>
      </c>
      <c r="P856" t="n">
        <v>0</v>
      </c>
      <c r="Q856" t="n">
        <v>0</v>
      </c>
      <c r="R856" s="2" t="inlineStr"/>
    </row>
    <row r="857" ht="15" customHeight="1">
      <c r="A857" t="inlineStr">
        <is>
          <t>A 51933-2023</t>
        </is>
      </c>
      <c r="B857" s="1" t="n">
        <v>45223</v>
      </c>
      <c r="C857" s="1" t="n">
        <v>45998</v>
      </c>
      <c r="D857" t="inlineStr">
        <is>
          <t>VÄSTMANLANDS LÄN</t>
        </is>
      </c>
      <c r="E857" t="inlineStr">
        <is>
          <t>VÄSTERÅS</t>
        </is>
      </c>
      <c r="G857" t="n">
        <v>2.5</v>
      </c>
      <c r="H857" t="n">
        <v>0</v>
      </c>
      <c r="I857" t="n">
        <v>0</v>
      </c>
      <c r="J857" t="n">
        <v>0</v>
      </c>
      <c r="K857" t="n">
        <v>0</v>
      </c>
      <c r="L857" t="n">
        <v>0</v>
      </c>
      <c r="M857" t="n">
        <v>0</v>
      </c>
      <c r="N857" t="n">
        <v>0</v>
      </c>
      <c r="O857" t="n">
        <v>0</v>
      </c>
      <c r="P857" t="n">
        <v>0</v>
      </c>
      <c r="Q857" t="n">
        <v>0</v>
      </c>
      <c r="R857" s="2" t="inlineStr"/>
    </row>
    <row r="858" ht="15" customHeight="1">
      <c r="A858" t="inlineStr">
        <is>
          <t>A 21984-2023</t>
        </is>
      </c>
      <c r="B858" s="1" t="n">
        <v>45068</v>
      </c>
      <c r="C858" s="1" t="n">
        <v>45998</v>
      </c>
      <c r="D858" t="inlineStr">
        <is>
          <t>VÄSTMANLANDS LÄN</t>
        </is>
      </c>
      <c r="E858" t="inlineStr">
        <is>
          <t>ARBOGA</t>
        </is>
      </c>
      <c r="G858" t="n">
        <v>1.9</v>
      </c>
      <c r="H858" t="n">
        <v>0</v>
      </c>
      <c r="I858" t="n">
        <v>0</v>
      </c>
      <c r="J858" t="n">
        <v>0</v>
      </c>
      <c r="K858" t="n">
        <v>0</v>
      </c>
      <c r="L858" t="n">
        <v>0</v>
      </c>
      <c r="M858" t="n">
        <v>0</v>
      </c>
      <c r="N858" t="n">
        <v>0</v>
      </c>
      <c r="O858" t="n">
        <v>0</v>
      </c>
      <c r="P858" t="n">
        <v>0</v>
      </c>
      <c r="Q858" t="n">
        <v>0</v>
      </c>
      <c r="R858" s="2" t="inlineStr"/>
    </row>
    <row r="859" ht="15" customHeight="1">
      <c r="A859" t="inlineStr">
        <is>
          <t>A 61424-2023</t>
        </is>
      </c>
      <c r="B859" s="1" t="n">
        <v>45264.6962037037</v>
      </c>
      <c r="C859" s="1" t="n">
        <v>45998</v>
      </c>
      <c r="D859" t="inlineStr">
        <is>
          <t>VÄSTMANLANDS LÄN</t>
        </is>
      </c>
      <c r="E859" t="inlineStr">
        <is>
          <t>SKINNSKATTEBERG</t>
        </is>
      </c>
      <c r="G859" t="n">
        <v>2.1</v>
      </c>
      <c r="H859" t="n">
        <v>0</v>
      </c>
      <c r="I859" t="n">
        <v>0</v>
      </c>
      <c r="J859" t="n">
        <v>0</v>
      </c>
      <c r="K859" t="n">
        <v>0</v>
      </c>
      <c r="L859" t="n">
        <v>0</v>
      </c>
      <c r="M859" t="n">
        <v>0</v>
      </c>
      <c r="N859" t="n">
        <v>0</v>
      </c>
      <c r="O859" t="n">
        <v>0</v>
      </c>
      <c r="P859" t="n">
        <v>0</v>
      </c>
      <c r="Q859" t="n">
        <v>0</v>
      </c>
      <c r="R859" s="2" t="inlineStr"/>
    </row>
    <row r="860" ht="15" customHeight="1">
      <c r="A860" t="inlineStr">
        <is>
          <t>A 36638-2021</t>
        </is>
      </c>
      <c r="B860" s="1" t="n">
        <v>44392</v>
      </c>
      <c r="C860" s="1" t="n">
        <v>45998</v>
      </c>
      <c r="D860" t="inlineStr">
        <is>
          <t>VÄSTMANLANDS LÄN</t>
        </is>
      </c>
      <c r="E860" t="inlineStr">
        <is>
          <t>KUNGSÖR</t>
        </is>
      </c>
      <c r="G860" t="n">
        <v>1.8</v>
      </c>
      <c r="H860" t="n">
        <v>0</v>
      </c>
      <c r="I860" t="n">
        <v>0</v>
      </c>
      <c r="J860" t="n">
        <v>0</v>
      </c>
      <c r="K860" t="n">
        <v>0</v>
      </c>
      <c r="L860" t="n">
        <v>0</v>
      </c>
      <c r="M860" t="n">
        <v>0</v>
      </c>
      <c r="N860" t="n">
        <v>0</v>
      </c>
      <c r="O860" t="n">
        <v>0</v>
      </c>
      <c r="P860" t="n">
        <v>0</v>
      </c>
      <c r="Q860" t="n">
        <v>0</v>
      </c>
      <c r="R860" s="2" t="inlineStr"/>
    </row>
    <row r="861" ht="15" customHeight="1">
      <c r="A861" t="inlineStr">
        <is>
          <t>A 34290-2023</t>
        </is>
      </c>
      <c r="B861" s="1" t="n">
        <v>45138</v>
      </c>
      <c r="C861" s="1" t="n">
        <v>45998</v>
      </c>
      <c r="D861" t="inlineStr">
        <is>
          <t>VÄSTMANLANDS LÄN</t>
        </is>
      </c>
      <c r="E861" t="inlineStr">
        <is>
          <t>KÖPING</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21827-2024</t>
        </is>
      </c>
      <c r="B862" s="1" t="n">
        <v>45442.72315972222</v>
      </c>
      <c r="C862" s="1" t="n">
        <v>45998</v>
      </c>
      <c r="D862" t="inlineStr">
        <is>
          <t>VÄSTMANLANDS LÄN</t>
        </is>
      </c>
      <c r="E862" t="inlineStr">
        <is>
          <t>VÄSTERÅS</t>
        </is>
      </c>
      <c r="F862" t="inlineStr">
        <is>
          <t>Kommuner</t>
        </is>
      </c>
      <c r="G862" t="n">
        <v>4.7</v>
      </c>
      <c r="H862" t="n">
        <v>0</v>
      </c>
      <c r="I862" t="n">
        <v>0</v>
      </c>
      <c r="J862" t="n">
        <v>0</v>
      </c>
      <c r="K862" t="n">
        <v>0</v>
      </c>
      <c r="L862" t="n">
        <v>0</v>
      </c>
      <c r="M862" t="n">
        <v>0</v>
      </c>
      <c r="N862" t="n">
        <v>0</v>
      </c>
      <c r="O862" t="n">
        <v>0</v>
      </c>
      <c r="P862" t="n">
        <v>0</v>
      </c>
      <c r="Q862" t="n">
        <v>0</v>
      </c>
      <c r="R862" s="2" t="inlineStr"/>
    </row>
    <row r="863" ht="15" customHeight="1">
      <c r="A863" t="inlineStr">
        <is>
          <t>A 15297-2023</t>
        </is>
      </c>
      <c r="B863" s="1" t="n">
        <v>45019</v>
      </c>
      <c r="C863" s="1" t="n">
        <v>45998</v>
      </c>
      <c r="D863" t="inlineStr">
        <is>
          <t>VÄSTMANLANDS LÄN</t>
        </is>
      </c>
      <c r="E863" t="inlineStr">
        <is>
          <t>FAGERSTA</t>
        </is>
      </c>
      <c r="F863" t="inlineStr">
        <is>
          <t>Övriga Aktiebolag</t>
        </is>
      </c>
      <c r="G863" t="n">
        <v>26.3</v>
      </c>
      <c r="H863" t="n">
        <v>0</v>
      </c>
      <c r="I863" t="n">
        <v>0</v>
      </c>
      <c r="J863" t="n">
        <v>0</v>
      </c>
      <c r="K863" t="n">
        <v>0</v>
      </c>
      <c r="L863" t="n">
        <v>0</v>
      </c>
      <c r="M863" t="n">
        <v>0</v>
      </c>
      <c r="N863" t="n">
        <v>0</v>
      </c>
      <c r="O863" t="n">
        <v>0</v>
      </c>
      <c r="P863" t="n">
        <v>0</v>
      </c>
      <c r="Q863" t="n">
        <v>0</v>
      </c>
      <c r="R863" s="2" t="inlineStr"/>
    </row>
    <row r="864" ht="15" customHeight="1">
      <c r="A864" t="inlineStr">
        <is>
          <t>A 27635-2023</t>
        </is>
      </c>
      <c r="B864" s="1" t="n">
        <v>45093</v>
      </c>
      <c r="C864" s="1" t="n">
        <v>45998</v>
      </c>
      <c r="D864" t="inlineStr">
        <is>
          <t>VÄSTMANLANDS LÄN</t>
        </is>
      </c>
      <c r="E864" t="inlineStr">
        <is>
          <t>NORBERG</t>
        </is>
      </c>
      <c r="G864" t="n">
        <v>3.8</v>
      </c>
      <c r="H864" t="n">
        <v>0</v>
      </c>
      <c r="I864" t="n">
        <v>0</v>
      </c>
      <c r="J864" t="n">
        <v>0</v>
      </c>
      <c r="K864" t="n">
        <v>0</v>
      </c>
      <c r="L864" t="n">
        <v>0</v>
      </c>
      <c r="M864" t="n">
        <v>0</v>
      </c>
      <c r="N864" t="n">
        <v>0</v>
      </c>
      <c r="O864" t="n">
        <v>0</v>
      </c>
      <c r="P864" t="n">
        <v>0</v>
      </c>
      <c r="Q864" t="n">
        <v>0</v>
      </c>
      <c r="R864" s="2" t="inlineStr"/>
    </row>
    <row r="865" ht="15" customHeight="1">
      <c r="A865" t="inlineStr">
        <is>
          <t>A 27653-2023</t>
        </is>
      </c>
      <c r="B865" s="1" t="n">
        <v>45097.7222337963</v>
      </c>
      <c r="C865" s="1" t="n">
        <v>45998</v>
      </c>
      <c r="D865" t="inlineStr">
        <is>
          <t>VÄSTMANLANDS LÄN</t>
        </is>
      </c>
      <c r="E865" t="inlineStr">
        <is>
          <t>SKINNSKATTEBERG</t>
        </is>
      </c>
      <c r="G865" t="n">
        <v>1.5</v>
      </c>
      <c r="H865" t="n">
        <v>0</v>
      </c>
      <c r="I865" t="n">
        <v>0</v>
      </c>
      <c r="J865" t="n">
        <v>0</v>
      </c>
      <c r="K865" t="n">
        <v>0</v>
      </c>
      <c r="L865" t="n">
        <v>0</v>
      </c>
      <c r="M865" t="n">
        <v>0</v>
      </c>
      <c r="N865" t="n">
        <v>0</v>
      </c>
      <c r="O865" t="n">
        <v>0</v>
      </c>
      <c r="P865" t="n">
        <v>0</v>
      </c>
      <c r="Q865" t="n">
        <v>0</v>
      </c>
      <c r="R865" s="2" t="inlineStr"/>
    </row>
    <row r="866" ht="15" customHeight="1">
      <c r="A866" t="inlineStr">
        <is>
          <t>A 3587-2024</t>
        </is>
      </c>
      <c r="B866" s="1" t="n">
        <v>45320</v>
      </c>
      <c r="C866" s="1" t="n">
        <v>45998</v>
      </c>
      <c r="D866" t="inlineStr">
        <is>
          <t>VÄSTMANLANDS LÄN</t>
        </is>
      </c>
      <c r="E866" t="inlineStr">
        <is>
          <t>NORBERG</t>
        </is>
      </c>
      <c r="G866" t="n">
        <v>0.4</v>
      </c>
      <c r="H866" t="n">
        <v>0</v>
      </c>
      <c r="I866" t="n">
        <v>0</v>
      </c>
      <c r="J866" t="n">
        <v>0</v>
      </c>
      <c r="K866" t="n">
        <v>0</v>
      </c>
      <c r="L866" t="n">
        <v>0</v>
      </c>
      <c r="M866" t="n">
        <v>0</v>
      </c>
      <c r="N866" t="n">
        <v>0</v>
      </c>
      <c r="O866" t="n">
        <v>0</v>
      </c>
      <c r="P866" t="n">
        <v>0</v>
      </c>
      <c r="Q866" t="n">
        <v>0</v>
      </c>
      <c r="R866" s="2" t="inlineStr"/>
    </row>
    <row r="867" ht="15" customHeight="1">
      <c r="A867" t="inlineStr">
        <is>
          <t>A 27565-2024</t>
        </is>
      </c>
      <c r="B867" s="1" t="n">
        <v>45474</v>
      </c>
      <c r="C867" s="1" t="n">
        <v>45998</v>
      </c>
      <c r="D867" t="inlineStr">
        <is>
          <t>VÄSTMANLANDS LÄN</t>
        </is>
      </c>
      <c r="E867" t="inlineStr">
        <is>
          <t>SKINNSKATTEBERG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16769-2024</t>
        </is>
      </c>
      <c r="B868" s="1" t="n">
        <v>45411.38738425926</v>
      </c>
      <c r="C868" s="1" t="n">
        <v>45998</v>
      </c>
      <c r="D868" t="inlineStr">
        <is>
          <t>VÄSTMANLANDS LÄN</t>
        </is>
      </c>
      <c r="E868" t="inlineStr">
        <is>
          <t>SALA</t>
        </is>
      </c>
      <c r="G868" t="n">
        <v>12</v>
      </c>
      <c r="H868" t="n">
        <v>0</v>
      </c>
      <c r="I868" t="n">
        <v>0</v>
      </c>
      <c r="J868" t="n">
        <v>0</v>
      </c>
      <c r="K868" t="n">
        <v>0</v>
      </c>
      <c r="L868" t="n">
        <v>0</v>
      </c>
      <c r="M868" t="n">
        <v>0</v>
      </c>
      <c r="N868" t="n">
        <v>0</v>
      </c>
      <c r="O868" t="n">
        <v>0</v>
      </c>
      <c r="P868" t="n">
        <v>0</v>
      </c>
      <c r="Q868" t="n">
        <v>0</v>
      </c>
      <c r="R868" s="2" t="inlineStr"/>
    </row>
    <row r="869" ht="15" customHeight="1">
      <c r="A869" t="inlineStr">
        <is>
          <t>A 53243-2021</t>
        </is>
      </c>
      <c r="B869" s="1" t="n">
        <v>44468.45143518518</v>
      </c>
      <c r="C869" s="1" t="n">
        <v>45998</v>
      </c>
      <c r="D869" t="inlineStr">
        <is>
          <t>VÄSTMANLANDS LÄN</t>
        </is>
      </c>
      <c r="E869" t="inlineStr">
        <is>
          <t>SKINNSKATTEBERG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52569-2022</t>
        </is>
      </c>
      <c r="B870" s="1" t="n">
        <v>44874.61123842592</v>
      </c>
      <c r="C870" s="1" t="n">
        <v>45998</v>
      </c>
      <c r="D870" t="inlineStr">
        <is>
          <t>VÄSTMANLANDS LÄN</t>
        </is>
      </c>
      <c r="E870" t="inlineStr">
        <is>
          <t>VÄSTERÅS</t>
        </is>
      </c>
      <c r="G870" t="n">
        <v>0.6</v>
      </c>
      <c r="H870" t="n">
        <v>0</v>
      </c>
      <c r="I870" t="n">
        <v>0</v>
      </c>
      <c r="J870" t="n">
        <v>0</v>
      </c>
      <c r="K870" t="n">
        <v>0</v>
      </c>
      <c r="L870" t="n">
        <v>0</v>
      </c>
      <c r="M870" t="n">
        <v>0</v>
      </c>
      <c r="N870" t="n">
        <v>0</v>
      </c>
      <c r="O870" t="n">
        <v>0</v>
      </c>
      <c r="P870" t="n">
        <v>0</v>
      </c>
      <c r="Q870" t="n">
        <v>0</v>
      </c>
      <c r="R870" s="2" t="inlineStr"/>
    </row>
    <row r="871" ht="15" customHeight="1">
      <c r="A871" t="inlineStr">
        <is>
          <t>A 58085-2022</t>
        </is>
      </c>
      <c r="B871" s="1" t="n">
        <v>44900.62505787037</v>
      </c>
      <c r="C871" s="1" t="n">
        <v>45998</v>
      </c>
      <c r="D871" t="inlineStr">
        <is>
          <t>VÄSTMANLANDS LÄN</t>
        </is>
      </c>
      <c r="E871" t="inlineStr">
        <is>
          <t>VÄSTERÅS</t>
        </is>
      </c>
      <c r="G871" t="n">
        <v>0.5</v>
      </c>
      <c r="H871" t="n">
        <v>0</v>
      </c>
      <c r="I871" t="n">
        <v>0</v>
      </c>
      <c r="J871" t="n">
        <v>0</v>
      </c>
      <c r="K871" t="n">
        <v>0</v>
      </c>
      <c r="L871" t="n">
        <v>0</v>
      </c>
      <c r="M871" t="n">
        <v>0</v>
      </c>
      <c r="N871" t="n">
        <v>0</v>
      </c>
      <c r="O871" t="n">
        <v>0</v>
      </c>
      <c r="P871" t="n">
        <v>0</v>
      </c>
      <c r="Q871" t="n">
        <v>0</v>
      </c>
      <c r="R871" s="2" t="inlineStr"/>
    </row>
    <row r="872" ht="15" customHeight="1">
      <c r="A872" t="inlineStr">
        <is>
          <t>A 57855-2023</t>
        </is>
      </c>
      <c r="B872" s="1" t="n">
        <v>45247.43503472222</v>
      </c>
      <c r="C872" s="1" t="n">
        <v>45998</v>
      </c>
      <c r="D872" t="inlineStr">
        <is>
          <t>VÄSTMANLANDS LÄN</t>
        </is>
      </c>
      <c r="E872" t="inlineStr">
        <is>
          <t>FAGERSTA</t>
        </is>
      </c>
      <c r="G872" t="n">
        <v>0.5</v>
      </c>
      <c r="H872" t="n">
        <v>0</v>
      </c>
      <c r="I872" t="n">
        <v>0</v>
      </c>
      <c r="J872" t="n">
        <v>0</v>
      </c>
      <c r="K872" t="n">
        <v>0</v>
      </c>
      <c r="L872" t="n">
        <v>0</v>
      </c>
      <c r="M872" t="n">
        <v>0</v>
      </c>
      <c r="N872" t="n">
        <v>0</v>
      </c>
      <c r="O872" t="n">
        <v>0</v>
      </c>
      <c r="P872" t="n">
        <v>0</v>
      </c>
      <c r="Q872" t="n">
        <v>0</v>
      </c>
      <c r="R872" s="2" t="inlineStr"/>
    </row>
    <row r="873" ht="15" customHeight="1">
      <c r="A873" t="inlineStr">
        <is>
          <t>A 57984-2023</t>
        </is>
      </c>
      <c r="B873" s="1" t="n">
        <v>45247</v>
      </c>
      <c r="C873" s="1" t="n">
        <v>45998</v>
      </c>
      <c r="D873" t="inlineStr">
        <is>
          <t>VÄSTMANLANDS LÄN</t>
        </is>
      </c>
      <c r="E873" t="inlineStr">
        <is>
          <t>SKINNSKATTEBERG</t>
        </is>
      </c>
      <c r="F873" t="inlineStr">
        <is>
          <t>Sveaskog</t>
        </is>
      </c>
      <c r="G873" t="n">
        <v>0.5</v>
      </c>
      <c r="H873" t="n">
        <v>0</v>
      </c>
      <c r="I873" t="n">
        <v>0</v>
      </c>
      <c r="J873" t="n">
        <v>0</v>
      </c>
      <c r="K873" t="n">
        <v>0</v>
      </c>
      <c r="L873" t="n">
        <v>0</v>
      </c>
      <c r="M873" t="n">
        <v>0</v>
      </c>
      <c r="N873" t="n">
        <v>0</v>
      </c>
      <c r="O873" t="n">
        <v>0</v>
      </c>
      <c r="P873" t="n">
        <v>0</v>
      </c>
      <c r="Q873" t="n">
        <v>0</v>
      </c>
      <c r="R873" s="2" t="inlineStr"/>
    </row>
    <row r="874" ht="15" customHeight="1">
      <c r="A874" t="inlineStr">
        <is>
          <t>A 4687-2023</t>
        </is>
      </c>
      <c r="B874" s="1" t="n">
        <v>44957.46186342592</v>
      </c>
      <c r="C874" s="1" t="n">
        <v>45998</v>
      </c>
      <c r="D874" t="inlineStr">
        <is>
          <t>VÄSTMANLANDS LÄN</t>
        </is>
      </c>
      <c r="E874" t="inlineStr">
        <is>
          <t>KÖPING</t>
        </is>
      </c>
      <c r="G874" t="n">
        <v>4.6</v>
      </c>
      <c r="H874" t="n">
        <v>0</v>
      </c>
      <c r="I874" t="n">
        <v>0</v>
      </c>
      <c r="J874" t="n">
        <v>0</v>
      </c>
      <c r="K874" t="n">
        <v>0</v>
      </c>
      <c r="L874" t="n">
        <v>0</v>
      </c>
      <c r="M874" t="n">
        <v>0</v>
      </c>
      <c r="N874" t="n">
        <v>0</v>
      </c>
      <c r="O874" t="n">
        <v>0</v>
      </c>
      <c r="P874" t="n">
        <v>0</v>
      </c>
      <c r="Q874" t="n">
        <v>0</v>
      </c>
      <c r="R874" s="2" t="inlineStr"/>
    </row>
    <row r="875" ht="15" customHeight="1">
      <c r="A875" t="inlineStr">
        <is>
          <t>A 28589-2023</t>
        </is>
      </c>
      <c r="B875" s="1" t="n">
        <v>45103.56412037037</v>
      </c>
      <c r="C875" s="1" t="n">
        <v>45998</v>
      </c>
      <c r="D875" t="inlineStr">
        <is>
          <t>VÄSTMANLANDS LÄN</t>
        </is>
      </c>
      <c r="E875" t="inlineStr">
        <is>
          <t>NORBERG</t>
        </is>
      </c>
      <c r="G875" t="n">
        <v>2.3</v>
      </c>
      <c r="H875" t="n">
        <v>0</v>
      </c>
      <c r="I875" t="n">
        <v>0</v>
      </c>
      <c r="J875" t="n">
        <v>0</v>
      </c>
      <c r="K875" t="n">
        <v>0</v>
      </c>
      <c r="L875" t="n">
        <v>0</v>
      </c>
      <c r="M875" t="n">
        <v>0</v>
      </c>
      <c r="N875" t="n">
        <v>0</v>
      </c>
      <c r="O875" t="n">
        <v>0</v>
      </c>
      <c r="P875" t="n">
        <v>0</v>
      </c>
      <c r="Q875" t="n">
        <v>0</v>
      </c>
      <c r="R875" s="2" t="inlineStr"/>
    </row>
    <row r="876" ht="15" customHeight="1">
      <c r="A876" t="inlineStr">
        <is>
          <t>A 44906-2022</t>
        </is>
      </c>
      <c r="B876" s="1" t="n">
        <v>44840</v>
      </c>
      <c r="C876" s="1" t="n">
        <v>45998</v>
      </c>
      <c r="D876" t="inlineStr">
        <is>
          <t>VÄSTMANLANDS LÄN</t>
        </is>
      </c>
      <c r="E876" t="inlineStr">
        <is>
          <t>KÖPING</t>
        </is>
      </c>
      <c r="G876" t="n">
        <v>3.6</v>
      </c>
      <c r="H876" t="n">
        <v>0</v>
      </c>
      <c r="I876" t="n">
        <v>0</v>
      </c>
      <c r="J876" t="n">
        <v>0</v>
      </c>
      <c r="K876" t="n">
        <v>0</v>
      </c>
      <c r="L876" t="n">
        <v>0</v>
      </c>
      <c r="M876" t="n">
        <v>0</v>
      </c>
      <c r="N876" t="n">
        <v>0</v>
      </c>
      <c r="O876" t="n">
        <v>0</v>
      </c>
      <c r="P876" t="n">
        <v>0</v>
      </c>
      <c r="Q876" t="n">
        <v>0</v>
      </c>
      <c r="R876" s="2" t="inlineStr"/>
    </row>
    <row r="877" ht="15" customHeight="1">
      <c r="A877" t="inlineStr">
        <is>
          <t>A 35976-2024</t>
        </is>
      </c>
      <c r="B877" s="1" t="n">
        <v>45533.49555555556</v>
      </c>
      <c r="C877" s="1" t="n">
        <v>45998</v>
      </c>
      <c r="D877" t="inlineStr">
        <is>
          <t>VÄSTMANLANDS LÄN</t>
        </is>
      </c>
      <c r="E877" t="inlineStr">
        <is>
          <t>SALA</t>
        </is>
      </c>
      <c r="G877" t="n">
        <v>2.3</v>
      </c>
      <c r="H877" t="n">
        <v>0</v>
      </c>
      <c r="I877" t="n">
        <v>0</v>
      </c>
      <c r="J877" t="n">
        <v>0</v>
      </c>
      <c r="K877" t="n">
        <v>0</v>
      </c>
      <c r="L877" t="n">
        <v>0</v>
      </c>
      <c r="M877" t="n">
        <v>0</v>
      </c>
      <c r="N877" t="n">
        <v>0</v>
      </c>
      <c r="O877" t="n">
        <v>0</v>
      </c>
      <c r="P877" t="n">
        <v>0</v>
      </c>
      <c r="Q877" t="n">
        <v>0</v>
      </c>
      <c r="R877" s="2" t="inlineStr"/>
    </row>
    <row r="878" ht="15" customHeight="1">
      <c r="A878" t="inlineStr">
        <is>
          <t>A 21576-2023</t>
        </is>
      </c>
      <c r="B878" s="1" t="n">
        <v>45063.59221064814</v>
      </c>
      <c r="C878" s="1" t="n">
        <v>45998</v>
      </c>
      <c r="D878" t="inlineStr">
        <is>
          <t>VÄSTMANLANDS LÄN</t>
        </is>
      </c>
      <c r="E878" t="inlineStr">
        <is>
          <t>SKINNSKATTEBERG</t>
        </is>
      </c>
      <c r="G878" t="n">
        <v>3.1</v>
      </c>
      <c r="H878" t="n">
        <v>0</v>
      </c>
      <c r="I878" t="n">
        <v>0</v>
      </c>
      <c r="J878" t="n">
        <v>0</v>
      </c>
      <c r="K878" t="n">
        <v>0</v>
      </c>
      <c r="L878" t="n">
        <v>0</v>
      </c>
      <c r="M878" t="n">
        <v>0</v>
      </c>
      <c r="N878" t="n">
        <v>0</v>
      </c>
      <c r="O878" t="n">
        <v>0</v>
      </c>
      <c r="P878" t="n">
        <v>0</v>
      </c>
      <c r="Q878" t="n">
        <v>0</v>
      </c>
      <c r="R878" s="2" t="inlineStr"/>
    </row>
    <row r="879" ht="15" customHeight="1">
      <c r="A879" t="inlineStr">
        <is>
          <t>A 56929-2022</t>
        </is>
      </c>
      <c r="B879" s="1" t="n">
        <v>44894.62520833333</v>
      </c>
      <c r="C879" s="1" t="n">
        <v>45998</v>
      </c>
      <c r="D879" t="inlineStr">
        <is>
          <t>VÄSTMANLANDS LÄN</t>
        </is>
      </c>
      <c r="E879" t="inlineStr">
        <is>
          <t>SKINNSKATTEBERG</t>
        </is>
      </c>
      <c r="F879" t="inlineStr">
        <is>
          <t>Sveaskog</t>
        </is>
      </c>
      <c r="G879" t="n">
        <v>3.7</v>
      </c>
      <c r="H879" t="n">
        <v>0</v>
      </c>
      <c r="I879" t="n">
        <v>0</v>
      </c>
      <c r="J879" t="n">
        <v>0</v>
      </c>
      <c r="K879" t="n">
        <v>0</v>
      </c>
      <c r="L879" t="n">
        <v>0</v>
      </c>
      <c r="M879" t="n">
        <v>0</v>
      </c>
      <c r="N879" t="n">
        <v>0</v>
      </c>
      <c r="O879" t="n">
        <v>0</v>
      </c>
      <c r="P879" t="n">
        <v>0</v>
      </c>
      <c r="Q879" t="n">
        <v>0</v>
      </c>
      <c r="R879" s="2" t="inlineStr"/>
    </row>
    <row r="880" ht="15" customHeight="1">
      <c r="A880" t="inlineStr">
        <is>
          <t>A 30076-2023</t>
        </is>
      </c>
      <c r="B880" s="1" t="n">
        <v>45110</v>
      </c>
      <c r="C880" s="1" t="n">
        <v>45998</v>
      </c>
      <c r="D880" t="inlineStr">
        <is>
          <t>VÄSTMANLANDS LÄN</t>
        </is>
      </c>
      <c r="E880" t="inlineStr">
        <is>
          <t>SURAHAMMAR</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30096-2023</t>
        </is>
      </c>
      <c r="B881" s="1" t="n">
        <v>45110</v>
      </c>
      <c r="C881" s="1" t="n">
        <v>45998</v>
      </c>
      <c r="D881" t="inlineStr">
        <is>
          <t>VÄSTMANLANDS LÄN</t>
        </is>
      </c>
      <c r="E881" t="inlineStr">
        <is>
          <t>VÄSTERÅS</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60249-2023</t>
        </is>
      </c>
      <c r="B882" s="1" t="n">
        <v>45258</v>
      </c>
      <c r="C882" s="1" t="n">
        <v>45998</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15355-2023</t>
        </is>
      </c>
      <c r="B883" s="1" t="n">
        <v>45019</v>
      </c>
      <c r="C883" s="1" t="n">
        <v>45998</v>
      </c>
      <c r="D883" t="inlineStr">
        <is>
          <t>VÄSTMANLANDS LÄN</t>
        </is>
      </c>
      <c r="E883" t="inlineStr">
        <is>
          <t>VÄSTERÅS</t>
        </is>
      </c>
      <c r="G883" t="n">
        <v>0.6</v>
      </c>
      <c r="H883" t="n">
        <v>0</v>
      </c>
      <c r="I883" t="n">
        <v>0</v>
      </c>
      <c r="J883" t="n">
        <v>0</v>
      </c>
      <c r="K883" t="n">
        <v>0</v>
      </c>
      <c r="L883" t="n">
        <v>0</v>
      </c>
      <c r="M883" t="n">
        <v>0</v>
      </c>
      <c r="N883" t="n">
        <v>0</v>
      </c>
      <c r="O883" t="n">
        <v>0</v>
      </c>
      <c r="P883" t="n">
        <v>0</v>
      </c>
      <c r="Q883" t="n">
        <v>0</v>
      </c>
      <c r="R883" s="2" t="inlineStr"/>
    </row>
    <row r="884" ht="15" customHeight="1">
      <c r="A884" t="inlineStr">
        <is>
          <t>A 64207-2023</t>
        </is>
      </c>
      <c r="B884" s="1" t="n">
        <v>45279.73480324074</v>
      </c>
      <c r="C884" s="1" t="n">
        <v>45998</v>
      </c>
      <c r="D884" t="inlineStr">
        <is>
          <t>VÄSTMANLANDS LÄN</t>
        </is>
      </c>
      <c r="E884" t="inlineStr">
        <is>
          <t>VÄSTERÅS</t>
        </is>
      </c>
      <c r="G884" t="n">
        <v>0.9</v>
      </c>
      <c r="H884" t="n">
        <v>0</v>
      </c>
      <c r="I884" t="n">
        <v>0</v>
      </c>
      <c r="J884" t="n">
        <v>0</v>
      </c>
      <c r="K884" t="n">
        <v>0</v>
      </c>
      <c r="L884" t="n">
        <v>0</v>
      </c>
      <c r="M884" t="n">
        <v>0</v>
      </c>
      <c r="N884" t="n">
        <v>0</v>
      </c>
      <c r="O884" t="n">
        <v>0</v>
      </c>
      <c r="P884" t="n">
        <v>0</v>
      </c>
      <c r="Q884" t="n">
        <v>0</v>
      </c>
      <c r="R884" s="2" t="inlineStr"/>
    </row>
    <row r="885" ht="15" customHeight="1">
      <c r="A885" t="inlineStr">
        <is>
          <t>A 14271-2025</t>
        </is>
      </c>
      <c r="B885" s="1" t="n">
        <v>45740.64129629629</v>
      </c>
      <c r="C885" s="1" t="n">
        <v>45998</v>
      </c>
      <c r="D885" t="inlineStr">
        <is>
          <t>VÄSTMANLANDS LÄN</t>
        </is>
      </c>
      <c r="E885" t="inlineStr">
        <is>
          <t>SALA</t>
        </is>
      </c>
      <c r="G885" t="n">
        <v>0.8</v>
      </c>
      <c r="H885" t="n">
        <v>0</v>
      </c>
      <c r="I885" t="n">
        <v>0</v>
      </c>
      <c r="J885" t="n">
        <v>0</v>
      </c>
      <c r="K885" t="n">
        <v>0</v>
      </c>
      <c r="L885" t="n">
        <v>0</v>
      </c>
      <c r="M885" t="n">
        <v>0</v>
      </c>
      <c r="N885" t="n">
        <v>0</v>
      </c>
      <c r="O885" t="n">
        <v>0</v>
      </c>
      <c r="P885" t="n">
        <v>0</v>
      </c>
      <c r="Q885" t="n">
        <v>0</v>
      </c>
      <c r="R885" s="2" t="inlineStr"/>
    </row>
    <row r="886" ht="15" customHeight="1">
      <c r="A886" t="inlineStr">
        <is>
          <t>A 61069-2022</t>
        </is>
      </c>
      <c r="B886" s="1" t="n">
        <v>44908</v>
      </c>
      <c r="C886" s="1" t="n">
        <v>45998</v>
      </c>
      <c r="D886" t="inlineStr">
        <is>
          <t>VÄSTMANLANDS LÄN</t>
        </is>
      </c>
      <c r="E886" t="inlineStr">
        <is>
          <t>VÄSTERÅS</t>
        </is>
      </c>
      <c r="G886" t="n">
        <v>6.7</v>
      </c>
      <c r="H886" t="n">
        <v>0</v>
      </c>
      <c r="I886" t="n">
        <v>0</v>
      </c>
      <c r="J886" t="n">
        <v>0</v>
      </c>
      <c r="K886" t="n">
        <v>0</v>
      </c>
      <c r="L886" t="n">
        <v>0</v>
      </c>
      <c r="M886" t="n">
        <v>0</v>
      </c>
      <c r="N886" t="n">
        <v>0</v>
      </c>
      <c r="O886" t="n">
        <v>0</v>
      </c>
      <c r="P886" t="n">
        <v>0</v>
      </c>
      <c r="Q886" t="n">
        <v>0</v>
      </c>
      <c r="R886" s="2" t="inlineStr"/>
    </row>
    <row r="887" ht="15" customHeight="1">
      <c r="A887" t="inlineStr">
        <is>
          <t>A 63481-2023</t>
        </is>
      </c>
      <c r="B887" s="1" t="n">
        <v>45274.65821759259</v>
      </c>
      <c r="C887" s="1" t="n">
        <v>45998</v>
      </c>
      <c r="D887" t="inlineStr">
        <is>
          <t>VÄSTMANLANDS LÄN</t>
        </is>
      </c>
      <c r="E887" t="inlineStr">
        <is>
          <t>VÄSTERÅS</t>
        </is>
      </c>
      <c r="G887" t="n">
        <v>3.7</v>
      </c>
      <c r="H887" t="n">
        <v>0</v>
      </c>
      <c r="I887" t="n">
        <v>0</v>
      </c>
      <c r="J887" t="n">
        <v>0</v>
      </c>
      <c r="K887" t="n">
        <v>0</v>
      </c>
      <c r="L887" t="n">
        <v>0</v>
      </c>
      <c r="M887" t="n">
        <v>0</v>
      </c>
      <c r="N887" t="n">
        <v>0</v>
      </c>
      <c r="O887" t="n">
        <v>0</v>
      </c>
      <c r="P887" t="n">
        <v>0</v>
      </c>
      <c r="Q887" t="n">
        <v>0</v>
      </c>
      <c r="R887" s="2" t="inlineStr"/>
    </row>
    <row r="888" ht="15" customHeight="1">
      <c r="A888" t="inlineStr">
        <is>
          <t>A 34984-2024</t>
        </is>
      </c>
      <c r="B888" s="1" t="n">
        <v>45527</v>
      </c>
      <c r="C888" s="1" t="n">
        <v>45998</v>
      </c>
      <c r="D888" t="inlineStr">
        <is>
          <t>VÄSTMANLANDS LÄN</t>
        </is>
      </c>
      <c r="E888" t="inlineStr">
        <is>
          <t>HALLSTAHAMMAR</t>
        </is>
      </c>
      <c r="G888" t="n">
        <v>4.1</v>
      </c>
      <c r="H888" t="n">
        <v>0</v>
      </c>
      <c r="I888" t="n">
        <v>0</v>
      </c>
      <c r="J888" t="n">
        <v>0</v>
      </c>
      <c r="K888" t="n">
        <v>0</v>
      </c>
      <c r="L888" t="n">
        <v>0</v>
      </c>
      <c r="M888" t="n">
        <v>0</v>
      </c>
      <c r="N888" t="n">
        <v>0</v>
      </c>
      <c r="O888" t="n">
        <v>0</v>
      </c>
      <c r="P888" t="n">
        <v>0</v>
      </c>
      <c r="Q888" t="n">
        <v>0</v>
      </c>
      <c r="R888" s="2" t="inlineStr"/>
    </row>
    <row r="889" ht="15" customHeight="1">
      <c r="A889" t="inlineStr">
        <is>
          <t>A 3113-2022</t>
        </is>
      </c>
      <c r="B889" s="1" t="n">
        <v>44582</v>
      </c>
      <c r="C889" s="1" t="n">
        <v>45998</v>
      </c>
      <c r="D889" t="inlineStr">
        <is>
          <t>VÄSTMANLANDS LÄN</t>
        </is>
      </c>
      <c r="E889" t="inlineStr">
        <is>
          <t>ARBOGA</t>
        </is>
      </c>
      <c r="G889" t="n">
        <v>2.8</v>
      </c>
      <c r="H889" t="n">
        <v>0</v>
      </c>
      <c r="I889" t="n">
        <v>0</v>
      </c>
      <c r="J889" t="n">
        <v>0</v>
      </c>
      <c r="K889" t="n">
        <v>0</v>
      </c>
      <c r="L889" t="n">
        <v>0</v>
      </c>
      <c r="M889" t="n">
        <v>0</v>
      </c>
      <c r="N889" t="n">
        <v>0</v>
      </c>
      <c r="O889" t="n">
        <v>0</v>
      </c>
      <c r="P889" t="n">
        <v>0</v>
      </c>
      <c r="Q889" t="n">
        <v>0</v>
      </c>
      <c r="R889" s="2" t="inlineStr"/>
    </row>
    <row r="890" ht="15" customHeight="1">
      <c r="A890" t="inlineStr">
        <is>
          <t>A 3128-2022</t>
        </is>
      </c>
      <c r="B890" s="1" t="n">
        <v>44582</v>
      </c>
      <c r="C890" s="1" t="n">
        <v>45998</v>
      </c>
      <c r="D890" t="inlineStr">
        <is>
          <t>VÄSTMANLANDS LÄN</t>
        </is>
      </c>
      <c r="E890" t="inlineStr">
        <is>
          <t>ARBOGA</t>
        </is>
      </c>
      <c r="G890" t="n">
        <v>5.3</v>
      </c>
      <c r="H890" t="n">
        <v>0</v>
      </c>
      <c r="I890" t="n">
        <v>0</v>
      </c>
      <c r="J890" t="n">
        <v>0</v>
      </c>
      <c r="K890" t="n">
        <v>0</v>
      </c>
      <c r="L890" t="n">
        <v>0</v>
      </c>
      <c r="M890" t="n">
        <v>0</v>
      </c>
      <c r="N890" t="n">
        <v>0</v>
      </c>
      <c r="O890" t="n">
        <v>0</v>
      </c>
      <c r="P890" t="n">
        <v>0</v>
      </c>
      <c r="Q890" t="n">
        <v>0</v>
      </c>
      <c r="R890" s="2" t="inlineStr"/>
    </row>
    <row r="891" ht="15" customHeight="1">
      <c r="A891" t="inlineStr">
        <is>
          <t>A 69232-2021</t>
        </is>
      </c>
      <c r="B891" s="1" t="n">
        <v>44531.39696759259</v>
      </c>
      <c r="C891" s="1" t="n">
        <v>45998</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36905-2023</t>
        </is>
      </c>
      <c r="B892" s="1" t="n">
        <v>45154</v>
      </c>
      <c r="C892" s="1" t="n">
        <v>45998</v>
      </c>
      <c r="D892" t="inlineStr">
        <is>
          <t>VÄSTMANLANDS LÄN</t>
        </is>
      </c>
      <c r="E892" t="inlineStr">
        <is>
          <t>NORBERG</t>
        </is>
      </c>
      <c r="G892" t="n">
        <v>0.2</v>
      </c>
      <c r="H892" t="n">
        <v>0</v>
      </c>
      <c r="I892" t="n">
        <v>0</v>
      </c>
      <c r="J892" t="n">
        <v>0</v>
      </c>
      <c r="K892" t="n">
        <v>0</v>
      </c>
      <c r="L892" t="n">
        <v>0</v>
      </c>
      <c r="M892" t="n">
        <v>0</v>
      </c>
      <c r="N892" t="n">
        <v>0</v>
      </c>
      <c r="O892" t="n">
        <v>0</v>
      </c>
      <c r="P892" t="n">
        <v>0</v>
      </c>
      <c r="Q892" t="n">
        <v>0</v>
      </c>
      <c r="R892" s="2" t="inlineStr"/>
    </row>
    <row r="893" ht="15" customHeight="1">
      <c r="A893" t="inlineStr">
        <is>
          <t>A 38636-2024</t>
        </is>
      </c>
      <c r="B893" s="1" t="n">
        <v>45546</v>
      </c>
      <c r="C893" s="1" t="n">
        <v>45998</v>
      </c>
      <c r="D893" t="inlineStr">
        <is>
          <t>VÄSTMANLANDS LÄN</t>
        </is>
      </c>
      <c r="E893" t="inlineStr">
        <is>
          <t>SALA</t>
        </is>
      </c>
      <c r="G893" t="n">
        <v>0.7</v>
      </c>
      <c r="H893" t="n">
        <v>0</v>
      </c>
      <c r="I893" t="n">
        <v>0</v>
      </c>
      <c r="J893" t="n">
        <v>0</v>
      </c>
      <c r="K893" t="n">
        <v>0</v>
      </c>
      <c r="L893" t="n">
        <v>0</v>
      </c>
      <c r="M893" t="n">
        <v>0</v>
      </c>
      <c r="N893" t="n">
        <v>0</v>
      </c>
      <c r="O893" t="n">
        <v>0</v>
      </c>
      <c r="P893" t="n">
        <v>0</v>
      </c>
      <c r="Q893" t="n">
        <v>0</v>
      </c>
      <c r="R893" s="2" t="inlineStr"/>
    </row>
    <row r="894" ht="15" customHeight="1">
      <c r="A894" t="inlineStr">
        <is>
          <t>A 51572-2023</t>
        </is>
      </c>
      <c r="B894" s="1" t="n">
        <v>45222</v>
      </c>
      <c r="C894" s="1" t="n">
        <v>45998</v>
      </c>
      <c r="D894" t="inlineStr">
        <is>
          <t>VÄSTMANLANDS LÄN</t>
        </is>
      </c>
      <c r="E894" t="inlineStr">
        <is>
          <t>VÄSTERÅS</t>
        </is>
      </c>
      <c r="G894" t="n">
        <v>0.7</v>
      </c>
      <c r="H894" t="n">
        <v>0</v>
      </c>
      <c r="I894" t="n">
        <v>0</v>
      </c>
      <c r="J894" t="n">
        <v>0</v>
      </c>
      <c r="K894" t="n">
        <v>0</v>
      </c>
      <c r="L894" t="n">
        <v>0</v>
      </c>
      <c r="M894" t="n">
        <v>0</v>
      </c>
      <c r="N894" t="n">
        <v>0</v>
      </c>
      <c r="O894" t="n">
        <v>0</v>
      </c>
      <c r="P894" t="n">
        <v>0</v>
      </c>
      <c r="Q894" t="n">
        <v>0</v>
      </c>
      <c r="R894" s="2" t="inlineStr"/>
    </row>
    <row r="895" ht="15" customHeight="1">
      <c r="A895" t="inlineStr">
        <is>
          <t>A 16545-2025</t>
        </is>
      </c>
      <c r="B895" s="1" t="n">
        <v>45751.68105324074</v>
      </c>
      <c r="C895" s="1" t="n">
        <v>45998</v>
      </c>
      <c r="D895" t="inlineStr">
        <is>
          <t>VÄSTMANLANDS LÄN</t>
        </is>
      </c>
      <c r="E895" t="inlineStr">
        <is>
          <t>FAGERSTA</t>
        </is>
      </c>
      <c r="F895" t="inlineStr">
        <is>
          <t>Sveaskog</t>
        </is>
      </c>
      <c r="G895" t="n">
        <v>5</v>
      </c>
      <c r="H895" t="n">
        <v>0</v>
      </c>
      <c r="I895" t="n">
        <v>0</v>
      </c>
      <c r="J895" t="n">
        <v>0</v>
      </c>
      <c r="K895" t="n">
        <v>0</v>
      </c>
      <c r="L895" t="n">
        <v>0</v>
      </c>
      <c r="M895" t="n">
        <v>0</v>
      </c>
      <c r="N895" t="n">
        <v>0</v>
      </c>
      <c r="O895" t="n">
        <v>0</v>
      </c>
      <c r="P895" t="n">
        <v>0</v>
      </c>
      <c r="Q895" t="n">
        <v>0</v>
      </c>
      <c r="R895" s="2" t="inlineStr"/>
    </row>
    <row r="896" ht="15" customHeight="1">
      <c r="A896" t="inlineStr">
        <is>
          <t>A 16546-2025</t>
        </is>
      </c>
      <c r="B896" s="1" t="n">
        <v>45751.683125</v>
      </c>
      <c r="C896" s="1" t="n">
        <v>45998</v>
      </c>
      <c r="D896" t="inlineStr">
        <is>
          <t>VÄSTMANLANDS LÄN</t>
        </is>
      </c>
      <c r="E896" t="inlineStr">
        <is>
          <t>FAGERSTA</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28328-2023</t>
        </is>
      </c>
      <c r="B897" s="1" t="n">
        <v>45099.71063657408</v>
      </c>
      <c r="C897" s="1" t="n">
        <v>45998</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38938-2021</t>
        </is>
      </c>
      <c r="B898" s="1" t="n">
        <v>44411.63415509259</v>
      </c>
      <c r="C898" s="1" t="n">
        <v>45998</v>
      </c>
      <c r="D898" t="inlineStr">
        <is>
          <t>VÄSTMANLANDS LÄN</t>
        </is>
      </c>
      <c r="E898" t="inlineStr">
        <is>
          <t>KUNGSÖR</t>
        </is>
      </c>
      <c r="F898" t="inlineStr">
        <is>
          <t>Allmännings- och besparingsskogar</t>
        </is>
      </c>
      <c r="G898" t="n">
        <v>1.9</v>
      </c>
      <c r="H898" t="n">
        <v>0</v>
      </c>
      <c r="I898" t="n">
        <v>0</v>
      </c>
      <c r="J898" t="n">
        <v>0</v>
      </c>
      <c r="K898" t="n">
        <v>0</v>
      </c>
      <c r="L898" t="n">
        <v>0</v>
      </c>
      <c r="M898" t="n">
        <v>0</v>
      </c>
      <c r="N898" t="n">
        <v>0</v>
      </c>
      <c r="O898" t="n">
        <v>0</v>
      </c>
      <c r="P898" t="n">
        <v>0</v>
      </c>
      <c r="Q898" t="n">
        <v>0</v>
      </c>
      <c r="R898" s="2" t="inlineStr"/>
    </row>
    <row r="899" ht="15" customHeight="1">
      <c r="A899" t="inlineStr">
        <is>
          <t>A 63236-2023</t>
        </is>
      </c>
      <c r="B899" s="1" t="n">
        <v>45273.65958333333</v>
      </c>
      <c r="C899" s="1" t="n">
        <v>45998</v>
      </c>
      <c r="D899" t="inlineStr">
        <is>
          <t>VÄSTMANLANDS LÄN</t>
        </is>
      </c>
      <c r="E899" t="inlineStr">
        <is>
          <t>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64208-2023</t>
        </is>
      </c>
      <c r="B900" s="1" t="n">
        <v>45279.74216435185</v>
      </c>
      <c r="C900" s="1" t="n">
        <v>45998</v>
      </c>
      <c r="D900" t="inlineStr">
        <is>
          <t>VÄSTMANLANDS LÄN</t>
        </is>
      </c>
      <c r="E900" t="inlineStr">
        <is>
          <t>VÄSTERÅS</t>
        </is>
      </c>
      <c r="G900" t="n">
        <v>13.9</v>
      </c>
      <c r="H900" t="n">
        <v>0</v>
      </c>
      <c r="I900" t="n">
        <v>0</v>
      </c>
      <c r="J900" t="n">
        <v>0</v>
      </c>
      <c r="K900" t="n">
        <v>0</v>
      </c>
      <c r="L900" t="n">
        <v>0</v>
      </c>
      <c r="M900" t="n">
        <v>0</v>
      </c>
      <c r="N900" t="n">
        <v>0</v>
      </c>
      <c r="O900" t="n">
        <v>0</v>
      </c>
      <c r="P900" t="n">
        <v>0</v>
      </c>
      <c r="Q900" t="n">
        <v>0</v>
      </c>
      <c r="R900" s="2" t="inlineStr"/>
    </row>
    <row r="901" ht="15" customHeight="1">
      <c r="A901" t="inlineStr">
        <is>
          <t>A 55188-2022</t>
        </is>
      </c>
      <c r="B901" s="1" t="n">
        <v>44886.90611111111</v>
      </c>
      <c r="C901" s="1" t="n">
        <v>45998</v>
      </c>
      <c r="D901" t="inlineStr">
        <is>
          <t>VÄSTMANLANDS LÄN</t>
        </is>
      </c>
      <c r="E901" t="inlineStr">
        <is>
          <t>ARBOGA</t>
        </is>
      </c>
      <c r="F901" t="inlineStr">
        <is>
          <t>Allmännings- och besparingsskogar</t>
        </is>
      </c>
      <c r="G901" t="n">
        <v>2.4</v>
      </c>
      <c r="H901" t="n">
        <v>0</v>
      </c>
      <c r="I901" t="n">
        <v>0</v>
      </c>
      <c r="J901" t="n">
        <v>0</v>
      </c>
      <c r="K901" t="n">
        <v>0</v>
      </c>
      <c r="L901" t="n">
        <v>0</v>
      </c>
      <c r="M901" t="n">
        <v>0</v>
      </c>
      <c r="N901" t="n">
        <v>0</v>
      </c>
      <c r="O901" t="n">
        <v>0</v>
      </c>
      <c r="P901" t="n">
        <v>0</v>
      </c>
      <c r="Q901" t="n">
        <v>0</v>
      </c>
      <c r="R901" s="2" t="inlineStr"/>
    </row>
    <row r="902" ht="15" customHeight="1">
      <c r="A902" t="inlineStr">
        <is>
          <t>A 20492-2022</t>
        </is>
      </c>
      <c r="B902" s="1" t="n">
        <v>44699</v>
      </c>
      <c r="C902" s="1" t="n">
        <v>45998</v>
      </c>
      <c r="D902" t="inlineStr">
        <is>
          <t>VÄSTMANLANDS LÄN</t>
        </is>
      </c>
      <c r="E902" t="inlineStr">
        <is>
          <t>VÄSTERÅS</t>
        </is>
      </c>
      <c r="G902" t="n">
        <v>0.5</v>
      </c>
      <c r="H902" t="n">
        <v>0</v>
      </c>
      <c r="I902" t="n">
        <v>0</v>
      </c>
      <c r="J902" t="n">
        <v>0</v>
      </c>
      <c r="K902" t="n">
        <v>0</v>
      </c>
      <c r="L902" t="n">
        <v>0</v>
      </c>
      <c r="M902" t="n">
        <v>0</v>
      </c>
      <c r="N902" t="n">
        <v>0</v>
      </c>
      <c r="O902" t="n">
        <v>0</v>
      </c>
      <c r="P902" t="n">
        <v>0</v>
      </c>
      <c r="Q902" t="n">
        <v>0</v>
      </c>
      <c r="R902" s="2" t="inlineStr"/>
    </row>
    <row r="903" ht="15" customHeight="1">
      <c r="A903" t="inlineStr">
        <is>
          <t>A 52063-2022</t>
        </is>
      </c>
      <c r="B903" s="1" t="n">
        <v>44873</v>
      </c>
      <c r="C903" s="1" t="n">
        <v>45998</v>
      </c>
      <c r="D903" t="inlineStr">
        <is>
          <t>VÄSTMANLANDS LÄN</t>
        </is>
      </c>
      <c r="E903" t="inlineStr">
        <is>
          <t>NORBERG</t>
        </is>
      </c>
      <c r="G903" t="n">
        <v>0.8</v>
      </c>
      <c r="H903" t="n">
        <v>0</v>
      </c>
      <c r="I903" t="n">
        <v>0</v>
      </c>
      <c r="J903" t="n">
        <v>0</v>
      </c>
      <c r="K903" t="n">
        <v>0</v>
      </c>
      <c r="L903" t="n">
        <v>0</v>
      </c>
      <c r="M903" t="n">
        <v>0</v>
      </c>
      <c r="N903" t="n">
        <v>0</v>
      </c>
      <c r="O903" t="n">
        <v>0</v>
      </c>
      <c r="P903" t="n">
        <v>0</v>
      </c>
      <c r="Q903" t="n">
        <v>0</v>
      </c>
      <c r="R903" s="2" t="inlineStr"/>
    </row>
    <row r="904" ht="15" customHeight="1">
      <c r="A904" t="inlineStr">
        <is>
          <t>A 7722-2021</t>
        </is>
      </c>
      <c r="B904" s="1" t="n">
        <v>44242</v>
      </c>
      <c r="C904" s="1" t="n">
        <v>45998</v>
      </c>
      <c r="D904" t="inlineStr">
        <is>
          <t>VÄSTMANLANDS LÄN</t>
        </is>
      </c>
      <c r="E904" t="inlineStr">
        <is>
          <t>ARBOGA</t>
        </is>
      </c>
      <c r="G904" t="n">
        <v>12.3</v>
      </c>
      <c r="H904" t="n">
        <v>0</v>
      </c>
      <c r="I904" t="n">
        <v>0</v>
      </c>
      <c r="J904" t="n">
        <v>0</v>
      </c>
      <c r="K904" t="n">
        <v>0</v>
      </c>
      <c r="L904" t="n">
        <v>0</v>
      </c>
      <c r="M904" t="n">
        <v>0</v>
      </c>
      <c r="N904" t="n">
        <v>0</v>
      </c>
      <c r="O904" t="n">
        <v>0</v>
      </c>
      <c r="P904" t="n">
        <v>0</v>
      </c>
      <c r="Q904" t="n">
        <v>0</v>
      </c>
      <c r="R904" s="2" t="inlineStr"/>
    </row>
    <row r="905" ht="15" customHeight="1">
      <c r="A905" t="inlineStr">
        <is>
          <t>A 61892-2022</t>
        </is>
      </c>
      <c r="B905" s="1" t="n">
        <v>44917.70034722222</v>
      </c>
      <c r="C905" s="1" t="n">
        <v>45998</v>
      </c>
      <c r="D905" t="inlineStr">
        <is>
          <t>VÄSTMANLANDS LÄN</t>
        </is>
      </c>
      <c r="E905" t="inlineStr">
        <is>
          <t>ARBOGA</t>
        </is>
      </c>
      <c r="G905" t="n">
        <v>10.9</v>
      </c>
      <c r="H905" t="n">
        <v>0</v>
      </c>
      <c r="I905" t="n">
        <v>0</v>
      </c>
      <c r="J905" t="n">
        <v>0</v>
      </c>
      <c r="K905" t="n">
        <v>0</v>
      </c>
      <c r="L905" t="n">
        <v>0</v>
      </c>
      <c r="M905" t="n">
        <v>0</v>
      </c>
      <c r="N905" t="n">
        <v>0</v>
      </c>
      <c r="O905" t="n">
        <v>0</v>
      </c>
      <c r="P905" t="n">
        <v>0</v>
      </c>
      <c r="Q905" t="n">
        <v>0</v>
      </c>
      <c r="R905" s="2" t="inlineStr"/>
    </row>
    <row r="906" ht="15" customHeight="1">
      <c r="A906" t="inlineStr">
        <is>
          <t>A 25340-2021</t>
        </is>
      </c>
      <c r="B906" s="1" t="n">
        <v>44342</v>
      </c>
      <c r="C906" s="1" t="n">
        <v>45998</v>
      </c>
      <c r="D906" t="inlineStr">
        <is>
          <t>VÄSTMANLANDS LÄN</t>
        </is>
      </c>
      <c r="E906" t="inlineStr">
        <is>
          <t>VÄSTERÅS</t>
        </is>
      </c>
      <c r="G906" t="n">
        <v>5.4</v>
      </c>
      <c r="H906" t="n">
        <v>0</v>
      </c>
      <c r="I906" t="n">
        <v>0</v>
      </c>
      <c r="J906" t="n">
        <v>0</v>
      </c>
      <c r="K906" t="n">
        <v>0</v>
      </c>
      <c r="L906" t="n">
        <v>0</v>
      </c>
      <c r="M906" t="n">
        <v>0</v>
      </c>
      <c r="N906" t="n">
        <v>0</v>
      </c>
      <c r="O906" t="n">
        <v>0</v>
      </c>
      <c r="P906" t="n">
        <v>0</v>
      </c>
      <c r="Q906" t="n">
        <v>0</v>
      </c>
      <c r="R906" s="2" t="inlineStr"/>
    </row>
    <row r="907" ht="15" customHeight="1">
      <c r="A907" t="inlineStr">
        <is>
          <t>A 71471-2021</t>
        </is>
      </c>
      <c r="B907" s="1" t="n">
        <v>44540.53421296296</v>
      </c>
      <c r="C907" s="1" t="n">
        <v>45998</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18482-2023</t>
        </is>
      </c>
      <c r="B908" s="1" t="n">
        <v>45042</v>
      </c>
      <c r="C908" s="1" t="n">
        <v>45998</v>
      </c>
      <c r="D908" t="inlineStr">
        <is>
          <t>VÄSTMANLANDS LÄN</t>
        </is>
      </c>
      <c r="E908" t="inlineStr">
        <is>
          <t>VÄSTERÅS</t>
        </is>
      </c>
      <c r="G908" t="n">
        <v>2.3</v>
      </c>
      <c r="H908" t="n">
        <v>0</v>
      </c>
      <c r="I908" t="n">
        <v>0</v>
      </c>
      <c r="J908" t="n">
        <v>0</v>
      </c>
      <c r="K908" t="n">
        <v>0</v>
      </c>
      <c r="L908" t="n">
        <v>0</v>
      </c>
      <c r="M908" t="n">
        <v>0</v>
      </c>
      <c r="N908" t="n">
        <v>0</v>
      </c>
      <c r="O908" t="n">
        <v>0</v>
      </c>
      <c r="P908" t="n">
        <v>0</v>
      </c>
      <c r="Q908" t="n">
        <v>0</v>
      </c>
      <c r="R908" s="2" t="inlineStr"/>
    </row>
    <row r="909" ht="15" customHeight="1">
      <c r="A909" t="inlineStr">
        <is>
          <t>A 11771-2025</t>
        </is>
      </c>
      <c r="B909" s="1" t="n">
        <v>45727</v>
      </c>
      <c r="C909" s="1" t="n">
        <v>45998</v>
      </c>
      <c r="D909" t="inlineStr">
        <is>
          <t>VÄSTMANLANDS LÄN</t>
        </is>
      </c>
      <c r="E909" t="inlineStr">
        <is>
          <t>KUNGSÖR</t>
        </is>
      </c>
      <c r="G909" t="n">
        <v>0.9</v>
      </c>
      <c r="H909" t="n">
        <v>0</v>
      </c>
      <c r="I909" t="n">
        <v>0</v>
      </c>
      <c r="J909" t="n">
        <v>0</v>
      </c>
      <c r="K909" t="n">
        <v>0</v>
      </c>
      <c r="L909" t="n">
        <v>0</v>
      </c>
      <c r="M909" t="n">
        <v>0</v>
      </c>
      <c r="N909" t="n">
        <v>0</v>
      </c>
      <c r="O909" t="n">
        <v>0</v>
      </c>
      <c r="P909" t="n">
        <v>0</v>
      </c>
      <c r="Q909" t="n">
        <v>0</v>
      </c>
      <c r="R909" s="2" t="inlineStr"/>
    </row>
    <row r="910" ht="15" customHeight="1">
      <c r="A910" t="inlineStr">
        <is>
          <t>A 8775-2024</t>
        </is>
      </c>
      <c r="B910" s="1" t="n">
        <v>45356</v>
      </c>
      <c r="C910" s="1" t="n">
        <v>45998</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40085-2024</t>
        </is>
      </c>
      <c r="B911" s="1" t="n">
        <v>45554</v>
      </c>
      <c r="C911" s="1" t="n">
        <v>45998</v>
      </c>
      <c r="D911" t="inlineStr">
        <is>
          <t>VÄSTMANLANDS LÄN</t>
        </is>
      </c>
      <c r="E911" t="inlineStr">
        <is>
          <t>SALA</t>
        </is>
      </c>
      <c r="G911" t="n">
        <v>2.8</v>
      </c>
      <c r="H911" t="n">
        <v>0</v>
      </c>
      <c r="I911" t="n">
        <v>0</v>
      </c>
      <c r="J911" t="n">
        <v>0</v>
      </c>
      <c r="K911" t="n">
        <v>0</v>
      </c>
      <c r="L911" t="n">
        <v>0</v>
      </c>
      <c r="M911" t="n">
        <v>0</v>
      </c>
      <c r="N911" t="n">
        <v>0</v>
      </c>
      <c r="O911" t="n">
        <v>0</v>
      </c>
      <c r="P911" t="n">
        <v>0</v>
      </c>
      <c r="Q911" t="n">
        <v>0</v>
      </c>
      <c r="R911" s="2" t="inlineStr"/>
    </row>
    <row r="912" ht="15" customHeight="1">
      <c r="A912" t="inlineStr">
        <is>
          <t>A 38844-2024</t>
        </is>
      </c>
      <c r="B912" s="1" t="n">
        <v>45547</v>
      </c>
      <c r="C912" s="1" t="n">
        <v>45998</v>
      </c>
      <c r="D912" t="inlineStr">
        <is>
          <t>VÄSTMANLANDS LÄN</t>
        </is>
      </c>
      <c r="E912" t="inlineStr">
        <is>
          <t>KÖPING</t>
        </is>
      </c>
      <c r="G912" t="n">
        <v>0.9</v>
      </c>
      <c r="H912" t="n">
        <v>0</v>
      </c>
      <c r="I912" t="n">
        <v>0</v>
      </c>
      <c r="J912" t="n">
        <v>0</v>
      </c>
      <c r="K912" t="n">
        <v>0</v>
      </c>
      <c r="L912" t="n">
        <v>0</v>
      </c>
      <c r="M912" t="n">
        <v>0</v>
      </c>
      <c r="N912" t="n">
        <v>0</v>
      </c>
      <c r="O912" t="n">
        <v>0</v>
      </c>
      <c r="P912" t="n">
        <v>0</v>
      </c>
      <c r="Q912" t="n">
        <v>0</v>
      </c>
      <c r="R912" s="2" t="inlineStr"/>
    </row>
    <row r="913" ht="15" customHeight="1">
      <c r="A913" t="inlineStr">
        <is>
          <t>A 55676-2023</t>
        </is>
      </c>
      <c r="B913" s="1" t="n">
        <v>45232</v>
      </c>
      <c r="C913" s="1" t="n">
        <v>45998</v>
      </c>
      <c r="D913" t="inlineStr">
        <is>
          <t>VÄSTMANLANDS LÄN</t>
        </is>
      </c>
      <c r="E913" t="inlineStr">
        <is>
          <t>VÄSTERÅS</t>
        </is>
      </c>
      <c r="F913" t="inlineStr">
        <is>
          <t>Övriga Aktiebolag</t>
        </is>
      </c>
      <c r="G913" t="n">
        <v>37.9</v>
      </c>
      <c r="H913" t="n">
        <v>0</v>
      </c>
      <c r="I913" t="n">
        <v>0</v>
      </c>
      <c r="J913" t="n">
        <v>0</v>
      </c>
      <c r="K913" t="n">
        <v>0</v>
      </c>
      <c r="L913" t="n">
        <v>0</v>
      </c>
      <c r="M913" t="n">
        <v>0</v>
      </c>
      <c r="N913" t="n">
        <v>0</v>
      </c>
      <c r="O913" t="n">
        <v>0</v>
      </c>
      <c r="P913" t="n">
        <v>0</v>
      </c>
      <c r="Q913" t="n">
        <v>0</v>
      </c>
      <c r="R913" s="2" t="inlineStr"/>
    </row>
    <row r="914" ht="15" customHeight="1">
      <c r="A914" t="inlineStr">
        <is>
          <t>A 36443-2024</t>
        </is>
      </c>
      <c r="B914" s="1" t="n">
        <v>45537.30190972222</v>
      </c>
      <c r="C914" s="1" t="n">
        <v>45998</v>
      </c>
      <c r="D914" t="inlineStr">
        <is>
          <t>VÄSTMANLANDS LÄN</t>
        </is>
      </c>
      <c r="E914" t="inlineStr">
        <is>
          <t>NORBERG</t>
        </is>
      </c>
      <c r="G914" t="n">
        <v>0.8</v>
      </c>
      <c r="H914" t="n">
        <v>0</v>
      </c>
      <c r="I914" t="n">
        <v>0</v>
      </c>
      <c r="J914" t="n">
        <v>0</v>
      </c>
      <c r="K914" t="n">
        <v>0</v>
      </c>
      <c r="L914" t="n">
        <v>0</v>
      </c>
      <c r="M914" t="n">
        <v>0</v>
      </c>
      <c r="N914" t="n">
        <v>0</v>
      </c>
      <c r="O914" t="n">
        <v>0</v>
      </c>
      <c r="P914" t="n">
        <v>0</v>
      </c>
      <c r="Q914" t="n">
        <v>0</v>
      </c>
      <c r="R914" s="2" t="inlineStr"/>
    </row>
    <row r="915" ht="15" customHeight="1">
      <c r="A915" t="inlineStr">
        <is>
          <t>A 36476-2024</t>
        </is>
      </c>
      <c r="B915" s="1" t="n">
        <v>45537.36153935185</v>
      </c>
      <c r="C915" s="1" t="n">
        <v>45998</v>
      </c>
      <c r="D915" t="inlineStr">
        <is>
          <t>VÄSTMANLANDS LÄN</t>
        </is>
      </c>
      <c r="E915" t="inlineStr">
        <is>
          <t>KÖPING</t>
        </is>
      </c>
      <c r="G915" t="n">
        <v>3.4</v>
      </c>
      <c r="H915" t="n">
        <v>0</v>
      </c>
      <c r="I915" t="n">
        <v>0</v>
      </c>
      <c r="J915" t="n">
        <v>0</v>
      </c>
      <c r="K915" t="n">
        <v>0</v>
      </c>
      <c r="L915" t="n">
        <v>0</v>
      </c>
      <c r="M915" t="n">
        <v>0</v>
      </c>
      <c r="N915" t="n">
        <v>0</v>
      </c>
      <c r="O915" t="n">
        <v>0</v>
      </c>
      <c r="P915" t="n">
        <v>0</v>
      </c>
      <c r="Q915" t="n">
        <v>0</v>
      </c>
      <c r="R915" s="2" t="inlineStr"/>
    </row>
    <row r="916" ht="15" customHeight="1">
      <c r="A916" t="inlineStr">
        <is>
          <t>A 29830-2024</t>
        </is>
      </c>
      <c r="B916" s="1" t="n">
        <v>45485.57519675926</v>
      </c>
      <c r="C916" s="1" t="n">
        <v>45998</v>
      </c>
      <c r="D916" t="inlineStr">
        <is>
          <t>VÄSTMANLANDS LÄN</t>
        </is>
      </c>
      <c r="E916" t="inlineStr">
        <is>
          <t>SKINNSKATTEBERG</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58834-2022</t>
        </is>
      </c>
      <c r="B917" s="1" t="n">
        <v>44903.48206018518</v>
      </c>
      <c r="C917" s="1" t="n">
        <v>45998</v>
      </c>
      <c r="D917" t="inlineStr">
        <is>
          <t>VÄSTMANLANDS LÄN</t>
        </is>
      </c>
      <c r="E917" t="inlineStr">
        <is>
          <t>SKINNSKATTEBERG</t>
        </is>
      </c>
      <c r="G917" t="n">
        <v>2.4</v>
      </c>
      <c r="H917" t="n">
        <v>0</v>
      </c>
      <c r="I917" t="n">
        <v>0</v>
      </c>
      <c r="J917" t="n">
        <v>0</v>
      </c>
      <c r="K917" t="n">
        <v>0</v>
      </c>
      <c r="L917" t="n">
        <v>0</v>
      </c>
      <c r="M917" t="n">
        <v>0</v>
      </c>
      <c r="N917" t="n">
        <v>0</v>
      </c>
      <c r="O917" t="n">
        <v>0</v>
      </c>
      <c r="P917" t="n">
        <v>0</v>
      </c>
      <c r="Q917" t="n">
        <v>0</v>
      </c>
      <c r="R917" s="2" t="inlineStr"/>
    </row>
    <row r="918" ht="15" customHeight="1">
      <c r="A918" t="inlineStr">
        <is>
          <t>A 40144-2023</t>
        </is>
      </c>
      <c r="B918" s="1" t="n">
        <v>45169.34836805556</v>
      </c>
      <c r="C918" s="1" t="n">
        <v>45998</v>
      </c>
      <c r="D918" t="inlineStr">
        <is>
          <t>VÄSTMANLANDS LÄN</t>
        </is>
      </c>
      <c r="E918" t="inlineStr">
        <is>
          <t>NORBERG</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40901-2021</t>
        </is>
      </c>
      <c r="B919" s="1" t="n">
        <v>44421.48729166666</v>
      </c>
      <c r="C919" s="1" t="n">
        <v>45998</v>
      </c>
      <c r="D919" t="inlineStr">
        <is>
          <t>VÄSTMANLANDS LÄN</t>
        </is>
      </c>
      <c r="E919" t="inlineStr">
        <is>
          <t>SKINNSKATTEBERG</t>
        </is>
      </c>
      <c r="F919" t="inlineStr">
        <is>
          <t>Sveaskog</t>
        </is>
      </c>
      <c r="G919" t="n">
        <v>2.9</v>
      </c>
      <c r="H919" t="n">
        <v>0</v>
      </c>
      <c r="I919" t="n">
        <v>0</v>
      </c>
      <c r="J919" t="n">
        <v>0</v>
      </c>
      <c r="K919" t="n">
        <v>0</v>
      </c>
      <c r="L919" t="n">
        <v>0</v>
      </c>
      <c r="M919" t="n">
        <v>0</v>
      </c>
      <c r="N919" t="n">
        <v>0</v>
      </c>
      <c r="O919" t="n">
        <v>0</v>
      </c>
      <c r="P919" t="n">
        <v>0</v>
      </c>
      <c r="Q919" t="n">
        <v>0</v>
      </c>
      <c r="R919" s="2" t="inlineStr"/>
    </row>
    <row r="920" ht="15" customHeight="1">
      <c r="A920" t="inlineStr">
        <is>
          <t>A 36761-2024</t>
        </is>
      </c>
      <c r="B920" s="1" t="n">
        <v>45538.36081018519</v>
      </c>
      <c r="C920" s="1" t="n">
        <v>45998</v>
      </c>
      <c r="D920" t="inlineStr">
        <is>
          <t>VÄSTMANLANDS LÄN</t>
        </is>
      </c>
      <c r="E920" t="inlineStr">
        <is>
          <t>SKINNSKATTEBERG</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62095-2022</t>
        </is>
      </c>
      <c r="B921" s="1" t="n">
        <v>44919</v>
      </c>
      <c r="C921" s="1" t="n">
        <v>45998</v>
      </c>
      <c r="D921" t="inlineStr">
        <is>
          <t>VÄSTMANLANDS LÄN</t>
        </is>
      </c>
      <c r="E921" t="inlineStr">
        <is>
          <t>FAGERSTA</t>
        </is>
      </c>
      <c r="G921" t="n">
        <v>2.8</v>
      </c>
      <c r="H921" t="n">
        <v>0</v>
      </c>
      <c r="I921" t="n">
        <v>0</v>
      </c>
      <c r="J921" t="n">
        <v>0</v>
      </c>
      <c r="K921" t="n">
        <v>0</v>
      </c>
      <c r="L921" t="n">
        <v>0</v>
      </c>
      <c r="M921" t="n">
        <v>0</v>
      </c>
      <c r="N921" t="n">
        <v>0</v>
      </c>
      <c r="O921" t="n">
        <v>0</v>
      </c>
      <c r="P921" t="n">
        <v>0</v>
      </c>
      <c r="Q921" t="n">
        <v>0</v>
      </c>
      <c r="R921" s="2" t="inlineStr"/>
    </row>
    <row r="922" ht="15" customHeight="1">
      <c r="A922" t="inlineStr">
        <is>
          <t>A 39835-2024</t>
        </is>
      </c>
      <c r="B922" s="1" t="n">
        <v>45553.41510416667</v>
      </c>
      <c r="C922" s="1" t="n">
        <v>45998</v>
      </c>
      <c r="D922" t="inlineStr">
        <is>
          <t>VÄSTMANLANDS LÄN</t>
        </is>
      </c>
      <c r="E922" t="inlineStr">
        <is>
          <t>NORBERG</t>
        </is>
      </c>
      <c r="F922" t="inlineStr">
        <is>
          <t>Bergvik skog väst AB</t>
        </is>
      </c>
      <c r="G922" t="n">
        <v>9.6</v>
      </c>
      <c r="H922" t="n">
        <v>0</v>
      </c>
      <c r="I922" t="n">
        <v>0</v>
      </c>
      <c r="J922" t="n">
        <v>0</v>
      </c>
      <c r="K922" t="n">
        <v>0</v>
      </c>
      <c r="L922" t="n">
        <v>0</v>
      </c>
      <c r="M922" t="n">
        <v>0</v>
      </c>
      <c r="N922" t="n">
        <v>0</v>
      </c>
      <c r="O922" t="n">
        <v>0</v>
      </c>
      <c r="P922" t="n">
        <v>0</v>
      </c>
      <c r="Q922" t="n">
        <v>0</v>
      </c>
      <c r="R922" s="2" t="inlineStr"/>
    </row>
    <row r="923" ht="15" customHeight="1">
      <c r="A923" t="inlineStr">
        <is>
          <t>A 39011-2023</t>
        </is>
      </c>
      <c r="B923" s="1" t="n">
        <v>45162</v>
      </c>
      <c r="C923" s="1" t="n">
        <v>45998</v>
      </c>
      <c r="D923" t="inlineStr">
        <is>
          <t>VÄSTMANLANDS LÄN</t>
        </is>
      </c>
      <c r="E923" t="inlineStr">
        <is>
          <t>SALA</t>
        </is>
      </c>
      <c r="G923" t="n">
        <v>1.6</v>
      </c>
      <c r="H923" t="n">
        <v>0</v>
      </c>
      <c r="I923" t="n">
        <v>0</v>
      </c>
      <c r="J923" t="n">
        <v>0</v>
      </c>
      <c r="K923" t="n">
        <v>0</v>
      </c>
      <c r="L923" t="n">
        <v>0</v>
      </c>
      <c r="M923" t="n">
        <v>0</v>
      </c>
      <c r="N923" t="n">
        <v>0</v>
      </c>
      <c r="O923" t="n">
        <v>0</v>
      </c>
      <c r="P923" t="n">
        <v>0</v>
      </c>
      <c r="Q923" t="n">
        <v>0</v>
      </c>
      <c r="R923" s="2" t="inlineStr"/>
    </row>
    <row r="924" ht="15" customHeight="1">
      <c r="A924" t="inlineStr">
        <is>
          <t>A 39836-2024</t>
        </is>
      </c>
      <c r="B924" s="1" t="n">
        <v>45553.41850694444</v>
      </c>
      <c r="C924" s="1" t="n">
        <v>45998</v>
      </c>
      <c r="D924" t="inlineStr">
        <is>
          <t>VÄSTMANLANDS LÄN</t>
        </is>
      </c>
      <c r="E924" t="inlineStr">
        <is>
          <t>KÖPING</t>
        </is>
      </c>
      <c r="G924" t="n">
        <v>2.4</v>
      </c>
      <c r="H924" t="n">
        <v>0</v>
      </c>
      <c r="I924" t="n">
        <v>0</v>
      </c>
      <c r="J924" t="n">
        <v>0</v>
      </c>
      <c r="K924" t="n">
        <v>0</v>
      </c>
      <c r="L924" t="n">
        <v>0</v>
      </c>
      <c r="M924" t="n">
        <v>0</v>
      </c>
      <c r="N924" t="n">
        <v>0</v>
      </c>
      <c r="O924" t="n">
        <v>0</v>
      </c>
      <c r="P924" t="n">
        <v>0</v>
      </c>
      <c r="Q924" t="n">
        <v>0</v>
      </c>
      <c r="R924" s="2" t="inlineStr"/>
    </row>
    <row r="925" ht="15" customHeight="1">
      <c r="A925" t="inlineStr">
        <is>
          <t>A 39837-2024</t>
        </is>
      </c>
      <c r="B925" s="1" t="n">
        <v>45553</v>
      </c>
      <c r="C925" s="1" t="n">
        <v>45998</v>
      </c>
      <c r="D925" t="inlineStr">
        <is>
          <t>VÄSTMANLANDS LÄN</t>
        </is>
      </c>
      <c r="E925" t="inlineStr">
        <is>
          <t>NORBERG</t>
        </is>
      </c>
      <c r="F925" t="inlineStr">
        <is>
          <t>Bergvik skog väst AB</t>
        </is>
      </c>
      <c r="G925" t="n">
        <v>1.2</v>
      </c>
      <c r="H925" t="n">
        <v>0</v>
      </c>
      <c r="I925" t="n">
        <v>0</v>
      </c>
      <c r="J925" t="n">
        <v>0</v>
      </c>
      <c r="K925" t="n">
        <v>0</v>
      </c>
      <c r="L925" t="n">
        <v>0</v>
      </c>
      <c r="M925" t="n">
        <v>0</v>
      </c>
      <c r="N925" t="n">
        <v>0</v>
      </c>
      <c r="O925" t="n">
        <v>0</v>
      </c>
      <c r="P925" t="n">
        <v>0</v>
      </c>
      <c r="Q925" t="n">
        <v>0</v>
      </c>
      <c r="R925" s="2" t="inlineStr"/>
    </row>
    <row r="926" ht="15" customHeight="1">
      <c r="A926" t="inlineStr">
        <is>
          <t>A 2868-2023</t>
        </is>
      </c>
      <c r="B926" s="1" t="n">
        <v>44945.43571759259</v>
      </c>
      <c r="C926" s="1" t="n">
        <v>45998</v>
      </c>
      <c r="D926" t="inlineStr">
        <is>
          <t>VÄSTMANLANDS LÄN</t>
        </is>
      </c>
      <c r="E926" t="inlineStr">
        <is>
          <t>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26633-2023</t>
        </is>
      </c>
      <c r="B927" s="1" t="n">
        <v>45092</v>
      </c>
      <c r="C927" s="1" t="n">
        <v>45998</v>
      </c>
      <c r="D927" t="inlineStr">
        <is>
          <t>VÄSTMANLANDS LÄN</t>
        </is>
      </c>
      <c r="E927" t="inlineStr">
        <is>
          <t>ARBOGA</t>
        </is>
      </c>
      <c r="G927" t="n">
        <v>0.8</v>
      </c>
      <c r="H927" t="n">
        <v>0</v>
      </c>
      <c r="I927" t="n">
        <v>0</v>
      </c>
      <c r="J927" t="n">
        <v>0</v>
      </c>
      <c r="K927" t="n">
        <v>0</v>
      </c>
      <c r="L927" t="n">
        <v>0</v>
      </c>
      <c r="M927" t="n">
        <v>0</v>
      </c>
      <c r="N927" t="n">
        <v>0</v>
      </c>
      <c r="O927" t="n">
        <v>0</v>
      </c>
      <c r="P927" t="n">
        <v>0</v>
      </c>
      <c r="Q927" t="n">
        <v>0</v>
      </c>
      <c r="R927" s="2" t="inlineStr"/>
    </row>
    <row r="928" ht="15" customHeight="1">
      <c r="A928" t="inlineStr">
        <is>
          <t>A 40138-2023</t>
        </is>
      </c>
      <c r="B928" s="1" t="n">
        <v>45169.34457175926</v>
      </c>
      <c r="C928" s="1" t="n">
        <v>45998</v>
      </c>
      <c r="D928" t="inlineStr">
        <is>
          <t>VÄSTMANLANDS LÄN</t>
        </is>
      </c>
      <c r="E928" t="inlineStr">
        <is>
          <t>NORBERG</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1594-2023</t>
        </is>
      </c>
      <c r="B929" s="1" t="n">
        <v>44935</v>
      </c>
      <c r="C929" s="1" t="n">
        <v>45998</v>
      </c>
      <c r="D929" t="inlineStr">
        <is>
          <t>VÄSTMANLANDS LÄN</t>
        </is>
      </c>
      <c r="E929" t="inlineStr">
        <is>
          <t>VÄSTERÅS</t>
        </is>
      </c>
      <c r="G929" t="n">
        <v>10.9</v>
      </c>
      <c r="H929" t="n">
        <v>0</v>
      </c>
      <c r="I929" t="n">
        <v>0</v>
      </c>
      <c r="J929" t="n">
        <v>0</v>
      </c>
      <c r="K929" t="n">
        <v>0</v>
      </c>
      <c r="L929" t="n">
        <v>0</v>
      </c>
      <c r="M929" t="n">
        <v>0</v>
      </c>
      <c r="N929" t="n">
        <v>0</v>
      </c>
      <c r="O929" t="n">
        <v>0</v>
      </c>
      <c r="P929" t="n">
        <v>0</v>
      </c>
      <c r="Q929" t="n">
        <v>0</v>
      </c>
      <c r="R929" s="2" t="inlineStr"/>
    </row>
    <row r="930" ht="15" customHeight="1">
      <c r="A930" t="inlineStr">
        <is>
          <t>A 18155-2025</t>
        </is>
      </c>
      <c r="B930" s="1" t="n">
        <v>45761.62292824074</v>
      </c>
      <c r="C930" s="1" t="n">
        <v>45998</v>
      </c>
      <c r="D930" t="inlineStr">
        <is>
          <t>VÄSTMANLANDS LÄN</t>
        </is>
      </c>
      <c r="E930" t="inlineStr">
        <is>
          <t>VÄSTERÅS</t>
        </is>
      </c>
      <c r="G930" t="n">
        <v>4.1</v>
      </c>
      <c r="H930" t="n">
        <v>0</v>
      </c>
      <c r="I930" t="n">
        <v>0</v>
      </c>
      <c r="J930" t="n">
        <v>0</v>
      </c>
      <c r="K930" t="n">
        <v>0</v>
      </c>
      <c r="L930" t="n">
        <v>0</v>
      </c>
      <c r="M930" t="n">
        <v>0</v>
      </c>
      <c r="N930" t="n">
        <v>0</v>
      </c>
      <c r="O930" t="n">
        <v>0</v>
      </c>
      <c r="P930" t="n">
        <v>0</v>
      </c>
      <c r="Q930" t="n">
        <v>0</v>
      </c>
      <c r="R930" s="2" t="inlineStr"/>
    </row>
    <row r="931" ht="15" customHeight="1">
      <c r="A931" t="inlineStr">
        <is>
          <t>A 18158-2025</t>
        </is>
      </c>
      <c r="B931" s="1" t="n">
        <v>45761</v>
      </c>
      <c r="C931" s="1" t="n">
        <v>45998</v>
      </c>
      <c r="D931" t="inlineStr">
        <is>
          <t>VÄSTMANLANDS LÄN</t>
        </is>
      </c>
      <c r="E931" t="inlineStr">
        <is>
          <t>SALA</t>
        </is>
      </c>
      <c r="F931" t="inlineStr">
        <is>
          <t>Bergvik skog öst AB</t>
        </is>
      </c>
      <c r="G931" t="n">
        <v>1.6</v>
      </c>
      <c r="H931" t="n">
        <v>0</v>
      </c>
      <c r="I931" t="n">
        <v>0</v>
      </c>
      <c r="J931" t="n">
        <v>0</v>
      </c>
      <c r="K931" t="n">
        <v>0</v>
      </c>
      <c r="L931" t="n">
        <v>0</v>
      </c>
      <c r="M931" t="n">
        <v>0</v>
      </c>
      <c r="N931" t="n">
        <v>0</v>
      </c>
      <c r="O931" t="n">
        <v>0</v>
      </c>
      <c r="P931" t="n">
        <v>0</v>
      </c>
      <c r="Q931" t="n">
        <v>0</v>
      </c>
      <c r="R931" s="2" t="inlineStr"/>
    </row>
    <row r="932" ht="15" customHeight="1">
      <c r="A932" t="inlineStr">
        <is>
          <t>A 49661-2024</t>
        </is>
      </c>
      <c r="B932" s="1" t="n">
        <v>45596</v>
      </c>
      <c r="C932" s="1" t="n">
        <v>45998</v>
      </c>
      <c r="D932" t="inlineStr">
        <is>
          <t>VÄSTMANLANDS LÄN</t>
        </is>
      </c>
      <c r="E932" t="inlineStr">
        <is>
          <t>SALA</t>
        </is>
      </c>
      <c r="G932" t="n">
        <v>6.7</v>
      </c>
      <c r="H932" t="n">
        <v>0</v>
      </c>
      <c r="I932" t="n">
        <v>0</v>
      </c>
      <c r="J932" t="n">
        <v>0</v>
      </c>
      <c r="K932" t="n">
        <v>0</v>
      </c>
      <c r="L932" t="n">
        <v>0</v>
      </c>
      <c r="M932" t="n">
        <v>0</v>
      </c>
      <c r="N932" t="n">
        <v>0</v>
      </c>
      <c r="O932" t="n">
        <v>0</v>
      </c>
      <c r="P932" t="n">
        <v>0</v>
      </c>
      <c r="Q932" t="n">
        <v>0</v>
      </c>
      <c r="R932" s="2" t="inlineStr"/>
    </row>
    <row r="933" ht="15" customHeight="1">
      <c r="A933" t="inlineStr">
        <is>
          <t>A 54804-2023</t>
        </is>
      </c>
      <c r="B933" s="1" t="n">
        <v>45236.51261574074</v>
      </c>
      <c r="C933" s="1" t="n">
        <v>45998</v>
      </c>
      <c r="D933" t="inlineStr">
        <is>
          <t>VÄSTMANLANDS LÄN</t>
        </is>
      </c>
      <c r="E933" t="inlineStr">
        <is>
          <t>FAGERSTA</t>
        </is>
      </c>
      <c r="G933" t="n">
        <v>4.3</v>
      </c>
      <c r="H933" t="n">
        <v>0</v>
      </c>
      <c r="I933" t="n">
        <v>0</v>
      </c>
      <c r="J933" t="n">
        <v>0</v>
      </c>
      <c r="K933" t="n">
        <v>0</v>
      </c>
      <c r="L933" t="n">
        <v>0</v>
      </c>
      <c r="M933" t="n">
        <v>0</v>
      </c>
      <c r="N933" t="n">
        <v>0</v>
      </c>
      <c r="O933" t="n">
        <v>0</v>
      </c>
      <c r="P933" t="n">
        <v>0</v>
      </c>
      <c r="Q933" t="n">
        <v>0</v>
      </c>
      <c r="R933" s="2" t="inlineStr"/>
    </row>
    <row r="934" ht="15" customHeight="1">
      <c r="A934" t="inlineStr">
        <is>
          <t>A 56547-2022</t>
        </is>
      </c>
      <c r="B934" s="1" t="n">
        <v>44893.48284722222</v>
      </c>
      <c r="C934" s="1" t="n">
        <v>45998</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48261-2022</t>
        </is>
      </c>
      <c r="B935" s="1" t="n">
        <v>44858</v>
      </c>
      <c r="C935" s="1" t="n">
        <v>45998</v>
      </c>
      <c r="D935" t="inlineStr">
        <is>
          <t>VÄSTMANLANDS LÄN</t>
        </is>
      </c>
      <c r="E935" t="inlineStr">
        <is>
          <t>FAGERSTA</t>
        </is>
      </c>
      <c r="G935" t="n">
        <v>1.7</v>
      </c>
      <c r="H935" t="n">
        <v>0</v>
      </c>
      <c r="I935" t="n">
        <v>0</v>
      </c>
      <c r="J935" t="n">
        <v>0</v>
      </c>
      <c r="K935" t="n">
        <v>0</v>
      </c>
      <c r="L935" t="n">
        <v>0</v>
      </c>
      <c r="M935" t="n">
        <v>0</v>
      </c>
      <c r="N935" t="n">
        <v>0</v>
      </c>
      <c r="O935" t="n">
        <v>0</v>
      </c>
      <c r="P935" t="n">
        <v>0</v>
      </c>
      <c r="Q935" t="n">
        <v>0</v>
      </c>
      <c r="R935" s="2" t="inlineStr"/>
    </row>
    <row r="936" ht="15" customHeight="1">
      <c r="A936" t="inlineStr">
        <is>
          <t>A 52199-2022</t>
        </is>
      </c>
      <c r="B936" s="1" t="n">
        <v>44873.55695601852</v>
      </c>
      <c r="C936" s="1" t="n">
        <v>45998</v>
      </c>
      <c r="D936" t="inlineStr">
        <is>
          <t>VÄSTMANLANDS LÄN</t>
        </is>
      </c>
      <c r="E936" t="inlineStr">
        <is>
          <t>VÄSTERÅS</t>
        </is>
      </c>
      <c r="G936" t="n">
        <v>0.5</v>
      </c>
      <c r="H936" t="n">
        <v>0</v>
      </c>
      <c r="I936" t="n">
        <v>0</v>
      </c>
      <c r="J936" t="n">
        <v>0</v>
      </c>
      <c r="K936" t="n">
        <v>0</v>
      </c>
      <c r="L936" t="n">
        <v>0</v>
      </c>
      <c r="M936" t="n">
        <v>0</v>
      </c>
      <c r="N936" t="n">
        <v>0</v>
      </c>
      <c r="O936" t="n">
        <v>0</v>
      </c>
      <c r="P936" t="n">
        <v>0</v>
      </c>
      <c r="Q936" t="n">
        <v>0</v>
      </c>
      <c r="R936" s="2" t="inlineStr"/>
    </row>
    <row r="937" ht="15" customHeight="1">
      <c r="A937" t="inlineStr">
        <is>
          <t>A 44693-2024</t>
        </is>
      </c>
      <c r="B937" s="1" t="n">
        <v>45574</v>
      </c>
      <c r="C937" s="1" t="n">
        <v>45998</v>
      </c>
      <c r="D937" t="inlineStr">
        <is>
          <t>VÄSTMANLANDS LÄN</t>
        </is>
      </c>
      <c r="E937" t="inlineStr">
        <is>
          <t>SKINNSKATTEBERG</t>
        </is>
      </c>
      <c r="G937" t="n">
        <v>2.5</v>
      </c>
      <c r="H937" t="n">
        <v>0</v>
      </c>
      <c r="I937" t="n">
        <v>0</v>
      </c>
      <c r="J937" t="n">
        <v>0</v>
      </c>
      <c r="K937" t="n">
        <v>0</v>
      </c>
      <c r="L937" t="n">
        <v>0</v>
      </c>
      <c r="M937" t="n">
        <v>0</v>
      </c>
      <c r="N937" t="n">
        <v>0</v>
      </c>
      <c r="O937" t="n">
        <v>0</v>
      </c>
      <c r="P937" t="n">
        <v>0</v>
      </c>
      <c r="Q937" t="n">
        <v>0</v>
      </c>
      <c r="R937" s="2" t="inlineStr"/>
    </row>
    <row r="938" ht="15" customHeight="1">
      <c r="A938" t="inlineStr">
        <is>
          <t>A 44694-2024</t>
        </is>
      </c>
      <c r="B938" s="1" t="n">
        <v>45574</v>
      </c>
      <c r="C938" s="1" t="n">
        <v>45998</v>
      </c>
      <c r="D938" t="inlineStr">
        <is>
          <t>VÄSTMANLANDS LÄN</t>
        </is>
      </c>
      <c r="E938" t="inlineStr">
        <is>
          <t>SKINNSKATTEBERG</t>
        </is>
      </c>
      <c r="G938" t="n">
        <v>1.3</v>
      </c>
      <c r="H938" t="n">
        <v>0</v>
      </c>
      <c r="I938" t="n">
        <v>0</v>
      </c>
      <c r="J938" t="n">
        <v>0</v>
      </c>
      <c r="K938" t="n">
        <v>0</v>
      </c>
      <c r="L938" t="n">
        <v>0</v>
      </c>
      <c r="M938" t="n">
        <v>0</v>
      </c>
      <c r="N938" t="n">
        <v>0</v>
      </c>
      <c r="O938" t="n">
        <v>0</v>
      </c>
      <c r="P938" t="n">
        <v>0</v>
      </c>
      <c r="Q938" t="n">
        <v>0</v>
      </c>
      <c r="R938" s="2" t="inlineStr"/>
    </row>
    <row r="939" ht="15" customHeight="1">
      <c r="A939" t="inlineStr">
        <is>
          <t>A 44698-2024</t>
        </is>
      </c>
      <c r="B939" s="1" t="n">
        <v>45574</v>
      </c>
      <c r="C939" s="1" t="n">
        <v>45998</v>
      </c>
      <c r="D939" t="inlineStr">
        <is>
          <t>VÄSTMANLANDS LÄN</t>
        </is>
      </c>
      <c r="E939" t="inlineStr">
        <is>
          <t>SKINNSKATTEBERG</t>
        </is>
      </c>
      <c r="G939" t="n">
        <v>1.3</v>
      </c>
      <c r="H939" t="n">
        <v>0</v>
      </c>
      <c r="I939" t="n">
        <v>0</v>
      </c>
      <c r="J939" t="n">
        <v>0</v>
      </c>
      <c r="K939" t="n">
        <v>0</v>
      </c>
      <c r="L939" t="n">
        <v>0</v>
      </c>
      <c r="M939" t="n">
        <v>0</v>
      </c>
      <c r="N939" t="n">
        <v>0</v>
      </c>
      <c r="O939" t="n">
        <v>0</v>
      </c>
      <c r="P939" t="n">
        <v>0</v>
      </c>
      <c r="Q939" t="n">
        <v>0</v>
      </c>
      <c r="R939" s="2" t="inlineStr"/>
    </row>
    <row r="940" ht="15" customHeight="1">
      <c r="A940" t="inlineStr">
        <is>
          <t>A 45159-2021</t>
        </is>
      </c>
      <c r="B940" s="1" t="n">
        <v>44439</v>
      </c>
      <c r="C940" s="1" t="n">
        <v>45998</v>
      </c>
      <c r="D940" t="inlineStr">
        <is>
          <t>VÄSTMANLANDS LÄN</t>
        </is>
      </c>
      <c r="E940" t="inlineStr">
        <is>
          <t>KUNGSÖR</t>
        </is>
      </c>
      <c r="G940" t="n">
        <v>7.3</v>
      </c>
      <c r="H940" t="n">
        <v>0</v>
      </c>
      <c r="I940" t="n">
        <v>0</v>
      </c>
      <c r="J940" t="n">
        <v>0</v>
      </c>
      <c r="K940" t="n">
        <v>0</v>
      </c>
      <c r="L940" t="n">
        <v>0</v>
      </c>
      <c r="M940" t="n">
        <v>0</v>
      </c>
      <c r="N940" t="n">
        <v>0</v>
      </c>
      <c r="O940" t="n">
        <v>0</v>
      </c>
      <c r="P940" t="n">
        <v>0</v>
      </c>
      <c r="Q940" t="n">
        <v>0</v>
      </c>
      <c r="R940" s="2" t="inlineStr"/>
    </row>
    <row r="941" ht="15" customHeight="1">
      <c r="A941" t="inlineStr">
        <is>
          <t>A 23624-2022</t>
        </is>
      </c>
      <c r="B941" s="1" t="n">
        <v>44721</v>
      </c>
      <c r="C941" s="1" t="n">
        <v>45998</v>
      </c>
      <c r="D941" t="inlineStr">
        <is>
          <t>VÄSTMANLANDS LÄN</t>
        </is>
      </c>
      <c r="E941" t="inlineStr">
        <is>
          <t>KÖPING</t>
        </is>
      </c>
      <c r="G941" t="n">
        <v>14.1</v>
      </c>
      <c r="H941" t="n">
        <v>0</v>
      </c>
      <c r="I941" t="n">
        <v>0</v>
      </c>
      <c r="J941" t="n">
        <v>0</v>
      </c>
      <c r="K941" t="n">
        <v>0</v>
      </c>
      <c r="L941" t="n">
        <v>0</v>
      </c>
      <c r="M941" t="n">
        <v>0</v>
      </c>
      <c r="N941" t="n">
        <v>0</v>
      </c>
      <c r="O941" t="n">
        <v>0</v>
      </c>
      <c r="P941" t="n">
        <v>0</v>
      </c>
      <c r="Q941" t="n">
        <v>0</v>
      </c>
      <c r="R941" s="2" t="inlineStr"/>
    </row>
    <row r="942" ht="15" customHeight="1">
      <c r="A942" t="inlineStr">
        <is>
          <t>A 52764-2022</t>
        </is>
      </c>
      <c r="B942" s="1" t="n">
        <v>44875.32902777778</v>
      </c>
      <c r="C942" s="1" t="n">
        <v>45998</v>
      </c>
      <c r="D942" t="inlineStr">
        <is>
          <t>VÄSTMANLANDS LÄN</t>
        </is>
      </c>
      <c r="E942" t="inlineStr">
        <is>
          <t>VÄSTERÅS</t>
        </is>
      </c>
      <c r="G942" t="n">
        <v>4.2</v>
      </c>
      <c r="H942" t="n">
        <v>0</v>
      </c>
      <c r="I942" t="n">
        <v>0</v>
      </c>
      <c r="J942" t="n">
        <v>0</v>
      </c>
      <c r="K942" t="n">
        <v>0</v>
      </c>
      <c r="L942" t="n">
        <v>0</v>
      </c>
      <c r="M942" t="n">
        <v>0</v>
      </c>
      <c r="N942" t="n">
        <v>0</v>
      </c>
      <c r="O942" t="n">
        <v>0</v>
      </c>
      <c r="P942" t="n">
        <v>0</v>
      </c>
      <c r="Q942" t="n">
        <v>0</v>
      </c>
      <c r="R942" s="2" t="inlineStr"/>
    </row>
    <row r="943" ht="15" customHeight="1">
      <c r="A943" t="inlineStr">
        <is>
          <t>A 52802-2022</t>
        </is>
      </c>
      <c r="B943" s="1" t="n">
        <v>44875</v>
      </c>
      <c r="C943" s="1" t="n">
        <v>45998</v>
      </c>
      <c r="D943" t="inlineStr">
        <is>
          <t>VÄSTMANLANDS LÄN</t>
        </is>
      </c>
      <c r="E943" t="inlineStr">
        <is>
          <t>KUNGSÖR</t>
        </is>
      </c>
      <c r="F943" t="inlineStr">
        <is>
          <t>Allmännings- och besparingsskogar</t>
        </is>
      </c>
      <c r="G943" t="n">
        <v>5.8</v>
      </c>
      <c r="H943" t="n">
        <v>0</v>
      </c>
      <c r="I943" t="n">
        <v>0</v>
      </c>
      <c r="J943" t="n">
        <v>0</v>
      </c>
      <c r="K943" t="n">
        <v>0</v>
      </c>
      <c r="L943" t="n">
        <v>0</v>
      </c>
      <c r="M943" t="n">
        <v>0</v>
      </c>
      <c r="N943" t="n">
        <v>0</v>
      </c>
      <c r="O943" t="n">
        <v>0</v>
      </c>
      <c r="P943" t="n">
        <v>0</v>
      </c>
      <c r="Q943" t="n">
        <v>0</v>
      </c>
      <c r="R943" s="2" t="inlineStr"/>
    </row>
    <row r="944" ht="15" customHeight="1">
      <c r="A944" t="inlineStr">
        <is>
          <t>A 3508-2025</t>
        </is>
      </c>
      <c r="B944" s="1" t="n">
        <v>45680</v>
      </c>
      <c r="C944" s="1" t="n">
        <v>45998</v>
      </c>
      <c r="D944" t="inlineStr">
        <is>
          <t>VÄSTMANLANDS LÄN</t>
        </is>
      </c>
      <c r="E944" t="inlineStr">
        <is>
          <t>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25053-2022</t>
        </is>
      </c>
      <c r="B945" s="1" t="n">
        <v>44729</v>
      </c>
      <c r="C945" s="1" t="n">
        <v>45998</v>
      </c>
      <c r="D945" t="inlineStr">
        <is>
          <t>VÄSTMANLANDS LÄN</t>
        </is>
      </c>
      <c r="E945" t="inlineStr">
        <is>
          <t>FAGERSTA</t>
        </is>
      </c>
      <c r="G945" t="n">
        <v>2.1</v>
      </c>
      <c r="H945" t="n">
        <v>0</v>
      </c>
      <c r="I945" t="n">
        <v>0</v>
      </c>
      <c r="J945" t="n">
        <v>0</v>
      </c>
      <c r="K945" t="n">
        <v>0</v>
      </c>
      <c r="L945" t="n">
        <v>0</v>
      </c>
      <c r="M945" t="n">
        <v>0</v>
      </c>
      <c r="N945" t="n">
        <v>0</v>
      </c>
      <c r="O945" t="n">
        <v>0</v>
      </c>
      <c r="P945" t="n">
        <v>0</v>
      </c>
      <c r="Q945" t="n">
        <v>0</v>
      </c>
      <c r="R945" s="2" t="inlineStr"/>
    </row>
    <row r="946" ht="15" customHeight="1">
      <c r="A946" t="inlineStr">
        <is>
          <t>A 25057-2022</t>
        </is>
      </c>
      <c r="B946" s="1" t="n">
        <v>44729.31541666666</v>
      </c>
      <c r="C946" s="1" t="n">
        <v>45998</v>
      </c>
      <c r="D946" t="inlineStr">
        <is>
          <t>VÄSTMANLANDS LÄN</t>
        </is>
      </c>
      <c r="E946" t="inlineStr">
        <is>
          <t>FAGERSTA</t>
        </is>
      </c>
      <c r="G946" t="n">
        <v>3.1</v>
      </c>
      <c r="H946" t="n">
        <v>0</v>
      </c>
      <c r="I946" t="n">
        <v>0</v>
      </c>
      <c r="J946" t="n">
        <v>0</v>
      </c>
      <c r="K946" t="n">
        <v>0</v>
      </c>
      <c r="L946" t="n">
        <v>0</v>
      </c>
      <c r="M946" t="n">
        <v>0</v>
      </c>
      <c r="N946" t="n">
        <v>0</v>
      </c>
      <c r="O946" t="n">
        <v>0</v>
      </c>
      <c r="P946" t="n">
        <v>0</v>
      </c>
      <c r="Q946" t="n">
        <v>0</v>
      </c>
      <c r="R946" s="2" t="inlineStr"/>
    </row>
    <row r="947" ht="15" customHeight="1">
      <c r="A947" t="inlineStr">
        <is>
          <t>A 30079-2022</t>
        </is>
      </c>
      <c r="B947" s="1" t="n">
        <v>44757.3716087963</v>
      </c>
      <c r="C947" s="1" t="n">
        <v>45998</v>
      </c>
      <c r="D947" t="inlineStr">
        <is>
          <t>VÄSTMANLANDS LÄN</t>
        </is>
      </c>
      <c r="E947" t="inlineStr">
        <is>
          <t>KÖPING</t>
        </is>
      </c>
      <c r="G947" t="n">
        <v>2.3</v>
      </c>
      <c r="H947" t="n">
        <v>0</v>
      </c>
      <c r="I947" t="n">
        <v>0</v>
      </c>
      <c r="J947" t="n">
        <v>0</v>
      </c>
      <c r="K947" t="n">
        <v>0</v>
      </c>
      <c r="L947" t="n">
        <v>0</v>
      </c>
      <c r="M947" t="n">
        <v>0</v>
      </c>
      <c r="N947" t="n">
        <v>0</v>
      </c>
      <c r="O947" t="n">
        <v>0</v>
      </c>
      <c r="P947" t="n">
        <v>0</v>
      </c>
      <c r="Q947" t="n">
        <v>0</v>
      </c>
      <c r="R947" s="2" t="inlineStr"/>
    </row>
    <row r="948" ht="15" customHeight="1">
      <c r="A948" t="inlineStr">
        <is>
          <t>A 69104-2021</t>
        </is>
      </c>
      <c r="B948" s="1" t="n">
        <v>44530</v>
      </c>
      <c r="C948" s="1" t="n">
        <v>45998</v>
      </c>
      <c r="D948" t="inlineStr">
        <is>
          <t>VÄSTMANLANDS LÄN</t>
        </is>
      </c>
      <c r="E948" t="inlineStr">
        <is>
          <t>FAGERSTA</t>
        </is>
      </c>
      <c r="F948" t="inlineStr">
        <is>
          <t>Kommuner</t>
        </is>
      </c>
      <c r="G948" t="n">
        <v>3.2</v>
      </c>
      <c r="H948" t="n">
        <v>0</v>
      </c>
      <c r="I948" t="n">
        <v>0</v>
      </c>
      <c r="J948" t="n">
        <v>0</v>
      </c>
      <c r="K948" t="n">
        <v>0</v>
      </c>
      <c r="L948" t="n">
        <v>0</v>
      </c>
      <c r="M948" t="n">
        <v>0</v>
      </c>
      <c r="N948" t="n">
        <v>0</v>
      </c>
      <c r="O948" t="n">
        <v>0</v>
      </c>
      <c r="P948" t="n">
        <v>0</v>
      </c>
      <c r="Q948" t="n">
        <v>0</v>
      </c>
      <c r="R948" s="2" t="inlineStr"/>
    </row>
    <row r="949" ht="15" customHeight="1">
      <c r="A949" t="inlineStr">
        <is>
          <t>A 68174-2021</t>
        </is>
      </c>
      <c r="B949" s="1" t="n">
        <v>44526</v>
      </c>
      <c r="C949" s="1" t="n">
        <v>45998</v>
      </c>
      <c r="D949" t="inlineStr">
        <is>
          <t>VÄSTMANLANDS LÄN</t>
        </is>
      </c>
      <c r="E949" t="inlineStr">
        <is>
          <t>FAGERSTA</t>
        </is>
      </c>
      <c r="F949" t="inlineStr">
        <is>
          <t>Kyrkan</t>
        </is>
      </c>
      <c r="G949" t="n">
        <v>0.9</v>
      </c>
      <c r="H949" t="n">
        <v>0</v>
      </c>
      <c r="I949" t="n">
        <v>0</v>
      </c>
      <c r="J949" t="n">
        <v>0</v>
      </c>
      <c r="K949" t="n">
        <v>0</v>
      </c>
      <c r="L949" t="n">
        <v>0</v>
      </c>
      <c r="M949" t="n">
        <v>0</v>
      </c>
      <c r="N949" t="n">
        <v>0</v>
      </c>
      <c r="O949" t="n">
        <v>0</v>
      </c>
      <c r="P949" t="n">
        <v>0</v>
      </c>
      <c r="Q949" t="n">
        <v>0</v>
      </c>
      <c r="R949" s="2" t="inlineStr"/>
    </row>
    <row r="950" ht="15" customHeight="1">
      <c r="A950" t="inlineStr">
        <is>
          <t>A 17991-2022</t>
        </is>
      </c>
      <c r="B950" s="1" t="n">
        <v>44683.85064814815</v>
      </c>
      <c r="C950" s="1" t="n">
        <v>45998</v>
      </c>
      <c r="D950" t="inlineStr">
        <is>
          <t>VÄSTMANLANDS LÄN</t>
        </is>
      </c>
      <c r="E950" t="inlineStr">
        <is>
          <t>VÄSTERÅS</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38906-2022</t>
        </is>
      </c>
      <c r="B951" s="1" t="n">
        <v>44816.60269675926</v>
      </c>
      <c r="C951" s="1" t="n">
        <v>45998</v>
      </c>
      <c r="D951" t="inlineStr">
        <is>
          <t>VÄSTMANLANDS LÄN</t>
        </is>
      </c>
      <c r="E951" t="inlineStr">
        <is>
          <t>NORBERG</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18162-2025</t>
        </is>
      </c>
      <c r="B952" s="1" t="n">
        <v>45761</v>
      </c>
      <c r="C952" s="1" t="n">
        <v>45998</v>
      </c>
      <c r="D952" t="inlineStr">
        <is>
          <t>VÄSTMANLANDS LÄN</t>
        </is>
      </c>
      <c r="E952" t="inlineStr">
        <is>
          <t>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62635-2022</t>
        </is>
      </c>
      <c r="B953" s="1" t="n">
        <v>44917</v>
      </c>
      <c r="C953" s="1" t="n">
        <v>45998</v>
      </c>
      <c r="D953" t="inlineStr">
        <is>
          <t>VÄSTMANLANDS LÄN</t>
        </is>
      </c>
      <c r="E953" t="inlineStr">
        <is>
          <t>SALA</t>
        </is>
      </c>
      <c r="G953" t="n">
        <v>0.4</v>
      </c>
      <c r="H953" t="n">
        <v>0</v>
      </c>
      <c r="I953" t="n">
        <v>0</v>
      </c>
      <c r="J953" t="n">
        <v>0</v>
      </c>
      <c r="K953" t="n">
        <v>0</v>
      </c>
      <c r="L953" t="n">
        <v>0</v>
      </c>
      <c r="M953" t="n">
        <v>0</v>
      </c>
      <c r="N953" t="n">
        <v>0</v>
      </c>
      <c r="O953" t="n">
        <v>0</v>
      </c>
      <c r="P953" t="n">
        <v>0</v>
      </c>
      <c r="Q953" t="n">
        <v>0</v>
      </c>
      <c r="R953" s="2" t="inlineStr"/>
    </row>
    <row r="954" ht="15" customHeight="1">
      <c r="A954" t="inlineStr">
        <is>
          <t>A 29573-2022</t>
        </is>
      </c>
      <c r="B954" s="1" t="n">
        <v>44754</v>
      </c>
      <c r="C954" s="1" t="n">
        <v>45998</v>
      </c>
      <c r="D954" t="inlineStr">
        <is>
          <t>VÄSTMANLANDS LÄN</t>
        </is>
      </c>
      <c r="E954" t="inlineStr">
        <is>
          <t>ARBOGA</t>
        </is>
      </c>
      <c r="F954" t="inlineStr">
        <is>
          <t>Kyrkan</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41555-2022</t>
        </is>
      </c>
      <c r="B955" s="1" t="n">
        <v>44826</v>
      </c>
      <c r="C955" s="1" t="n">
        <v>45998</v>
      </c>
      <c r="D955" t="inlineStr">
        <is>
          <t>VÄSTMANLANDS LÄN</t>
        </is>
      </c>
      <c r="E955" t="inlineStr">
        <is>
          <t>SURAHAMMAR</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8199-2023</t>
        </is>
      </c>
      <c r="B956" s="1" t="n">
        <v>44974</v>
      </c>
      <c r="C956" s="1" t="n">
        <v>45998</v>
      </c>
      <c r="D956" t="inlineStr">
        <is>
          <t>VÄSTMANLANDS LÄN</t>
        </is>
      </c>
      <c r="E956" t="inlineStr">
        <is>
          <t>SKINNSKATTEBERG</t>
        </is>
      </c>
      <c r="F956" t="inlineStr">
        <is>
          <t>Kyrkan</t>
        </is>
      </c>
      <c r="G956" t="n">
        <v>1.2</v>
      </c>
      <c r="H956" t="n">
        <v>0</v>
      </c>
      <c r="I956" t="n">
        <v>0</v>
      </c>
      <c r="J956" t="n">
        <v>0</v>
      </c>
      <c r="K956" t="n">
        <v>0</v>
      </c>
      <c r="L956" t="n">
        <v>0</v>
      </c>
      <c r="M956" t="n">
        <v>0</v>
      </c>
      <c r="N956" t="n">
        <v>0</v>
      </c>
      <c r="O956" t="n">
        <v>0</v>
      </c>
      <c r="P956" t="n">
        <v>0</v>
      </c>
      <c r="Q956" t="n">
        <v>0</v>
      </c>
      <c r="R956" s="2" t="inlineStr"/>
    </row>
    <row r="957" ht="15" customHeight="1">
      <c r="A957" t="inlineStr">
        <is>
          <t>A 12566-2025</t>
        </is>
      </c>
      <c r="B957" s="1" t="n">
        <v>45731.64170138889</v>
      </c>
      <c r="C957" s="1" t="n">
        <v>45998</v>
      </c>
      <c r="D957" t="inlineStr">
        <is>
          <t>VÄSTMANLANDS LÄN</t>
        </is>
      </c>
      <c r="E957" t="inlineStr">
        <is>
          <t>ARBOGA</t>
        </is>
      </c>
      <c r="G957" t="n">
        <v>7.5</v>
      </c>
      <c r="H957" t="n">
        <v>0</v>
      </c>
      <c r="I957" t="n">
        <v>0</v>
      </c>
      <c r="J957" t="n">
        <v>0</v>
      </c>
      <c r="K957" t="n">
        <v>0</v>
      </c>
      <c r="L957" t="n">
        <v>0</v>
      </c>
      <c r="M957" t="n">
        <v>0</v>
      </c>
      <c r="N957" t="n">
        <v>0</v>
      </c>
      <c r="O957" t="n">
        <v>0</v>
      </c>
      <c r="P957" t="n">
        <v>0</v>
      </c>
      <c r="Q957" t="n">
        <v>0</v>
      </c>
      <c r="R957" s="2" t="inlineStr"/>
    </row>
    <row r="958" ht="15" customHeight="1">
      <c r="A958" t="inlineStr">
        <is>
          <t>A 70642-2021</t>
        </is>
      </c>
      <c r="B958" s="1" t="n">
        <v>44537</v>
      </c>
      <c r="C958" s="1" t="n">
        <v>45998</v>
      </c>
      <c r="D958" t="inlineStr">
        <is>
          <t>VÄSTMANLANDS LÄN</t>
        </is>
      </c>
      <c r="E958" t="inlineStr">
        <is>
          <t>VÄSTERÅS</t>
        </is>
      </c>
      <c r="G958" t="n">
        <v>2.6</v>
      </c>
      <c r="H958" t="n">
        <v>0</v>
      </c>
      <c r="I958" t="n">
        <v>0</v>
      </c>
      <c r="J958" t="n">
        <v>0</v>
      </c>
      <c r="K958" t="n">
        <v>0</v>
      </c>
      <c r="L958" t="n">
        <v>0</v>
      </c>
      <c r="M958" t="n">
        <v>0</v>
      </c>
      <c r="N958" t="n">
        <v>0</v>
      </c>
      <c r="O958" t="n">
        <v>0</v>
      </c>
      <c r="P958" t="n">
        <v>0</v>
      </c>
      <c r="Q958" t="n">
        <v>0</v>
      </c>
      <c r="R958" s="2" t="inlineStr"/>
    </row>
    <row r="959" ht="15" customHeight="1">
      <c r="A959" t="inlineStr">
        <is>
          <t>A 19304-2025</t>
        </is>
      </c>
      <c r="B959" s="1" t="n">
        <v>45769</v>
      </c>
      <c r="C959" s="1" t="n">
        <v>45998</v>
      </c>
      <c r="D959" t="inlineStr">
        <is>
          <t>VÄSTMANLANDS LÄN</t>
        </is>
      </c>
      <c r="E959" t="inlineStr">
        <is>
          <t>SALA</t>
        </is>
      </c>
      <c r="F959" t="inlineStr">
        <is>
          <t>Bergvik skog öst AB</t>
        </is>
      </c>
      <c r="G959" t="n">
        <v>1.3</v>
      </c>
      <c r="H959" t="n">
        <v>0</v>
      </c>
      <c r="I959" t="n">
        <v>0</v>
      </c>
      <c r="J959" t="n">
        <v>0</v>
      </c>
      <c r="K959" t="n">
        <v>0</v>
      </c>
      <c r="L959" t="n">
        <v>0</v>
      </c>
      <c r="M959" t="n">
        <v>0</v>
      </c>
      <c r="N959" t="n">
        <v>0</v>
      </c>
      <c r="O959" t="n">
        <v>0</v>
      </c>
      <c r="P959" t="n">
        <v>0</v>
      </c>
      <c r="Q959" t="n">
        <v>0</v>
      </c>
      <c r="R959" s="2" t="inlineStr"/>
    </row>
    <row r="960" ht="15" customHeight="1">
      <c r="A960" t="inlineStr">
        <is>
          <t>A 61394-2023</t>
        </is>
      </c>
      <c r="B960" s="1" t="n">
        <v>45264.64980324074</v>
      </c>
      <c r="C960" s="1" t="n">
        <v>45998</v>
      </c>
      <c r="D960" t="inlineStr">
        <is>
          <t>VÄSTMANLANDS LÄN</t>
        </is>
      </c>
      <c r="E960" t="inlineStr">
        <is>
          <t>ARBOGA</t>
        </is>
      </c>
      <c r="G960" t="n">
        <v>0.7</v>
      </c>
      <c r="H960" t="n">
        <v>0</v>
      </c>
      <c r="I960" t="n">
        <v>0</v>
      </c>
      <c r="J960" t="n">
        <v>0</v>
      </c>
      <c r="K960" t="n">
        <v>0</v>
      </c>
      <c r="L960" t="n">
        <v>0</v>
      </c>
      <c r="M960" t="n">
        <v>0</v>
      </c>
      <c r="N960" t="n">
        <v>0</v>
      </c>
      <c r="O960" t="n">
        <v>0</v>
      </c>
      <c r="P960" t="n">
        <v>0</v>
      </c>
      <c r="Q960" t="n">
        <v>0</v>
      </c>
      <c r="R960" s="2" t="inlineStr"/>
    </row>
    <row r="961" ht="15" customHeight="1">
      <c r="A961" t="inlineStr">
        <is>
          <t>A 65829-2020</t>
        </is>
      </c>
      <c r="B961" s="1" t="n">
        <v>44172</v>
      </c>
      <c r="C961" s="1" t="n">
        <v>45998</v>
      </c>
      <c r="D961" t="inlineStr">
        <is>
          <t>VÄSTMANLANDS LÄN</t>
        </is>
      </c>
      <c r="E961" t="inlineStr">
        <is>
          <t>FAGERSTA</t>
        </is>
      </c>
      <c r="G961" t="n">
        <v>2.5</v>
      </c>
      <c r="H961" t="n">
        <v>0</v>
      </c>
      <c r="I961" t="n">
        <v>0</v>
      </c>
      <c r="J961" t="n">
        <v>0</v>
      </c>
      <c r="K961" t="n">
        <v>0</v>
      </c>
      <c r="L961" t="n">
        <v>0</v>
      </c>
      <c r="M961" t="n">
        <v>0</v>
      </c>
      <c r="N961" t="n">
        <v>0</v>
      </c>
      <c r="O961" t="n">
        <v>0</v>
      </c>
      <c r="P961" t="n">
        <v>0</v>
      </c>
      <c r="Q961" t="n">
        <v>0</v>
      </c>
      <c r="R961" s="2" t="inlineStr"/>
    </row>
    <row r="962" ht="15" customHeight="1">
      <c r="A962" t="inlineStr">
        <is>
          <t>A 22323-2024</t>
        </is>
      </c>
      <c r="B962" s="1" t="n">
        <v>45446</v>
      </c>
      <c r="C962" s="1" t="n">
        <v>45998</v>
      </c>
      <c r="D962" t="inlineStr">
        <is>
          <t>VÄSTMANLANDS LÄN</t>
        </is>
      </c>
      <c r="E962" t="inlineStr">
        <is>
          <t>FAGERSTA</t>
        </is>
      </c>
      <c r="G962" t="n">
        <v>0.7</v>
      </c>
      <c r="H962" t="n">
        <v>0</v>
      </c>
      <c r="I962" t="n">
        <v>0</v>
      </c>
      <c r="J962" t="n">
        <v>0</v>
      </c>
      <c r="K962" t="n">
        <v>0</v>
      </c>
      <c r="L962" t="n">
        <v>0</v>
      </c>
      <c r="M962" t="n">
        <v>0</v>
      </c>
      <c r="N962" t="n">
        <v>0</v>
      </c>
      <c r="O962" t="n">
        <v>0</v>
      </c>
      <c r="P962" t="n">
        <v>0</v>
      </c>
      <c r="Q962" t="n">
        <v>0</v>
      </c>
      <c r="R962" s="2" t="inlineStr"/>
    </row>
    <row r="963" ht="15" customHeight="1">
      <c r="A963" t="inlineStr">
        <is>
          <t>A 35519-2024</t>
        </is>
      </c>
      <c r="B963" s="1" t="n">
        <v>45531</v>
      </c>
      <c r="C963" s="1" t="n">
        <v>45998</v>
      </c>
      <c r="D963" t="inlineStr">
        <is>
          <t>VÄSTMANLANDS LÄN</t>
        </is>
      </c>
      <c r="E963" t="inlineStr">
        <is>
          <t>SALA</t>
        </is>
      </c>
      <c r="G963" t="n">
        <v>1.8</v>
      </c>
      <c r="H963" t="n">
        <v>0</v>
      </c>
      <c r="I963" t="n">
        <v>0</v>
      </c>
      <c r="J963" t="n">
        <v>0</v>
      </c>
      <c r="K963" t="n">
        <v>0</v>
      </c>
      <c r="L963" t="n">
        <v>0</v>
      </c>
      <c r="M963" t="n">
        <v>0</v>
      </c>
      <c r="N963" t="n">
        <v>0</v>
      </c>
      <c r="O963" t="n">
        <v>0</v>
      </c>
      <c r="P963" t="n">
        <v>0</v>
      </c>
      <c r="Q963" t="n">
        <v>0</v>
      </c>
      <c r="R963" s="2" t="inlineStr"/>
    </row>
    <row r="964" ht="15" customHeight="1">
      <c r="A964" t="inlineStr">
        <is>
          <t>A 40140-2023</t>
        </is>
      </c>
      <c r="B964" s="1" t="n">
        <v>45169</v>
      </c>
      <c r="C964" s="1" t="n">
        <v>45998</v>
      </c>
      <c r="D964" t="inlineStr">
        <is>
          <t>VÄSTMANLANDS LÄN</t>
        </is>
      </c>
      <c r="E964" t="inlineStr">
        <is>
          <t>NORBERG</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56057-2023</t>
        </is>
      </c>
      <c r="B965" s="1" t="n">
        <v>45233</v>
      </c>
      <c r="C965" s="1" t="n">
        <v>45998</v>
      </c>
      <c r="D965" t="inlineStr">
        <is>
          <t>VÄSTMANLANDS LÄN</t>
        </is>
      </c>
      <c r="E965" t="inlineStr">
        <is>
          <t>SALA</t>
        </is>
      </c>
      <c r="G965" t="n">
        <v>0.6</v>
      </c>
      <c r="H965" t="n">
        <v>0</v>
      </c>
      <c r="I965" t="n">
        <v>0</v>
      </c>
      <c r="J965" t="n">
        <v>0</v>
      </c>
      <c r="K965" t="n">
        <v>0</v>
      </c>
      <c r="L965" t="n">
        <v>0</v>
      </c>
      <c r="M965" t="n">
        <v>0</v>
      </c>
      <c r="N965" t="n">
        <v>0</v>
      </c>
      <c r="O965" t="n">
        <v>0</v>
      </c>
      <c r="P965" t="n">
        <v>0</v>
      </c>
      <c r="Q965" t="n">
        <v>0</v>
      </c>
      <c r="R965" s="2" t="inlineStr"/>
    </row>
    <row r="966" ht="15" customHeight="1">
      <c r="A966" t="inlineStr">
        <is>
          <t>A 63561-2021</t>
        </is>
      </c>
      <c r="B966" s="1" t="n">
        <v>44508.71445601852</v>
      </c>
      <c r="C966" s="1" t="n">
        <v>45998</v>
      </c>
      <c r="D966" t="inlineStr">
        <is>
          <t>VÄSTMANLANDS LÄN</t>
        </is>
      </c>
      <c r="E966" t="inlineStr">
        <is>
          <t>KÖPING</t>
        </is>
      </c>
      <c r="G966" t="n">
        <v>3.3</v>
      </c>
      <c r="H966" t="n">
        <v>0</v>
      </c>
      <c r="I966" t="n">
        <v>0</v>
      </c>
      <c r="J966" t="n">
        <v>0</v>
      </c>
      <c r="K966" t="n">
        <v>0</v>
      </c>
      <c r="L966" t="n">
        <v>0</v>
      </c>
      <c r="M966" t="n">
        <v>0</v>
      </c>
      <c r="N966" t="n">
        <v>0</v>
      </c>
      <c r="O966" t="n">
        <v>0</v>
      </c>
      <c r="P966" t="n">
        <v>0</v>
      </c>
      <c r="Q966" t="n">
        <v>0</v>
      </c>
      <c r="R966" s="2" t="inlineStr"/>
    </row>
    <row r="967" ht="15" customHeight="1">
      <c r="A967" t="inlineStr">
        <is>
          <t>A 23386-2023</t>
        </is>
      </c>
      <c r="B967" s="1" t="n">
        <v>45076</v>
      </c>
      <c r="C967" s="1" t="n">
        <v>45998</v>
      </c>
      <c r="D967" t="inlineStr">
        <is>
          <t>VÄSTMANLANDS LÄN</t>
        </is>
      </c>
      <c r="E967" t="inlineStr">
        <is>
          <t>KÖPING</t>
        </is>
      </c>
      <c r="G967" t="n">
        <v>0.9</v>
      </c>
      <c r="H967" t="n">
        <v>0</v>
      </c>
      <c r="I967" t="n">
        <v>0</v>
      </c>
      <c r="J967" t="n">
        <v>0</v>
      </c>
      <c r="K967" t="n">
        <v>0</v>
      </c>
      <c r="L967" t="n">
        <v>0</v>
      </c>
      <c r="M967" t="n">
        <v>0</v>
      </c>
      <c r="N967" t="n">
        <v>0</v>
      </c>
      <c r="O967" t="n">
        <v>0</v>
      </c>
      <c r="P967" t="n">
        <v>0</v>
      </c>
      <c r="Q967" t="n">
        <v>0</v>
      </c>
      <c r="R967" s="2" t="inlineStr"/>
    </row>
    <row r="968" ht="15" customHeight="1">
      <c r="A968" t="inlineStr">
        <is>
          <t>A 52809-2022</t>
        </is>
      </c>
      <c r="B968" s="1" t="n">
        <v>44875</v>
      </c>
      <c r="C968" s="1" t="n">
        <v>45998</v>
      </c>
      <c r="D968" t="inlineStr">
        <is>
          <t>VÄSTMANLANDS LÄN</t>
        </is>
      </c>
      <c r="E968" t="inlineStr">
        <is>
          <t>KUNGSÖR</t>
        </is>
      </c>
      <c r="F968" t="inlineStr">
        <is>
          <t>Allmännings- och besparingsskogar</t>
        </is>
      </c>
      <c r="G968" t="n">
        <v>2.5</v>
      </c>
      <c r="H968" t="n">
        <v>0</v>
      </c>
      <c r="I968" t="n">
        <v>0</v>
      </c>
      <c r="J968" t="n">
        <v>0</v>
      </c>
      <c r="K968" t="n">
        <v>0</v>
      </c>
      <c r="L968" t="n">
        <v>0</v>
      </c>
      <c r="M968" t="n">
        <v>0</v>
      </c>
      <c r="N968" t="n">
        <v>0</v>
      </c>
      <c r="O968" t="n">
        <v>0</v>
      </c>
      <c r="P968" t="n">
        <v>0</v>
      </c>
      <c r="Q968" t="n">
        <v>0</v>
      </c>
      <c r="R968" s="2" t="inlineStr"/>
    </row>
    <row r="969" ht="15" customHeight="1">
      <c r="A969" t="inlineStr">
        <is>
          <t>A 13614-2022</t>
        </is>
      </c>
      <c r="B969" s="1" t="n">
        <v>44648.55094907407</v>
      </c>
      <c r="C969" s="1" t="n">
        <v>45998</v>
      </c>
      <c r="D969" t="inlineStr">
        <is>
          <t>VÄSTMANLANDS LÄN</t>
        </is>
      </c>
      <c r="E969" t="inlineStr">
        <is>
          <t>VÄSTERÅS</t>
        </is>
      </c>
      <c r="G969" t="n">
        <v>1.4</v>
      </c>
      <c r="H969" t="n">
        <v>0</v>
      </c>
      <c r="I969" t="n">
        <v>0</v>
      </c>
      <c r="J969" t="n">
        <v>0</v>
      </c>
      <c r="K969" t="n">
        <v>0</v>
      </c>
      <c r="L969" t="n">
        <v>0</v>
      </c>
      <c r="M969" t="n">
        <v>0</v>
      </c>
      <c r="N969" t="n">
        <v>0</v>
      </c>
      <c r="O969" t="n">
        <v>0</v>
      </c>
      <c r="P969" t="n">
        <v>0</v>
      </c>
      <c r="Q969" t="n">
        <v>0</v>
      </c>
      <c r="R969" s="2" t="inlineStr"/>
    </row>
    <row r="970" ht="15" customHeight="1">
      <c r="A970" t="inlineStr">
        <is>
          <t>A 18673-2022</t>
        </is>
      </c>
      <c r="B970" s="1" t="n">
        <v>44687.55239583334</v>
      </c>
      <c r="C970" s="1" t="n">
        <v>45998</v>
      </c>
      <c r="D970" t="inlineStr">
        <is>
          <t>VÄSTMANLANDS LÄN</t>
        </is>
      </c>
      <c r="E970" t="inlineStr">
        <is>
          <t>NORBERG</t>
        </is>
      </c>
      <c r="G970" t="n">
        <v>6.6</v>
      </c>
      <c r="H970" t="n">
        <v>0</v>
      </c>
      <c r="I970" t="n">
        <v>0</v>
      </c>
      <c r="J970" t="n">
        <v>0</v>
      </c>
      <c r="K970" t="n">
        <v>0</v>
      </c>
      <c r="L970" t="n">
        <v>0</v>
      </c>
      <c r="M970" t="n">
        <v>0</v>
      </c>
      <c r="N970" t="n">
        <v>0</v>
      </c>
      <c r="O970" t="n">
        <v>0</v>
      </c>
      <c r="P970" t="n">
        <v>0</v>
      </c>
      <c r="Q970" t="n">
        <v>0</v>
      </c>
      <c r="R970" s="2" t="inlineStr"/>
    </row>
    <row r="971" ht="15" customHeight="1">
      <c r="A971" t="inlineStr">
        <is>
          <t>A 40551-2024</t>
        </is>
      </c>
      <c r="B971" s="1" t="n">
        <v>45555</v>
      </c>
      <c r="C971" s="1" t="n">
        <v>45998</v>
      </c>
      <c r="D971" t="inlineStr">
        <is>
          <t>VÄSTMANLANDS LÄN</t>
        </is>
      </c>
      <c r="E971" t="inlineStr">
        <is>
          <t>SKINNSKATTEBERG</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40554-2024</t>
        </is>
      </c>
      <c r="B972" s="1" t="n">
        <v>45555</v>
      </c>
      <c r="C972" s="1" t="n">
        <v>45998</v>
      </c>
      <c r="D972" t="inlineStr">
        <is>
          <t>VÄSTMANLANDS LÄN</t>
        </is>
      </c>
      <c r="E972" t="inlineStr">
        <is>
          <t>SKINNSKATTEBERG</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53030-2023</t>
        </is>
      </c>
      <c r="B973" s="1" t="n">
        <v>45226</v>
      </c>
      <c r="C973" s="1" t="n">
        <v>45998</v>
      </c>
      <c r="D973" t="inlineStr">
        <is>
          <t>VÄSTMANLANDS LÄN</t>
        </is>
      </c>
      <c r="E973" t="inlineStr">
        <is>
          <t>NORBERG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53629-2023</t>
        </is>
      </c>
      <c r="B974" s="1" t="n">
        <v>45230.59002314815</v>
      </c>
      <c r="C974" s="1" t="n">
        <v>45998</v>
      </c>
      <c r="D974" t="inlineStr">
        <is>
          <t>VÄSTMANLANDS LÄN</t>
        </is>
      </c>
      <c r="E974" t="inlineStr">
        <is>
          <t>ARBOGA</t>
        </is>
      </c>
      <c r="G974" t="n">
        <v>3.1</v>
      </c>
      <c r="H974" t="n">
        <v>0</v>
      </c>
      <c r="I974" t="n">
        <v>0</v>
      </c>
      <c r="J974" t="n">
        <v>0</v>
      </c>
      <c r="K974" t="n">
        <v>0</v>
      </c>
      <c r="L974" t="n">
        <v>0</v>
      </c>
      <c r="M974" t="n">
        <v>0</v>
      </c>
      <c r="N974" t="n">
        <v>0</v>
      </c>
      <c r="O974" t="n">
        <v>0</v>
      </c>
      <c r="P974" t="n">
        <v>0</v>
      </c>
      <c r="Q974" t="n">
        <v>0</v>
      </c>
      <c r="R974" s="2" t="inlineStr"/>
    </row>
    <row r="975" ht="15" customHeight="1">
      <c r="A975" t="inlineStr">
        <is>
          <t>A 15711-2022</t>
        </is>
      </c>
      <c r="B975" s="1" t="n">
        <v>44663</v>
      </c>
      <c r="C975" s="1" t="n">
        <v>45998</v>
      </c>
      <c r="D975" t="inlineStr">
        <is>
          <t>VÄSTMANLANDS LÄN</t>
        </is>
      </c>
      <c r="E975" t="inlineStr">
        <is>
          <t>ARBOGA</t>
        </is>
      </c>
      <c r="G975" t="n">
        <v>0.6</v>
      </c>
      <c r="H975" t="n">
        <v>0</v>
      </c>
      <c r="I975" t="n">
        <v>0</v>
      </c>
      <c r="J975" t="n">
        <v>0</v>
      </c>
      <c r="K975" t="n">
        <v>0</v>
      </c>
      <c r="L975" t="n">
        <v>0</v>
      </c>
      <c r="M975" t="n">
        <v>0</v>
      </c>
      <c r="N975" t="n">
        <v>0</v>
      </c>
      <c r="O975" t="n">
        <v>0</v>
      </c>
      <c r="P975" t="n">
        <v>0</v>
      </c>
      <c r="Q975" t="n">
        <v>0</v>
      </c>
      <c r="R975" s="2" t="inlineStr"/>
    </row>
    <row r="976" ht="15" customHeight="1">
      <c r="A976" t="inlineStr">
        <is>
          <t>A 23656-2023</t>
        </is>
      </c>
      <c r="B976" s="1" t="n">
        <v>45077.56179398148</v>
      </c>
      <c r="C976" s="1" t="n">
        <v>45998</v>
      </c>
      <c r="D976" t="inlineStr">
        <is>
          <t>VÄSTMANLANDS LÄN</t>
        </is>
      </c>
      <c r="E976" t="inlineStr">
        <is>
          <t>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23658-2023</t>
        </is>
      </c>
      <c r="B977" s="1" t="n">
        <v>45077.56442129629</v>
      </c>
      <c r="C977" s="1" t="n">
        <v>45998</v>
      </c>
      <c r="D977" t="inlineStr">
        <is>
          <t>VÄSTMANLANDS LÄN</t>
        </is>
      </c>
      <c r="E977" t="inlineStr">
        <is>
          <t>KÖPING</t>
        </is>
      </c>
      <c r="G977" t="n">
        <v>1.4</v>
      </c>
      <c r="H977" t="n">
        <v>0</v>
      </c>
      <c r="I977" t="n">
        <v>0</v>
      </c>
      <c r="J977" t="n">
        <v>0</v>
      </c>
      <c r="K977" t="n">
        <v>0</v>
      </c>
      <c r="L977" t="n">
        <v>0</v>
      </c>
      <c r="M977" t="n">
        <v>0</v>
      </c>
      <c r="N977" t="n">
        <v>0</v>
      </c>
      <c r="O977" t="n">
        <v>0</v>
      </c>
      <c r="P977" t="n">
        <v>0</v>
      </c>
      <c r="Q977" t="n">
        <v>0</v>
      </c>
      <c r="R977" s="2" t="inlineStr"/>
    </row>
    <row r="978" ht="15" customHeight="1">
      <c r="A978" t="inlineStr">
        <is>
          <t>A 12526-2025</t>
        </is>
      </c>
      <c r="B978" s="1" t="n">
        <v>45730.68177083333</v>
      </c>
      <c r="C978" s="1" t="n">
        <v>45998</v>
      </c>
      <c r="D978" t="inlineStr">
        <is>
          <t>VÄSTMANLANDS LÄN</t>
        </is>
      </c>
      <c r="E978" t="inlineStr">
        <is>
          <t>NORBERG</t>
        </is>
      </c>
      <c r="G978" t="n">
        <v>4.6</v>
      </c>
      <c r="H978" t="n">
        <v>0</v>
      </c>
      <c r="I978" t="n">
        <v>0</v>
      </c>
      <c r="J978" t="n">
        <v>0</v>
      </c>
      <c r="K978" t="n">
        <v>0</v>
      </c>
      <c r="L978" t="n">
        <v>0</v>
      </c>
      <c r="M978" t="n">
        <v>0</v>
      </c>
      <c r="N978" t="n">
        <v>0</v>
      </c>
      <c r="O978" t="n">
        <v>0</v>
      </c>
      <c r="P978" t="n">
        <v>0</v>
      </c>
      <c r="Q978" t="n">
        <v>0</v>
      </c>
      <c r="R978" s="2" t="inlineStr"/>
    </row>
    <row r="979" ht="15" customHeight="1">
      <c r="A979" t="inlineStr">
        <is>
          <t>A 54347-2024</t>
        </is>
      </c>
      <c r="B979" s="1" t="n">
        <v>45617.39325231482</v>
      </c>
      <c r="C979" s="1" t="n">
        <v>45998</v>
      </c>
      <c r="D979" t="inlineStr">
        <is>
          <t>VÄSTMANLANDS LÄN</t>
        </is>
      </c>
      <c r="E979" t="inlineStr">
        <is>
          <t>SALA</t>
        </is>
      </c>
      <c r="G979" t="n">
        <v>2</v>
      </c>
      <c r="H979" t="n">
        <v>0</v>
      </c>
      <c r="I979" t="n">
        <v>0</v>
      </c>
      <c r="J979" t="n">
        <v>0</v>
      </c>
      <c r="K979" t="n">
        <v>0</v>
      </c>
      <c r="L979" t="n">
        <v>0</v>
      </c>
      <c r="M979" t="n">
        <v>0</v>
      </c>
      <c r="N979" t="n">
        <v>0</v>
      </c>
      <c r="O979" t="n">
        <v>0</v>
      </c>
      <c r="P979" t="n">
        <v>0</v>
      </c>
      <c r="Q979" t="n">
        <v>0</v>
      </c>
      <c r="R979" s="2" t="inlineStr"/>
    </row>
    <row r="980" ht="15" customHeight="1">
      <c r="A980" t="inlineStr">
        <is>
          <t>A 47610-2022</t>
        </is>
      </c>
      <c r="B980" s="1" t="n">
        <v>44852</v>
      </c>
      <c r="C980" s="1" t="n">
        <v>45998</v>
      </c>
      <c r="D980" t="inlineStr">
        <is>
          <t>VÄSTMANLANDS LÄN</t>
        </is>
      </c>
      <c r="E980" t="inlineStr">
        <is>
          <t>NORBERG</t>
        </is>
      </c>
      <c r="G980" t="n">
        <v>1.1</v>
      </c>
      <c r="H980" t="n">
        <v>0</v>
      </c>
      <c r="I980" t="n">
        <v>0</v>
      </c>
      <c r="J980" t="n">
        <v>0</v>
      </c>
      <c r="K980" t="n">
        <v>0</v>
      </c>
      <c r="L980" t="n">
        <v>0</v>
      </c>
      <c r="M980" t="n">
        <v>0</v>
      </c>
      <c r="N980" t="n">
        <v>0</v>
      </c>
      <c r="O980" t="n">
        <v>0</v>
      </c>
      <c r="P980" t="n">
        <v>0</v>
      </c>
      <c r="Q980" t="n">
        <v>0</v>
      </c>
      <c r="R980" s="2" t="inlineStr"/>
    </row>
    <row r="981" ht="15" customHeight="1">
      <c r="A981" t="inlineStr">
        <is>
          <t>A 59765-2023</t>
        </is>
      </c>
      <c r="B981" s="1" t="n">
        <v>45257</v>
      </c>
      <c r="C981" s="1" t="n">
        <v>45998</v>
      </c>
      <c r="D981" t="inlineStr">
        <is>
          <t>VÄSTMANLANDS LÄN</t>
        </is>
      </c>
      <c r="E981" t="inlineStr">
        <is>
          <t>VÄSTERÅS</t>
        </is>
      </c>
      <c r="G981" t="n">
        <v>0.8</v>
      </c>
      <c r="H981" t="n">
        <v>0</v>
      </c>
      <c r="I981" t="n">
        <v>0</v>
      </c>
      <c r="J981" t="n">
        <v>0</v>
      </c>
      <c r="K981" t="n">
        <v>0</v>
      </c>
      <c r="L981" t="n">
        <v>0</v>
      </c>
      <c r="M981" t="n">
        <v>0</v>
      </c>
      <c r="N981" t="n">
        <v>0</v>
      </c>
      <c r="O981" t="n">
        <v>0</v>
      </c>
      <c r="P981" t="n">
        <v>0</v>
      </c>
      <c r="Q981" t="n">
        <v>0</v>
      </c>
      <c r="R981" s="2" t="inlineStr"/>
    </row>
    <row r="982" ht="15" customHeight="1">
      <c r="A982" t="inlineStr">
        <is>
          <t>A 13022-2023</t>
        </is>
      </c>
      <c r="B982" s="1" t="n">
        <v>45002.33291666667</v>
      </c>
      <c r="C982" s="1" t="n">
        <v>45998</v>
      </c>
      <c r="D982" t="inlineStr">
        <is>
          <t>VÄSTMANLANDS LÄN</t>
        </is>
      </c>
      <c r="E982" t="inlineStr">
        <is>
          <t>SALA</t>
        </is>
      </c>
      <c r="G982" t="n">
        <v>1.5</v>
      </c>
      <c r="H982" t="n">
        <v>0</v>
      </c>
      <c r="I982" t="n">
        <v>0</v>
      </c>
      <c r="J982" t="n">
        <v>0</v>
      </c>
      <c r="K982" t="n">
        <v>0</v>
      </c>
      <c r="L982" t="n">
        <v>0</v>
      </c>
      <c r="M982" t="n">
        <v>0</v>
      </c>
      <c r="N982" t="n">
        <v>0</v>
      </c>
      <c r="O982" t="n">
        <v>0</v>
      </c>
      <c r="P982" t="n">
        <v>0</v>
      </c>
      <c r="Q982" t="n">
        <v>0</v>
      </c>
      <c r="R982" s="2" t="inlineStr"/>
    </row>
    <row r="983" ht="15" customHeight="1">
      <c r="A983" t="inlineStr">
        <is>
          <t>A 45066-2023</t>
        </is>
      </c>
      <c r="B983" s="1" t="n">
        <v>45191</v>
      </c>
      <c r="C983" s="1" t="n">
        <v>45998</v>
      </c>
      <c r="D983" t="inlineStr">
        <is>
          <t>VÄSTMANLANDS LÄN</t>
        </is>
      </c>
      <c r="E983" t="inlineStr">
        <is>
          <t>NORBERG</t>
        </is>
      </c>
      <c r="F983" t="inlineStr">
        <is>
          <t>Bergvik skog väst AB</t>
        </is>
      </c>
      <c r="G983" t="n">
        <v>3.7</v>
      </c>
      <c r="H983" t="n">
        <v>0</v>
      </c>
      <c r="I983" t="n">
        <v>0</v>
      </c>
      <c r="J983" t="n">
        <v>0</v>
      </c>
      <c r="K983" t="n">
        <v>0</v>
      </c>
      <c r="L983" t="n">
        <v>0</v>
      </c>
      <c r="M983" t="n">
        <v>0</v>
      </c>
      <c r="N983" t="n">
        <v>0</v>
      </c>
      <c r="O983" t="n">
        <v>0</v>
      </c>
      <c r="P983" t="n">
        <v>0</v>
      </c>
      <c r="Q983" t="n">
        <v>0</v>
      </c>
      <c r="R983" s="2" t="inlineStr"/>
    </row>
    <row r="984" ht="15" customHeight="1">
      <c r="A984" t="inlineStr">
        <is>
          <t>A 58231-2022</t>
        </is>
      </c>
      <c r="B984" s="1" t="n">
        <v>44901.38724537037</v>
      </c>
      <c r="C984" s="1" t="n">
        <v>45998</v>
      </c>
      <c r="D984" t="inlineStr">
        <is>
          <t>VÄSTMANLANDS LÄN</t>
        </is>
      </c>
      <c r="E984" t="inlineStr">
        <is>
          <t>VÄSTERÅS</t>
        </is>
      </c>
      <c r="G984" t="n">
        <v>1</v>
      </c>
      <c r="H984" t="n">
        <v>0</v>
      </c>
      <c r="I984" t="n">
        <v>0</v>
      </c>
      <c r="J984" t="n">
        <v>0</v>
      </c>
      <c r="K984" t="n">
        <v>0</v>
      </c>
      <c r="L984" t="n">
        <v>0</v>
      </c>
      <c r="M984" t="n">
        <v>0</v>
      </c>
      <c r="N984" t="n">
        <v>0</v>
      </c>
      <c r="O984" t="n">
        <v>0</v>
      </c>
      <c r="P984" t="n">
        <v>0</v>
      </c>
      <c r="Q984" t="n">
        <v>0</v>
      </c>
      <c r="R984" s="2" t="inlineStr"/>
    </row>
    <row r="985" ht="15" customHeight="1">
      <c r="A985" t="inlineStr">
        <is>
          <t>A 35003-2024</t>
        </is>
      </c>
      <c r="B985" s="1" t="n">
        <v>45527.56790509259</v>
      </c>
      <c r="C985" s="1" t="n">
        <v>45998</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46116-2022</t>
        </is>
      </c>
      <c r="B986" s="1" t="n">
        <v>44847.42292824074</v>
      </c>
      <c r="C986" s="1" t="n">
        <v>45998</v>
      </c>
      <c r="D986" t="inlineStr">
        <is>
          <t>VÄSTMANLANDS LÄN</t>
        </is>
      </c>
      <c r="E986" t="inlineStr">
        <is>
          <t>VÄSTERÅS</t>
        </is>
      </c>
      <c r="G986" t="n">
        <v>1.4</v>
      </c>
      <c r="H986" t="n">
        <v>0</v>
      </c>
      <c r="I986" t="n">
        <v>0</v>
      </c>
      <c r="J986" t="n">
        <v>0</v>
      </c>
      <c r="K986" t="n">
        <v>0</v>
      </c>
      <c r="L986" t="n">
        <v>0</v>
      </c>
      <c r="M986" t="n">
        <v>0</v>
      </c>
      <c r="N986" t="n">
        <v>0</v>
      </c>
      <c r="O986" t="n">
        <v>0</v>
      </c>
      <c r="P986" t="n">
        <v>0</v>
      </c>
      <c r="Q986" t="n">
        <v>0</v>
      </c>
      <c r="R986" s="2" t="inlineStr"/>
    </row>
    <row r="987" ht="15" customHeight="1">
      <c r="A987" t="inlineStr">
        <is>
          <t>A 38329-2021</t>
        </is>
      </c>
      <c r="B987" s="1" t="n">
        <v>44405</v>
      </c>
      <c r="C987" s="1" t="n">
        <v>45998</v>
      </c>
      <c r="D987" t="inlineStr">
        <is>
          <t>VÄSTMANLANDS LÄN</t>
        </is>
      </c>
      <c r="E987" t="inlineStr">
        <is>
          <t>VÄSTERÅS</t>
        </is>
      </c>
      <c r="G987" t="n">
        <v>3.4</v>
      </c>
      <c r="H987" t="n">
        <v>0</v>
      </c>
      <c r="I987" t="n">
        <v>0</v>
      </c>
      <c r="J987" t="n">
        <v>0</v>
      </c>
      <c r="K987" t="n">
        <v>0</v>
      </c>
      <c r="L987" t="n">
        <v>0</v>
      </c>
      <c r="M987" t="n">
        <v>0</v>
      </c>
      <c r="N987" t="n">
        <v>0</v>
      </c>
      <c r="O987" t="n">
        <v>0</v>
      </c>
      <c r="P987" t="n">
        <v>0</v>
      </c>
      <c r="Q987" t="n">
        <v>0</v>
      </c>
      <c r="R987" s="2" t="inlineStr"/>
    </row>
    <row r="988" ht="15" customHeight="1">
      <c r="A988" t="inlineStr">
        <is>
          <t>A 33396-2023</t>
        </is>
      </c>
      <c r="B988" s="1" t="n">
        <v>45128</v>
      </c>
      <c r="C988" s="1" t="n">
        <v>45998</v>
      </c>
      <c r="D988" t="inlineStr">
        <is>
          <t>VÄSTMANLANDS LÄN</t>
        </is>
      </c>
      <c r="E988" t="inlineStr">
        <is>
          <t>SKINNSKATTEBERG</t>
        </is>
      </c>
      <c r="G988" t="n">
        <v>1.5</v>
      </c>
      <c r="H988" t="n">
        <v>0</v>
      </c>
      <c r="I988" t="n">
        <v>0</v>
      </c>
      <c r="J988" t="n">
        <v>0</v>
      </c>
      <c r="K988" t="n">
        <v>0</v>
      </c>
      <c r="L988" t="n">
        <v>0</v>
      </c>
      <c r="M988" t="n">
        <v>0</v>
      </c>
      <c r="N988" t="n">
        <v>0</v>
      </c>
      <c r="O988" t="n">
        <v>0</v>
      </c>
      <c r="P988" t="n">
        <v>0</v>
      </c>
      <c r="Q988" t="n">
        <v>0</v>
      </c>
      <c r="R988" s="2" t="inlineStr"/>
    </row>
    <row r="989" ht="15" customHeight="1">
      <c r="A989" t="inlineStr">
        <is>
          <t>A 55024-2023</t>
        </is>
      </c>
      <c r="B989" s="1" t="n">
        <v>45229</v>
      </c>
      <c r="C989" s="1" t="n">
        <v>45998</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55032-2023</t>
        </is>
      </c>
      <c r="B990" s="1" t="n">
        <v>45229</v>
      </c>
      <c r="C990" s="1" t="n">
        <v>45998</v>
      </c>
      <c r="D990" t="inlineStr">
        <is>
          <t>VÄSTMANLANDS LÄN</t>
        </is>
      </c>
      <c r="E990" t="inlineStr">
        <is>
          <t>SALA</t>
        </is>
      </c>
      <c r="G990" t="n">
        <v>1.5</v>
      </c>
      <c r="H990" t="n">
        <v>0</v>
      </c>
      <c r="I990" t="n">
        <v>0</v>
      </c>
      <c r="J990" t="n">
        <v>0</v>
      </c>
      <c r="K990" t="n">
        <v>0</v>
      </c>
      <c r="L990" t="n">
        <v>0</v>
      </c>
      <c r="M990" t="n">
        <v>0</v>
      </c>
      <c r="N990" t="n">
        <v>0</v>
      </c>
      <c r="O990" t="n">
        <v>0</v>
      </c>
      <c r="P990" t="n">
        <v>0</v>
      </c>
      <c r="Q990" t="n">
        <v>0</v>
      </c>
      <c r="R990" s="2" t="inlineStr"/>
    </row>
    <row r="991" ht="15" customHeight="1">
      <c r="A991" t="inlineStr">
        <is>
          <t>A 25540-2023</t>
        </is>
      </c>
      <c r="B991" s="1" t="n">
        <v>45089.5619212963</v>
      </c>
      <c r="C991" s="1" t="n">
        <v>45998</v>
      </c>
      <c r="D991" t="inlineStr">
        <is>
          <t>VÄSTMANLANDS LÄN</t>
        </is>
      </c>
      <c r="E991" t="inlineStr">
        <is>
          <t>NORBERG</t>
        </is>
      </c>
      <c r="G991" t="n">
        <v>2.3</v>
      </c>
      <c r="H991" t="n">
        <v>0</v>
      </c>
      <c r="I991" t="n">
        <v>0</v>
      </c>
      <c r="J991" t="n">
        <v>0</v>
      </c>
      <c r="K991" t="n">
        <v>0</v>
      </c>
      <c r="L991" t="n">
        <v>0</v>
      </c>
      <c r="M991" t="n">
        <v>0</v>
      </c>
      <c r="N991" t="n">
        <v>0</v>
      </c>
      <c r="O991" t="n">
        <v>0</v>
      </c>
      <c r="P991" t="n">
        <v>0</v>
      </c>
      <c r="Q991" t="n">
        <v>0</v>
      </c>
      <c r="R991" s="2" t="inlineStr"/>
    </row>
    <row r="992" ht="15" customHeight="1">
      <c r="A992" t="inlineStr">
        <is>
          <t>A 55003-2022</t>
        </is>
      </c>
      <c r="B992" s="1" t="n">
        <v>44886.51076388889</v>
      </c>
      <c r="C992" s="1" t="n">
        <v>45998</v>
      </c>
      <c r="D992" t="inlineStr">
        <is>
          <t>VÄSTMANLANDS LÄN</t>
        </is>
      </c>
      <c r="E992" t="inlineStr">
        <is>
          <t>KUNGSÖR</t>
        </is>
      </c>
      <c r="G992" t="n">
        <v>6.6</v>
      </c>
      <c r="H992" t="n">
        <v>0</v>
      </c>
      <c r="I992" t="n">
        <v>0</v>
      </c>
      <c r="J992" t="n">
        <v>0</v>
      </c>
      <c r="K992" t="n">
        <v>0</v>
      </c>
      <c r="L992" t="n">
        <v>0</v>
      </c>
      <c r="M992" t="n">
        <v>0</v>
      </c>
      <c r="N992" t="n">
        <v>0</v>
      </c>
      <c r="O992" t="n">
        <v>0</v>
      </c>
      <c r="P992" t="n">
        <v>0</v>
      </c>
      <c r="Q992" t="n">
        <v>0</v>
      </c>
      <c r="R992" s="2" t="inlineStr"/>
    </row>
    <row r="993" ht="15" customHeight="1">
      <c r="A993" t="inlineStr">
        <is>
          <t>A 29248-2022</t>
        </is>
      </c>
      <c r="B993" s="1" t="n">
        <v>44750</v>
      </c>
      <c r="C993" s="1" t="n">
        <v>45998</v>
      </c>
      <c r="D993" t="inlineStr">
        <is>
          <t>VÄSTMANLANDS LÄN</t>
        </is>
      </c>
      <c r="E993" t="inlineStr">
        <is>
          <t>SALA</t>
        </is>
      </c>
      <c r="G993" t="n">
        <v>1.6</v>
      </c>
      <c r="H993" t="n">
        <v>0</v>
      </c>
      <c r="I993" t="n">
        <v>0</v>
      </c>
      <c r="J993" t="n">
        <v>0</v>
      </c>
      <c r="K993" t="n">
        <v>0</v>
      </c>
      <c r="L993" t="n">
        <v>0</v>
      </c>
      <c r="M993" t="n">
        <v>0</v>
      </c>
      <c r="N993" t="n">
        <v>0</v>
      </c>
      <c r="O993" t="n">
        <v>0</v>
      </c>
      <c r="P993" t="n">
        <v>0</v>
      </c>
      <c r="Q993" t="n">
        <v>0</v>
      </c>
      <c r="R993" s="2" t="inlineStr"/>
    </row>
    <row r="994" ht="15" customHeight="1">
      <c r="A994" t="inlineStr">
        <is>
          <t>A 59175-2022</t>
        </is>
      </c>
      <c r="B994" s="1" t="n">
        <v>44904.48502314815</v>
      </c>
      <c r="C994" s="1" t="n">
        <v>45998</v>
      </c>
      <c r="D994" t="inlineStr">
        <is>
          <t>VÄSTMANLANDS LÄN</t>
        </is>
      </c>
      <c r="E994" t="inlineStr">
        <is>
          <t>SALA</t>
        </is>
      </c>
      <c r="G994" t="n">
        <v>2.1</v>
      </c>
      <c r="H994" t="n">
        <v>0</v>
      </c>
      <c r="I994" t="n">
        <v>0</v>
      </c>
      <c r="J994" t="n">
        <v>0</v>
      </c>
      <c r="K994" t="n">
        <v>0</v>
      </c>
      <c r="L994" t="n">
        <v>0</v>
      </c>
      <c r="M994" t="n">
        <v>0</v>
      </c>
      <c r="N994" t="n">
        <v>0</v>
      </c>
      <c r="O994" t="n">
        <v>0</v>
      </c>
      <c r="P994" t="n">
        <v>0</v>
      </c>
      <c r="Q994" t="n">
        <v>0</v>
      </c>
      <c r="R994" s="2" t="inlineStr"/>
    </row>
    <row r="995" ht="15" customHeight="1">
      <c r="A995" t="inlineStr">
        <is>
          <t>A 39451-2022</t>
        </is>
      </c>
      <c r="B995" s="1" t="n">
        <v>44818.36606481481</v>
      </c>
      <c r="C995" s="1" t="n">
        <v>45998</v>
      </c>
      <c r="D995" t="inlineStr">
        <is>
          <t>VÄSTMANLANDS LÄN</t>
        </is>
      </c>
      <c r="E995" t="inlineStr">
        <is>
          <t>SALA</t>
        </is>
      </c>
      <c r="G995" t="n">
        <v>9.4</v>
      </c>
      <c r="H995" t="n">
        <v>0</v>
      </c>
      <c r="I995" t="n">
        <v>0</v>
      </c>
      <c r="J995" t="n">
        <v>0</v>
      </c>
      <c r="K995" t="n">
        <v>0</v>
      </c>
      <c r="L995" t="n">
        <v>0</v>
      </c>
      <c r="M995" t="n">
        <v>0</v>
      </c>
      <c r="N995" t="n">
        <v>0</v>
      </c>
      <c r="O995" t="n">
        <v>0</v>
      </c>
      <c r="P995" t="n">
        <v>0</v>
      </c>
      <c r="Q995" t="n">
        <v>0</v>
      </c>
      <c r="R995" s="2" t="inlineStr"/>
    </row>
    <row r="996" ht="15" customHeight="1">
      <c r="A996" t="inlineStr">
        <is>
          <t>A 66307-2021</t>
        </is>
      </c>
      <c r="B996" s="1" t="n">
        <v>44518.48670138889</v>
      </c>
      <c r="C996" s="1" t="n">
        <v>45998</v>
      </c>
      <c r="D996" t="inlineStr">
        <is>
          <t>VÄSTMANLANDS LÄN</t>
        </is>
      </c>
      <c r="E996" t="inlineStr">
        <is>
          <t>SALA</t>
        </is>
      </c>
      <c r="G996" t="n">
        <v>0.7</v>
      </c>
      <c r="H996" t="n">
        <v>0</v>
      </c>
      <c r="I996" t="n">
        <v>0</v>
      </c>
      <c r="J996" t="n">
        <v>0</v>
      </c>
      <c r="K996" t="n">
        <v>0</v>
      </c>
      <c r="L996" t="n">
        <v>0</v>
      </c>
      <c r="M996" t="n">
        <v>0</v>
      </c>
      <c r="N996" t="n">
        <v>0</v>
      </c>
      <c r="O996" t="n">
        <v>0</v>
      </c>
      <c r="P996" t="n">
        <v>0</v>
      </c>
      <c r="Q996" t="n">
        <v>0</v>
      </c>
      <c r="R996" s="2" t="inlineStr"/>
    </row>
    <row r="997" ht="15" customHeight="1">
      <c r="A997" t="inlineStr">
        <is>
          <t>A 6030-2024</t>
        </is>
      </c>
      <c r="B997" s="1" t="n">
        <v>45336.62782407407</v>
      </c>
      <c r="C997" s="1" t="n">
        <v>45998</v>
      </c>
      <c r="D997" t="inlineStr">
        <is>
          <t>VÄSTMANLANDS LÄN</t>
        </is>
      </c>
      <c r="E997" t="inlineStr">
        <is>
          <t>SALA</t>
        </is>
      </c>
      <c r="G997" t="n">
        <v>3.9</v>
      </c>
      <c r="H997" t="n">
        <v>0</v>
      </c>
      <c r="I997" t="n">
        <v>0</v>
      </c>
      <c r="J997" t="n">
        <v>0</v>
      </c>
      <c r="K997" t="n">
        <v>0</v>
      </c>
      <c r="L997" t="n">
        <v>0</v>
      </c>
      <c r="M997" t="n">
        <v>0</v>
      </c>
      <c r="N997" t="n">
        <v>0</v>
      </c>
      <c r="O997" t="n">
        <v>0</v>
      </c>
      <c r="P997" t="n">
        <v>0</v>
      </c>
      <c r="Q997" t="n">
        <v>0</v>
      </c>
      <c r="R997" s="2" t="inlineStr"/>
    </row>
    <row r="998" ht="15" customHeight="1">
      <c r="A998" t="inlineStr">
        <is>
          <t>A 72463-2021</t>
        </is>
      </c>
      <c r="B998" s="1" t="n">
        <v>44545</v>
      </c>
      <c r="C998" s="1" t="n">
        <v>45998</v>
      </c>
      <c r="D998" t="inlineStr">
        <is>
          <t>VÄSTMANLANDS LÄN</t>
        </is>
      </c>
      <c r="E998" t="inlineStr">
        <is>
          <t>KÖPING</t>
        </is>
      </c>
      <c r="G998" t="n">
        <v>1.9</v>
      </c>
      <c r="H998" t="n">
        <v>0</v>
      </c>
      <c r="I998" t="n">
        <v>0</v>
      </c>
      <c r="J998" t="n">
        <v>0</v>
      </c>
      <c r="K998" t="n">
        <v>0</v>
      </c>
      <c r="L998" t="n">
        <v>0</v>
      </c>
      <c r="M998" t="n">
        <v>0</v>
      </c>
      <c r="N998" t="n">
        <v>0</v>
      </c>
      <c r="O998" t="n">
        <v>0</v>
      </c>
      <c r="P998" t="n">
        <v>0</v>
      </c>
      <c r="Q998" t="n">
        <v>0</v>
      </c>
      <c r="R998" s="2" t="inlineStr"/>
    </row>
    <row r="999" ht="15" customHeight="1">
      <c r="A999" t="inlineStr">
        <is>
          <t>A 19254-2023</t>
        </is>
      </c>
      <c r="B999" s="1" t="n">
        <v>45049</v>
      </c>
      <c r="C999" s="1" t="n">
        <v>45998</v>
      </c>
      <c r="D999" t="inlineStr">
        <is>
          <t>VÄSTMANLANDS LÄN</t>
        </is>
      </c>
      <c r="E999" t="inlineStr">
        <is>
          <t>NORBERG</t>
        </is>
      </c>
      <c r="G999" t="n">
        <v>2.7</v>
      </c>
      <c r="H999" t="n">
        <v>0</v>
      </c>
      <c r="I999" t="n">
        <v>0</v>
      </c>
      <c r="J999" t="n">
        <v>0</v>
      </c>
      <c r="K999" t="n">
        <v>0</v>
      </c>
      <c r="L999" t="n">
        <v>0</v>
      </c>
      <c r="M999" t="n">
        <v>0</v>
      </c>
      <c r="N999" t="n">
        <v>0</v>
      </c>
      <c r="O999" t="n">
        <v>0</v>
      </c>
      <c r="P999" t="n">
        <v>0</v>
      </c>
      <c r="Q999" t="n">
        <v>0</v>
      </c>
      <c r="R999" s="2" t="inlineStr"/>
    </row>
    <row r="1000" ht="15" customHeight="1">
      <c r="A1000" t="inlineStr">
        <is>
          <t>A 50045-2021</t>
        </is>
      </c>
      <c r="B1000" s="1" t="n">
        <v>44456</v>
      </c>
      <c r="C1000" s="1" t="n">
        <v>45998</v>
      </c>
      <c r="D1000" t="inlineStr">
        <is>
          <t>VÄSTMANLANDS LÄN</t>
        </is>
      </c>
      <c r="E1000" t="inlineStr">
        <is>
          <t>KÖPING</t>
        </is>
      </c>
      <c r="F1000" t="inlineStr">
        <is>
          <t>Allmännings- och besparingsskogar</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26761-2023</t>
        </is>
      </c>
      <c r="B1001" s="1" t="n">
        <v>45093</v>
      </c>
      <c r="C1001" s="1" t="n">
        <v>45998</v>
      </c>
      <c r="D1001" t="inlineStr">
        <is>
          <t>VÄSTMANLANDS LÄN</t>
        </is>
      </c>
      <c r="E1001" t="inlineStr">
        <is>
          <t>SALA</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17708-2025</t>
        </is>
      </c>
      <c r="B1002" s="1" t="n">
        <v>45758.43435185185</v>
      </c>
      <c r="C1002" s="1" t="n">
        <v>45998</v>
      </c>
      <c r="D1002" t="inlineStr">
        <is>
          <t>VÄSTMANLANDS LÄN</t>
        </is>
      </c>
      <c r="E1002" t="inlineStr">
        <is>
          <t>ARBOGA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61892-2021</t>
        </is>
      </c>
      <c r="B1003" s="1" t="n">
        <v>44502</v>
      </c>
      <c r="C1003" s="1" t="n">
        <v>45998</v>
      </c>
      <c r="D1003" t="inlineStr">
        <is>
          <t>VÄSTMANLANDS LÄN</t>
        </is>
      </c>
      <c r="E1003" t="inlineStr">
        <is>
          <t>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15569-2025</t>
        </is>
      </c>
      <c r="B1004" s="1" t="n">
        <v>45747</v>
      </c>
      <c r="C1004" s="1" t="n">
        <v>45998</v>
      </c>
      <c r="D1004" t="inlineStr">
        <is>
          <t>VÄSTMANLANDS LÄN</t>
        </is>
      </c>
      <c r="E1004" t="inlineStr">
        <is>
          <t>ARBOGA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49884-2024</t>
        </is>
      </c>
      <c r="B1005" s="1" t="n">
        <v>45597</v>
      </c>
      <c r="C1005" s="1" t="n">
        <v>45998</v>
      </c>
      <c r="D1005" t="inlineStr">
        <is>
          <t>VÄSTMANLANDS LÄN</t>
        </is>
      </c>
      <c r="E1005" t="inlineStr">
        <is>
          <t>SKINNSKATTEBERG</t>
        </is>
      </c>
      <c r="F1005" t="inlineStr">
        <is>
          <t>Sveaskog</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61300-2023</t>
        </is>
      </c>
      <c r="B1006" s="1" t="n">
        <v>45264</v>
      </c>
      <c r="C1006" s="1" t="n">
        <v>45998</v>
      </c>
      <c r="D1006" t="inlineStr">
        <is>
          <t>VÄSTMANLANDS LÄN</t>
        </is>
      </c>
      <c r="E1006" t="inlineStr">
        <is>
          <t>ARBOGA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61322-2023</t>
        </is>
      </c>
      <c r="B1007" s="1" t="n">
        <v>45264.57892361111</v>
      </c>
      <c r="C1007" s="1" t="n">
        <v>45998</v>
      </c>
      <c r="D1007" t="inlineStr">
        <is>
          <t>VÄSTMANLANDS LÄN</t>
        </is>
      </c>
      <c r="E1007" t="inlineStr">
        <is>
          <t>KÖPING</t>
        </is>
      </c>
      <c r="G1007" t="n">
        <v>17.5</v>
      </c>
      <c r="H1007" t="n">
        <v>0</v>
      </c>
      <c r="I1007" t="n">
        <v>0</v>
      </c>
      <c r="J1007" t="n">
        <v>0</v>
      </c>
      <c r="K1007" t="n">
        <v>0</v>
      </c>
      <c r="L1007" t="n">
        <v>0</v>
      </c>
      <c r="M1007" t="n">
        <v>0</v>
      </c>
      <c r="N1007" t="n">
        <v>0</v>
      </c>
      <c r="O1007" t="n">
        <v>0</v>
      </c>
      <c r="P1007" t="n">
        <v>0</v>
      </c>
      <c r="Q1007" t="n">
        <v>0</v>
      </c>
      <c r="R1007" s="2" t="inlineStr"/>
    </row>
    <row r="1008" ht="15" customHeight="1">
      <c r="A1008" t="inlineStr">
        <is>
          <t>A 61328-2023</t>
        </is>
      </c>
      <c r="B1008" s="1" t="n">
        <v>45264.58667824074</v>
      </c>
      <c r="C1008" s="1" t="n">
        <v>45998</v>
      </c>
      <c r="D1008" t="inlineStr">
        <is>
          <t>VÄSTMANLANDS LÄN</t>
        </is>
      </c>
      <c r="E1008" t="inlineStr">
        <is>
          <t>ARBOGA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8205-2021</t>
        </is>
      </c>
      <c r="B1009" s="1" t="n">
        <v>44244</v>
      </c>
      <c r="C1009" s="1" t="n">
        <v>45998</v>
      </c>
      <c r="D1009" t="inlineStr">
        <is>
          <t>VÄSTMANLANDS LÄN</t>
        </is>
      </c>
      <c r="E1009" t="inlineStr">
        <is>
          <t>NORBERG</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5567-2022</t>
        </is>
      </c>
      <c r="B1010" s="1" t="n">
        <v>44595</v>
      </c>
      <c r="C1010" s="1" t="n">
        <v>45998</v>
      </c>
      <c r="D1010" t="inlineStr">
        <is>
          <t>VÄSTMANLANDS LÄN</t>
        </is>
      </c>
      <c r="E1010" t="inlineStr">
        <is>
          <t>SURAHAMMAR</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5724-2023</t>
        </is>
      </c>
      <c r="B1011" s="1" t="n">
        <v>44961</v>
      </c>
      <c r="C1011" s="1" t="n">
        <v>45998</v>
      </c>
      <c r="D1011" t="inlineStr">
        <is>
          <t>VÄSTMANLANDS LÄN</t>
        </is>
      </c>
      <c r="E1011" t="inlineStr">
        <is>
          <t>VÄSTERÅS</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14799-2024</t>
        </is>
      </c>
      <c r="B1012" s="1" t="n">
        <v>45397</v>
      </c>
      <c r="C1012" s="1" t="n">
        <v>45998</v>
      </c>
      <c r="D1012" t="inlineStr">
        <is>
          <t>VÄSTMANLANDS LÄN</t>
        </is>
      </c>
      <c r="E1012" t="inlineStr">
        <is>
          <t>VÄSTERÅS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11631-2023</t>
        </is>
      </c>
      <c r="B1013" s="1" t="n">
        <v>44994.44001157407</v>
      </c>
      <c r="C1013" s="1" t="n">
        <v>45998</v>
      </c>
      <c r="D1013" t="inlineStr">
        <is>
          <t>VÄSTMANLANDS LÄN</t>
        </is>
      </c>
      <c r="E1013" t="inlineStr">
        <is>
          <t>SALA</t>
        </is>
      </c>
      <c r="F1013" t="inlineStr">
        <is>
          <t>Kommuner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61181-2021</t>
        </is>
      </c>
      <c r="B1014" s="1" t="n">
        <v>44498.46020833333</v>
      </c>
      <c r="C1014" s="1" t="n">
        <v>45998</v>
      </c>
      <c r="D1014" t="inlineStr">
        <is>
          <t>VÄSTMANLANDS LÄN</t>
        </is>
      </c>
      <c r="E1014" t="inlineStr">
        <is>
          <t>SKINNSKATTEBERG</t>
        </is>
      </c>
      <c r="F1014" t="inlineStr">
        <is>
          <t>Sveaskog</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9303-2024</t>
        </is>
      </c>
      <c r="B1015" s="1" t="n">
        <v>45358.75983796296</v>
      </c>
      <c r="C1015" s="1" t="n">
        <v>45998</v>
      </c>
      <c r="D1015" t="inlineStr">
        <is>
          <t>VÄSTMANLANDS LÄN</t>
        </is>
      </c>
      <c r="E1015" t="inlineStr">
        <is>
          <t>KÖPING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41576-2022</t>
        </is>
      </c>
      <c r="B1016" s="1" t="n">
        <v>44826</v>
      </c>
      <c r="C1016" s="1" t="n">
        <v>45998</v>
      </c>
      <c r="D1016" t="inlineStr">
        <is>
          <t>VÄSTMANLANDS LÄN</t>
        </is>
      </c>
      <c r="E1016" t="inlineStr">
        <is>
          <t>SURAHAMMAR</t>
        </is>
      </c>
      <c r="F1016" t="inlineStr">
        <is>
          <t>Bergvik skog väst AB</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41583-2022</t>
        </is>
      </c>
      <c r="B1017" s="1" t="n">
        <v>44827</v>
      </c>
      <c r="C1017" s="1" t="n">
        <v>45998</v>
      </c>
      <c r="D1017" t="inlineStr">
        <is>
          <t>VÄSTMANLANDS LÄN</t>
        </is>
      </c>
      <c r="E1017" t="inlineStr">
        <is>
          <t>KÖPING</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12503-2023</t>
        </is>
      </c>
      <c r="B1018" s="1" t="n">
        <v>44999.88789351852</v>
      </c>
      <c r="C1018" s="1" t="n">
        <v>45998</v>
      </c>
      <c r="D1018" t="inlineStr">
        <is>
          <t>VÄSTMANLANDS LÄN</t>
        </is>
      </c>
      <c r="E1018" t="inlineStr">
        <is>
          <t>KÖPING</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13042-2025</t>
        </is>
      </c>
      <c r="B1019" s="1" t="n">
        <v>45734</v>
      </c>
      <c r="C1019" s="1" t="n">
        <v>45998</v>
      </c>
      <c r="D1019" t="inlineStr">
        <is>
          <t>VÄSTMANLANDS LÄN</t>
        </is>
      </c>
      <c r="E1019" t="inlineStr">
        <is>
          <t>KÖPING</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13046-2025</t>
        </is>
      </c>
      <c r="B1020" s="1" t="n">
        <v>45734.5908449074</v>
      </c>
      <c r="C1020" s="1" t="n">
        <v>45998</v>
      </c>
      <c r="D1020" t="inlineStr">
        <is>
          <t>VÄSTMANLANDS LÄN</t>
        </is>
      </c>
      <c r="E1020" t="inlineStr">
        <is>
          <t>KÖPING</t>
        </is>
      </c>
      <c r="F1020" t="inlineStr">
        <is>
          <t>Sveaskog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13049-2025</t>
        </is>
      </c>
      <c r="B1021" s="1" t="n">
        <v>45734.59259259259</v>
      </c>
      <c r="C1021" s="1" t="n">
        <v>45998</v>
      </c>
      <c r="D1021" t="inlineStr">
        <is>
          <t>VÄSTMANLANDS LÄN</t>
        </is>
      </c>
      <c r="E1021" t="inlineStr">
        <is>
          <t>KÖPING</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5700-2021</t>
        </is>
      </c>
      <c r="B1022" s="1" t="n">
        <v>44230</v>
      </c>
      <c r="C1022" s="1" t="n">
        <v>45998</v>
      </c>
      <c r="D1022" t="inlineStr">
        <is>
          <t>VÄSTMANLANDS LÄN</t>
        </is>
      </c>
      <c r="E1022" t="inlineStr">
        <is>
          <t>SKINNSKATTEBERG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7772-2023</t>
        </is>
      </c>
      <c r="B1023" s="1" t="n">
        <v>44973.40076388889</v>
      </c>
      <c r="C1023" s="1" t="n">
        <v>45998</v>
      </c>
      <c r="D1023" t="inlineStr">
        <is>
          <t>VÄSTMANLANDS LÄN</t>
        </is>
      </c>
      <c r="E1023" t="inlineStr">
        <is>
          <t>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73601-2021</t>
        </is>
      </c>
      <c r="B1024" s="1" t="n">
        <v>44552.39164351852</v>
      </c>
      <c r="C1024" s="1" t="n">
        <v>45998</v>
      </c>
      <c r="D1024" t="inlineStr">
        <is>
          <t>VÄSTMANLANDS LÄN</t>
        </is>
      </c>
      <c r="E1024" t="inlineStr">
        <is>
          <t>VÄSTERÅS</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32224-2022</t>
        </is>
      </c>
      <c r="B1025" s="1" t="n">
        <v>44781</v>
      </c>
      <c r="C1025" s="1" t="n">
        <v>45998</v>
      </c>
      <c r="D1025" t="inlineStr">
        <is>
          <t>VÄSTMANLANDS LÄN</t>
        </is>
      </c>
      <c r="E1025" t="inlineStr">
        <is>
          <t>ARBOGA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62648-2022</t>
        </is>
      </c>
      <c r="B1026" s="1" t="n">
        <v>44917</v>
      </c>
      <c r="C1026" s="1" t="n">
        <v>45998</v>
      </c>
      <c r="D1026" t="inlineStr">
        <is>
          <t>VÄSTMANLANDS LÄN</t>
        </is>
      </c>
      <c r="E1026" t="inlineStr">
        <is>
          <t>SALA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13495-2025</t>
        </is>
      </c>
      <c r="B1027" s="1" t="n">
        <v>45736.44006944444</v>
      </c>
      <c r="C1027" s="1" t="n">
        <v>45998</v>
      </c>
      <c r="D1027" t="inlineStr">
        <is>
          <t>VÄSTMANLANDS LÄN</t>
        </is>
      </c>
      <c r="E1027" t="inlineStr">
        <is>
          <t>FAGERSTA</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35831-2024</t>
        </is>
      </c>
      <c r="B1028" s="1" t="n">
        <v>45532</v>
      </c>
      <c r="C1028" s="1" t="n">
        <v>45998</v>
      </c>
      <c r="D1028" t="inlineStr">
        <is>
          <t>VÄSTMANLANDS LÄN</t>
        </is>
      </c>
      <c r="E1028" t="inlineStr">
        <is>
          <t>SKINNSKATTEBERG</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35834-2024</t>
        </is>
      </c>
      <c r="B1029" s="1" t="n">
        <v>45532</v>
      </c>
      <c r="C1029" s="1" t="n">
        <v>45998</v>
      </c>
      <c r="D1029" t="inlineStr">
        <is>
          <t>VÄSTMANLANDS LÄN</t>
        </is>
      </c>
      <c r="E1029" t="inlineStr">
        <is>
          <t>SKINNSKATTEBERG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11800-2024</t>
        </is>
      </c>
      <c r="B1030" s="1" t="n">
        <v>45375.47375</v>
      </c>
      <c r="C1030" s="1" t="n">
        <v>45998</v>
      </c>
      <c r="D1030" t="inlineStr">
        <is>
          <t>VÄSTMANLANDS LÄN</t>
        </is>
      </c>
      <c r="E1030" t="inlineStr">
        <is>
          <t>SKINNSKATTEBERG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61358-2023</t>
        </is>
      </c>
      <c r="B1031" s="1" t="n">
        <v>45264.60923611111</v>
      </c>
      <c r="C1031" s="1" t="n">
        <v>45998</v>
      </c>
      <c r="D1031" t="inlineStr">
        <is>
          <t>VÄSTMANLANDS LÄN</t>
        </is>
      </c>
      <c r="E1031" t="inlineStr">
        <is>
          <t>KÖPING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1934-2023</t>
        </is>
      </c>
      <c r="B1032" s="1" t="n">
        <v>44939.43024305555</v>
      </c>
      <c r="C1032" s="1" t="n">
        <v>45998</v>
      </c>
      <c r="D1032" t="inlineStr">
        <is>
          <t>VÄSTMANLANDS LÄN</t>
        </is>
      </c>
      <c r="E1032" t="inlineStr">
        <is>
          <t>SALA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6298-2023</t>
        </is>
      </c>
      <c r="B1033" s="1" t="n">
        <v>44965</v>
      </c>
      <c r="C1033" s="1" t="n">
        <v>45998</v>
      </c>
      <c r="D1033" t="inlineStr">
        <is>
          <t>VÄSTMANLANDS LÄN</t>
        </is>
      </c>
      <c r="E1033" t="inlineStr">
        <is>
          <t>SKINNSKATTEBERG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35036-2024</t>
        </is>
      </c>
      <c r="B1034" s="1" t="n">
        <v>45527</v>
      </c>
      <c r="C1034" s="1" t="n">
        <v>45998</v>
      </c>
      <c r="D1034" t="inlineStr">
        <is>
          <t>VÄSTMANLANDS LÄN</t>
        </is>
      </c>
      <c r="E1034" t="inlineStr">
        <is>
          <t>HALLSTAHAMMAR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11927-2025</t>
        </is>
      </c>
      <c r="B1035" s="1" t="n">
        <v>45728.5137962963</v>
      </c>
      <c r="C1035" s="1" t="n">
        <v>45998</v>
      </c>
      <c r="D1035" t="inlineStr">
        <is>
          <t>VÄSTMANLANDS LÄN</t>
        </is>
      </c>
      <c r="E1035" t="inlineStr">
        <is>
          <t>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60823-2024</t>
        </is>
      </c>
      <c r="B1036" s="1" t="n">
        <v>45644</v>
      </c>
      <c r="C1036" s="1" t="n">
        <v>45998</v>
      </c>
      <c r="D1036" t="inlineStr">
        <is>
          <t>VÄSTMANLANDS LÄN</t>
        </is>
      </c>
      <c r="E1036" t="inlineStr">
        <is>
          <t>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51508-2021</t>
        </is>
      </c>
      <c r="B1037" s="1" t="n">
        <v>44462</v>
      </c>
      <c r="C1037" s="1" t="n">
        <v>45998</v>
      </c>
      <c r="D1037" t="inlineStr">
        <is>
          <t>VÄSTMANLANDS LÄN</t>
        </is>
      </c>
      <c r="E1037" t="inlineStr">
        <is>
          <t>SKINNSKATTEBERG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62831-2023</t>
        </is>
      </c>
      <c r="B1038" s="1" t="n">
        <v>45270</v>
      </c>
      <c r="C1038" s="1" t="n">
        <v>45998</v>
      </c>
      <c r="D1038" t="inlineStr">
        <is>
          <t>VÄSTMANLANDS LÄN</t>
        </is>
      </c>
      <c r="E1038" t="inlineStr">
        <is>
          <t>HALLSTAHAMMAR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43400-2024</t>
        </is>
      </c>
      <c r="B1039" s="1" t="n">
        <v>45568</v>
      </c>
      <c r="C1039" s="1" t="n">
        <v>45998</v>
      </c>
      <c r="D1039" t="inlineStr">
        <is>
          <t>VÄSTMANLANDS LÄN</t>
        </is>
      </c>
      <c r="E1039" t="inlineStr">
        <is>
          <t>SKINNSKATTEBERG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59969-2022</t>
        </is>
      </c>
      <c r="B1040" s="1" t="n">
        <v>44909.41993055555</v>
      </c>
      <c r="C1040" s="1" t="n">
        <v>45998</v>
      </c>
      <c r="D1040" t="inlineStr">
        <is>
          <t>VÄSTMANLANDS LÄN</t>
        </is>
      </c>
      <c r="E1040" t="inlineStr">
        <is>
          <t>ARBOGA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59980-2022</t>
        </is>
      </c>
      <c r="B1041" s="1" t="n">
        <v>44909</v>
      </c>
      <c r="C1041" s="1" t="n">
        <v>45998</v>
      </c>
      <c r="D1041" t="inlineStr">
        <is>
          <t>VÄSTMANLANDS LÄN</t>
        </is>
      </c>
      <c r="E1041" t="inlineStr">
        <is>
          <t>ARBOGA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21571-2023</t>
        </is>
      </c>
      <c r="B1042" s="1" t="n">
        <v>45063.58920138889</v>
      </c>
      <c r="C1042" s="1" t="n">
        <v>45998</v>
      </c>
      <c r="D1042" t="inlineStr">
        <is>
          <t>VÄSTMANLANDS LÄN</t>
        </is>
      </c>
      <c r="E1042" t="inlineStr">
        <is>
          <t>SKINNSKATTEBERG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21579-2023</t>
        </is>
      </c>
      <c r="B1043" s="1" t="n">
        <v>45063.59385416667</v>
      </c>
      <c r="C1043" s="1" t="n">
        <v>45998</v>
      </c>
      <c r="D1043" t="inlineStr">
        <is>
          <t>VÄSTMANLANDS LÄN</t>
        </is>
      </c>
      <c r="E1043" t="inlineStr">
        <is>
          <t>SKINNSKATTEBERG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96-2024</t>
        </is>
      </c>
      <c r="B1044" s="1" t="n">
        <v>45293.85872685185</v>
      </c>
      <c r="C1044" s="1" t="n">
        <v>45998</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14044-2025</t>
        </is>
      </c>
      <c r="B1045" s="1" t="n">
        <v>45740.37228009259</v>
      </c>
      <c r="C1045" s="1" t="n">
        <v>45998</v>
      </c>
      <c r="D1045" t="inlineStr">
        <is>
          <t>VÄSTMANLANDS LÄN</t>
        </is>
      </c>
      <c r="E1045" t="inlineStr">
        <is>
          <t>SKINNSKATTEBERG</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14049-2025</t>
        </is>
      </c>
      <c r="B1046" s="1" t="n">
        <v>45740.38309027778</v>
      </c>
      <c r="C1046" s="1" t="n">
        <v>45998</v>
      </c>
      <c r="D1046" t="inlineStr">
        <is>
          <t>VÄSTMANLANDS LÄN</t>
        </is>
      </c>
      <c r="E1046" t="inlineStr">
        <is>
          <t>SKINNSKATTEBERG</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32053-2023</t>
        </is>
      </c>
      <c r="B1047" s="1" t="n">
        <v>45119</v>
      </c>
      <c r="C1047" s="1" t="n">
        <v>45998</v>
      </c>
      <c r="D1047" t="inlineStr">
        <is>
          <t>VÄSTMANLANDS LÄN</t>
        </is>
      </c>
      <c r="E1047" t="inlineStr">
        <is>
          <t>VÄSTERÅS</t>
        </is>
      </c>
      <c r="F1047" t="inlineStr">
        <is>
          <t>Sveaskog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42416-2022</t>
        </is>
      </c>
      <c r="B1048" s="1" t="n">
        <v>44831</v>
      </c>
      <c r="C1048" s="1" t="n">
        <v>45998</v>
      </c>
      <c r="D1048" t="inlineStr">
        <is>
          <t>VÄSTMANLANDS LÄN</t>
        </is>
      </c>
      <c r="E1048" t="inlineStr">
        <is>
          <t>SALA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38381-2022</t>
        </is>
      </c>
      <c r="B1049" s="1" t="n">
        <v>44812</v>
      </c>
      <c r="C1049" s="1" t="n">
        <v>45998</v>
      </c>
      <c r="D1049" t="inlineStr">
        <is>
          <t>VÄSTMANLANDS LÄN</t>
        </is>
      </c>
      <c r="E1049" t="inlineStr">
        <is>
          <t>VÄSTERÅS</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19381-2025</t>
        </is>
      </c>
      <c r="B1050" s="1" t="n">
        <v>45769</v>
      </c>
      <c r="C1050" s="1" t="n">
        <v>45998</v>
      </c>
      <c r="D1050" t="inlineStr">
        <is>
          <t>VÄSTMANLANDS LÄN</t>
        </is>
      </c>
      <c r="E1050" t="inlineStr">
        <is>
          <t>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23374-2023</t>
        </is>
      </c>
      <c r="B1051" s="1" t="n">
        <v>45076.4399537037</v>
      </c>
      <c r="C1051" s="1" t="n">
        <v>45998</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67352-2021</t>
        </is>
      </c>
      <c r="B1052" s="1" t="n">
        <v>44523</v>
      </c>
      <c r="C1052" s="1" t="n">
        <v>45998</v>
      </c>
      <c r="D1052" t="inlineStr">
        <is>
          <t>VÄSTMANLANDS LÄN</t>
        </is>
      </c>
      <c r="E1052" t="inlineStr">
        <is>
          <t>VÄSTERÅS</t>
        </is>
      </c>
      <c r="F1052" t="inlineStr">
        <is>
          <t>Övriga Aktiebolag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17816-2024</t>
        </is>
      </c>
      <c r="B1053" s="1" t="n">
        <v>45418</v>
      </c>
      <c r="C1053" s="1" t="n">
        <v>45998</v>
      </c>
      <c r="D1053" t="inlineStr">
        <is>
          <t>VÄSTMANLANDS LÄN</t>
        </is>
      </c>
      <c r="E1053" t="inlineStr">
        <is>
          <t>KÖPING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19992-2022</t>
        </is>
      </c>
      <c r="B1054" s="1" t="n">
        <v>44697</v>
      </c>
      <c r="C1054" s="1" t="n">
        <v>45998</v>
      </c>
      <c r="D1054" t="inlineStr">
        <is>
          <t>VÄSTMANLANDS LÄN</t>
        </is>
      </c>
      <c r="E1054" t="inlineStr">
        <is>
          <t>ARBOGA</t>
        </is>
      </c>
      <c r="F1054" t="inlineStr">
        <is>
          <t>Allmännings- och besparingsskogar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47785-2021</t>
        </is>
      </c>
      <c r="B1055" s="1" t="n">
        <v>44448</v>
      </c>
      <c r="C1055" s="1" t="n">
        <v>45998</v>
      </c>
      <c r="D1055" t="inlineStr">
        <is>
          <t>VÄSTMANLANDS LÄN</t>
        </is>
      </c>
      <c r="E1055" t="inlineStr">
        <is>
          <t>SURAHAMMAR</t>
        </is>
      </c>
      <c r="F1055" t="inlineStr">
        <is>
          <t>Kommuner</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24402-2024</t>
        </is>
      </c>
      <c r="B1056" s="1" t="n">
        <v>45457</v>
      </c>
      <c r="C1056" s="1" t="n">
        <v>45998</v>
      </c>
      <c r="D1056" t="inlineStr">
        <is>
          <t>VÄSTMANLANDS LÄN</t>
        </is>
      </c>
      <c r="E1056" t="inlineStr">
        <is>
          <t>VÄSTERÅS</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58395-2022</t>
        </is>
      </c>
      <c r="B1057" s="1" t="n">
        <v>44901</v>
      </c>
      <c r="C1057" s="1" t="n">
        <v>45998</v>
      </c>
      <c r="D1057" t="inlineStr">
        <is>
          <t>VÄSTMANLANDS LÄN</t>
        </is>
      </c>
      <c r="E1057" t="inlineStr">
        <is>
          <t>VÄSTERÅS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48688-2024</t>
        </is>
      </c>
      <c r="B1058" s="1" t="n">
        <v>45593.50541666667</v>
      </c>
      <c r="C1058" s="1" t="n">
        <v>45998</v>
      </c>
      <c r="D1058" t="inlineStr">
        <is>
          <t>VÄSTMANLANDS LÄN</t>
        </is>
      </c>
      <c r="E1058" t="inlineStr">
        <is>
          <t>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61874-2021</t>
        </is>
      </c>
      <c r="B1059" s="1" t="n">
        <v>44502</v>
      </c>
      <c r="C1059" s="1" t="n">
        <v>45998</v>
      </c>
      <c r="D1059" t="inlineStr">
        <is>
          <t>VÄSTMANLANDS LÄN</t>
        </is>
      </c>
      <c r="E1059" t="inlineStr">
        <is>
          <t>SALA</t>
        </is>
      </c>
      <c r="F1059" t="inlineStr">
        <is>
          <t>Kyrkan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16497-2022</t>
        </is>
      </c>
      <c r="B1060" s="1" t="n">
        <v>44671</v>
      </c>
      <c r="C1060" s="1" t="n">
        <v>45998</v>
      </c>
      <c r="D1060" t="inlineStr">
        <is>
          <t>VÄSTMANLANDS LÄN</t>
        </is>
      </c>
      <c r="E1060" t="inlineStr">
        <is>
          <t>VÄSTERÅS</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56698-2024</t>
        </is>
      </c>
      <c r="B1061" s="1" t="n">
        <v>45627.79015046296</v>
      </c>
      <c r="C1061" s="1" t="n">
        <v>45998</v>
      </c>
      <c r="D1061" t="inlineStr">
        <is>
          <t>VÄSTMANLANDS LÄN</t>
        </is>
      </c>
      <c r="E1061" t="inlineStr">
        <is>
          <t>FAGERSTA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29960-2024</t>
        </is>
      </c>
      <c r="B1062" s="1" t="n">
        <v>45488</v>
      </c>
      <c r="C1062" s="1" t="n">
        <v>45998</v>
      </c>
      <c r="D1062" t="inlineStr">
        <is>
          <t>VÄSTMANLANDS LÄN</t>
        </is>
      </c>
      <c r="E1062" t="inlineStr">
        <is>
          <t>KÖPING</t>
        </is>
      </c>
      <c r="G1062" t="n">
        <v>11.5</v>
      </c>
      <c r="H1062" t="n">
        <v>0</v>
      </c>
      <c r="I1062" t="n">
        <v>0</v>
      </c>
      <c r="J1062" t="n">
        <v>0</v>
      </c>
      <c r="K1062" t="n">
        <v>0</v>
      </c>
      <c r="L1062" t="n">
        <v>0</v>
      </c>
      <c r="M1062" t="n">
        <v>0</v>
      </c>
      <c r="N1062" t="n">
        <v>0</v>
      </c>
      <c r="O1062" t="n">
        <v>0</v>
      </c>
      <c r="P1062" t="n">
        <v>0</v>
      </c>
      <c r="Q1062" t="n">
        <v>0</v>
      </c>
      <c r="R1062" s="2" t="inlineStr"/>
    </row>
    <row r="1063" ht="15" customHeight="1">
      <c r="A1063" t="inlineStr">
        <is>
          <t>A 9856-2022</t>
        </is>
      </c>
      <c r="B1063" s="1" t="n">
        <v>44620</v>
      </c>
      <c r="C1063" s="1" t="n">
        <v>45998</v>
      </c>
      <c r="D1063" t="inlineStr">
        <is>
          <t>VÄSTMANLANDS LÄN</t>
        </is>
      </c>
      <c r="E1063" t="inlineStr">
        <is>
          <t>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41876-2022</t>
        </is>
      </c>
      <c r="B1064" s="1" t="n">
        <v>44829.97008101852</v>
      </c>
      <c r="C1064" s="1" t="n">
        <v>45998</v>
      </c>
      <c r="D1064" t="inlineStr">
        <is>
          <t>VÄSTMANLANDS LÄN</t>
        </is>
      </c>
      <c r="E1064" t="inlineStr">
        <is>
          <t>SALA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67958-2021</t>
        </is>
      </c>
      <c r="B1065" s="1" t="n">
        <v>44525</v>
      </c>
      <c r="C1065" s="1" t="n">
        <v>45998</v>
      </c>
      <c r="D1065" t="inlineStr">
        <is>
          <t>VÄSTMANLANDS LÄN</t>
        </is>
      </c>
      <c r="E1065" t="inlineStr">
        <is>
          <t>SALA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67965-2021</t>
        </is>
      </c>
      <c r="B1066" s="1" t="n">
        <v>44525</v>
      </c>
      <c r="C1066" s="1" t="n">
        <v>45998</v>
      </c>
      <c r="D1066" t="inlineStr">
        <is>
          <t>VÄSTMANLANDS LÄN</t>
        </is>
      </c>
      <c r="E1066" t="inlineStr">
        <is>
          <t>SALA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34957-2022</t>
        </is>
      </c>
      <c r="B1067" s="1" t="n">
        <v>44796.64672453704</v>
      </c>
      <c r="C1067" s="1" t="n">
        <v>45998</v>
      </c>
      <c r="D1067" t="inlineStr">
        <is>
          <t>VÄSTMANLANDS LÄN</t>
        </is>
      </c>
      <c r="E1067" t="inlineStr">
        <is>
          <t>SURAHAMMAR</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28937-2024</t>
        </is>
      </c>
      <c r="B1068" s="1" t="n">
        <v>45480</v>
      </c>
      <c r="C1068" s="1" t="n">
        <v>45998</v>
      </c>
      <c r="D1068" t="inlineStr">
        <is>
          <t>VÄSTMANLANDS LÄN</t>
        </is>
      </c>
      <c r="E1068" t="inlineStr">
        <is>
          <t>KÖPING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1282-2023</t>
        </is>
      </c>
      <c r="B1069" s="1" t="n">
        <v>44936.45689814815</v>
      </c>
      <c r="C1069" s="1" t="n">
        <v>45998</v>
      </c>
      <c r="D1069" t="inlineStr">
        <is>
          <t>VÄSTMANLANDS LÄN</t>
        </is>
      </c>
      <c r="E1069" t="inlineStr">
        <is>
          <t>SKINNSKATTEBERG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45015-2022</t>
        </is>
      </c>
      <c r="B1070" s="1" t="n">
        <v>44841.63766203704</v>
      </c>
      <c r="C1070" s="1" t="n">
        <v>45998</v>
      </c>
      <c r="D1070" t="inlineStr">
        <is>
          <t>VÄSTMANLANDS LÄN</t>
        </is>
      </c>
      <c r="E1070" t="inlineStr">
        <is>
          <t>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35700-2024</t>
        </is>
      </c>
      <c r="B1071" s="1" t="n">
        <v>45532.44508101852</v>
      </c>
      <c r="C1071" s="1" t="n">
        <v>45998</v>
      </c>
      <c r="D1071" t="inlineStr">
        <is>
          <t>VÄSTMANLANDS LÄN</t>
        </is>
      </c>
      <c r="E1071" t="inlineStr">
        <is>
          <t>VÄSTERÅS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69450-2020</t>
        </is>
      </c>
      <c r="B1072" s="1" t="n">
        <v>44194</v>
      </c>
      <c r="C1072" s="1" t="n">
        <v>45998</v>
      </c>
      <c r="D1072" t="inlineStr">
        <is>
          <t>VÄSTMANLANDS LÄN</t>
        </is>
      </c>
      <c r="E1072" t="inlineStr">
        <is>
          <t>NORBERG</t>
        </is>
      </c>
      <c r="F1072" t="inlineStr">
        <is>
          <t>Kyrkan</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68954-2021</t>
        </is>
      </c>
      <c r="B1073" s="1" t="n">
        <v>44530</v>
      </c>
      <c r="C1073" s="1" t="n">
        <v>45998</v>
      </c>
      <c r="D1073" t="inlineStr">
        <is>
          <t>VÄSTMANLANDS LÄN</t>
        </is>
      </c>
      <c r="E1073" t="inlineStr">
        <is>
          <t>KÖPING</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64044-2023</t>
        </is>
      </c>
      <c r="B1074" s="1" t="n">
        <v>45278</v>
      </c>
      <c r="C1074" s="1" t="n">
        <v>45998</v>
      </c>
      <c r="D1074" t="inlineStr">
        <is>
          <t>VÄSTMANLANDS LÄN</t>
        </is>
      </c>
      <c r="E1074" t="inlineStr">
        <is>
          <t>KÖPING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14114-2024</t>
        </is>
      </c>
      <c r="B1075" s="1" t="n">
        <v>45392.63758101852</v>
      </c>
      <c r="C1075" s="1" t="n">
        <v>45998</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16159-2024</t>
        </is>
      </c>
      <c r="B1076" s="1" t="n">
        <v>45406</v>
      </c>
      <c r="C1076" s="1" t="n">
        <v>45998</v>
      </c>
      <c r="D1076" t="inlineStr">
        <is>
          <t>VÄSTMANLANDS LÄN</t>
        </is>
      </c>
      <c r="E1076" t="inlineStr">
        <is>
          <t>SALA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7117-2022</t>
        </is>
      </c>
      <c r="B1077" s="1" t="n">
        <v>44603</v>
      </c>
      <c r="C1077" s="1" t="n">
        <v>45998</v>
      </c>
      <c r="D1077" t="inlineStr">
        <is>
          <t>VÄSTMANLANDS LÄN</t>
        </is>
      </c>
      <c r="E1077" t="inlineStr">
        <is>
          <t>KUNGSÖR</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12233-2022</t>
        </is>
      </c>
      <c r="B1078" s="1" t="n">
        <v>44635</v>
      </c>
      <c r="C1078" s="1" t="n">
        <v>45998</v>
      </c>
      <c r="D1078" t="inlineStr">
        <is>
          <t>VÄSTMANLANDS LÄN</t>
        </is>
      </c>
      <c r="E1078" t="inlineStr">
        <is>
          <t>NORBERG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33435-2024</t>
        </is>
      </c>
      <c r="B1079" s="1" t="n">
        <v>45519.53638888889</v>
      </c>
      <c r="C1079" s="1" t="n">
        <v>45998</v>
      </c>
      <c r="D1079" t="inlineStr">
        <is>
          <t>VÄSTMANLANDS LÄN</t>
        </is>
      </c>
      <c r="E1079" t="inlineStr">
        <is>
          <t>SKINNSKATTEBERG</t>
        </is>
      </c>
      <c r="F1079" t="inlineStr">
        <is>
          <t>Sveaskog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55428-2021</t>
        </is>
      </c>
      <c r="B1080" s="1" t="n">
        <v>44475</v>
      </c>
      <c r="C1080" s="1" t="n">
        <v>45998</v>
      </c>
      <c r="D1080" t="inlineStr">
        <is>
          <t>VÄSTMANLANDS LÄN</t>
        </is>
      </c>
      <c r="E1080" t="inlineStr">
        <is>
          <t>SKINNSKATTEBERG</t>
        </is>
      </c>
      <c r="F1080" t="inlineStr">
        <is>
          <t>Sveaskog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26475-2024</t>
        </is>
      </c>
      <c r="B1081" s="1" t="n">
        <v>45469</v>
      </c>
      <c r="C1081" s="1" t="n">
        <v>45998</v>
      </c>
      <c r="D1081" t="inlineStr">
        <is>
          <t>VÄSTMANLANDS LÄN</t>
        </is>
      </c>
      <c r="E1081" t="inlineStr">
        <is>
          <t>VÄSTERÅS</t>
        </is>
      </c>
      <c r="F1081" t="inlineStr">
        <is>
          <t>Kommuner</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63480-2023</t>
        </is>
      </c>
      <c r="B1082" s="1" t="n">
        <v>45274</v>
      </c>
      <c r="C1082" s="1" t="n">
        <v>45998</v>
      </c>
      <c r="D1082" t="inlineStr">
        <is>
          <t>VÄSTMANLANDS LÄN</t>
        </is>
      </c>
      <c r="E1082" t="inlineStr">
        <is>
          <t>FAGERSTA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37601-2023</t>
        </is>
      </c>
      <c r="B1083" s="1" t="n">
        <v>45159.42875</v>
      </c>
      <c r="C1083" s="1" t="n">
        <v>45998</v>
      </c>
      <c r="D1083" t="inlineStr">
        <is>
          <t>VÄSTMANLANDS LÄN</t>
        </is>
      </c>
      <c r="E1083" t="inlineStr">
        <is>
          <t>ARBOGA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17075-2023</t>
        </is>
      </c>
      <c r="B1084" s="1" t="n">
        <v>45034</v>
      </c>
      <c r="C1084" s="1" t="n">
        <v>45998</v>
      </c>
      <c r="D1084" t="inlineStr">
        <is>
          <t>VÄSTMANLANDS LÄN</t>
        </is>
      </c>
      <c r="E1084" t="inlineStr">
        <is>
          <t>NORBERG</t>
        </is>
      </c>
      <c r="F1084" t="inlineStr">
        <is>
          <t>Bergvik skog väst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15737-2024</t>
        </is>
      </c>
      <c r="B1085" s="1" t="n">
        <v>45404.54581018518</v>
      </c>
      <c r="C1085" s="1" t="n">
        <v>45998</v>
      </c>
      <c r="D1085" t="inlineStr">
        <is>
          <t>VÄSTMANLANDS LÄN</t>
        </is>
      </c>
      <c r="E1085" t="inlineStr">
        <is>
          <t>SKINNSKATTEBERG</t>
        </is>
      </c>
      <c r="F1085" t="inlineStr">
        <is>
          <t>Sveaskog</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6493-2025</t>
        </is>
      </c>
      <c r="B1086" s="1" t="n">
        <v>45699</v>
      </c>
      <c r="C1086" s="1" t="n">
        <v>45998</v>
      </c>
      <c r="D1086" t="inlineStr">
        <is>
          <t>VÄSTMANLANDS LÄN</t>
        </is>
      </c>
      <c r="E1086" t="inlineStr">
        <is>
          <t>ARBOGA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7787-2024</t>
        </is>
      </c>
      <c r="B1087" s="1" t="n">
        <v>45348</v>
      </c>
      <c r="C1087" s="1" t="n">
        <v>45998</v>
      </c>
      <c r="D1087" t="inlineStr">
        <is>
          <t>VÄSTMANLANDS LÄN</t>
        </is>
      </c>
      <c r="E1087" t="inlineStr">
        <is>
          <t>SURAHAMMAR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5752-2025</t>
        </is>
      </c>
      <c r="B1088" s="1" t="n">
        <v>45694</v>
      </c>
      <c r="C1088" s="1" t="n">
        <v>45998</v>
      </c>
      <c r="D1088" t="inlineStr">
        <is>
          <t>VÄSTMANLANDS LÄN</t>
        </is>
      </c>
      <c r="E1088" t="inlineStr">
        <is>
          <t>ARBOGA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50241-2023</t>
        </is>
      </c>
      <c r="B1089" s="1" t="n">
        <v>45216</v>
      </c>
      <c r="C1089" s="1" t="n">
        <v>45998</v>
      </c>
      <c r="D1089" t="inlineStr">
        <is>
          <t>VÄSTMANLANDS LÄN</t>
        </is>
      </c>
      <c r="E1089" t="inlineStr">
        <is>
          <t>SALA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23825-2023</t>
        </is>
      </c>
      <c r="B1090" s="1" t="n">
        <v>45078.40652777778</v>
      </c>
      <c r="C1090" s="1" t="n">
        <v>45998</v>
      </c>
      <c r="D1090" t="inlineStr">
        <is>
          <t>VÄSTMANLANDS LÄN</t>
        </is>
      </c>
      <c r="E1090" t="inlineStr">
        <is>
          <t>KÖPING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74314-2021</t>
        </is>
      </c>
      <c r="B1091" s="1" t="n">
        <v>44559</v>
      </c>
      <c r="C1091" s="1" t="n">
        <v>45998</v>
      </c>
      <c r="D1091" t="inlineStr">
        <is>
          <t>VÄSTMANLANDS LÄN</t>
        </is>
      </c>
      <c r="E1091" t="inlineStr">
        <is>
          <t>VÄSTERÅS</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11664-2023</t>
        </is>
      </c>
      <c r="B1092" s="1" t="n">
        <v>44992</v>
      </c>
      <c r="C1092" s="1" t="n">
        <v>45998</v>
      </c>
      <c r="D1092" t="inlineStr">
        <is>
          <t>VÄSTMANLANDS LÄN</t>
        </is>
      </c>
      <c r="E1092" t="inlineStr">
        <is>
          <t>NORBERG</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3332-2024</t>
        </is>
      </c>
      <c r="B1093" s="1" t="n">
        <v>45317</v>
      </c>
      <c r="C1093" s="1" t="n">
        <v>45998</v>
      </c>
      <c r="D1093" t="inlineStr">
        <is>
          <t>VÄSTMANLANDS LÄN</t>
        </is>
      </c>
      <c r="E1093" t="inlineStr">
        <is>
          <t>SALA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35683-2024</t>
        </is>
      </c>
      <c r="B1094" s="1" t="n">
        <v>45532.41152777777</v>
      </c>
      <c r="C1094" s="1" t="n">
        <v>45998</v>
      </c>
      <c r="D1094" t="inlineStr">
        <is>
          <t>VÄSTMANLANDS LÄN</t>
        </is>
      </c>
      <c r="E1094" t="inlineStr">
        <is>
          <t>SKINNSKATTEBERG</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25450-2024</t>
        </is>
      </c>
      <c r="B1095" s="1" t="n">
        <v>45463</v>
      </c>
      <c r="C1095" s="1" t="n">
        <v>45998</v>
      </c>
      <c r="D1095" t="inlineStr">
        <is>
          <t>VÄSTMANLANDS LÄN</t>
        </is>
      </c>
      <c r="E1095" t="inlineStr">
        <is>
          <t>SURAHAMMAR</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18416-2025</t>
        </is>
      </c>
      <c r="B1096" s="1" t="n">
        <v>45762.61513888889</v>
      </c>
      <c r="C1096" s="1" t="n">
        <v>45998</v>
      </c>
      <c r="D1096" t="inlineStr">
        <is>
          <t>VÄSTMANLANDS LÄN</t>
        </is>
      </c>
      <c r="E1096" t="inlineStr">
        <is>
          <t>SKINNSKATTEBERG</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16735-2023</t>
        </is>
      </c>
      <c r="B1097" s="1" t="n">
        <v>45030.71976851852</v>
      </c>
      <c r="C1097" s="1" t="n">
        <v>45998</v>
      </c>
      <c r="D1097" t="inlineStr">
        <is>
          <t>VÄSTMANLANDS LÄN</t>
        </is>
      </c>
      <c r="E1097" t="inlineStr">
        <is>
          <t>KUNGSÖR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45187-2024</t>
        </is>
      </c>
      <c r="B1098" s="1" t="n">
        <v>45575</v>
      </c>
      <c r="C1098" s="1" t="n">
        <v>45998</v>
      </c>
      <c r="D1098" t="inlineStr">
        <is>
          <t>VÄSTMANLANDS LÄN</t>
        </is>
      </c>
      <c r="E1098" t="inlineStr">
        <is>
          <t>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32808-2024</t>
        </is>
      </c>
      <c r="B1099" s="1" t="n">
        <v>45516</v>
      </c>
      <c r="C1099" s="1" t="n">
        <v>45998</v>
      </c>
      <c r="D1099" t="inlineStr">
        <is>
          <t>VÄSTMANLANDS LÄN</t>
        </is>
      </c>
      <c r="E1099" t="inlineStr">
        <is>
          <t>SURAHAMMAR</t>
        </is>
      </c>
      <c r="F1099" t="inlineStr">
        <is>
          <t>Övriga Aktiebolag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15968-2024</t>
        </is>
      </c>
      <c r="B1100" s="1" t="n">
        <v>45405.56021990741</v>
      </c>
      <c r="C1100" s="1" t="n">
        <v>45998</v>
      </c>
      <c r="D1100" t="inlineStr">
        <is>
          <t>VÄSTMANLANDS LÄN</t>
        </is>
      </c>
      <c r="E1100" t="inlineStr">
        <is>
          <t>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35059-2024</t>
        </is>
      </c>
      <c r="B1101" s="1" t="n">
        <v>45527.65517361111</v>
      </c>
      <c r="C1101" s="1" t="n">
        <v>45998</v>
      </c>
      <c r="D1101" t="inlineStr">
        <is>
          <t>VÄSTMANLANDS LÄN</t>
        </is>
      </c>
      <c r="E1101" t="inlineStr">
        <is>
          <t>SKINNSKATTEBERG</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57990-2024</t>
        </is>
      </c>
      <c r="B1102" s="1" t="n">
        <v>45631</v>
      </c>
      <c r="C1102" s="1" t="n">
        <v>45998</v>
      </c>
      <c r="D1102" t="inlineStr">
        <is>
          <t>VÄSTMANLANDS LÄN</t>
        </is>
      </c>
      <c r="E1102" t="inlineStr">
        <is>
          <t>NORBERG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44720-2021</t>
        </is>
      </c>
      <c r="B1103" s="1" t="n">
        <v>44438</v>
      </c>
      <c r="C1103" s="1" t="n">
        <v>45998</v>
      </c>
      <c r="D1103" t="inlineStr">
        <is>
          <t>VÄSTMANLANDS LÄN</t>
        </is>
      </c>
      <c r="E1103" t="inlineStr">
        <is>
          <t>KUNGSÖR</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20243-2024</t>
        </is>
      </c>
      <c r="B1104" s="1" t="n">
        <v>45434</v>
      </c>
      <c r="C1104" s="1" t="n">
        <v>45998</v>
      </c>
      <c r="D1104" t="inlineStr">
        <is>
          <t>VÄSTMANLANDS LÄN</t>
        </is>
      </c>
      <c r="E1104" t="inlineStr">
        <is>
          <t>SKINNSKATTEBERG</t>
        </is>
      </c>
      <c r="F1104" t="inlineStr">
        <is>
          <t>Sveaskog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20247-2024</t>
        </is>
      </c>
      <c r="B1105" s="1" t="n">
        <v>45434.84836805556</v>
      </c>
      <c r="C1105" s="1" t="n">
        <v>45998</v>
      </c>
      <c r="D1105" t="inlineStr">
        <is>
          <t>VÄSTMANLANDS LÄN</t>
        </is>
      </c>
      <c r="E1105" t="inlineStr">
        <is>
          <t>SKINNSKATTEBERG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35637-2022</t>
        </is>
      </c>
      <c r="B1106" s="1" t="n">
        <v>44799.55194444444</v>
      </c>
      <c r="C1106" s="1" t="n">
        <v>45998</v>
      </c>
      <c r="D1106" t="inlineStr">
        <is>
          <t>VÄSTMANLANDS LÄN</t>
        </is>
      </c>
      <c r="E1106" t="inlineStr">
        <is>
          <t>SALA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30503-2021</t>
        </is>
      </c>
      <c r="B1107" s="1" t="n">
        <v>44364</v>
      </c>
      <c r="C1107" s="1" t="n">
        <v>45998</v>
      </c>
      <c r="D1107" t="inlineStr">
        <is>
          <t>VÄSTMANLANDS LÄN</t>
        </is>
      </c>
      <c r="E1107" t="inlineStr">
        <is>
          <t>FAGERSTA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19033-2025</t>
        </is>
      </c>
      <c r="B1108" s="1" t="n">
        <v>45764.65796296296</v>
      </c>
      <c r="C1108" s="1" t="n">
        <v>45998</v>
      </c>
      <c r="D1108" t="inlineStr">
        <is>
          <t>VÄSTMANLANDS LÄN</t>
        </is>
      </c>
      <c r="E1108" t="inlineStr">
        <is>
          <t>SALA</t>
        </is>
      </c>
      <c r="F1108" t="inlineStr">
        <is>
          <t>Bergvik skog öst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3733-2023</t>
        </is>
      </c>
      <c r="B1109" s="1" t="n">
        <v>44951.42501157407</v>
      </c>
      <c r="C1109" s="1" t="n">
        <v>45998</v>
      </c>
      <c r="D1109" t="inlineStr">
        <is>
          <t>VÄSTMANLANDS LÄN</t>
        </is>
      </c>
      <c r="E1109" t="inlineStr">
        <is>
          <t>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52556-2024</t>
        </is>
      </c>
      <c r="B1110" s="1" t="n">
        <v>45609</v>
      </c>
      <c r="C1110" s="1" t="n">
        <v>45998</v>
      </c>
      <c r="D1110" t="inlineStr">
        <is>
          <t>VÄSTMANLANDS LÄN</t>
        </is>
      </c>
      <c r="E1110" t="inlineStr">
        <is>
          <t>SKINNSKATTEBERG</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22605-2024</t>
        </is>
      </c>
      <c r="B1111" s="1" t="n">
        <v>45447.63224537037</v>
      </c>
      <c r="C1111" s="1" t="n">
        <v>45998</v>
      </c>
      <c r="D1111" t="inlineStr">
        <is>
          <t>VÄSTMANLANDS LÄN</t>
        </is>
      </c>
      <c r="E1111" t="inlineStr">
        <is>
          <t>SKINNSKATTEBERG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22697-2024</t>
        </is>
      </c>
      <c r="B1112" s="1" t="n">
        <v>45448.32826388889</v>
      </c>
      <c r="C1112" s="1" t="n">
        <v>45998</v>
      </c>
      <c r="D1112" t="inlineStr">
        <is>
          <t>VÄSTMANLANDS LÄN</t>
        </is>
      </c>
      <c r="E1112" t="inlineStr">
        <is>
          <t>ARBOGA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22700-2024</t>
        </is>
      </c>
      <c r="B1113" s="1" t="n">
        <v>45448.33162037037</v>
      </c>
      <c r="C1113" s="1" t="n">
        <v>45998</v>
      </c>
      <c r="D1113" t="inlineStr">
        <is>
          <t>VÄSTMANLANDS LÄN</t>
        </is>
      </c>
      <c r="E1113" t="inlineStr">
        <is>
          <t>VÄSTERÅS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39646-2023</t>
        </is>
      </c>
      <c r="B1114" s="1" t="n">
        <v>45166</v>
      </c>
      <c r="C1114" s="1" t="n">
        <v>45998</v>
      </c>
      <c r="D1114" t="inlineStr">
        <is>
          <t>VÄSTMANLANDS LÄN</t>
        </is>
      </c>
      <c r="E1114" t="inlineStr">
        <is>
          <t>KÖPING</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29999-2023</t>
        </is>
      </c>
      <c r="B1115" s="1" t="n">
        <v>45109.69238425926</v>
      </c>
      <c r="C1115" s="1" t="n">
        <v>45998</v>
      </c>
      <c r="D1115" t="inlineStr">
        <is>
          <t>VÄSTMANLANDS LÄN</t>
        </is>
      </c>
      <c r="E1115" t="inlineStr">
        <is>
          <t>ARBOGA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11696-2023</t>
        </is>
      </c>
      <c r="B1116" s="1" t="n">
        <v>44994</v>
      </c>
      <c r="C1116" s="1" t="n">
        <v>45998</v>
      </c>
      <c r="D1116" t="inlineStr">
        <is>
          <t>VÄSTMANLANDS LÄN</t>
        </is>
      </c>
      <c r="E1116" t="inlineStr">
        <is>
          <t>ARBOGA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5604-2022</t>
        </is>
      </c>
      <c r="B1117" s="1" t="n">
        <v>44595.68612268518</v>
      </c>
      <c r="C1117" s="1" t="n">
        <v>45998</v>
      </c>
      <c r="D1117" t="inlineStr">
        <is>
          <t>VÄSTMANLANDS LÄN</t>
        </is>
      </c>
      <c r="E1117" t="inlineStr">
        <is>
          <t>VÄSTERÅS</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44544-2024</t>
        </is>
      </c>
      <c r="B1118" s="1" t="n">
        <v>45574.46119212963</v>
      </c>
      <c r="C1118" s="1" t="n">
        <v>45998</v>
      </c>
      <c r="D1118" t="inlineStr">
        <is>
          <t>VÄSTMANLANDS LÄN</t>
        </is>
      </c>
      <c r="E1118" t="inlineStr">
        <is>
          <t>SALA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41849-2024</t>
        </is>
      </c>
      <c r="B1119" s="1" t="n">
        <v>45561</v>
      </c>
      <c r="C1119" s="1" t="n">
        <v>45998</v>
      </c>
      <c r="D1119" t="inlineStr">
        <is>
          <t>VÄSTMANLANDS LÄN</t>
        </is>
      </c>
      <c r="E1119" t="inlineStr">
        <is>
          <t>VÄSTERÅS</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51798-2024</t>
        </is>
      </c>
      <c r="B1120" s="1" t="n">
        <v>45607.46910879629</v>
      </c>
      <c r="C1120" s="1" t="n">
        <v>45998</v>
      </c>
      <c r="D1120" t="inlineStr">
        <is>
          <t>VÄSTMANLANDS LÄN</t>
        </is>
      </c>
      <c r="E1120" t="inlineStr">
        <is>
          <t>NORBERG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11099-2023</t>
        </is>
      </c>
      <c r="B1121" s="1" t="n">
        <v>44992</v>
      </c>
      <c r="C1121" s="1" t="n">
        <v>45998</v>
      </c>
      <c r="D1121" t="inlineStr">
        <is>
          <t>VÄSTMANLANDS LÄN</t>
        </is>
      </c>
      <c r="E1121" t="inlineStr">
        <is>
          <t>NORBERG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12024-2023</t>
        </is>
      </c>
      <c r="B1122" s="1" t="n">
        <v>44995</v>
      </c>
      <c r="C1122" s="1" t="n">
        <v>45998</v>
      </c>
      <c r="D1122" t="inlineStr">
        <is>
          <t>VÄSTMANLANDS LÄN</t>
        </is>
      </c>
      <c r="E1122" t="inlineStr">
        <is>
          <t>SKINNSKATTEBERG</t>
        </is>
      </c>
      <c r="F1122" t="inlineStr">
        <is>
          <t>Sveaskog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1906-2022</t>
        </is>
      </c>
      <c r="B1123" s="1" t="n">
        <v>44575.39444444444</v>
      </c>
      <c r="C1123" s="1" t="n">
        <v>45998</v>
      </c>
      <c r="D1123" t="inlineStr">
        <is>
          <t>VÄSTMANLANDS LÄN</t>
        </is>
      </c>
      <c r="E1123" t="inlineStr">
        <is>
          <t>KUNGSÖR</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64729-2023</t>
        </is>
      </c>
      <c r="B1124" s="1" t="n">
        <v>45281</v>
      </c>
      <c r="C1124" s="1" t="n">
        <v>45998</v>
      </c>
      <c r="D1124" t="inlineStr">
        <is>
          <t>VÄSTMANLANDS LÄN</t>
        </is>
      </c>
      <c r="E1124" t="inlineStr">
        <is>
          <t>SALA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63505-2023</t>
        </is>
      </c>
      <c r="B1125" s="1" t="n">
        <v>45274.68616898148</v>
      </c>
      <c r="C1125" s="1" t="n">
        <v>45998</v>
      </c>
      <c r="D1125" t="inlineStr">
        <is>
          <t>VÄSTMANLANDS LÄN</t>
        </is>
      </c>
      <c r="E1125" t="inlineStr">
        <is>
          <t>NORBERG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48825-2022</t>
        </is>
      </c>
      <c r="B1126" s="1" t="n">
        <v>44859</v>
      </c>
      <c r="C1126" s="1" t="n">
        <v>45998</v>
      </c>
      <c r="D1126" t="inlineStr">
        <is>
          <t>VÄSTMANLANDS LÄN</t>
        </is>
      </c>
      <c r="E1126" t="inlineStr">
        <is>
          <t>SKINNSKATTEBERG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29456-2023</t>
        </is>
      </c>
      <c r="B1127" s="1" t="n">
        <v>45106</v>
      </c>
      <c r="C1127" s="1" t="n">
        <v>45998</v>
      </c>
      <c r="D1127" t="inlineStr">
        <is>
          <t>VÄSTMANLANDS LÄN</t>
        </is>
      </c>
      <c r="E1127" t="inlineStr">
        <is>
          <t>KÖPING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22793-2024</t>
        </is>
      </c>
      <c r="B1128" s="1" t="n">
        <v>45448</v>
      </c>
      <c r="C1128" s="1" t="n">
        <v>45998</v>
      </c>
      <c r="D1128" t="inlineStr">
        <is>
          <t>VÄSTMANLANDS LÄN</t>
        </is>
      </c>
      <c r="E1128" t="inlineStr">
        <is>
          <t>KÖPING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10883-2023</t>
        </is>
      </c>
      <c r="B1129" s="1" t="n">
        <v>44991</v>
      </c>
      <c r="C1129" s="1" t="n">
        <v>45998</v>
      </c>
      <c r="D1129" t="inlineStr">
        <is>
          <t>VÄSTMANLANDS LÄN</t>
        </is>
      </c>
      <c r="E1129" t="inlineStr">
        <is>
          <t>SURAHAMMAR</t>
        </is>
      </c>
      <c r="F1129" t="inlineStr">
        <is>
          <t>Övriga Aktiebolag</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57883-2024</t>
        </is>
      </c>
      <c r="B1130" s="1" t="n">
        <v>45630</v>
      </c>
      <c r="C1130" s="1" t="n">
        <v>45998</v>
      </c>
      <c r="D1130" t="inlineStr">
        <is>
          <t>VÄSTMANLANDS LÄN</t>
        </is>
      </c>
      <c r="E1130" t="inlineStr">
        <is>
          <t>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68864-2021</t>
        </is>
      </c>
      <c r="B1131" s="1" t="n">
        <v>44530</v>
      </c>
      <c r="C1131" s="1" t="n">
        <v>45998</v>
      </c>
      <c r="D1131" t="inlineStr">
        <is>
          <t>VÄSTMANLANDS LÄN</t>
        </is>
      </c>
      <c r="E1131" t="inlineStr">
        <is>
          <t>SALA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16576-2024</t>
        </is>
      </c>
      <c r="B1132" s="1" t="n">
        <v>45408.4725925926</v>
      </c>
      <c r="C1132" s="1" t="n">
        <v>45998</v>
      </c>
      <c r="D1132" t="inlineStr">
        <is>
          <t>VÄSTMANLANDS LÄN</t>
        </is>
      </c>
      <c r="E1132" t="inlineStr">
        <is>
          <t>ARBOGA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28374-2024</t>
        </is>
      </c>
      <c r="B1133" s="1" t="n">
        <v>45477.58703703704</v>
      </c>
      <c r="C1133" s="1" t="n">
        <v>45998</v>
      </c>
      <c r="D1133" t="inlineStr">
        <is>
          <t>VÄSTMANLANDS LÄN</t>
        </is>
      </c>
      <c r="E1133" t="inlineStr">
        <is>
          <t>KÖPING</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50876-2023</t>
        </is>
      </c>
      <c r="B1134" s="1" t="n">
        <v>45211</v>
      </c>
      <c r="C1134" s="1" t="n">
        <v>45998</v>
      </c>
      <c r="D1134" t="inlineStr">
        <is>
          <t>VÄSTMANLANDS LÄN</t>
        </is>
      </c>
      <c r="E1134" t="inlineStr">
        <is>
          <t>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50948-2023</t>
        </is>
      </c>
      <c r="B1135" s="1" t="n">
        <v>45218</v>
      </c>
      <c r="C1135" s="1" t="n">
        <v>45998</v>
      </c>
      <c r="D1135" t="inlineStr">
        <is>
          <t>VÄSTMANLANDS LÄN</t>
        </is>
      </c>
      <c r="E1135" t="inlineStr">
        <is>
          <t>VÄSTERÅS</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37624-2024</t>
        </is>
      </c>
      <c r="B1136" s="1" t="n">
        <v>45541</v>
      </c>
      <c r="C1136" s="1" t="n">
        <v>45998</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28230-2023</t>
        </is>
      </c>
      <c r="B1137" s="1" t="n">
        <v>45099</v>
      </c>
      <c r="C1137" s="1" t="n">
        <v>45998</v>
      </c>
      <c r="D1137" t="inlineStr">
        <is>
          <t>VÄSTMANLANDS LÄN</t>
        </is>
      </c>
      <c r="E1137" t="inlineStr">
        <is>
          <t>KÖPING</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40398-2021</t>
        </is>
      </c>
      <c r="B1138" s="1" t="n">
        <v>44419</v>
      </c>
      <c r="C1138" s="1" t="n">
        <v>45998</v>
      </c>
      <c r="D1138" t="inlineStr">
        <is>
          <t>VÄSTMANLANDS LÄN</t>
        </is>
      </c>
      <c r="E1138" t="inlineStr">
        <is>
          <t>SALA</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14420-2023</t>
        </is>
      </c>
      <c r="B1139" s="1" t="n">
        <v>45012.53770833334</v>
      </c>
      <c r="C1139" s="1" t="n">
        <v>45998</v>
      </c>
      <c r="D1139" t="inlineStr">
        <is>
          <t>VÄSTMANLANDS LÄN</t>
        </is>
      </c>
      <c r="E1139" t="inlineStr">
        <is>
          <t>ARBOGA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24665-2023</t>
        </is>
      </c>
      <c r="B1140" s="1" t="n">
        <v>45084.48592592592</v>
      </c>
      <c r="C1140" s="1" t="n">
        <v>45998</v>
      </c>
      <c r="D1140" t="inlineStr">
        <is>
          <t>VÄSTMANLANDS LÄN</t>
        </is>
      </c>
      <c r="E1140" t="inlineStr">
        <is>
          <t>SURAHAMMAR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6351-2023</t>
        </is>
      </c>
      <c r="B1141" s="1" t="n">
        <v>44965</v>
      </c>
      <c r="C1141" s="1" t="n">
        <v>45998</v>
      </c>
      <c r="D1141" t="inlineStr">
        <is>
          <t>VÄSTMANLANDS LÄN</t>
        </is>
      </c>
      <c r="E1141" t="inlineStr">
        <is>
          <t>SALA</t>
        </is>
      </c>
      <c r="F1141" t="inlineStr">
        <is>
          <t>Kommuner</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60991-2023</t>
        </is>
      </c>
      <c r="B1142" s="1" t="n">
        <v>45261</v>
      </c>
      <c r="C1142" s="1" t="n">
        <v>45998</v>
      </c>
      <c r="D1142" t="inlineStr">
        <is>
          <t>VÄSTMANLANDS LÄN</t>
        </is>
      </c>
      <c r="E1142" t="inlineStr">
        <is>
          <t>KÖPING</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19164-2025</t>
        </is>
      </c>
      <c r="B1143" s="1" t="n">
        <v>45769</v>
      </c>
      <c r="C1143" s="1" t="n">
        <v>45998</v>
      </c>
      <c r="D1143" t="inlineStr">
        <is>
          <t>VÄSTMANLANDS LÄN</t>
        </is>
      </c>
      <c r="E1143" t="inlineStr">
        <is>
          <t>NORBERG</t>
        </is>
      </c>
      <c r="F1143" t="inlineStr">
        <is>
          <t>Övriga Aktiebolag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19173-2025</t>
        </is>
      </c>
      <c r="B1144" s="1" t="n">
        <v>45769.39085648148</v>
      </c>
      <c r="C1144" s="1" t="n">
        <v>45998</v>
      </c>
      <c r="D1144" t="inlineStr">
        <is>
          <t>VÄSTMANLANDS LÄN</t>
        </is>
      </c>
      <c r="E1144" t="inlineStr">
        <is>
          <t>NORBERG</t>
        </is>
      </c>
      <c r="F1144" t="inlineStr">
        <is>
          <t>Övriga Aktiebolag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24167-2024</t>
        </is>
      </c>
      <c r="B1145" s="1" t="n">
        <v>45456</v>
      </c>
      <c r="C1145" s="1" t="n">
        <v>45998</v>
      </c>
      <c r="D1145" t="inlineStr">
        <is>
          <t>VÄSTMANLANDS LÄN</t>
        </is>
      </c>
      <c r="E1145" t="inlineStr">
        <is>
          <t>SURAHAMMAR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509-2021</t>
        </is>
      </c>
      <c r="B1146" s="1" t="n">
        <v>44203</v>
      </c>
      <c r="C1146" s="1" t="n">
        <v>45998</v>
      </c>
      <c r="D1146" t="inlineStr">
        <is>
          <t>VÄSTMANLANDS LÄN</t>
        </is>
      </c>
      <c r="E1146" t="inlineStr">
        <is>
          <t>ARBOGA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64925-2023</t>
        </is>
      </c>
      <c r="B1147" s="1" t="n">
        <v>45282</v>
      </c>
      <c r="C1147" s="1" t="n">
        <v>45998</v>
      </c>
      <c r="D1147" t="inlineStr">
        <is>
          <t>VÄSTMANLANDS LÄN</t>
        </is>
      </c>
      <c r="E1147" t="inlineStr">
        <is>
          <t>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8848-2025</t>
        </is>
      </c>
      <c r="B1148" s="1" t="n">
        <v>45713.34292824074</v>
      </c>
      <c r="C1148" s="1" t="n">
        <v>45998</v>
      </c>
      <c r="D1148" t="inlineStr">
        <is>
          <t>VÄSTMANLANDS LÄN</t>
        </is>
      </c>
      <c r="E1148" t="inlineStr">
        <is>
          <t>HALLSTAHAMMAR</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27262-2024</t>
        </is>
      </c>
      <c r="B1149" s="1" t="n">
        <v>45471</v>
      </c>
      <c r="C1149" s="1" t="n">
        <v>45998</v>
      </c>
      <c r="D1149" t="inlineStr">
        <is>
          <t>VÄSTMANLANDS LÄN</t>
        </is>
      </c>
      <c r="E1149" t="inlineStr">
        <is>
          <t>SALA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48570-2024</t>
        </is>
      </c>
      <c r="B1150" s="1" t="n">
        <v>45591</v>
      </c>
      <c r="C1150" s="1" t="n">
        <v>45998</v>
      </c>
      <c r="D1150" t="inlineStr">
        <is>
          <t>VÄSTMANLANDS LÄN</t>
        </is>
      </c>
      <c r="E1150" t="inlineStr">
        <is>
          <t>SALA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33989-2024</t>
        </is>
      </c>
      <c r="B1151" s="1" t="n">
        <v>45523</v>
      </c>
      <c r="C1151" s="1" t="n">
        <v>45998</v>
      </c>
      <c r="D1151" t="inlineStr">
        <is>
          <t>VÄSTMANLANDS LÄN</t>
        </is>
      </c>
      <c r="E1151" t="inlineStr">
        <is>
          <t>KÖPING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47846-2024</t>
        </is>
      </c>
      <c r="B1152" s="1" t="n">
        <v>45588</v>
      </c>
      <c r="C1152" s="1" t="n">
        <v>45998</v>
      </c>
      <c r="D1152" t="inlineStr">
        <is>
          <t>VÄSTMANLANDS LÄN</t>
        </is>
      </c>
      <c r="E1152" t="inlineStr">
        <is>
          <t>NORBERG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15584-2021</t>
        </is>
      </c>
      <c r="B1153" s="1" t="n">
        <v>44285</v>
      </c>
      <c r="C1153" s="1" t="n">
        <v>45998</v>
      </c>
      <c r="D1153" t="inlineStr">
        <is>
          <t>VÄSTMANLANDS LÄN</t>
        </is>
      </c>
      <c r="E1153" t="inlineStr">
        <is>
          <t>SALA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23119-2022</t>
        </is>
      </c>
      <c r="B1154" s="1" t="n">
        <v>44719.56697916667</v>
      </c>
      <c r="C1154" s="1" t="n">
        <v>45998</v>
      </c>
      <c r="D1154" t="inlineStr">
        <is>
          <t>VÄSTMANLANDS LÄN</t>
        </is>
      </c>
      <c r="E1154" t="inlineStr">
        <is>
          <t>SALA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19398-2024</t>
        </is>
      </c>
      <c r="B1155" s="1" t="n">
        <v>45429</v>
      </c>
      <c r="C1155" s="1" t="n">
        <v>45998</v>
      </c>
      <c r="D1155" t="inlineStr">
        <is>
          <t>VÄSTMANLANDS LÄN</t>
        </is>
      </c>
      <c r="E1155" t="inlineStr">
        <is>
          <t>SKINNSKATTEBERG</t>
        </is>
      </c>
      <c r="F1155" t="inlineStr">
        <is>
          <t>Sveaskog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17345-2022</t>
        </is>
      </c>
      <c r="B1156" s="1" t="n">
        <v>44678.5628125</v>
      </c>
      <c r="C1156" s="1" t="n">
        <v>45998</v>
      </c>
      <c r="D1156" t="inlineStr">
        <is>
          <t>VÄSTMANLANDS LÄN</t>
        </is>
      </c>
      <c r="E1156" t="inlineStr">
        <is>
          <t>KÖPING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43751-2021</t>
        </is>
      </c>
      <c r="B1157" s="1" t="n">
        <v>44433</v>
      </c>
      <c r="C1157" s="1" t="n">
        <v>45998</v>
      </c>
      <c r="D1157" t="inlineStr">
        <is>
          <t>VÄSTMANLANDS LÄN</t>
        </is>
      </c>
      <c r="E1157" t="inlineStr">
        <is>
          <t>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53142-2021</t>
        </is>
      </c>
      <c r="B1158" s="1" t="n">
        <v>44468.32285879629</v>
      </c>
      <c r="C1158" s="1" t="n">
        <v>45998</v>
      </c>
      <c r="D1158" t="inlineStr">
        <is>
          <t>VÄSTMANLANDS LÄN</t>
        </is>
      </c>
      <c r="E1158" t="inlineStr">
        <is>
          <t>SKINNSKATTEBERG</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59483-2022</t>
        </is>
      </c>
      <c r="B1159" s="1" t="n">
        <v>44907.45679398148</v>
      </c>
      <c r="C1159" s="1" t="n">
        <v>45998</v>
      </c>
      <c r="D1159" t="inlineStr">
        <is>
          <t>VÄSTMANLANDS LÄN</t>
        </is>
      </c>
      <c r="E1159" t="inlineStr">
        <is>
          <t>SALA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10851-2023</t>
        </is>
      </c>
      <c r="B1160" s="1" t="n">
        <v>44991</v>
      </c>
      <c r="C1160" s="1" t="n">
        <v>45998</v>
      </c>
      <c r="D1160" t="inlineStr">
        <is>
          <t>VÄSTMANLANDS LÄN</t>
        </is>
      </c>
      <c r="E1160" t="inlineStr">
        <is>
          <t>FAGERSTA</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61517-2024</t>
        </is>
      </c>
      <c r="B1161" s="1" t="n">
        <v>45645</v>
      </c>
      <c r="C1161" s="1" t="n">
        <v>45998</v>
      </c>
      <c r="D1161" t="inlineStr">
        <is>
          <t>VÄSTMANLANDS LÄN</t>
        </is>
      </c>
      <c r="E1161" t="inlineStr">
        <is>
          <t>SALA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61320-2023</t>
        </is>
      </c>
      <c r="B1162" s="1" t="n">
        <v>45264.57714120371</v>
      </c>
      <c r="C1162" s="1" t="n">
        <v>45998</v>
      </c>
      <c r="D1162" t="inlineStr">
        <is>
          <t>VÄSTMANLANDS LÄN</t>
        </is>
      </c>
      <c r="E1162" t="inlineStr">
        <is>
          <t>ARBOGA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53145-2021</t>
        </is>
      </c>
      <c r="B1163" s="1" t="n">
        <v>44468.32862268519</v>
      </c>
      <c r="C1163" s="1" t="n">
        <v>45998</v>
      </c>
      <c r="D1163" t="inlineStr">
        <is>
          <t>VÄSTMANLANDS LÄN</t>
        </is>
      </c>
      <c r="E1163" t="inlineStr">
        <is>
          <t>SKINNSKATTEBERG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12258-2022</t>
        </is>
      </c>
      <c r="B1164" s="1" t="n">
        <v>44637</v>
      </c>
      <c r="C1164" s="1" t="n">
        <v>45998</v>
      </c>
      <c r="D1164" t="inlineStr">
        <is>
          <t>VÄSTMANLANDS LÄN</t>
        </is>
      </c>
      <c r="E1164" t="inlineStr">
        <is>
          <t>VÄSTERÅS</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16214-2023</t>
        </is>
      </c>
      <c r="B1165" s="1" t="n">
        <v>45028</v>
      </c>
      <c r="C1165" s="1" t="n">
        <v>45998</v>
      </c>
      <c r="D1165" t="inlineStr">
        <is>
          <t>VÄSTMANLANDS LÄN</t>
        </is>
      </c>
      <c r="E1165" t="inlineStr">
        <is>
          <t>VÄSTERÅS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59735-2022</t>
        </is>
      </c>
      <c r="B1166" s="1" t="n">
        <v>44908.45452546296</v>
      </c>
      <c r="C1166" s="1" t="n">
        <v>45998</v>
      </c>
      <c r="D1166" t="inlineStr">
        <is>
          <t>VÄSTMANLANDS LÄN</t>
        </is>
      </c>
      <c r="E1166" t="inlineStr">
        <is>
          <t>KÖPING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16225-2023</t>
        </is>
      </c>
      <c r="B1167" s="1" t="n">
        <v>45028.39668981481</v>
      </c>
      <c r="C1167" s="1" t="n">
        <v>45998</v>
      </c>
      <c r="D1167" t="inlineStr">
        <is>
          <t>VÄSTMANLANDS LÄN</t>
        </is>
      </c>
      <c r="E1167" t="inlineStr">
        <is>
          <t>NORBERG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4264-2023</t>
        </is>
      </c>
      <c r="B1168" s="1" t="n">
        <v>44953.56076388889</v>
      </c>
      <c r="C1168" s="1" t="n">
        <v>45998</v>
      </c>
      <c r="D1168" t="inlineStr">
        <is>
          <t>VÄSTMANLANDS LÄN</t>
        </is>
      </c>
      <c r="E1168" t="inlineStr">
        <is>
          <t>FAGERSTA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16760-2024</t>
        </is>
      </c>
      <c r="B1169" s="1" t="n">
        <v>45411</v>
      </c>
      <c r="C1169" s="1" t="n">
        <v>45998</v>
      </c>
      <c r="D1169" t="inlineStr">
        <is>
          <t>VÄSTMANLANDS LÄN</t>
        </is>
      </c>
      <c r="E1169" t="inlineStr">
        <is>
          <t>SALA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73673-2021</t>
        </is>
      </c>
      <c r="B1170" s="1" t="n">
        <v>44552.46501157407</v>
      </c>
      <c r="C1170" s="1" t="n">
        <v>45998</v>
      </c>
      <c r="D1170" t="inlineStr">
        <is>
          <t>VÄSTMANLANDS LÄN</t>
        </is>
      </c>
      <c r="E1170" t="inlineStr">
        <is>
          <t>SALA</t>
        </is>
      </c>
      <c r="G1170" t="n">
        <v>11.4</v>
      </c>
      <c r="H1170" t="n">
        <v>0</v>
      </c>
      <c r="I1170" t="n">
        <v>0</v>
      </c>
      <c r="J1170" t="n">
        <v>0</v>
      </c>
      <c r="K1170" t="n">
        <v>0</v>
      </c>
      <c r="L1170" t="n">
        <v>0</v>
      </c>
      <c r="M1170" t="n">
        <v>0</v>
      </c>
      <c r="N1170" t="n">
        <v>0</v>
      </c>
      <c r="O1170" t="n">
        <v>0</v>
      </c>
      <c r="P1170" t="n">
        <v>0</v>
      </c>
      <c r="Q1170" t="n">
        <v>0</v>
      </c>
      <c r="R1170" s="2" t="inlineStr"/>
    </row>
    <row r="1171" ht="15" customHeight="1">
      <c r="A1171" t="inlineStr">
        <is>
          <t>A 38432-2023</t>
        </is>
      </c>
      <c r="B1171" s="1" t="n">
        <v>45160</v>
      </c>
      <c r="C1171" s="1" t="n">
        <v>45998</v>
      </c>
      <c r="D1171" t="inlineStr">
        <is>
          <t>VÄSTMANLANDS LÄN</t>
        </is>
      </c>
      <c r="E1171" t="inlineStr">
        <is>
          <t>VÄSTERÅS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38436-2023</t>
        </is>
      </c>
      <c r="B1172" s="1" t="n">
        <v>45160</v>
      </c>
      <c r="C1172" s="1" t="n">
        <v>45998</v>
      </c>
      <c r="D1172" t="inlineStr">
        <is>
          <t>VÄSTMANLANDS LÄN</t>
        </is>
      </c>
      <c r="E1172" t="inlineStr">
        <is>
          <t>VÄSTERÅS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53343-2024</t>
        </is>
      </c>
      <c r="B1173" s="1" t="n">
        <v>45614.43885416666</v>
      </c>
      <c r="C1173" s="1" t="n">
        <v>45998</v>
      </c>
      <c r="D1173" t="inlineStr">
        <is>
          <t>VÄSTMANLANDS LÄN</t>
        </is>
      </c>
      <c r="E1173" t="inlineStr">
        <is>
          <t>HALLSTAHAMMAR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66584-2021</t>
        </is>
      </c>
      <c r="B1174" s="1" t="n">
        <v>44519.46189814815</v>
      </c>
      <c r="C1174" s="1" t="n">
        <v>45998</v>
      </c>
      <c r="D1174" t="inlineStr">
        <is>
          <t>VÄSTMANLANDS LÄN</t>
        </is>
      </c>
      <c r="E1174" t="inlineStr">
        <is>
          <t>SKINNSKATTEBERG</t>
        </is>
      </c>
      <c r="F1174" t="inlineStr">
        <is>
          <t>Sveaskog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56739-2021</t>
        </is>
      </c>
      <c r="B1175" s="1" t="n">
        <v>44481</v>
      </c>
      <c r="C1175" s="1" t="n">
        <v>45998</v>
      </c>
      <c r="D1175" t="inlineStr">
        <is>
          <t>VÄSTMANLANDS LÄN</t>
        </is>
      </c>
      <c r="E1175" t="inlineStr">
        <is>
          <t>FAGERSTA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4853-2023</t>
        </is>
      </c>
      <c r="B1176" s="1" t="n">
        <v>44957.73234953704</v>
      </c>
      <c r="C1176" s="1" t="n">
        <v>45998</v>
      </c>
      <c r="D1176" t="inlineStr">
        <is>
          <t>VÄSTMANLANDS LÄN</t>
        </is>
      </c>
      <c r="E1176" t="inlineStr">
        <is>
          <t>SALA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54603-2024</t>
        </is>
      </c>
      <c r="B1177" s="1" t="n">
        <v>45617.68224537037</v>
      </c>
      <c r="C1177" s="1" t="n">
        <v>45998</v>
      </c>
      <c r="D1177" t="inlineStr">
        <is>
          <t>VÄSTMANLANDS LÄN</t>
        </is>
      </c>
      <c r="E1177" t="inlineStr">
        <is>
          <t>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14926-2022</t>
        </is>
      </c>
      <c r="B1178" s="1" t="n">
        <v>44657</v>
      </c>
      <c r="C1178" s="1" t="n">
        <v>45998</v>
      </c>
      <c r="D1178" t="inlineStr">
        <is>
          <t>VÄSTMANLANDS LÄN</t>
        </is>
      </c>
      <c r="E1178" t="inlineStr">
        <is>
          <t>VÄSTERÅS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1812-2022</t>
        </is>
      </c>
      <c r="B1179" s="1" t="n">
        <v>44574</v>
      </c>
      <c r="C1179" s="1" t="n">
        <v>45998</v>
      </c>
      <c r="D1179" t="inlineStr">
        <is>
          <t>VÄSTMANLANDS LÄN</t>
        </is>
      </c>
      <c r="E1179" t="inlineStr">
        <is>
          <t>KÖPING</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30743-2021</t>
        </is>
      </c>
      <c r="B1180" s="1" t="n">
        <v>44365</v>
      </c>
      <c r="C1180" s="1" t="n">
        <v>45998</v>
      </c>
      <c r="D1180" t="inlineStr">
        <is>
          <t>VÄSTMANLANDS LÄN</t>
        </is>
      </c>
      <c r="E1180" t="inlineStr">
        <is>
          <t>HALLSTAHAMMAR</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17204-2023</t>
        </is>
      </c>
      <c r="B1181" s="1" t="n">
        <v>45034.91637731482</v>
      </c>
      <c r="C1181" s="1" t="n">
        <v>45998</v>
      </c>
      <c r="D1181" t="inlineStr">
        <is>
          <t>VÄSTMANLANDS LÄN</t>
        </is>
      </c>
      <c r="E1181" t="inlineStr">
        <is>
          <t>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6830-2021</t>
        </is>
      </c>
      <c r="B1182" s="1" t="n">
        <v>44236</v>
      </c>
      <c r="C1182" s="1" t="n">
        <v>45998</v>
      </c>
      <c r="D1182" t="inlineStr">
        <is>
          <t>VÄSTMANLANDS LÄN</t>
        </is>
      </c>
      <c r="E1182" t="inlineStr">
        <is>
          <t>KÖPING</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1993-2022</t>
        </is>
      </c>
      <c r="B1183" s="1" t="n">
        <v>44575</v>
      </c>
      <c r="C1183" s="1" t="n">
        <v>45998</v>
      </c>
      <c r="D1183" t="inlineStr">
        <is>
          <t>VÄSTMANLANDS LÄN</t>
        </is>
      </c>
      <c r="E1183" t="inlineStr">
        <is>
          <t>SALA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12796-2023</t>
        </is>
      </c>
      <c r="B1184" s="1" t="n">
        <v>45001.40960648148</v>
      </c>
      <c r="C1184" s="1" t="n">
        <v>45998</v>
      </c>
      <c r="D1184" t="inlineStr">
        <is>
          <t>VÄSTMANLANDS LÄN</t>
        </is>
      </c>
      <c r="E1184" t="inlineStr">
        <is>
          <t>NORBERG</t>
        </is>
      </c>
      <c r="G1184" t="n">
        <v>22.4</v>
      </c>
      <c r="H1184" t="n">
        <v>0</v>
      </c>
      <c r="I1184" t="n">
        <v>0</v>
      </c>
      <c r="J1184" t="n">
        <v>0</v>
      </c>
      <c r="K1184" t="n">
        <v>0</v>
      </c>
      <c r="L1184" t="n">
        <v>0</v>
      </c>
      <c r="M1184" t="n">
        <v>0</v>
      </c>
      <c r="N1184" t="n">
        <v>0</v>
      </c>
      <c r="O1184" t="n">
        <v>0</v>
      </c>
      <c r="P1184" t="n">
        <v>0</v>
      </c>
      <c r="Q1184" t="n">
        <v>0</v>
      </c>
      <c r="R1184" s="2" t="inlineStr"/>
    </row>
    <row r="1185" ht="15" customHeight="1">
      <c r="A1185" t="inlineStr">
        <is>
          <t>A 18109-2023</t>
        </is>
      </c>
      <c r="B1185" s="1" t="n">
        <v>45040</v>
      </c>
      <c r="C1185" s="1" t="n">
        <v>45998</v>
      </c>
      <c r="D1185" t="inlineStr">
        <is>
          <t>VÄSTMANLANDS LÄN</t>
        </is>
      </c>
      <c r="E1185" t="inlineStr">
        <is>
          <t>SKINNSKATTEBERG</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43103-2024</t>
        </is>
      </c>
      <c r="B1186" s="1" t="n">
        <v>45567</v>
      </c>
      <c r="C1186" s="1" t="n">
        <v>45998</v>
      </c>
      <c r="D1186" t="inlineStr">
        <is>
          <t>VÄSTMANLANDS LÄN</t>
        </is>
      </c>
      <c r="E1186" t="inlineStr">
        <is>
          <t>NORBERG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3085-2023</t>
        </is>
      </c>
      <c r="B1187" s="1" t="n">
        <v>44946</v>
      </c>
      <c r="C1187" s="1" t="n">
        <v>45998</v>
      </c>
      <c r="D1187" t="inlineStr">
        <is>
          <t>VÄSTMANLANDS LÄN</t>
        </is>
      </c>
      <c r="E1187" t="inlineStr">
        <is>
          <t>SURAHAMMAR</t>
        </is>
      </c>
      <c r="F1187" t="inlineStr">
        <is>
          <t>Kyrkan</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1793-2023</t>
        </is>
      </c>
      <c r="B1188" s="1" t="n">
        <v>44937</v>
      </c>
      <c r="C1188" s="1" t="n">
        <v>45998</v>
      </c>
      <c r="D1188" t="inlineStr">
        <is>
          <t>VÄSTMANLANDS LÄN</t>
        </is>
      </c>
      <c r="E1188" t="inlineStr">
        <is>
          <t>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11220-2023</t>
        </is>
      </c>
      <c r="B1189" s="1" t="n">
        <v>44988</v>
      </c>
      <c r="C1189" s="1" t="n">
        <v>45998</v>
      </c>
      <c r="D1189" t="inlineStr">
        <is>
          <t>VÄSTMANLANDS LÄN</t>
        </is>
      </c>
      <c r="E1189" t="inlineStr">
        <is>
          <t>KÖPING</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11992-2023</t>
        </is>
      </c>
      <c r="B1190" s="1" t="n">
        <v>44995</v>
      </c>
      <c r="C1190" s="1" t="n">
        <v>45998</v>
      </c>
      <c r="D1190" t="inlineStr">
        <is>
          <t>VÄSTMANLANDS LÄN</t>
        </is>
      </c>
      <c r="E1190" t="inlineStr">
        <is>
          <t>SKINNSKATTEBERG</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42279-2021</t>
        </is>
      </c>
      <c r="B1191" s="1" t="n">
        <v>44427.33684027778</v>
      </c>
      <c r="C1191" s="1" t="n">
        <v>45998</v>
      </c>
      <c r="D1191" t="inlineStr">
        <is>
          <t>VÄSTMANLANDS LÄN</t>
        </is>
      </c>
      <c r="E1191" t="inlineStr">
        <is>
          <t>ARBOGA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28312-2023</t>
        </is>
      </c>
      <c r="B1192" s="1" t="n">
        <v>45099</v>
      </c>
      <c r="C1192" s="1" t="n">
        <v>45998</v>
      </c>
      <c r="D1192" t="inlineStr">
        <is>
          <t>VÄSTMANLANDS LÄN</t>
        </is>
      </c>
      <c r="E1192" t="inlineStr">
        <is>
          <t>SKINNSKATTEBERG</t>
        </is>
      </c>
      <c r="F1192" t="inlineStr">
        <is>
          <t>Sveaskog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59609-2021</t>
        </is>
      </c>
      <c r="B1193" s="1" t="n">
        <v>44491.69118055556</v>
      </c>
      <c r="C1193" s="1" t="n">
        <v>45998</v>
      </c>
      <c r="D1193" t="inlineStr">
        <is>
          <t>VÄSTMANLANDS LÄN</t>
        </is>
      </c>
      <c r="E1193" t="inlineStr">
        <is>
          <t>KUNGSÖR</t>
        </is>
      </c>
      <c r="G1193" t="n">
        <v>12.7</v>
      </c>
      <c r="H1193" t="n">
        <v>0</v>
      </c>
      <c r="I1193" t="n">
        <v>0</v>
      </c>
      <c r="J1193" t="n">
        <v>0</v>
      </c>
      <c r="K1193" t="n">
        <v>0</v>
      </c>
      <c r="L1193" t="n">
        <v>0</v>
      </c>
      <c r="M1193" t="n">
        <v>0</v>
      </c>
      <c r="N1193" t="n">
        <v>0</v>
      </c>
      <c r="O1193" t="n">
        <v>0</v>
      </c>
      <c r="P1193" t="n">
        <v>0</v>
      </c>
      <c r="Q1193" t="n">
        <v>0</v>
      </c>
      <c r="R1193" s="2" t="inlineStr"/>
    </row>
    <row r="1194" ht="15" customHeight="1">
      <c r="A1194" t="inlineStr">
        <is>
          <t>A 18762-2024</t>
        </is>
      </c>
      <c r="B1194" s="1" t="n">
        <v>45426.55240740741</v>
      </c>
      <c r="C1194" s="1" t="n">
        <v>45998</v>
      </c>
      <c r="D1194" t="inlineStr">
        <is>
          <t>VÄSTMANLANDS LÄN</t>
        </is>
      </c>
      <c r="E1194" t="inlineStr">
        <is>
          <t>SALA</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17120-2023</t>
        </is>
      </c>
      <c r="B1195" s="1" t="n">
        <v>45034</v>
      </c>
      <c r="C1195" s="1" t="n">
        <v>45998</v>
      </c>
      <c r="D1195" t="inlineStr">
        <is>
          <t>VÄSTMANLANDS LÄN</t>
        </is>
      </c>
      <c r="E1195" t="inlineStr">
        <is>
          <t>SALA</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8800-2023</t>
        </is>
      </c>
      <c r="B1196" s="1" t="n">
        <v>44978.59603009259</v>
      </c>
      <c r="C1196" s="1" t="n">
        <v>45998</v>
      </c>
      <c r="D1196" t="inlineStr">
        <is>
          <t>VÄSTMANLANDS LÄN</t>
        </is>
      </c>
      <c r="E1196" t="inlineStr">
        <is>
          <t>VÄSTERÅS</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42938-2023</t>
        </is>
      </c>
      <c r="B1197" s="1" t="n">
        <v>45179</v>
      </c>
      <c r="C1197" s="1" t="n">
        <v>45998</v>
      </c>
      <c r="D1197" t="inlineStr">
        <is>
          <t>VÄSTMANLANDS LÄN</t>
        </is>
      </c>
      <c r="E1197" t="inlineStr">
        <is>
          <t>SALA</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11826-2024</t>
        </is>
      </c>
      <c r="B1198" s="1" t="n">
        <v>45376.34787037037</v>
      </c>
      <c r="C1198" s="1" t="n">
        <v>45998</v>
      </c>
      <c r="D1198" t="inlineStr">
        <is>
          <t>VÄSTMANLANDS LÄN</t>
        </is>
      </c>
      <c r="E1198" t="inlineStr">
        <is>
          <t>SKINNSKATTEBERG</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42984-2023</t>
        </is>
      </c>
      <c r="B1199" s="1" t="n">
        <v>45179</v>
      </c>
      <c r="C1199" s="1" t="n">
        <v>45998</v>
      </c>
      <c r="D1199" t="inlineStr">
        <is>
          <t>VÄSTMANLANDS LÄN</t>
        </is>
      </c>
      <c r="E1199" t="inlineStr">
        <is>
          <t>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21543-2023</t>
        </is>
      </c>
      <c r="B1200" s="1" t="n">
        <v>45063.55581018519</v>
      </c>
      <c r="C1200" s="1" t="n">
        <v>45998</v>
      </c>
      <c r="D1200" t="inlineStr">
        <is>
          <t>VÄSTMANLANDS LÄN</t>
        </is>
      </c>
      <c r="E1200" t="inlineStr">
        <is>
          <t>NORBERG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41344-2023</t>
        </is>
      </c>
      <c r="B1201" s="1" t="n">
        <v>45174</v>
      </c>
      <c r="C1201" s="1" t="n">
        <v>45998</v>
      </c>
      <c r="D1201" t="inlineStr">
        <is>
          <t>VÄSTMANLANDS LÄN</t>
        </is>
      </c>
      <c r="E1201" t="inlineStr">
        <is>
          <t>VÄSTERÅS</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29746-2022</t>
        </is>
      </c>
      <c r="B1202" s="1" t="n">
        <v>44755</v>
      </c>
      <c r="C1202" s="1" t="n">
        <v>45998</v>
      </c>
      <c r="D1202" t="inlineStr">
        <is>
          <t>VÄSTMANLANDS LÄN</t>
        </is>
      </c>
      <c r="E1202" t="inlineStr">
        <is>
          <t>VÄSTERÅS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37017-2023</t>
        </is>
      </c>
      <c r="B1203" s="1" t="n">
        <v>45155.35126157408</v>
      </c>
      <c r="C1203" s="1" t="n">
        <v>45998</v>
      </c>
      <c r="D1203" t="inlineStr">
        <is>
          <t>VÄSTMANLANDS LÄN</t>
        </is>
      </c>
      <c r="E1203" t="inlineStr">
        <is>
          <t>NORBERG</t>
        </is>
      </c>
      <c r="F1203" t="inlineStr">
        <is>
          <t>Övriga Aktiebolag</t>
        </is>
      </c>
      <c r="G1203" t="n">
        <v>15.9</v>
      </c>
      <c r="H1203" t="n">
        <v>0</v>
      </c>
      <c r="I1203" t="n">
        <v>0</v>
      </c>
      <c r="J1203" t="n">
        <v>0</v>
      </c>
      <c r="K1203" t="n">
        <v>0</v>
      </c>
      <c r="L1203" t="n">
        <v>0</v>
      </c>
      <c r="M1203" t="n">
        <v>0</v>
      </c>
      <c r="N1203" t="n">
        <v>0</v>
      </c>
      <c r="O1203" t="n">
        <v>0</v>
      </c>
      <c r="P1203" t="n">
        <v>0</v>
      </c>
      <c r="Q1203" t="n">
        <v>0</v>
      </c>
      <c r="R1203" s="2" t="inlineStr"/>
    </row>
    <row r="1204" ht="15" customHeight="1">
      <c r="A1204" t="inlineStr">
        <is>
          <t>A 5952-2024</t>
        </is>
      </c>
      <c r="B1204" s="1" t="n">
        <v>45335</v>
      </c>
      <c r="C1204" s="1" t="n">
        <v>45998</v>
      </c>
      <c r="D1204" t="inlineStr">
        <is>
          <t>VÄSTMANLANDS LÄN</t>
        </is>
      </c>
      <c r="E1204" t="inlineStr">
        <is>
          <t>KUNGSÖR</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66603-2020</t>
        </is>
      </c>
      <c r="B1205" s="1" t="n">
        <v>44179</v>
      </c>
      <c r="C1205" s="1" t="n">
        <v>45998</v>
      </c>
      <c r="D1205" t="inlineStr">
        <is>
          <t>VÄSTMANLANDS LÄN</t>
        </is>
      </c>
      <c r="E1205" t="inlineStr">
        <is>
          <t>ARBOGA</t>
        </is>
      </c>
      <c r="G1205" t="n">
        <v>16.5</v>
      </c>
      <c r="H1205" t="n">
        <v>0</v>
      </c>
      <c r="I1205" t="n">
        <v>0</v>
      </c>
      <c r="J1205" t="n">
        <v>0</v>
      </c>
      <c r="K1205" t="n">
        <v>0</v>
      </c>
      <c r="L1205" t="n">
        <v>0</v>
      </c>
      <c r="M1205" t="n">
        <v>0</v>
      </c>
      <c r="N1205" t="n">
        <v>0</v>
      </c>
      <c r="O1205" t="n">
        <v>0</v>
      </c>
      <c r="P1205" t="n">
        <v>0</v>
      </c>
      <c r="Q1205" t="n">
        <v>0</v>
      </c>
      <c r="R1205" s="2" t="inlineStr"/>
    </row>
    <row r="1206" ht="15" customHeight="1">
      <c r="A1206" t="inlineStr">
        <is>
          <t>A 11137-2023</t>
        </is>
      </c>
      <c r="B1206" s="1" t="n">
        <v>44987</v>
      </c>
      <c r="C1206" s="1" t="n">
        <v>45998</v>
      </c>
      <c r="D1206" t="inlineStr">
        <is>
          <t>VÄSTMANLANDS LÄN</t>
        </is>
      </c>
      <c r="E1206" t="inlineStr">
        <is>
          <t>VÄSTERÅS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45430-2024</t>
        </is>
      </c>
      <c r="B1207" s="1" t="n">
        <v>45576</v>
      </c>
      <c r="C1207" s="1" t="n">
        <v>45998</v>
      </c>
      <c r="D1207" t="inlineStr">
        <is>
          <t>VÄSTMANLANDS LÄN</t>
        </is>
      </c>
      <c r="E1207" t="inlineStr">
        <is>
          <t>NORBERG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20816-2023</t>
        </is>
      </c>
      <c r="B1208" s="1" t="n">
        <v>45058</v>
      </c>
      <c r="C1208" s="1" t="n">
        <v>45998</v>
      </c>
      <c r="D1208" t="inlineStr">
        <is>
          <t>VÄSTMANLANDS LÄN</t>
        </is>
      </c>
      <c r="E1208" t="inlineStr">
        <is>
          <t>SKINNSKATTEBERG</t>
        </is>
      </c>
      <c r="F1208" t="inlineStr">
        <is>
          <t>Sveaskog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15972-2024</t>
        </is>
      </c>
      <c r="B1209" s="1" t="n">
        <v>45405.56498842593</v>
      </c>
      <c r="C1209" s="1" t="n">
        <v>45998</v>
      </c>
      <c r="D1209" t="inlineStr">
        <is>
          <t>VÄSTMANLANDS LÄN</t>
        </is>
      </c>
      <c r="E1209" t="inlineStr">
        <is>
          <t>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39269-2023</t>
        </is>
      </c>
      <c r="B1210" s="1" t="n">
        <v>45166.49605324074</v>
      </c>
      <c r="C1210" s="1" t="n">
        <v>45998</v>
      </c>
      <c r="D1210" t="inlineStr">
        <is>
          <t>VÄSTMANLANDS LÄN</t>
        </is>
      </c>
      <c r="E1210" t="inlineStr">
        <is>
          <t>KUNGSÖR</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39714-2023</t>
        </is>
      </c>
      <c r="B1211" s="1" t="n">
        <v>45167.62133101852</v>
      </c>
      <c r="C1211" s="1" t="n">
        <v>45998</v>
      </c>
      <c r="D1211" t="inlineStr">
        <is>
          <t>VÄSTMANLANDS LÄN</t>
        </is>
      </c>
      <c r="E1211" t="inlineStr">
        <is>
          <t>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15348-2023</t>
        </is>
      </c>
      <c r="B1212" s="1" t="n">
        <v>45019</v>
      </c>
      <c r="C1212" s="1" t="n">
        <v>45998</v>
      </c>
      <c r="D1212" t="inlineStr">
        <is>
          <t>VÄSTMANLANDS LÄN</t>
        </is>
      </c>
      <c r="E1212" t="inlineStr">
        <is>
          <t>VÄSTERÅS</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8818-2023</t>
        </is>
      </c>
      <c r="B1213" s="1" t="n">
        <v>44978</v>
      </c>
      <c r="C1213" s="1" t="n">
        <v>45998</v>
      </c>
      <c r="D1213" t="inlineStr">
        <is>
          <t>VÄSTMANLANDS LÄN</t>
        </is>
      </c>
      <c r="E1213" t="inlineStr">
        <is>
          <t>ARBOGA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60485-2022</t>
        </is>
      </c>
      <c r="B1214" s="1" t="n">
        <v>44911.4296412037</v>
      </c>
      <c r="C1214" s="1" t="n">
        <v>45998</v>
      </c>
      <c r="D1214" t="inlineStr">
        <is>
          <t>VÄSTMANLANDS LÄN</t>
        </is>
      </c>
      <c r="E1214" t="inlineStr">
        <is>
          <t>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65582-2021</t>
        </is>
      </c>
      <c r="B1215" s="1" t="n">
        <v>44516</v>
      </c>
      <c r="C1215" s="1" t="n">
        <v>45998</v>
      </c>
      <c r="D1215" t="inlineStr">
        <is>
          <t>VÄSTMANLANDS LÄN</t>
        </is>
      </c>
      <c r="E1215" t="inlineStr">
        <is>
          <t>KÖPING</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8346-2022</t>
        </is>
      </c>
      <c r="B1216" s="1" t="n">
        <v>44610</v>
      </c>
      <c r="C1216" s="1" t="n">
        <v>45998</v>
      </c>
      <c r="D1216" t="inlineStr">
        <is>
          <t>VÄSTMANLANDS LÄN</t>
        </is>
      </c>
      <c r="E1216" t="inlineStr">
        <is>
          <t>VÄSTERÅS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13168-2021</t>
        </is>
      </c>
      <c r="B1217" s="1" t="n">
        <v>44272</v>
      </c>
      <c r="C1217" s="1" t="n">
        <v>45998</v>
      </c>
      <c r="D1217" t="inlineStr">
        <is>
          <t>VÄSTMANLANDS LÄN</t>
        </is>
      </c>
      <c r="E1217" t="inlineStr">
        <is>
          <t>ARBOGA</t>
        </is>
      </c>
      <c r="F1217" t="inlineStr">
        <is>
          <t>Allmännings- och besparingsskogar</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42447-2022</t>
        </is>
      </c>
      <c r="B1218" s="1" t="n">
        <v>44831</v>
      </c>
      <c r="C1218" s="1" t="n">
        <v>45998</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42425-2023</t>
        </is>
      </c>
      <c r="B1219" s="1" t="n">
        <v>45180.61459490741</v>
      </c>
      <c r="C1219" s="1" t="n">
        <v>45998</v>
      </c>
      <c r="D1219" t="inlineStr">
        <is>
          <t>VÄSTMANLANDS LÄN</t>
        </is>
      </c>
      <c r="E1219" t="inlineStr">
        <is>
          <t>SKINNSKATTEBERG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20197-2023</t>
        </is>
      </c>
      <c r="B1220" s="1" t="n">
        <v>45055</v>
      </c>
      <c r="C1220" s="1" t="n">
        <v>45998</v>
      </c>
      <c r="D1220" t="inlineStr">
        <is>
          <t>VÄSTMANLANDS LÄN</t>
        </is>
      </c>
      <c r="E1220" t="inlineStr">
        <is>
          <t>KUNGSÖR</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21926-2024</t>
        </is>
      </c>
      <c r="B1221" s="1" t="n">
        <v>45443.46515046297</v>
      </c>
      <c r="C1221" s="1" t="n">
        <v>45998</v>
      </c>
      <c r="D1221" t="inlineStr">
        <is>
          <t>VÄSTMANLANDS LÄN</t>
        </is>
      </c>
      <c r="E1221" t="inlineStr">
        <is>
          <t>VÄSTERÅS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11183-2023</t>
        </is>
      </c>
      <c r="B1222" s="1" t="n">
        <v>44992.57782407408</v>
      </c>
      <c r="C1222" s="1" t="n">
        <v>45998</v>
      </c>
      <c r="D1222" t="inlineStr">
        <is>
          <t>VÄSTMANLANDS LÄN</t>
        </is>
      </c>
      <c r="E1222" t="inlineStr">
        <is>
          <t>SALA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11190-2023</t>
        </is>
      </c>
      <c r="B1223" s="1" t="n">
        <v>44992</v>
      </c>
      <c r="C1223" s="1" t="n">
        <v>45998</v>
      </c>
      <c r="D1223" t="inlineStr">
        <is>
          <t>VÄSTMANLANDS LÄN</t>
        </is>
      </c>
      <c r="E1223" t="inlineStr">
        <is>
          <t>SALA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33527-2023</t>
        </is>
      </c>
      <c r="B1224" s="1" t="n">
        <v>45131</v>
      </c>
      <c r="C1224" s="1" t="n">
        <v>45998</v>
      </c>
      <c r="D1224" t="inlineStr">
        <is>
          <t>VÄSTMANLANDS LÄN</t>
        </is>
      </c>
      <c r="E1224" t="inlineStr">
        <is>
          <t>SALA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15540-2024</t>
        </is>
      </c>
      <c r="B1225" s="1" t="n">
        <v>45401</v>
      </c>
      <c r="C1225" s="1" t="n">
        <v>45998</v>
      </c>
      <c r="D1225" t="inlineStr">
        <is>
          <t>VÄSTMANLANDS LÄN</t>
        </is>
      </c>
      <c r="E1225" t="inlineStr">
        <is>
          <t>SKINNSKATTEBERG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18161-2024</t>
        </is>
      </c>
      <c r="B1226" s="1" t="n">
        <v>45420</v>
      </c>
      <c r="C1226" s="1" t="n">
        <v>45998</v>
      </c>
      <c r="D1226" t="inlineStr">
        <is>
          <t>VÄSTMANLANDS LÄN</t>
        </is>
      </c>
      <c r="E1226" t="inlineStr">
        <is>
          <t>SKINNSKATTEBERG</t>
        </is>
      </c>
      <c r="F1226" t="inlineStr">
        <is>
          <t>Sveaskog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19253-2023</t>
        </is>
      </c>
      <c r="B1227" s="1" t="n">
        <v>45049.32165509259</v>
      </c>
      <c r="C1227" s="1" t="n">
        <v>45998</v>
      </c>
      <c r="D1227" t="inlineStr">
        <is>
          <t>VÄSTMANLANDS LÄN</t>
        </is>
      </c>
      <c r="E1227" t="inlineStr">
        <is>
          <t>NORBERG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22832-2023</t>
        </is>
      </c>
      <c r="B1228" s="1" t="n">
        <v>45072</v>
      </c>
      <c r="C1228" s="1" t="n">
        <v>45998</v>
      </c>
      <c r="D1228" t="inlineStr">
        <is>
          <t>VÄSTMANLANDS LÄN</t>
        </is>
      </c>
      <c r="E1228" t="inlineStr">
        <is>
          <t>VÄSTERÅS</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19093-2023</t>
        </is>
      </c>
      <c r="B1229" s="1" t="n">
        <v>45048.42040509259</v>
      </c>
      <c r="C1229" s="1" t="n">
        <v>45998</v>
      </c>
      <c r="D1229" t="inlineStr">
        <is>
          <t>VÄSTMANLANDS LÄN</t>
        </is>
      </c>
      <c r="E1229" t="inlineStr">
        <is>
          <t>SKINNSKATTEBERG</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38055-2023</t>
        </is>
      </c>
      <c r="B1230" s="1" t="n">
        <v>45160.69415509259</v>
      </c>
      <c r="C1230" s="1" t="n">
        <v>45998</v>
      </c>
      <c r="D1230" t="inlineStr">
        <is>
          <t>VÄSTMANLANDS LÄN</t>
        </is>
      </c>
      <c r="E1230" t="inlineStr">
        <is>
          <t>KÖPING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72367-2021</t>
        </is>
      </c>
      <c r="B1231" s="1" t="n">
        <v>44545</v>
      </c>
      <c r="C1231" s="1" t="n">
        <v>45998</v>
      </c>
      <c r="D1231" t="inlineStr">
        <is>
          <t>VÄSTMANLANDS LÄN</t>
        </is>
      </c>
      <c r="E1231" t="inlineStr">
        <is>
          <t>SURAHAMMAR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59612-2021</t>
        </is>
      </c>
      <c r="B1232" s="1" t="n">
        <v>44491</v>
      </c>
      <c r="C1232" s="1" t="n">
        <v>45998</v>
      </c>
      <c r="D1232" t="inlineStr">
        <is>
          <t>VÄSTMANLANDS LÄN</t>
        </is>
      </c>
      <c r="E1232" t="inlineStr">
        <is>
          <t>KUNGSÖR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31950-2023</t>
        </is>
      </c>
      <c r="B1233" s="1" t="n">
        <v>45107</v>
      </c>
      <c r="C1233" s="1" t="n">
        <v>45998</v>
      </c>
      <c r="D1233" t="inlineStr">
        <is>
          <t>VÄSTMANLANDS LÄN</t>
        </is>
      </c>
      <c r="E1233" t="inlineStr">
        <is>
          <t>SALA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65023-2021</t>
        </is>
      </c>
      <c r="B1234" s="1" t="n">
        <v>44512</v>
      </c>
      <c r="C1234" s="1" t="n">
        <v>45998</v>
      </c>
      <c r="D1234" t="inlineStr">
        <is>
          <t>VÄSTMANLANDS LÄN</t>
        </is>
      </c>
      <c r="E1234" t="inlineStr">
        <is>
          <t>KÖPING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65748-2021</t>
        </is>
      </c>
      <c r="B1235" s="1" t="n">
        <v>44516.80796296296</v>
      </c>
      <c r="C1235" s="1" t="n">
        <v>45998</v>
      </c>
      <c r="D1235" t="inlineStr">
        <is>
          <t>VÄSTMANLANDS LÄN</t>
        </is>
      </c>
      <c r="E1235" t="inlineStr">
        <is>
          <t>ARBOGA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8436-2023</t>
        </is>
      </c>
      <c r="B1236" s="1" t="n">
        <v>44977</v>
      </c>
      <c r="C1236" s="1" t="n">
        <v>45998</v>
      </c>
      <c r="D1236" t="inlineStr">
        <is>
          <t>VÄSTMANLANDS LÄN</t>
        </is>
      </c>
      <c r="E1236" t="inlineStr">
        <is>
          <t>HALLSTAHAMMAR</t>
        </is>
      </c>
      <c r="F1236" t="inlineStr">
        <is>
          <t>Kyrkan</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46874-2024</t>
        </is>
      </c>
      <c r="B1237" s="1" t="n">
        <v>45583.64019675926</v>
      </c>
      <c r="C1237" s="1" t="n">
        <v>45998</v>
      </c>
      <c r="D1237" t="inlineStr">
        <is>
          <t>VÄSTMANLANDS LÄN</t>
        </is>
      </c>
      <c r="E1237" t="inlineStr">
        <is>
          <t>SKINNSKATTEBERG</t>
        </is>
      </c>
      <c r="F1237" t="inlineStr">
        <is>
          <t>Sveaskog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39817-2024</t>
        </is>
      </c>
      <c r="B1238" s="1" t="n">
        <v>45553</v>
      </c>
      <c r="C1238" s="1" t="n">
        <v>45998</v>
      </c>
      <c r="D1238" t="inlineStr">
        <is>
          <t>VÄSTMANLANDS LÄN</t>
        </is>
      </c>
      <c r="E1238" t="inlineStr">
        <is>
          <t>VÄSTERÅS</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10913-2025</t>
        </is>
      </c>
      <c r="B1239" s="1" t="n">
        <v>45722.73423611111</v>
      </c>
      <c r="C1239" s="1" t="n">
        <v>45998</v>
      </c>
      <c r="D1239" t="inlineStr">
        <is>
          <t>VÄSTMANLANDS LÄN</t>
        </is>
      </c>
      <c r="E1239" t="inlineStr">
        <is>
          <t>SALA</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58107-2021</t>
        </is>
      </c>
      <c r="B1240" s="1" t="n">
        <v>44487</v>
      </c>
      <c r="C1240" s="1" t="n">
        <v>45998</v>
      </c>
      <c r="D1240" t="inlineStr">
        <is>
          <t>VÄSTMANLANDS LÄN</t>
        </is>
      </c>
      <c r="E1240" t="inlineStr">
        <is>
          <t>SALA</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15657-2023</t>
        </is>
      </c>
      <c r="B1241" s="1" t="n">
        <v>45021</v>
      </c>
      <c r="C1241" s="1" t="n">
        <v>45998</v>
      </c>
      <c r="D1241" t="inlineStr">
        <is>
          <t>VÄSTMANLANDS LÄN</t>
        </is>
      </c>
      <c r="E1241" t="inlineStr">
        <is>
          <t>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51778-2024</t>
        </is>
      </c>
      <c r="B1242" s="1" t="n">
        <v>45607.4571875</v>
      </c>
      <c r="C1242" s="1" t="n">
        <v>45998</v>
      </c>
      <c r="D1242" t="inlineStr">
        <is>
          <t>VÄSTMANLANDS LÄN</t>
        </is>
      </c>
      <c r="E1242" t="inlineStr">
        <is>
          <t>NORBERG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58317-2023</t>
        </is>
      </c>
      <c r="B1243" s="1" t="n">
        <v>45250.57809027778</v>
      </c>
      <c r="C1243" s="1" t="n">
        <v>45998</v>
      </c>
      <c r="D1243" t="inlineStr">
        <is>
          <t>VÄSTMANLANDS LÄN</t>
        </is>
      </c>
      <c r="E1243" t="inlineStr">
        <is>
          <t>SKINNSKATTEBERG</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6734-2022</t>
        </is>
      </c>
      <c r="B1244" s="1" t="n">
        <v>44602.46284722222</v>
      </c>
      <c r="C1244" s="1" t="n">
        <v>45998</v>
      </c>
      <c r="D1244" t="inlineStr">
        <is>
          <t>VÄSTMANLANDS LÄN</t>
        </is>
      </c>
      <c r="E1244" t="inlineStr">
        <is>
          <t>KUNGSÖR</t>
        </is>
      </c>
      <c r="G1244" t="n">
        <v>32.3</v>
      </c>
      <c r="H1244" t="n">
        <v>0</v>
      </c>
      <c r="I1244" t="n">
        <v>0</v>
      </c>
      <c r="J1244" t="n">
        <v>0</v>
      </c>
      <c r="K1244" t="n">
        <v>0</v>
      </c>
      <c r="L1244" t="n">
        <v>0</v>
      </c>
      <c r="M1244" t="n">
        <v>0</v>
      </c>
      <c r="N1244" t="n">
        <v>0</v>
      </c>
      <c r="O1244" t="n">
        <v>0</v>
      </c>
      <c r="P1244" t="n">
        <v>0</v>
      </c>
      <c r="Q1244" t="n">
        <v>0</v>
      </c>
      <c r="R1244" s="2" t="inlineStr"/>
    </row>
    <row r="1245" ht="15" customHeight="1">
      <c r="A1245" t="inlineStr">
        <is>
          <t>A 48859-2022</t>
        </is>
      </c>
      <c r="B1245" s="1" t="n">
        <v>44859.69474537037</v>
      </c>
      <c r="C1245" s="1" t="n">
        <v>45998</v>
      </c>
      <c r="D1245" t="inlineStr">
        <is>
          <t>VÄSTMANLANDS LÄN</t>
        </is>
      </c>
      <c r="E1245" t="inlineStr">
        <is>
          <t>NORBERG</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14719-2023</t>
        </is>
      </c>
      <c r="B1246" s="1" t="n">
        <v>45014</v>
      </c>
      <c r="C1246" s="1" t="n">
        <v>45998</v>
      </c>
      <c r="D1246" t="inlineStr">
        <is>
          <t>VÄSTMANLANDS LÄN</t>
        </is>
      </c>
      <c r="E1246" t="inlineStr">
        <is>
          <t>SKINNSKATTEBERG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14736-2023</t>
        </is>
      </c>
      <c r="B1247" s="1" t="n">
        <v>45014</v>
      </c>
      <c r="C1247" s="1" t="n">
        <v>45998</v>
      </c>
      <c r="D1247" t="inlineStr">
        <is>
          <t>VÄSTMANLANDS LÄN</t>
        </is>
      </c>
      <c r="E1247" t="inlineStr">
        <is>
          <t>SKINNSKATTEBERG</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46865-2023</t>
        </is>
      </c>
      <c r="B1248" s="1" t="n">
        <v>45200</v>
      </c>
      <c r="C1248" s="1" t="n">
        <v>45998</v>
      </c>
      <c r="D1248" t="inlineStr">
        <is>
          <t>VÄSTMANLANDS LÄN</t>
        </is>
      </c>
      <c r="E1248" t="inlineStr">
        <is>
          <t>NORBERG</t>
        </is>
      </c>
      <c r="F1248" t="inlineStr">
        <is>
          <t>Sveaskog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57747-2023</t>
        </is>
      </c>
      <c r="B1249" s="1" t="n">
        <v>45246</v>
      </c>
      <c r="C1249" s="1" t="n">
        <v>45998</v>
      </c>
      <c r="D1249" t="inlineStr">
        <is>
          <t>VÄSTMANLANDS LÄN</t>
        </is>
      </c>
      <c r="E1249" t="inlineStr">
        <is>
          <t>SKINNSKATTEBERG</t>
        </is>
      </c>
      <c r="F1249" t="inlineStr">
        <is>
          <t>Sveaskog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4036-2021</t>
        </is>
      </c>
      <c r="B1250" s="1" t="n">
        <v>44222</v>
      </c>
      <c r="C1250" s="1" t="n">
        <v>45998</v>
      </c>
      <c r="D1250" t="inlineStr">
        <is>
          <t>VÄSTMANLANDS LÄN</t>
        </is>
      </c>
      <c r="E1250" t="inlineStr">
        <is>
          <t>ARBOGA</t>
        </is>
      </c>
      <c r="G1250" t="n">
        <v>21.5</v>
      </c>
      <c r="H1250" t="n">
        <v>0</v>
      </c>
      <c r="I1250" t="n">
        <v>0</v>
      </c>
      <c r="J1250" t="n">
        <v>0</v>
      </c>
      <c r="K1250" t="n">
        <v>0</v>
      </c>
      <c r="L1250" t="n">
        <v>0</v>
      </c>
      <c r="M1250" t="n">
        <v>0</v>
      </c>
      <c r="N1250" t="n">
        <v>0</v>
      </c>
      <c r="O1250" t="n">
        <v>0</v>
      </c>
      <c r="P1250" t="n">
        <v>0</v>
      </c>
      <c r="Q1250" t="n">
        <v>0</v>
      </c>
      <c r="R1250" s="2" t="inlineStr"/>
    </row>
    <row r="1251" ht="15" customHeight="1">
      <c r="A1251" t="inlineStr">
        <is>
          <t>A 45804-2024</t>
        </is>
      </c>
      <c r="B1251" s="1" t="n">
        <v>45579</v>
      </c>
      <c r="C1251" s="1" t="n">
        <v>45998</v>
      </c>
      <c r="D1251" t="inlineStr">
        <is>
          <t>VÄSTMANLANDS LÄN</t>
        </is>
      </c>
      <c r="E1251" t="inlineStr">
        <is>
          <t>VÄSTERÅS</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2927-2024</t>
        </is>
      </c>
      <c r="B1252" s="1" t="n">
        <v>45315.58989583333</v>
      </c>
      <c r="C1252" s="1" t="n">
        <v>45998</v>
      </c>
      <c r="D1252" t="inlineStr">
        <is>
          <t>VÄSTMANLANDS LÄN</t>
        </is>
      </c>
      <c r="E1252" t="inlineStr">
        <is>
          <t>SALA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6785-2021</t>
        </is>
      </c>
      <c r="B1253" s="1" t="n">
        <v>44236</v>
      </c>
      <c r="C1253" s="1" t="n">
        <v>45998</v>
      </c>
      <c r="D1253" t="inlineStr">
        <is>
          <t>VÄSTMANLANDS LÄN</t>
        </is>
      </c>
      <c r="E1253" t="inlineStr">
        <is>
          <t>VÄSTERÅS</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32998-2023</t>
        </is>
      </c>
      <c r="B1254" s="1" t="n">
        <v>45125</v>
      </c>
      <c r="C1254" s="1" t="n">
        <v>45998</v>
      </c>
      <c r="D1254" t="inlineStr">
        <is>
          <t>VÄSTMANLANDS LÄN</t>
        </is>
      </c>
      <c r="E1254" t="inlineStr">
        <is>
          <t>VÄSTERÅS</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33007-2023</t>
        </is>
      </c>
      <c r="B1255" s="1" t="n">
        <v>45125</v>
      </c>
      <c r="C1255" s="1" t="n">
        <v>45998</v>
      </c>
      <c r="D1255" t="inlineStr">
        <is>
          <t>VÄSTMANLANDS LÄN</t>
        </is>
      </c>
      <c r="E1255" t="inlineStr">
        <is>
          <t>FAGERSTA</t>
        </is>
      </c>
      <c r="F1255" t="inlineStr">
        <is>
          <t>Sveaskog</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20395-2025</t>
        </is>
      </c>
      <c r="B1256" s="1" t="n">
        <v>45775</v>
      </c>
      <c r="C1256" s="1" t="n">
        <v>45998</v>
      </c>
      <c r="D1256" t="inlineStr">
        <is>
          <t>VÄSTMANLANDS LÄN</t>
        </is>
      </c>
      <c r="E1256" t="inlineStr">
        <is>
          <t>KÖPING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48710-2024</t>
        </is>
      </c>
      <c r="B1257" s="1" t="n">
        <v>45593.53636574074</v>
      </c>
      <c r="C1257" s="1" t="n">
        <v>45998</v>
      </c>
      <c r="D1257" t="inlineStr">
        <is>
          <t>VÄSTMANLANDS LÄN</t>
        </is>
      </c>
      <c r="E1257" t="inlineStr">
        <is>
          <t>SALA</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23406-2024</t>
        </is>
      </c>
      <c r="B1258" s="1" t="n">
        <v>45453.58296296297</v>
      </c>
      <c r="C1258" s="1" t="n">
        <v>45998</v>
      </c>
      <c r="D1258" t="inlineStr">
        <is>
          <t>VÄSTMANLANDS LÄN</t>
        </is>
      </c>
      <c r="E1258" t="inlineStr">
        <is>
          <t>SALA</t>
        </is>
      </c>
      <c r="G1258" t="n">
        <v>9.800000000000001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12246-2023</t>
        </is>
      </c>
      <c r="B1259" s="1" t="n">
        <v>44995</v>
      </c>
      <c r="C1259" s="1" t="n">
        <v>45998</v>
      </c>
      <c r="D1259" t="inlineStr">
        <is>
          <t>VÄSTMANLANDS LÄN</t>
        </is>
      </c>
      <c r="E1259" t="inlineStr">
        <is>
          <t>SALA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14626-2024</t>
        </is>
      </c>
      <c r="B1260" s="1" t="n">
        <v>45397</v>
      </c>
      <c r="C1260" s="1" t="n">
        <v>45998</v>
      </c>
      <c r="D1260" t="inlineStr">
        <is>
          <t>VÄSTMANLANDS LÄN</t>
        </is>
      </c>
      <c r="E1260" t="inlineStr">
        <is>
          <t>SKINNSKATTEBERG</t>
        </is>
      </c>
      <c r="F1260" t="inlineStr">
        <is>
          <t>Sveaskog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66595-2020</t>
        </is>
      </c>
      <c r="B1261" s="1" t="n">
        <v>44179</v>
      </c>
      <c r="C1261" s="1" t="n">
        <v>45998</v>
      </c>
      <c r="D1261" t="inlineStr">
        <is>
          <t>VÄSTMANLANDS LÄN</t>
        </is>
      </c>
      <c r="E1261" t="inlineStr">
        <is>
          <t>ARBOGA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56694-2024</t>
        </is>
      </c>
      <c r="B1262" s="1" t="n">
        <v>45627.75526620371</v>
      </c>
      <c r="C1262" s="1" t="n">
        <v>45998</v>
      </c>
      <c r="D1262" t="inlineStr">
        <is>
          <t>VÄSTMANLANDS LÄN</t>
        </is>
      </c>
      <c r="E1262" t="inlineStr">
        <is>
          <t>FAGERSTA</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37183-2024</t>
        </is>
      </c>
      <c r="B1263" s="1" t="n">
        <v>45539</v>
      </c>
      <c r="C1263" s="1" t="n">
        <v>45998</v>
      </c>
      <c r="D1263" t="inlineStr">
        <is>
          <t>VÄSTMANLANDS LÄN</t>
        </is>
      </c>
      <c r="E1263" t="inlineStr">
        <is>
          <t>SALA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44621-2023</t>
        </is>
      </c>
      <c r="B1264" s="1" t="n">
        <v>45189.64144675926</v>
      </c>
      <c r="C1264" s="1" t="n">
        <v>45998</v>
      </c>
      <c r="D1264" t="inlineStr">
        <is>
          <t>VÄSTMANLANDS LÄN</t>
        </is>
      </c>
      <c r="E1264" t="inlineStr">
        <is>
          <t>KÖPING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7848-2022</t>
        </is>
      </c>
      <c r="B1265" s="1" t="n">
        <v>44608.58400462963</v>
      </c>
      <c r="C1265" s="1" t="n">
        <v>45998</v>
      </c>
      <c r="D1265" t="inlineStr">
        <is>
          <t>VÄSTMANLANDS LÄN</t>
        </is>
      </c>
      <c r="E1265" t="inlineStr">
        <is>
          <t>SURAHAMMAR</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16907-2024</t>
        </is>
      </c>
      <c r="B1266" s="1" t="n">
        <v>45411.63599537037</v>
      </c>
      <c r="C1266" s="1" t="n">
        <v>45998</v>
      </c>
      <c r="D1266" t="inlineStr">
        <is>
          <t>VÄSTMANLANDS LÄN</t>
        </is>
      </c>
      <c r="E1266" t="inlineStr">
        <is>
          <t>KÖPING</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48571-2024</t>
        </is>
      </c>
      <c r="B1267" s="1" t="n">
        <v>45591</v>
      </c>
      <c r="C1267" s="1" t="n">
        <v>45998</v>
      </c>
      <c r="D1267" t="inlineStr">
        <is>
          <t>VÄSTMANLANDS LÄN</t>
        </is>
      </c>
      <c r="E1267" t="inlineStr">
        <is>
          <t>SALA</t>
        </is>
      </c>
      <c r="G1267" t="n">
        <v>8.199999999999999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64461-2021</t>
        </is>
      </c>
      <c r="B1268" s="1" t="n">
        <v>44511</v>
      </c>
      <c r="C1268" s="1" t="n">
        <v>45998</v>
      </c>
      <c r="D1268" t="inlineStr">
        <is>
          <t>VÄSTMANLANDS LÄN</t>
        </is>
      </c>
      <c r="E1268" t="inlineStr">
        <is>
          <t>ARBOGA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10948-2024</t>
        </is>
      </c>
      <c r="B1269" s="1" t="n">
        <v>45370.47395833334</v>
      </c>
      <c r="C1269" s="1" t="n">
        <v>45998</v>
      </c>
      <c r="D1269" t="inlineStr">
        <is>
          <t>VÄSTMANLANDS LÄN</t>
        </is>
      </c>
      <c r="E1269" t="inlineStr">
        <is>
          <t>KÖPING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10979-2024</t>
        </is>
      </c>
      <c r="B1270" s="1" t="n">
        <v>45370.53177083333</v>
      </c>
      <c r="C1270" s="1" t="n">
        <v>45998</v>
      </c>
      <c r="D1270" t="inlineStr">
        <is>
          <t>VÄSTMANLANDS LÄN</t>
        </is>
      </c>
      <c r="E1270" t="inlineStr">
        <is>
          <t>KÖPING</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33809-2022</t>
        </is>
      </c>
      <c r="B1271" s="1" t="n">
        <v>44790</v>
      </c>
      <c r="C1271" s="1" t="n">
        <v>45998</v>
      </c>
      <c r="D1271" t="inlineStr">
        <is>
          <t>VÄSTMANLANDS LÄN</t>
        </is>
      </c>
      <c r="E1271" t="inlineStr">
        <is>
          <t>ARBOGA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17374-2024</t>
        </is>
      </c>
      <c r="B1272" s="1" t="n">
        <v>45414</v>
      </c>
      <c r="C1272" s="1" t="n">
        <v>45998</v>
      </c>
      <c r="D1272" t="inlineStr">
        <is>
          <t>VÄSTMANLANDS LÄN</t>
        </is>
      </c>
      <c r="E1272" t="inlineStr">
        <is>
          <t>SKINNSKATTEBERG</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19387-2024</t>
        </is>
      </c>
      <c r="B1273" s="1" t="n">
        <v>45429</v>
      </c>
      <c r="C1273" s="1" t="n">
        <v>45998</v>
      </c>
      <c r="D1273" t="inlineStr">
        <is>
          <t>VÄSTMANLANDS LÄN</t>
        </is>
      </c>
      <c r="E1273" t="inlineStr">
        <is>
          <t>ARBOGA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50193-2022</t>
        </is>
      </c>
      <c r="B1274" s="1" t="n">
        <v>44865.61626157408</v>
      </c>
      <c r="C1274" s="1" t="n">
        <v>45998</v>
      </c>
      <c r="D1274" t="inlineStr">
        <is>
          <t>VÄSTMANLANDS LÄN</t>
        </is>
      </c>
      <c r="E1274" t="inlineStr">
        <is>
          <t>VÄSTERÅS</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50209-2024</t>
        </is>
      </c>
      <c r="B1275" s="1" t="n">
        <v>45600</v>
      </c>
      <c r="C1275" s="1" t="n">
        <v>45998</v>
      </c>
      <c r="D1275" t="inlineStr">
        <is>
          <t>VÄSTMANLANDS LÄN</t>
        </is>
      </c>
      <c r="E1275" t="inlineStr">
        <is>
          <t>FAGERSTA</t>
        </is>
      </c>
      <c r="F1275" t="inlineStr">
        <is>
          <t>Kommuner</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25660-2024</t>
        </is>
      </c>
      <c r="B1276" s="1" t="n">
        <v>45463.69828703703</v>
      </c>
      <c r="C1276" s="1" t="n">
        <v>45998</v>
      </c>
      <c r="D1276" t="inlineStr">
        <is>
          <t>VÄSTMANLANDS LÄN</t>
        </is>
      </c>
      <c r="E1276" t="inlineStr">
        <is>
          <t>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54199-2024</t>
        </is>
      </c>
      <c r="B1277" s="1" t="n">
        <v>45616.64703703704</v>
      </c>
      <c r="C1277" s="1" t="n">
        <v>45998</v>
      </c>
      <c r="D1277" t="inlineStr">
        <is>
          <t>VÄSTMANLANDS LÄN</t>
        </is>
      </c>
      <c r="E1277" t="inlineStr">
        <is>
          <t>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43362-2023</t>
        </is>
      </c>
      <c r="B1278" s="1" t="n">
        <v>45183</v>
      </c>
      <c r="C1278" s="1" t="n">
        <v>45998</v>
      </c>
      <c r="D1278" t="inlineStr">
        <is>
          <t>VÄSTMANLANDS LÄN</t>
        </is>
      </c>
      <c r="E1278" t="inlineStr">
        <is>
          <t>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60355-2024</t>
        </is>
      </c>
      <c r="B1279" s="1" t="n">
        <v>45643</v>
      </c>
      <c r="C1279" s="1" t="n">
        <v>45998</v>
      </c>
      <c r="D1279" t="inlineStr">
        <is>
          <t>VÄSTMANLANDS LÄN</t>
        </is>
      </c>
      <c r="E1279" t="inlineStr">
        <is>
          <t>SKINNSKATTEBERG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18799-2025</t>
        </is>
      </c>
      <c r="B1280" s="1" t="n">
        <v>45764</v>
      </c>
      <c r="C1280" s="1" t="n">
        <v>45998</v>
      </c>
      <c r="D1280" t="inlineStr">
        <is>
          <t>VÄSTMANLANDS LÄN</t>
        </is>
      </c>
      <c r="E1280" t="inlineStr">
        <is>
          <t>KÖPING</t>
        </is>
      </c>
      <c r="F1280" t="inlineStr">
        <is>
          <t>Sveaskog</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60548-2024</t>
        </is>
      </c>
      <c r="B1281" s="1" t="n">
        <v>45643.80978009259</v>
      </c>
      <c r="C1281" s="1" t="n">
        <v>45998</v>
      </c>
      <c r="D1281" t="inlineStr">
        <is>
          <t>VÄSTMANLANDS LÄN</t>
        </is>
      </c>
      <c r="E1281" t="inlineStr">
        <is>
          <t>SALA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64885-2020</t>
        </is>
      </c>
      <c r="B1282" s="1" t="n">
        <v>44171</v>
      </c>
      <c r="C1282" s="1" t="n">
        <v>45998</v>
      </c>
      <c r="D1282" t="inlineStr">
        <is>
          <t>VÄSTMANLANDS LÄN</t>
        </is>
      </c>
      <c r="E1282" t="inlineStr">
        <is>
          <t>NORBERG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6277-2022</t>
        </is>
      </c>
      <c r="B1283" s="1" t="n">
        <v>44600.46858796296</v>
      </c>
      <c r="C1283" s="1" t="n">
        <v>45998</v>
      </c>
      <c r="D1283" t="inlineStr">
        <is>
          <t>VÄSTMANLANDS LÄN</t>
        </is>
      </c>
      <c r="E1283" t="inlineStr">
        <is>
          <t>VÄSTERÅS</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10972-2021</t>
        </is>
      </c>
      <c r="B1284" s="1" t="n">
        <v>44260</v>
      </c>
      <c r="C1284" s="1" t="n">
        <v>45998</v>
      </c>
      <c r="D1284" t="inlineStr">
        <is>
          <t>VÄSTMANLANDS LÄN</t>
        </is>
      </c>
      <c r="E1284" t="inlineStr">
        <is>
          <t>KÖPING</t>
        </is>
      </c>
      <c r="F1284" t="inlineStr">
        <is>
          <t>Sveaskog</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18465-2023</t>
        </is>
      </c>
      <c r="B1285" s="1" t="n">
        <v>45042</v>
      </c>
      <c r="C1285" s="1" t="n">
        <v>45998</v>
      </c>
      <c r="D1285" t="inlineStr">
        <is>
          <t>VÄSTMANLANDS LÄN</t>
        </is>
      </c>
      <c r="E1285" t="inlineStr">
        <is>
          <t>VÄSTERÅS</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16767-2024</t>
        </is>
      </c>
      <c r="B1286" s="1" t="n">
        <v>45411.38171296296</v>
      </c>
      <c r="C1286" s="1" t="n">
        <v>45998</v>
      </c>
      <c r="D1286" t="inlineStr">
        <is>
          <t>VÄSTMANLANDS LÄN</t>
        </is>
      </c>
      <c r="E1286" t="inlineStr">
        <is>
          <t>SALA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2584-2024</t>
        </is>
      </c>
      <c r="B1287" s="1" t="n">
        <v>45313</v>
      </c>
      <c r="C1287" s="1" t="n">
        <v>45998</v>
      </c>
      <c r="D1287" t="inlineStr">
        <is>
          <t>VÄSTMANLANDS LÄN</t>
        </is>
      </c>
      <c r="E1287" t="inlineStr">
        <is>
          <t>KÖPING</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45308-2023</t>
        </is>
      </c>
      <c r="B1288" s="1" t="n">
        <v>45191.69444444445</v>
      </c>
      <c r="C1288" s="1" t="n">
        <v>45998</v>
      </c>
      <c r="D1288" t="inlineStr">
        <is>
          <t>VÄSTMANLANDS LÄN</t>
        </is>
      </c>
      <c r="E1288" t="inlineStr">
        <is>
          <t>KÖPING</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30630-2023</t>
        </is>
      </c>
      <c r="B1289" s="1" t="n">
        <v>45112</v>
      </c>
      <c r="C1289" s="1" t="n">
        <v>45998</v>
      </c>
      <c r="D1289" t="inlineStr">
        <is>
          <t>VÄSTMANLANDS LÄN</t>
        </is>
      </c>
      <c r="E1289" t="inlineStr">
        <is>
          <t>FAGERSTA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19888-2025</t>
        </is>
      </c>
      <c r="B1290" s="1" t="n">
        <v>45771.57357638889</v>
      </c>
      <c r="C1290" s="1" t="n">
        <v>45998</v>
      </c>
      <c r="D1290" t="inlineStr">
        <is>
          <t>VÄSTMANLANDS LÄN</t>
        </is>
      </c>
      <c r="E1290" t="inlineStr">
        <is>
          <t>FAGERSTA</t>
        </is>
      </c>
      <c r="F1290" t="inlineStr">
        <is>
          <t>Sveaskog</t>
        </is>
      </c>
      <c r="G1290" t="n">
        <v>16.8</v>
      </c>
      <c r="H1290" t="n">
        <v>0</v>
      </c>
      <c r="I1290" t="n">
        <v>0</v>
      </c>
      <c r="J1290" t="n">
        <v>0</v>
      </c>
      <c r="K1290" t="n">
        <v>0</v>
      </c>
      <c r="L1290" t="n">
        <v>0</v>
      </c>
      <c r="M1290" t="n">
        <v>0</v>
      </c>
      <c r="N1290" t="n">
        <v>0</v>
      </c>
      <c r="O1290" t="n">
        <v>0</v>
      </c>
      <c r="P1290" t="n">
        <v>0</v>
      </c>
      <c r="Q1290" t="n">
        <v>0</v>
      </c>
      <c r="R1290" s="2" t="inlineStr"/>
    </row>
    <row r="1291" ht="15" customHeight="1">
      <c r="A1291" t="inlineStr">
        <is>
          <t>A 11034-2022</t>
        </is>
      </c>
      <c r="B1291" s="1" t="n">
        <v>44628.58557870371</v>
      </c>
      <c r="C1291" s="1" t="n">
        <v>45998</v>
      </c>
      <c r="D1291" t="inlineStr">
        <is>
          <t>VÄSTMANLANDS LÄN</t>
        </is>
      </c>
      <c r="E1291" t="inlineStr">
        <is>
          <t>KÖPING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40690-2023</t>
        </is>
      </c>
      <c r="B1292" s="1" t="n">
        <v>45170.60081018518</v>
      </c>
      <c r="C1292" s="1" t="n">
        <v>45998</v>
      </c>
      <c r="D1292" t="inlineStr">
        <is>
          <t>VÄSTMANLANDS LÄN</t>
        </is>
      </c>
      <c r="E1292" t="inlineStr">
        <is>
          <t>KÖPING</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7103-2022</t>
        </is>
      </c>
      <c r="B1293" s="1" t="n">
        <v>44603</v>
      </c>
      <c r="C1293" s="1" t="n">
        <v>45998</v>
      </c>
      <c r="D1293" t="inlineStr">
        <is>
          <t>VÄSTMANLANDS LÄN</t>
        </is>
      </c>
      <c r="E1293" t="inlineStr">
        <is>
          <t>SKINNSKATTEBERG</t>
        </is>
      </c>
      <c r="F1293" t="inlineStr">
        <is>
          <t>Kyrkan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47689-2023</t>
        </is>
      </c>
      <c r="B1294" s="1" t="n">
        <v>45198</v>
      </c>
      <c r="C1294" s="1" t="n">
        <v>45998</v>
      </c>
      <c r="D1294" t="inlineStr">
        <is>
          <t>VÄSTMANLANDS LÄN</t>
        </is>
      </c>
      <c r="E1294" t="inlineStr">
        <is>
          <t>SKINNSKATTEBERG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59520-2024</t>
        </is>
      </c>
      <c r="B1295" s="1" t="n">
        <v>45638</v>
      </c>
      <c r="C1295" s="1" t="n">
        <v>45998</v>
      </c>
      <c r="D1295" t="inlineStr">
        <is>
          <t>VÄSTMANLANDS LÄN</t>
        </is>
      </c>
      <c r="E1295" t="inlineStr">
        <is>
          <t>VÄSTERÅS</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32341-2023</t>
        </is>
      </c>
      <c r="B1296" s="1" t="n">
        <v>45110</v>
      </c>
      <c r="C1296" s="1" t="n">
        <v>45998</v>
      </c>
      <c r="D1296" t="inlineStr">
        <is>
          <t>VÄSTMANLANDS LÄN</t>
        </is>
      </c>
      <c r="E1296" t="inlineStr">
        <is>
          <t>VÄSTERÅS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31470-2021</t>
        </is>
      </c>
      <c r="B1297" s="1" t="n">
        <v>44369</v>
      </c>
      <c r="C1297" s="1" t="n">
        <v>45998</v>
      </c>
      <c r="D1297" t="inlineStr">
        <is>
          <t>VÄSTMANLANDS LÄN</t>
        </is>
      </c>
      <c r="E1297" t="inlineStr">
        <is>
          <t>SALA</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18461-2024</t>
        </is>
      </c>
      <c r="B1298" s="1" t="n">
        <v>45425.47435185185</v>
      </c>
      <c r="C1298" s="1" t="n">
        <v>45998</v>
      </c>
      <c r="D1298" t="inlineStr">
        <is>
          <t>VÄSTMANLANDS LÄN</t>
        </is>
      </c>
      <c r="E1298" t="inlineStr">
        <is>
          <t>SALA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18516-2024</t>
        </is>
      </c>
      <c r="B1299" s="1" t="n">
        <v>45425.6054050926</v>
      </c>
      <c r="C1299" s="1" t="n">
        <v>45998</v>
      </c>
      <c r="D1299" t="inlineStr">
        <is>
          <t>VÄSTMANLANDS LÄN</t>
        </is>
      </c>
      <c r="E1299" t="inlineStr">
        <is>
          <t>SKINNSKATTEBERG</t>
        </is>
      </c>
      <c r="F1299" t="inlineStr">
        <is>
          <t>Sveaskog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18517-2024</t>
        </is>
      </c>
      <c r="B1300" s="1" t="n">
        <v>45425.60623842593</v>
      </c>
      <c r="C1300" s="1" t="n">
        <v>45998</v>
      </c>
      <c r="D1300" t="inlineStr">
        <is>
          <t>VÄSTMANLANDS LÄN</t>
        </is>
      </c>
      <c r="E1300" t="inlineStr">
        <is>
          <t>SKINNSKATTEBERG</t>
        </is>
      </c>
      <c r="F1300" t="inlineStr">
        <is>
          <t>Sveaskog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38905-2022</t>
        </is>
      </c>
      <c r="B1301" s="1" t="n">
        <v>44816</v>
      </c>
      <c r="C1301" s="1" t="n">
        <v>45998</v>
      </c>
      <c r="D1301" t="inlineStr">
        <is>
          <t>VÄSTMANLANDS LÄN</t>
        </is>
      </c>
      <c r="E1301" t="inlineStr">
        <is>
          <t>NORBERG</t>
        </is>
      </c>
      <c r="F1301" t="inlineStr">
        <is>
          <t>Sveaskog</t>
        </is>
      </c>
      <c r="G1301" t="n">
        <v>20.5</v>
      </c>
      <c r="H1301" t="n">
        <v>0</v>
      </c>
      <c r="I1301" t="n">
        <v>0</v>
      </c>
      <c r="J1301" t="n">
        <v>0</v>
      </c>
      <c r="K1301" t="n">
        <v>0</v>
      </c>
      <c r="L1301" t="n">
        <v>0</v>
      </c>
      <c r="M1301" t="n">
        <v>0</v>
      </c>
      <c r="N1301" t="n">
        <v>0</v>
      </c>
      <c r="O1301" t="n">
        <v>0</v>
      </c>
      <c r="P1301" t="n">
        <v>0</v>
      </c>
      <c r="Q1301" t="n">
        <v>0</v>
      </c>
      <c r="R1301" s="2" t="inlineStr"/>
    </row>
    <row r="1302" ht="15" customHeight="1">
      <c r="A1302" t="inlineStr">
        <is>
          <t>A 49101-2023</t>
        </is>
      </c>
      <c r="B1302" s="1" t="n">
        <v>45210</v>
      </c>
      <c r="C1302" s="1" t="n">
        <v>45998</v>
      </c>
      <c r="D1302" t="inlineStr">
        <is>
          <t>VÄSTMANLANDS LÄN</t>
        </is>
      </c>
      <c r="E1302" t="inlineStr">
        <is>
          <t>NORBERG</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51004-2024</t>
        </is>
      </c>
      <c r="B1303" s="1" t="n">
        <v>45603.38747685185</v>
      </c>
      <c r="C1303" s="1" t="n">
        <v>45998</v>
      </c>
      <c r="D1303" t="inlineStr">
        <is>
          <t>VÄSTMANLANDS LÄN</t>
        </is>
      </c>
      <c r="E1303" t="inlineStr">
        <is>
          <t>VÄSTERÅS</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48396-2023</t>
        </is>
      </c>
      <c r="B1304" s="1" t="n">
        <v>45205.78081018518</v>
      </c>
      <c r="C1304" s="1" t="n">
        <v>45998</v>
      </c>
      <c r="D1304" t="inlineStr">
        <is>
          <t>VÄSTMANLANDS LÄN</t>
        </is>
      </c>
      <c r="E1304" t="inlineStr">
        <is>
          <t>NORBERG</t>
        </is>
      </c>
      <c r="F1304" t="inlineStr">
        <is>
          <t>Sveaskog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73994-2021</t>
        </is>
      </c>
      <c r="B1305" s="1" t="n">
        <v>44556</v>
      </c>
      <c r="C1305" s="1" t="n">
        <v>45998</v>
      </c>
      <c r="D1305" t="inlineStr">
        <is>
          <t>VÄSTMANLANDS LÄN</t>
        </is>
      </c>
      <c r="E1305" t="inlineStr">
        <is>
          <t>VÄSTERÅS</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29230-2022</t>
        </is>
      </c>
      <c r="B1306" s="1" t="n">
        <v>44750</v>
      </c>
      <c r="C1306" s="1" t="n">
        <v>45998</v>
      </c>
      <c r="D1306" t="inlineStr">
        <is>
          <t>VÄSTMANLANDS LÄN</t>
        </is>
      </c>
      <c r="E1306" t="inlineStr">
        <is>
          <t>SALA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9335-2022</t>
        </is>
      </c>
      <c r="B1307" s="1" t="n">
        <v>44616.56579861111</v>
      </c>
      <c r="C1307" s="1" t="n">
        <v>45998</v>
      </c>
      <c r="D1307" t="inlineStr">
        <is>
          <t>VÄSTMANLANDS LÄN</t>
        </is>
      </c>
      <c r="E1307" t="inlineStr">
        <is>
          <t>SALA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22611-2024</t>
        </is>
      </c>
      <c r="B1308" s="1" t="n">
        <v>45447.64212962963</v>
      </c>
      <c r="C1308" s="1" t="n">
        <v>45998</v>
      </c>
      <c r="D1308" t="inlineStr">
        <is>
          <t>VÄSTMANLANDS LÄN</t>
        </is>
      </c>
      <c r="E1308" t="inlineStr">
        <is>
          <t>SKINNSKATTEBERG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9967-2021</t>
        </is>
      </c>
      <c r="B1309" s="1" t="n">
        <v>44253</v>
      </c>
      <c r="C1309" s="1" t="n">
        <v>45998</v>
      </c>
      <c r="D1309" t="inlineStr">
        <is>
          <t>VÄSTMANLANDS LÄN</t>
        </is>
      </c>
      <c r="E1309" t="inlineStr">
        <is>
          <t>VÄSTERÅS</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9969-2021</t>
        </is>
      </c>
      <c r="B1310" s="1" t="n">
        <v>44253</v>
      </c>
      <c r="C1310" s="1" t="n">
        <v>45998</v>
      </c>
      <c r="D1310" t="inlineStr">
        <is>
          <t>VÄSTMANLANDS LÄN</t>
        </is>
      </c>
      <c r="E1310" t="inlineStr">
        <is>
          <t>VÄSTERÅS</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53284-2024</t>
        </is>
      </c>
      <c r="B1311" s="1" t="n">
        <v>45614.38210648148</v>
      </c>
      <c r="C1311" s="1" t="n">
        <v>45998</v>
      </c>
      <c r="D1311" t="inlineStr">
        <is>
          <t>VÄSTMANLANDS LÄN</t>
        </is>
      </c>
      <c r="E1311" t="inlineStr">
        <is>
          <t>ARBOGA</t>
        </is>
      </c>
      <c r="F1311" t="inlineStr">
        <is>
          <t>Sveaskog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16608-2022</t>
        </is>
      </c>
      <c r="B1312" s="1" t="n">
        <v>44672</v>
      </c>
      <c r="C1312" s="1" t="n">
        <v>45998</v>
      </c>
      <c r="D1312" t="inlineStr">
        <is>
          <t>VÄSTMANLANDS LÄN</t>
        </is>
      </c>
      <c r="E1312" t="inlineStr">
        <is>
          <t>SURAHAMMAR</t>
        </is>
      </c>
      <c r="F1312" t="inlineStr">
        <is>
          <t>Bergvik skog väst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40167-2024</t>
        </is>
      </c>
      <c r="B1313" s="1" t="n">
        <v>45554</v>
      </c>
      <c r="C1313" s="1" t="n">
        <v>45998</v>
      </c>
      <c r="D1313" t="inlineStr">
        <is>
          <t>VÄSTMANLANDS LÄN</t>
        </is>
      </c>
      <c r="E1313" t="inlineStr">
        <is>
          <t>SKINNSKATTEBERG</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40169-2024</t>
        </is>
      </c>
      <c r="B1314" s="1" t="n">
        <v>45554.54996527778</v>
      </c>
      <c r="C1314" s="1" t="n">
        <v>45998</v>
      </c>
      <c r="D1314" t="inlineStr">
        <is>
          <t>VÄSTMANLANDS LÄN</t>
        </is>
      </c>
      <c r="E1314" t="inlineStr">
        <is>
          <t>SKINNSKATTEBERG</t>
        </is>
      </c>
      <c r="F1314" t="inlineStr">
        <is>
          <t>Sveaskog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54589-2024</t>
        </is>
      </c>
      <c r="B1315" s="1" t="n">
        <v>45617</v>
      </c>
      <c r="C1315" s="1" t="n">
        <v>45998</v>
      </c>
      <c r="D1315" t="inlineStr">
        <is>
          <t>VÄSTMANLANDS LÄN</t>
        </is>
      </c>
      <c r="E1315" t="inlineStr">
        <is>
          <t>SKINNSKATTEBERG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47479-2024</t>
        </is>
      </c>
      <c r="B1316" s="1" t="n">
        <v>45587</v>
      </c>
      <c r="C1316" s="1" t="n">
        <v>45998</v>
      </c>
      <c r="D1316" t="inlineStr">
        <is>
          <t>VÄSTMANLANDS LÄN</t>
        </is>
      </c>
      <c r="E1316" t="inlineStr">
        <is>
          <t>SALA</t>
        </is>
      </c>
      <c r="F1316" t="inlineStr">
        <is>
          <t>Kommuner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19153-2025</t>
        </is>
      </c>
      <c r="B1317" s="1" t="n">
        <v>45769</v>
      </c>
      <c r="C1317" s="1" t="n">
        <v>45998</v>
      </c>
      <c r="D1317" t="inlineStr">
        <is>
          <t>VÄSTMANLANDS LÄN</t>
        </is>
      </c>
      <c r="E1317" t="inlineStr">
        <is>
          <t>FAGERSTA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41469-2024</t>
        </is>
      </c>
      <c r="B1318" s="1" t="n">
        <v>45560</v>
      </c>
      <c r="C1318" s="1" t="n">
        <v>45998</v>
      </c>
      <c r="D1318" t="inlineStr">
        <is>
          <t>VÄSTMANLANDS LÄN</t>
        </is>
      </c>
      <c r="E1318" t="inlineStr">
        <is>
          <t>VÄSTERÅS</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48659-2024</t>
        </is>
      </c>
      <c r="B1319" s="1" t="n">
        <v>45593.48681712963</v>
      </c>
      <c r="C1319" s="1" t="n">
        <v>45998</v>
      </c>
      <c r="D1319" t="inlineStr">
        <is>
          <t>VÄSTMANLANDS LÄN</t>
        </is>
      </c>
      <c r="E1319" t="inlineStr">
        <is>
          <t>ARBOGA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61897-2022</t>
        </is>
      </c>
      <c r="B1320" s="1" t="n">
        <v>44917</v>
      </c>
      <c r="C1320" s="1" t="n">
        <v>45998</v>
      </c>
      <c r="D1320" t="inlineStr">
        <is>
          <t>VÄSTMANLANDS LÄN</t>
        </is>
      </c>
      <c r="E1320" t="inlineStr">
        <is>
          <t>KÖPING</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36248-2024</t>
        </is>
      </c>
      <c r="B1321" s="1" t="n">
        <v>45534</v>
      </c>
      <c r="C1321" s="1" t="n">
        <v>45998</v>
      </c>
      <c r="D1321" t="inlineStr">
        <is>
          <t>VÄSTMANLANDS LÄN</t>
        </is>
      </c>
      <c r="E1321" t="inlineStr">
        <is>
          <t>SKINNSKATTEBERG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19002-2021</t>
        </is>
      </c>
      <c r="B1322" s="1" t="n">
        <v>44308.49021990741</v>
      </c>
      <c r="C1322" s="1" t="n">
        <v>45998</v>
      </c>
      <c r="D1322" t="inlineStr">
        <is>
          <t>VÄSTMANLANDS LÄN</t>
        </is>
      </c>
      <c r="E1322" t="inlineStr">
        <is>
          <t>SKINNSKATTEBERG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6948-2023</t>
        </is>
      </c>
      <c r="B1323" s="1" t="n">
        <v>44967.58497685185</v>
      </c>
      <c r="C1323" s="1" t="n">
        <v>45998</v>
      </c>
      <c r="D1323" t="inlineStr">
        <is>
          <t>VÄSTMANLANDS LÄN</t>
        </is>
      </c>
      <c r="E1323" t="inlineStr">
        <is>
          <t>KÖPING</t>
        </is>
      </c>
      <c r="F1323" t="inlineStr">
        <is>
          <t>Sveaskog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61249-2021</t>
        </is>
      </c>
      <c r="B1324" s="1" t="n">
        <v>44498</v>
      </c>
      <c r="C1324" s="1" t="n">
        <v>45998</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11744-2022</t>
        </is>
      </c>
      <c r="B1325" s="1" t="n">
        <v>44634</v>
      </c>
      <c r="C1325" s="1" t="n">
        <v>45998</v>
      </c>
      <c r="D1325" t="inlineStr">
        <is>
          <t>VÄSTMANLANDS LÄN</t>
        </is>
      </c>
      <c r="E1325" t="inlineStr">
        <is>
          <t>ARBOGA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57895-2024</t>
        </is>
      </c>
      <c r="B1326" s="1" t="n">
        <v>45631</v>
      </c>
      <c r="C1326" s="1" t="n">
        <v>45998</v>
      </c>
      <c r="D1326" t="inlineStr">
        <is>
          <t>VÄSTMANLANDS LÄN</t>
        </is>
      </c>
      <c r="E1326" t="inlineStr">
        <is>
          <t>SALA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42714-2022</t>
        </is>
      </c>
      <c r="B1327" s="1" t="n">
        <v>44832</v>
      </c>
      <c r="C1327" s="1" t="n">
        <v>45998</v>
      </c>
      <c r="D1327" t="inlineStr">
        <is>
          <t>VÄSTMANLANDS LÄN</t>
        </is>
      </c>
      <c r="E1327" t="inlineStr">
        <is>
          <t>SURAHAMMAR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19065-2022</t>
        </is>
      </c>
      <c r="B1328" s="1" t="n">
        <v>44691.44309027777</v>
      </c>
      <c r="C1328" s="1" t="n">
        <v>45998</v>
      </c>
      <c r="D1328" t="inlineStr">
        <is>
          <t>VÄSTMANLANDS LÄN</t>
        </is>
      </c>
      <c r="E1328" t="inlineStr">
        <is>
          <t>SALA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61994-2024</t>
        </is>
      </c>
      <c r="B1329" s="1" t="n">
        <v>45653</v>
      </c>
      <c r="C1329" s="1" t="n">
        <v>45998</v>
      </c>
      <c r="D1329" t="inlineStr">
        <is>
          <t>VÄSTMANLANDS LÄN</t>
        </is>
      </c>
      <c r="E1329" t="inlineStr">
        <is>
          <t>ARBOGA</t>
        </is>
      </c>
      <c r="F1329" t="inlineStr">
        <is>
          <t>Sveaskog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22961-2023</t>
        </is>
      </c>
      <c r="B1330" s="1" t="n">
        <v>45072</v>
      </c>
      <c r="C1330" s="1" t="n">
        <v>45998</v>
      </c>
      <c r="D1330" t="inlineStr">
        <is>
          <t>VÄSTMANLANDS LÄN</t>
        </is>
      </c>
      <c r="E1330" t="inlineStr">
        <is>
          <t>SALA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22963-2023</t>
        </is>
      </c>
      <c r="B1331" s="1" t="n">
        <v>45072</v>
      </c>
      <c r="C1331" s="1" t="n">
        <v>45998</v>
      </c>
      <c r="D1331" t="inlineStr">
        <is>
          <t>VÄSTMANLANDS LÄN</t>
        </is>
      </c>
      <c r="E1331" t="inlineStr">
        <is>
          <t>SALA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61258-2023</t>
        </is>
      </c>
      <c r="B1332" s="1" t="n">
        <v>45264</v>
      </c>
      <c r="C1332" s="1" t="n">
        <v>45998</v>
      </c>
      <c r="D1332" t="inlineStr">
        <is>
          <t>VÄSTMANLANDS LÄN</t>
        </is>
      </c>
      <c r="E1332" t="inlineStr">
        <is>
          <t>VÄSTERÅS</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2925-2024</t>
        </is>
      </c>
      <c r="B1333" s="1" t="n">
        <v>45315.58909722222</v>
      </c>
      <c r="C1333" s="1" t="n">
        <v>45998</v>
      </c>
      <c r="D1333" t="inlineStr">
        <is>
          <t>VÄSTMANLANDS LÄN</t>
        </is>
      </c>
      <c r="E1333" t="inlineStr">
        <is>
          <t>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31597-2024</t>
        </is>
      </c>
      <c r="B1334" s="1" t="n">
        <v>45506</v>
      </c>
      <c r="C1334" s="1" t="n">
        <v>45998</v>
      </c>
      <c r="D1334" t="inlineStr">
        <is>
          <t>VÄSTMANLANDS LÄN</t>
        </is>
      </c>
      <c r="E1334" t="inlineStr">
        <is>
          <t>SALA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37287-2023</t>
        </is>
      </c>
      <c r="B1335" s="1" t="n">
        <v>45156</v>
      </c>
      <c r="C1335" s="1" t="n">
        <v>45998</v>
      </c>
      <c r="D1335" t="inlineStr">
        <is>
          <t>VÄSTMANLANDS LÄN</t>
        </is>
      </c>
      <c r="E1335" t="inlineStr">
        <is>
          <t>SURAHAMMAR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37955-2023</t>
        </is>
      </c>
      <c r="B1336" s="1" t="n">
        <v>45160</v>
      </c>
      <c r="C1336" s="1" t="n">
        <v>45998</v>
      </c>
      <c r="D1336" t="inlineStr">
        <is>
          <t>VÄSTMANLANDS LÄN</t>
        </is>
      </c>
      <c r="E1336" t="inlineStr">
        <is>
          <t>FAGERSTA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17458-2024</t>
        </is>
      </c>
      <c r="B1337" s="1" t="n">
        <v>45415</v>
      </c>
      <c r="C1337" s="1" t="n">
        <v>45998</v>
      </c>
      <c r="D1337" t="inlineStr">
        <is>
          <t>VÄSTMANLANDS LÄN</t>
        </is>
      </c>
      <c r="E1337" t="inlineStr">
        <is>
          <t>SALA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56543-2024</t>
        </is>
      </c>
      <c r="B1338" s="1" t="n">
        <v>45625</v>
      </c>
      <c r="C1338" s="1" t="n">
        <v>45998</v>
      </c>
      <c r="D1338" t="inlineStr">
        <is>
          <t>VÄSTMANLANDS LÄN</t>
        </is>
      </c>
      <c r="E1338" t="inlineStr">
        <is>
          <t>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38538-2023</t>
        </is>
      </c>
      <c r="B1339" s="1" t="n">
        <v>45162</v>
      </c>
      <c r="C1339" s="1" t="n">
        <v>45998</v>
      </c>
      <c r="D1339" t="inlineStr">
        <is>
          <t>VÄSTMANLANDS LÄN</t>
        </is>
      </c>
      <c r="E1339" t="inlineStr">
        <is>
          <t>VÄSTERÅS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15562-2025</t>
        </is>
      </c>
      <c r="B1340" s="1" t="n">
        <v>45747.69229166667</v>
      </c>
      <c r="C1340" s="1" t="n">
        <v>45998</v>
      </c>
      <c r="D1340" t="inlineStr">
        <is>
          <t>VÄSTMANLANDS LÄN</t>
        </is>
      </c>
      <c r="E1340" t="inlineStr">
        <is>
          <t>SKINNSKATTEBERG</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54094-2023</t>
        </is>
      </c>
      <c r="B1341" s="1" t="n">
        <v>45232.31501157407</v>
      </c>
      <c r="C1341" s="1" t="n">
        <v>45998</v>
      </c>
      <c r="D1341" t="inlineStr">
        <is>
          <t>VÄSTMANLANDS LÄN</t>
        </is>
      </c>
      <c r="E1341" t="inlineStr">
        <is>
          <t>ARBOGA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53903-2024</t>
        </is>
      </c>
      <c r="B1342" s="1" t="n">
        <v>45615</v>
      </c>
      <c r="C1342" s="1" t="n">
        <v>45998</v>
      </c>
      <c r="D1342" t="inlineStr">
        <is>
          <t>VÄSTMANLANDS LÄN</t>
        </is>
      </c>
      <c r="E1342" t="inlineStr">
        <is>
          <t>ARBOGA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49058-2024</t>
        </is>
      </c>
      <c r="B1343" s="1" t="n">
        <v>45594</v>
      </c>
      <c r="C1343" s="1" t="n">
        <v>45998</v>
      </c>
      <c r="D1343" t="inlineStr">
        <is>
          <t>VÄSTMANLANDS LÄN</t>
        </is>
      </c>
      <c r="E1343" t="inlineStr">
        <is>
          <t>SURAHAMMAR</t>
        </is>
      </c>
      <c r="F1343" t="inlineStr">
        <is>
          <t>Sveaskog</t>
        </is>
      </c>
      <c r="G1343" t="n">
        <v>11.4</v>
      </c>
      <c r="H1343" t="n">
        <v>0</v>
      </c>
      <c r="I1343" t="n">
        <v>0</v>
      </c>
      <c r="J1343" t="n">
        <v>0</v>
      </c>
      <c r="K1343" t="n">
        <v>0</v>
      </c>
      <c r="L1343" t="n">
        <v>0</v>
      </c>
      <c r="M1343" t="n">
        <v>0</v>
      </c>
      <c r="N1343" t="n">
        <v>0</v>
      </c>
      <c r="O1343" t="n">
        <v>0</v>
      </c>
      <c r="P1343" t="n">
        <v>0</v>
      </c>
      <c r="Q1343" t="n">
        <v>0</v>
      </c>
      <c r="R1343" s="2" t="inlineStr"/>
    </row>
    <row r="1344" ht="15" customHeight="1">
      <c r="A1344" t="inlineStr">
        <is>
          <t>A 30087-2021</t>
        </is>
      </c>
      <c r="B1344" s="1" t="n">
        <v>44363.54297453703</v>
      </c>
      <c r="C1344" s="1" t="n">
        <v>45998</v>
      </c>
      <c r="D1344" t="inlineStr">
        <is>
          <t>VÄSTMANLANDS LÄN</t>
        </is>
      </c>
      <c r="E1344" t="inlineStr">
        <is>
          <t>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44746-2024</t>
        </is>
      </c>
      <c r="B1345" s="1" t="n">
        <v>45574.59813657407</v>
      </c>
      <c r="C1345" s="1" t="n">
        <v>45998</v>
      </c>
      <c r="D1345" t="inlineStr">
        <is>
          <t>VÄSTMANLANDS LÄN</t>
        </is>
      </c>
      <c r="E1345" t="inlineStr">
        <is>
          <t>SALA</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44713-2023</t>
        </is>
      </c>
      <c r="B1346" s="1" t="n">
        <v>45184</v>
      </c>
      <c r="C1346" s="1" t="n">
        <v>45998</v>
      </c>
      <c r="D1346" t="inlineStr">
        <is>
          <t>VÄSTMANLANDS LÄN</t>
        </is>
      </c>
      <c r="E1346" t="inlineStr">
        <is>
          <t>SALA</t>
        </is>
      </c>
      <c r="F1346" t="inlineStr">
        <is>
          <t>Kyrkan</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56902-2024</t>
        </is>
      </c>
      <c r="B1347" s="1" t="n">
        <v>45628</v>
      </c>
      <c r="C1347" s="1" t="n">
        <v>45998</v>
      </c>
      <c r="D1347" t="inlineStr">
        <is>
          <t>VÄSTMANLANDS LÄN</t>
        </is>
      </c>
      <c r="E1347" t="inlineStr">
        <is>
          <t>VÄSTERÅS</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10585-2022</t>
        </is>
      </c>
      <c r="B1348" s="1" t="n">
        <v>44624</v>
      </c>
      <c r="C1348" s="1" t="n">
        <v>45998</v>
      </c>
      <c r="D1348" t="inlineStr">
        <is>
          <t>VÄSTMANLANDS LÄN</t>
        </is>
      </c>
      <c r="E1348" t="inlineStr">
        <is>
          <t>SALA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8727-2023</t>
        </is>
      </c>
      <c r="B1349" s="1" t="n">
        <v>44978</v>
      </c>
      <c r="C1349" s="1" t="n">
        <v>45998</v>
      </c>
      <c r="D1349" t="inlineStr">
        <is>
          <t>VÄSTMANLANDS LÄN</t>
        </is>
      </c>
      <c r="E1349" t="inlineStr">
        <is>
          <t>VÄSTERÅS</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69236-2021</t>
        </is>
      </c>
      <c r="B1350" s="1" t="n">
        <v>44531.4047337963</v>
      </c>
      <c r="C1350" s="1" t="n">
        <v>45998</v>
      </c>
      <c r="D1350" t="inlineStr">
        <is>
          <t>VÄSTMANLANDS LÄN</t>
        </is>
      </c>
      <c r="E1350" t="inlineStr">
        <is>
          <t>SALA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33571-2024</t>
        </is>
      </c>
      <c r="B1351" s="1" t="n">
        <v>45520</v>
      </c>
      <c r="C1351" s="1" t="n">
        <v>45998</v>
      </c>
      <c r="D1351" t="inlineStr">
        <is>
          <t>VÄSTMANLANDS LÄN</t>
        </is>
      </c>
      <c r="E1351" t="inlineStr">
        <is>
          <t>SKINNSKATTEBERG</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59270-2023</t>
        </is>
      </c>
      <c r="B1352" s="1" t="n">
        <v>45253.55388888889</v>
      </c>
      <c r="C1352" s="1" t="n">
        <v>45998</v>
      </c>
      <c r="D1352" t="inlineStr">
        <is>
          <t>VÄSTMANLANDS LÄN</t>
        </is>
      </c>
      <c r="E1352" t="inlineStr">
        <is>
          <t>ARBOGA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12289-2024</t>
        </is>
      </c>
      <c r="B1353" s="1" t="n">
        <v>45378.57865740741</v>
      </c>
      <c r="C1353" s="1" t="n">
        <v>45998</v>
      </c>
      <c r="D1353" t="inlineStr">
        <is>
          <t>VÄSTMANLANDS LÄN</t>
        </is>
      </c>
      <c r="E1353" t="inlineStr">
        <is>
          <t>VÄSTERÅS</t>
        </is>
      </c>
      <c r="G1353" t="n">
        <v>15.4</v>
      </c>
      <c r="H1353" t="n">
        <v>0</v>
      </c>
      <c r="I1353" t="n">
        <v>0</v>
      </c>
      <c r="J1353" t="n">
        <v>0</v>
      </c>
      <c r="K1353" t="n">
        <v>0</v>
      </c>
      <c r="L1353" t="n">
        <v>0</v>
      </c>
      <c r="M1353" t="n">
        <v>0</v>
      </c>
      <c r="N1353" t="n">
        <v>0</v>
      </c>
      <c r="O1353" t="n">
        <v>0</v>
      </c>
      <c r="P1353" t="n">
        <v>0</v>
      </c>
      <c r="Q1353" t="n">
        <v>0</v>
      </c>
      <c r="R1353" s="2" t="inlineStr"/>
    </row>
    <row r="1354" ht="15" customHeight="1">
      <c r="A1354" t="inlineStr">
        <is>
          <t>A 39255-2024</t>
        </is>
      </c>
      <c r="B1354" s="1" t="n">
        <v>45551</v>
      </c>
      <c r="C1354" s="1" t="n">
        <v>45998</v>
      </c>
      <c r="D1354" t="inlineStr">
        <is>
          <t>VÄSTMANLANDS LÄN</t>
        </is>
      </c>
      <c r="E1354" t="inlineStr">
        <is>
          <t>NORBERG</t>
        </is>
      </c>
      <c r="F1354" t="inlineStr">
        <is>
          <t>Bergvik skog väst AB</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41448-2024</t>
        </is>
      </c>
      <c r="B1355" s="1" t="n">
        <v>45560.40017361111</v>
      </c>
      <c r="C1355" s="1" t="n">
        <v>45998</v>
      </c>
      <c r="D1355" t="inlineStr">
        <is>
          <t>VÄSTMANLANDS LÄN</t>
        </is>
      </c>
      <c r="E1355" t="inlineStr">
        <is>
          <t>NORBERG</t>
        </is>
      </c>
      <c r="F1355" t="inlineStr">
        <is>
          <t>Bergvik skog väst AB</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10478-2022</t>
        </is>
      </c>
      <c r="B1356" s="1" t="n">
        <v>44623</v>
      </c>
      <c r="C1356" s="1" t="n">
        <v>45998</v>
      </c>
      <c r="D1356" t="inlineStr">
        <is>
          <t>VÄSTMANLANDS LÄN</t>
        </is>
      </c>
      <c r="E1356" t="inlineStr">
        <is>
          <t>KÖPING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5459-2023</t>
        </is>
      </c>
      <c r="B1357" s="1" t="n">
        <v>44960.30481481482</v>
      </c>
      <c r="C1357" s="1" t="n">
        <v>45998</v>
      </c>
      <c r="D1357" t="inlineStr">
        <is>
          <t>VÄSTMANLANDS LÄN</t>
        </is>
      </c>
      <c r="E1357" t="inlineStr">
        <is>
          <t>ARBOGA</t>
        </is>
      </c>
      <c r="F1357" t="inlineStr">
        <is>
          <t>Allmännings- och besparingsskogar</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54871-2024</t>
        </is>
      </c>
      <c r="B1358" s="1" t="n">
        <v>45618.59935185185</v>
      </c>
      <c r="C1358" s="1" t="n">
        <v>45998</v>
      </c>
      <c r="D1358" t="inlineStr">
        <is>
          <t>VÄSTMANLANDS LÄN</t>
        </is>
      </c>
      <c r="E1358" t="inlineStr">
        <is>
          <t>KÖPING</t>
        </is>
      </c>
      <c r="F1358" t="inlineStr">
        <is>
          <t>Sveaskog</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48117-2024</t>
        </is>
      </c>
      <c r="B1359" s="1" t="n">
        <v>45589</v>
      </c>
      <c r="C1359" s="1" t="n">
        <v>45998</v>
      </c>
      <c r="D1359" t="inlineStr">
        <is>
          <t>VÄSTMANLANDS LÄN</t>
        </is>
      </c>
      <c r="E1359" t="inlineStr">
        <is>
          <t>SALA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23431-2024</t>
        </is>
      </c>
      <c r="B1360" s="1" t="n">
        <v>45453</v>
      </c>
      <c r="C1360" s="1" t="n">
        <v>45998</v>
      </c>
      <c r="D1360" t="inlineStr">
        <is>
          <t>VÄSTMANLANDS LÄN</t>
        </is>
      </c>
      <c r="E1360" t="inlineStr">
        <is>
          <t>SALA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14541-2025</t>
        </is>
      </c>
      <c r="B1361" s="1" t="n">
        <v>45741</v>
      </c>
      <c r="C1361" s="1" t="n">
        <v>45998</v>
      </c>
      <c r="D1361" t="inlineStr">
        <is>
          <t>VÄSTMANLANDS LÄN</t>
        </is>
      </c>
      <c r="E1361" t="inlineStr">
        <is>
          <t>SKINNSKATTEBERG</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14741-2025</t>
        </is>
      </c>
      <c r="B1362" s="1" t="n">
        <v>45742.65028935186</v>
      </c>
      <c r="C1362" s="1" t="n">
        <v>45998</v>
      </c>
      <c r="D1362" t="inlineStr">
        <is>
          <t>VÄSTMANLANDS LÄN</t>
        </is>
      </c>
      <c r="E1362" t="inlineStr">
        <is>
          <t>ARBOGA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50004-2024</t>
        </is>
      </c>
      <c r="B1363" s="1" t="n">
        <v>45598</v>
      </c>
      <c r="C1363" s="1" t="n">
        <v>45998</v>
      </c>
      <c r="D1363" t="inlineStr">
        <is>
          <t>VÄSTMANLANDS LÄN</t>
        </is>
      </c>
      <c r="E1363" t="inlineStr">
        <is>
          <t>NORBERG</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6603-2022</t>
        </is>
      </c>
      <c r="B1364" s="1" t="n">
        <v>44601</v>
      </c>
      <c r="C1364" s="1" t="n">
        <v>45998</v>
      </c>
      <c r="D1364" t="inlineStr">
        <is>
          <t>VÄSTMANLANDS LÄN</t>
        </is>
      </c>
      <c r="E1364" t="inlineStr">
        <is>
          <t>VÄSTERÅS</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73597-2021</t>
        </is>
      </c>
      <c r="B1365" s="1" t="n">
        <v>44552.38523148148</v>
      </c>
      <c r="C1365" s="1" t="n">
        <v>45998</v>
      </c>
      <c r="D1365" t="inlineStr">
        <is>
          <t>VÄSTMANLANDS LÄN</t>
        </is>
      </c>
      <c r="E1365" t="inlineStr">
        <is>
          <t>VÄSTERÅS</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12225-2023</t>
        </is>
      </c>
      <c r="B1366" s="1" t="n">
        <v>44995</v>
      </c>
      <c r="C1366" s="1" t="n">
        <v>45998</v>
      </c>
      <c r="D1366" t="inlineStr">
        <is>
          <t>VÄSTMANLANDS LÄN</t>
        </is>
      </c>
      <c r="E1366" t="inlineStr">
        <is>
          <t>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12252-2023</t>
        </is>
      </c>
      <c r="B1367" s="1" t="n">
        <v>44995</v>
      </c>
      <c r="C1367" s="1" t="n">
        <v>45998</v>
      </c>
      <c r="D1367" t="inlineStr">
        <is>
          <t>VÄSTMANLANDS LÄN</t>
        </is>
      </c>
      <c r="E1367" t="inlineStr">
        <is>
          <t>SALA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28661-2024</t>
        </is>
      </c>
      <c r="B1368" s="1" t="n">
        <v>45478</v>
      </c>
      <c r="C1368" s="1" t="n">
        <v>45998</v>
      </c>
      <c r="D1368" t="inlineStr">
        <is>
          <t>VÄSTMANLANDS LÄN</t>
        </is>
      </c>
      <c r="E1368" t="inlineStr">
        <is>
          <t>SALA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17295-2023</t>
        </is>
      </c>
      <c r="B1369" s="1" t="n">
        <v>45035.48342592592</v>
      </c>
      <c r="C1369" s="1" t="n">
        <v>45998</v>
      </c>
      <c r="D1369" t="inlineStr">
        <is>
          <t>VÄSTMANLANDS LÄN</t>
        </is>
      </c>
      <c r="E1369" t="inlineStr">
        <is>
          <t>KÖPING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2529-2022</t>
        </is>
      </c>
      <c r="B1370" s="1" t="n">
        <v>44579.86452546297</v>
      </c>
      <c r="C1370" s="1" t="n">
        <v>45998</v>
      </c>
      <c r="D1370" t="inlineStr">
        <is>
          <t>VÄSTMANLANDS LÄN</t>
        </is>
      </c>
      <c r="E1370" t="inlineStr">
        <is>
          <t>SALA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20978-2025</t>
        </is>
      </c>
      <c r="B1371" s="1" t="n">
        <v>45777</v>
      </c>
      <c r="C1371" s="1" t="n">
        <v>45998</v>
      </c>
      <c r="D1371" t="inlineStr">
        <is>
          <t>VÄSTMANLANDS LÄN</t>
        </is>
      </c>
      <c r="E1371" t="inlineStr">
        <is>
          <t>NORBERG</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30353-2023</t>
        </is>
      </c>
      <c r="B1372" s="1" t="n">
        <v>45111</v>
      </c>
      <c r="C1372" s="1" t="n">
        <v>45998</v>
      </c>
      <c r="D1372" t="inlineStr">
        <is>
          <t>VÄSTMANLANDS LÄN</t>
        </is>
      </c>
      <c r="E1372" t="inlineStr">
        <is>
          <t>SKINNSKATTEBERG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65740-2021</t>
        </is>
      </c>
      <c r="B1373" s="1" t="n">
        <v>44516.75021990741</v>
      </c>
      <c r="C1373" s="1" t="n">
        <v>45998</v>
      </c>
      <c r="D1373" t="inlineStr">
        <is>
          <t>VÄSTMANLANDS LÄN</t>
        </is>
      </c>
      <c r="E1373" t="inlineStr">
        <is>
          <t>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56540-2024</t>
        </is>
      </c>
      <c r="B1374" s="1" t="n">
        <v>45625</v>
      </c>
      <c r="C1374" s="1" t="n">
        <v>45998</v>
      </c>
      <c r="D1374" t="inlineStr">
        <is>
          <t>VÄSTMANLANDS LÄN</t>
        </is>
      </c>
      <c r="E1374" t="inlineStr">
        <is>
          <t>SALA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11691-2023</t>
        </is>
      </c>
      <c r="B1375" s="1" t="n">
        <v>44994</v>
      </c>
      <c r="C1375" s="1" t="n">
        <v>45998</v>
      </c>
      <c r="D1375" t="inlineStr">
        <is>
          <t>VÄSTMANLANDS LÄN</t>
        </is>
      </c>
      <c r="E1375" t="inlineStr">
        <is>
          <t>VÄSTERÅS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20947-2025</t>
        </is>
      </c>
      <c r="B1376" s="1" t="n">
        <v>45777.43487268518</v>
      </c>
      <c r="C1376" s="1" t="n">
        <v>45998</v>
      </c>
      <c r="D1376" t="inlineStr">
        <is>
          <t>VÄSTMANLANDS LÄN</t>
        </is>
      </c>
      <c r="E1376" t="inlineStr">
        <is>
          <t>SKINNSKATTEBERG</t>
        </is>
      </c>
      <c r="F1376" t="inlineStr">
        <is>
          <t>Sveaskog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60924-2022</t>
        </is>
      </c>
      <c r="B1377" s="1" t="n">
        <v>44914.61438657407</v>
      </c>
      <c r="C1377" s="1" t="n">
        <v>45998</v>
      </c>
      <c r="D1377" t="inlineStr">
        <is>
          <t>VÄSTMANLANDS LÄN</t>
        </is>
      </c>
      <c r="E1377" t="inlineStr">
        <is>
          <t>KÖPING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13376-2022</t>
        </is>
      </c>
      <c r="B1378" s="1" t="n">
        <v>44645</v>
      </c>
      <c r="C1378" s="1" t="n">
        <v>45998</v>
      </c>
      <c r="D1378" t="inlineStr">
        <is>
          <t>VÄSTMANLANDS LÄN</t>
        </is>
      </c>
      <c r="E1378" t="inlineStr">
        <is>
          <t>VÄSTERÅS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31599-2024</t>
        </is>
      </c>
      <c r="B1379" s="1" t="n">
        <v>45506</v>
      </c>
      <c r="C1379" s="1" t="n">
        <v>45998</v>
      </c>
      <c r="D1379" t="inlineStr">
        <is>
          <t>VÄSTMANLANDS LÄN</t>
        </is>
      </c>
      <c r="E1379" t="inlineStr">
        <is>
          <t>SALA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31601-2024</t>
        </is>
      </c>
      <c r="B1380" s="1" t="n">
        <v>45506</v>
      </c>
      <c r="C1380" s="1" t="n">
        <v>45998</v>
      </c>
      <c r="D1380" t="inlineStr">
        <is>
          <t>VÄSTMANLANDS LÄN</t>
        </is>
      </c>
      <c r="E1380" t="inlineStr">
        <is>
          <t>SALA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31608-2024</t>
        </is>
      </c>
      <c r="B1381" s="1" t="n">
        <v>45506</v>
      </c>
      <c r="C1381" s="1" t="n">
        <v>45998</v>
      </c>
      <c r="D1381" t="inlineStr">
        <is>
          <t>VÄSTMANLANDS LÄN</t>
        </is>
      </c>
      <c r="E1381" t="inlineStr">
        <is>
          <t>SALA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6698-2022</t>
        </is>
      </c>
      <c r="B1382" s="1" t="n">
        <v>44602.42467592593</v>
      </c>
      <c r="C1382" s="1" t="n">
        <v>45998</v>
      </c>
      <c r="D1382" t="inlineStr">
        <is>
          <t>VÄSTMANLANDS LÄN</t>
        </is>
      </c>
      <c r="E1382" t="inlineStr">
        <is>
          <t>ARBOGA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31612-2024</t>
        </is>
      </c>
      <c r="B1383" s="1" t="n">
        <v>45506</v>
      </c>
      <c r="C1383" s="1" t="n">
        <v>45998</v>
      </c>
      <c r="D1383" t="inlineStr">
        <is>
          <t>VÄSTMANLANDS LÄN</t>
        </is>
      </c>
      <c r="E1383" t="inlineStr">
        <is>
          <t>SALA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31618-2024</t>
        </is>
      </c>
      <c r="B1384" s="1" t="n">
        <v>45506</v>
      </c>
      <c r="C1384" s="1" t="n">
        <v>45998</v>
      </c>
      <c r="D1384" t="inlineStr">
        <is>
          <t>VÄSTMANLANDS LÄN</t>
        </is>
      </c>
      <c r="E1384" t="inlineStr">
        <is>
          <t>VÄSTERÅS</t>
        </is>
      </c>
      <c r="F1384" t="inlineStr">
        <is>
          <t>Kommuner</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22072-2023</t>
        </is>
      </c>
      <c r="B1385" s="1" t="n">
        <v>45069</v>
      </c>
      <c r="C1385" s="1" t="n">
        <v>45998</v>
      </c>
      <c r="D1385" t="inlineStr">
        <is>
          <t>VÄSTMANLANDS LÄN</t>
        </is>
      </c>
      <c r="E1385" t="inlineStr">
        <is>
          <t>HALLSTAHAMMAR</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45313-2024</t>
        </is>
      </c>
      <c r="B1386" s="1" t="n">
        <v>45576</v>
      </c>
      <c r="C1386" s="1" t="n">
        <v>45998</v>
      </c>
      <c r="D1386" t="inlineStr">
        <is>
          <t>VÄSTMANLANDS LÄN</t>
        </is>
      </c>
      <c r="E1386" t="inlineStr">
        <is>
          <t>SALA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54721-2024</t>
        </is>
      </c>
      <c r="B1387" s="1" t="n">
        <v>45618</v>
      </c>
      <c r="C1387" s="1" t="n">
        <v>45998</v>
      </c>
      <c r="D1387" t="inlineStr">
        <is>
          <t>VÄSTMANLANDS LÄN</t>
        </is>
      </c>
      <c r="E1387" t="inlineStr">
        <is>
          <t>NORBERG</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73888-2021</t>
        </is>
      </c>
      <c r="B1388" s="1" t="n">
        <v>44553.43238425926</v>
      </c>
      <c r="C1388" s="1" t="n">
        <v>45998</v>
      </c>
      <c r="D1388" t="inlineStr">
        <is>
          <t>VÄSTMANLANDS LÄN</t>
        </is>
      </c>
      <c r="E1388" t="inlineStr">
        <is>
          <t>KÖPING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56535-2022</t>
        </is>
      </c>
      <c r="B1389" s="1" t="n">
        <v>44893.47173611111</v>
      </c>
      <c r="C1389" s="1" t="n">
        <v>45998</v>
      </c>
      <c r="D1389" t="inlineStr">
        <is>
          <t>VÄSTMANLANDS LÄN</t>
        </is>
      </c>
      <c r="E1389" t="inlineStr">
        <is>
          <t>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6116-2023</t>
        </is>
      </c>
      <c r="B1390" s="1" t="n">
        <v>44964</v>
      </c>
      <c r="C1390" s="1" t="n">
        <v>45998</v>
      </c>
      <c r="D1390" t="inlineStr">
        <is>
          <t>VÄSTMANLANDS LÄN</t>
        </is>
      </c>
      <c r="E1390" t="inlineStr">
        <is>
          <t>SALA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18100-2023</t>
        </is>
      </c>
      <c r="B1391" s="1" t="n">
        <v>45040</v>
      </c>
      <c r="C1391" s="1" t="n">
        <v>45998</v>
      </c>
      <c r="D1391" t="inlineStr">
        <is>
          <t>VÄSTMANLANDS LÄN</t>
        </is>
      </c>
      <c r="E1391" t="inlineStr">
        <is>
          <t>SALA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21168-2025</t>
        </is>
      </c>
      <c r="B1392" s="1" t="n">
        <v>45777</v>
      </c>
      <c r="C1392" s="1" t="n">
        <v>45998</v>
      </c>
      <c r="D1392" t="inlineStr">
        <is>
          <t>VÄSTMANLANDS LÄN</t>
        </is>
      </c>
      <c r="E1392" t="inlineStr">
        <is>
          <t>SALA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58464-2024</t>
        </is>
      </c>
      <c r="B1393" s="1" t="n">
        <v>45635</v>
      </c>
      <c r="C1393" s="1" t="n">
        <v>45998</v>
      </c>
      <c r="D1393" t="inlineStr">
        <is>
          <t>VÄSTMANLANDS LÄN</t>
        </is>
      </c>
      <c r="E1393" t="inlineStr">
        <is>
          <t>FAGERSTA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47909-2022</t>
        </is>
      </c>
      <c r="B1394" s="1" t="n">
        <v>44855</v>
      </c>
      <c r="C1394" s="1" t="n">
        <v>45998</v>
      </c>
      <c r="D1394" t="inlineStr">
        <is>
          <t>VÄSTMANLANDS LÄN</t>
        </is>
      </c>
      <c r="E1394" t="inlineStr">
        <is>
          <t>SALA</t>
        </is>
      </c>
      <c r="F1394" t="inlineStr">
        <is>
          <t>Bergvik skog öst AB</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49060-2024</t>
        </is>
      </c>
      <c r="B1395" s="1" t="n">
        <v>45594</v>
      </c>
      <c r="C1395" s="1" t="n">
        <v>45998</v>
      </c>
      <c r="D1395" t="inlineStr">
        <is>
          <t>VÄSTMANLANDS LÄN</t>
        </is>
      </c>
      <c r="E1395" t="inlineStr">
        <is>
          <t>SURAHAMMAR</t>
        </is>
      </c>
      <c r="F1395" t="inlineStr">
        <is>
          <t>Sveaskog</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32524-2023</t>
        </is>
      </c>
      <c r="B1396" s="1" t="n">
        <v>45121.37228009259</v>
      </c>
      <c r="C1396" s="1" t="n">
        <v>45998</v>
      </c>
      <c r="D1396" t="inlineStr">
        <is>
          <t>VÄSTMANLANDS LÄN</t>
        </is>
      </c>
      <c r="E1396" t="inlineStr">
        <is>
          <t>NORBERG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20949-2025</t>
        </is>
      </c>
      <c r="B1397" s="1" t="n">
        <v>45777</v>
      </c>
      <c r="C1397" s="1" t="n">
        <v>45998</v>
      </c>
      <c r="D1397" t="inlineStr">
        <is>
          <t>VÄSTMANLANDS LÄN</t>
        </is>
      </c>
      <c r="E1397" t="inlineStr">
        <is>
          <t>SKINNSKATTEBERG</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57873-2022</t>
        </is>
      </c>
      <c r="B1398" s="1" t="n">
        <v>44899.78981481482</v>
      </c>
      <c r="C1398" s="1" t="n">
        <v>45998</v>
      </c>
      <c r="D1398" t="inlineStr">
        <is>
          <t>VÄSTMANLANDS LÄN</t>
        </is>
      </c>
      <c r="E1398" t="inlineStr">
        <is>
          <t>VÄSTERÅS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21163-2025</t>
        </is>
      </c>
      <c r="B1399" s="1" t="n">
        <v>45779.38344907408</v>
      </c>
      <c r="C1399" s="1" t="n">
        <v>45998</v>
      </c>
      <c r="D1399" t="inlineStr">
        <is>
          <t>VÄSTMANLANDS LÄN</t>
        </is>
      </c>
      <c r="E1399" t="inlineStr">
        <is>
          <t>KÖPING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58979-2023</t>
        </is>
      </c>
      <c r="B1400" s="1" t="n">
        <v>45252.62059027778</v>
      </c>
      <c r="C1400" s="1" t="n">
        <v>45998</v>
      </c>
      <c r="D1400" t="inlineStr">
        <is>
          <t>VÄSTMANLANDS LÄN</t>
        </is>
      </c>
      <c r="E1400" t="inlineStr">
        <is>
          <t>SKINNSKATTEBERG</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52630-2022</t>
        </is>
      </c>
      <c r="B1401" s="1" t="n">
        <v>44874</v>
      </c>
      <c r="C1401" s="1" t="n">
        <v>45998</v>
      </c>
      <c r="D1401" t="inlineStr">
        <is>
          <t>VÄSTMANLANDS LÄN</t>
        </is>
      </c>
      <c r="E1401" t="inlineStr">
        <is>
          <t>SALA</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13471-2025</t>
        </is>
      </c>
      <c r="B1402" s="1" t="n">
        <v>45736.40579861111</v>
      </c>
      <c r="C1402" s="1" t="n">
        <v>45998</v>
      </c>
      <c r="D1402" t="inlineStr">
        <is>
          <t>VÄSTMANLANDS LÄN</t>
        </is>
      </c>
      <c r="E1402" t="inlineStr">
        <is>
          <t>SALA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10579-2022</t>
        </is>
      </c>
      <c r="B1403" s="1" t="n">
        <v>44624</v>
      </c>
      <c r="C1403" s="1" t="n">
        <v>45998</v>
      </c>
      <c r="D1403" t="inlineStr">
        <is>
          <t>VÄSTMANLANDS LÄN</t>
        </is>
      </c>
      <c r="E1403" t="inlineStr">
        <is>
          <t>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26854-2024</t>
        </is>
      </c>
      <c r="B1404" s="1" t="n">
        <v>45470</v>
      </c>
      <c r="C1404" s="1" t="n">
        <v>45998</v>
      </c>
      <c r="D1404" t="inlineStr">
        <is>
          <t>VÄSTMANLANDS LÄN</t>
        </is>
      </c>
      <c r="E1404" t="inlineStr">
        <is>
          <t>SALA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67350-2021</t>
        </is>
      </c>
      <c r="B1405" s="1" t="n">
        <v>44523</v>
      </c>
      <c r="C1405" s="1" t="n">
        <v>45998</v>
      </c>
      <c r="D1405" t="inlineStr">
        <is>
          <t>VÄSTMANLANDS LÄN</t>
        </is>
      </c>
      <c r="E1405" t="inlineStr">
        <is>
          <t>VÄSTERÅS</t>
        </is>
      </c>
      <c r="F1405" t="inlineStr">
        <is>
          <t>Övriga Aktiebolag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13385-2024</t>
        </is>
      </c>
      <c r="B1406" s="1" t="n">
        <v>45387.39675925926</v>
      </c>
      <c r="C1406" s="1" t="n">
        <v>45998</v>
      </c>
      <c r="D1406" t="inlineStr">
        <is>
          <t>VÄSTMANLANDS LÄN</t>
        </is>
      </c>
      <c r="E1406" t="inlineStr">
        <is>
          <t>SKINNSKATTEBERG</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47137-2024</t>
        </is>
      </c>
      <c r="B1407" s="1" t="n">
        <v>45586</v>
      </c>
      <c r="C1407" s="1" t="n">
        <v>45998</v>
      </c>
      <c r="D1407" t="inlineStr">
        <is>
          <t>VÄSTMANLANDS LÄN</t>
        </is>
      </c>
      <c r="E1407" t="inlineStr">
        <is>
          <t>SKINNSKATTEBERG</t>
        </is>
      </c>
      <c r="F1407" t="inlineStr">
        <is>
          <t>Sveaskog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37602-2024</t>
        </is>
      </c>
      <c r="B1408" s="1" t="n">
        <v>45541</v>
      </c>
      <c r="C1408" s="1" t="n">
        <v>45998</v>
      </c>
      <c r="D1408" t="inlineStr">
        <is>
          <t>VÄSTMANLANDS LÄN</t>
        </is>
      </c>
      <c r="E1408" t="inlineStr">
        <is>
          <t>SALA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64693-2023</t>
        </is>
      </c>
      <c r="B1409" s="1" t="n">
        <v>45281.63850694444</v>
      </c>
      <c r="C1409" s="1" t="n">
        <v>45998</v>
      </c>
      <c r="D1409" t="inlineStr">
        <is>
          <t>VÄSTMANLANDS LÄN</t>
        </is>
      </c>
      <c r="E1409" t="inlineStr">
        <is>
          <t>SALA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64695-2023</t>
        </is>
      </c>
      <c r="B1410" s="1" t="n">
        <v>45281.64099537037</v>
      </c>
      <c r="C1410" s="1" t="n">
        <v>45998</v>
      </c>
      <c r="D1410" t="inlineStr">
        <is>
          <t>VÄSTMANLANDS LÄN</t>
        </is>
      </c>
      <c r="E1410" t="inlineStr">
        <is>
          <t>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44616-2023</t>
        </is>
      </c>
      <c r="B1411" s="1" t="n">
        <v>45189.63728009259</v>
      </c>
      <c r="C1411" s="1" t="n">
        <v>45998</v>
      </c>
      <c r="D1411" t="inlineStr">
        <is>
          <t>VÄSTMANLANDS LÄN</t>
        </is>
      </c>
      <c r="E1411" t="inlineStr">
        <is>
          <t>KÖPING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56687-2024</t>
        </is>
      </c>
      <c r="B1412" s="1" t="n">
        <v>45627.63271990741</v>
      </c>
      <c r="C1412" s="1" t="n">
        <v>45998</v>
      </c>
      <c r="D1412" t="inlineStr">
        <is>
          <t>VÄSTMANLANDS LÄN</t>
        </is>
      </c>
      <c r="E1412" t="inlineStr">
        <is>
          <t>SALA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1985-2022</t>
        </is>
      </c>
      <c r="B1413" s="1" t="n">
        <v>44575</v>
      </c>
      <c r="C1413" s="1" t="n">
        <v>45998</v>
      </c>
      <c r="D1413" t="inlineStr">
        <is>
          <t>VÄSTMANLANDS LÄN</t>
        </is>
      </c>
      <c r="E1413" t="inlineStr">
        <is>
          <t>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19156-2025</t>
        </is>
      </c>
      <c r="B1414" s="1" t="n">
        <v>45769</v>
      </c>
      <c r="C1414" s="1" t="n">
        <v>45998</v>
      </c>
      <c r="D1414" t="inlineStr">
        <is>
          <t>VÄSTMANLANDS LÄN</t>
        </is>
      </c>
      <c r="E1414" t="inlineStr">
        <is>
          <t>FAGERSTA</t>
        </is>
      </c>
      <c r="F1414" t="inlineStr">
        <is>
          <t>Bergvik skog väst AB</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56940-2021</t>
        </is>
      </c>
      <c r="B1415" s="1" t="n">
        <v>44480</v>
      </c>
      <c r="C1415" s="1" t="n">
        <v>45998</v>
      </c>
      <c r="D1415" t="inlineStr">
        <is>
          <t>VÄSTMANLANDS LÄN</t>
        </is>
      </c>
      <c r="E1415" t="inlineStr">
        <is>
          <t>NORBERG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31262-2023</t>
        </is>
      </c>
      <c r="B1416" s="1" t="n">
        <v>45114</v>
      </c>
      <c r="C1416" s="1" t="n">
        <v>45998</v>
      </c>
      <c r="D1416" t="inlineStr">
        <is>
          <t>VÄSTMANLANDS LÄN</t>
        </is>
      </c>
      <c r="E1416" t="inlineStr">
        <is>
          <t>SKINNSKATTEBERG</t>
        </is>
      </c>
      <c r="F1416" t="inlineStr">
        <is>
          <t>Sveaskog</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15743-2023</t>
        </is>
      </c>
      <c r="B1417" s="1" t="n">
        <v>45021</v>
      </c>
      <c r="C1417" s="1" t="n">
        <v>45998</v>
      </c>
      <c r="D1417" t="inlineStr">
        <is>
          <t>VÄSTMANLANDS LÄN</t>
        </is>
      </c>
      <c r="E1417" t="inlineStr">
        <is>
          <t>SURAHAMMAR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19202-2024</t>
        </is>
      </c>
      <c r="B1418" s="1" t="n">
        <v>45428.5359837963</v>
      </c>
      <c r="C1418" s="1" t="n">
        <v>45998</v>
      </c>
      <c r="D1418" t="inlineStr">
        <is>
          <t>VÄSTMANLANDS LÄN</t>
        </is>
      </c>
      <c r="E1418" t="inlineStr">
        <is>
          <t>SKINNSKATTEBERG</t>
        </is>
      </c>
      <c r="F1418" t="inlineStr">
        <is>
          <t>Sveaskog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19203-2024</t>
        </is>
      </c>
      <c r="B1419" s="1" t="n">
        <v>45428.53678240741</v>
      </c>
      <c r="C1419" s="1" t="n">
        <v>45998</v>
      </c>
      <c r="D1419" t="inlineStr">
        <is>
          <t>VÄSTMANLANDS LÄN</t>
        </is>
      </c>
      <c r="E1419" t="inlineStr">
        <is>
          <t>SKINNSKATTEBERG</t>
        </is>
      </c>
      <c r="F1419" t="inlineStr">
        <is>
          <t>Sveaskog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6308-2021</t>
        </is>
      </c>
      <c r="B1420" s="1" t="n">
        <v>44235</v>
      </c>
      <c r="C1420" s="1" t="n">
        <v>45998</v>
      </c>
      <c r="D1420" t="inlineStr">
        <is>
          <t>VÄSTMANLANDS LÄN</t>
        </is>
      </c>
      <c r="E1420" t="inlineStr">
        <is>
          <t>SALA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61715-2024</t>
        </is>
      </c>
      <c r="B1421" s="1" t="n">
        <v>45648.89519675926</v>
      </c>
      <c r="C1421" s="1" t="n">
        <v>45998</v>
      </c>
      <c r="D1421" t="inlineStr">
        <is>
          <t>VÄSTMANLANDS LÄN</t>
        </is>
      </c>
      <c r="E1421" t="inlineStr">
        <is>
          <t>SALA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21455-2023</t>
        </is>
      </c>
      <c r="B1422" s="1" t="n">
        <v>45058</v>
      </c>
      <c r="C1422" s="1" t="n">
        <v>45998</v>
      </c>
      <c r="D1422" t="inlineStr">
        <is>
          <t>VÄSTMANLANDS LÄN</t>
        </is>
      </c>
      <c r="E1422" t="inlineStr">
        <is>
          <t>SALA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14034-2025</t>
        </is>
      </c>
      <c r="B1423" s="1" t="n">
        <v>45740.3633449074</v>
      </c>
      <c r="C1423" s="1" t="n">
        <v>45998</v>
      </c>
      <c r="D1423" t="inlineStr">
        <is>
          <t>VÄSTMANLANDS LÄN</t>
        </is>
      </c>
      <c r="E1423" t="inlineStr">
        <is>
          <t>SKINNSKATTEBERG</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50980-2022</t>
        </is>
      </c>
      <c r="B1424" s="1" t="n">
        <v>44867.84059027778</v>
      </c>
      <c r="C1424" s="1" t="n">
        <v>45998</v>
      </c>
      <c r="D1424" t="inlineStr">
        <is>
          <t>VÄSTMANLANDS LÄN</t>
        </is>
      </c>
      <c r="E1424" t="inlineStr">
        <is>
          <t>SKINNSKATTEBERG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45065-2023</t>
        </is>
      </c>
      <c r="B1425" s="1" t="n">
        <v>45191</v>
      </c>
      <c r="C1425" s="1" t="n">
        <v>45998</v>
      </c>
      <c r="D1425" t="inlineStr">
        <is>
          <t>VÄSTMANLANDS LÄN</t>
        </is>
      </c>
      <c r="E1425" t="inlineStr">
        <is>
          <t>NORBERG</t>
        </is>
      </c>
      <c r="F1425" t="inlineStr">
        <is>
          <t>Bergvik skog väst AB</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46189-2023</t>
        </is>
      </c>
      <c r="B1426" s="1" t="n">
        <v>45196</v>
      </c>
      <c r="C1426" s="1" t="n">
        <v>45998</v>
      </c>
      <c r="D1426" t="inlineStr">
        <is>
          <t>VÄSTMANLANDS LÄN</t>
        </is>
      </c>
      <c r="E1426" t="inlineStr">
        <is>
          <t>VÄSTERÅS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21751-2025</t>
        </is>
      </c>
      <c r="B1427" s="1" t="n">
        <v>45783.61372685185</v>
      </c>
      <c r="C1427" s="1" t="n">
        <v>45998</v>
      </c>
      <c r="D1427" t="inlineStr">
        <is>
          <t>VÄSTMANLANDS LÄN</t>
        </is>
      </c>
      <c r="E1427" t="inlineStr">
        <is>
          <t>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27261-2022</t>
        </is>
      </c>
      <c r="B1428" s="1" t="n">
        <v>44741</v>
      </c>
      <c r="C1428" s="1" t="n">
        <v>45998</v>
      </c>
      <c r="D1428" t="inlineStr">
        <is>
          <t>VÄSTMANLANDS LÄN</t>
        </is>
      </c>
      <c r="E1428" t="inlineStr">
        <is>
          <t>KÖPING</t>
        </is>
      </c>
      <c r="F1428" t="inlineStr">
        <is>
          <t>Sveaskog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25477-2023</t>
        </is>
      </c>
      <c r="B1429" s="1" t="n">
        <v>45089.46127314815</v>
      </c>
      <c r="C1429" s="1" t="n">
        <v>45998</v>
      </c>
      <c r="D1429" t="inlineStr">
        <is>
          <t>VÄSTMANLANDS LÄN</t>
        </is>
      </c>
      <c r="E1429" t="inlineStr">
        <is>
          <t>NORBERG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6183-2023</t>
        </is>
      </c>
      <c r="B1430" s="1" t="n">
        <v>44964</v>
      </c>
      <c r="C1430" s="1" t="n">
        <v>45998</v>
      </c>
      <c r="D1430" t="inlineStr">
        <is>
          <t>VÄSTMANLANDS LÄN</t>
        </is>
      </c>
      <c r="E1430" t="inlineStr">
        <is>
          <t>SKINNSKATTEBERG</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54054-2024</t>
        </is>
      </c>
      <c r="B1431" s="1" t="n">
        <v>45615</v>
      </c>
      <c r="C1431" s="1" t="n">
        <v>45998</v>
      </c>
      <c r="D1431" t="inlineStr">
        <is>
          <t>VÄSTMANLANDS LÄN</t>
        </is>
      </c>
      <c r="E1431" t="inlineStr">
        <is>
          <t>ARBOGA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39358-2024</t>
        </is>
      </c>
      <c r="B1432" s="1" t="n">
        <v>45551</v>
      </c>
      <c r="C1432" s="1" t="n">
        <v>45998</v>
      </c>
      <c r="D1432" t="inlineStr">
        <is>
          <t>VÄSTMANLANDS LÄN</t>
        </is>
      </c>
      <c r="E1432" t="inlineStr">
        <is>
          <t>KÖPING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4797-2023</t>
        </is>
      </c>
      <c r="B1433" s="1" t="n">
        <v>44957</v>
      </c>
      <c r="C1433" s="1" t="n">
        <v>45998</v>
      </c>
      <c r="D1433" t="inlineStr">
        <is>
          <t>VÄSTMANLANDS LÄN</t>
        </is>
      </c>
      <c r="E1433" t="inlineStr">
        <is>
          <t>SALA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4852-2023</t>
        </is>
      </c>
      <c r="B1434" s="1" t="n">
        <v>44957.72496527778</v>
      </c>
      <c r="C1434" s="1" t="n">
        <v>45998</v>
      </c>
      <c r="D1434" t="inlineStr">
        <is>
          <t>VÄSTMANLANDS LÄN</t>
        </is>
      </c>
      <c r="E1434" t="inlineStr">
        <is>
          <t>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36858-2023</t>
        </is>
      </c>
      <c r="B1435" s="1" t="n">
        <v>45154.55184027777</v>
      </c>
      <c r="C1435" s="1" t="n">
        <v>45998</v>
      </c>
      <c r="D1435" t="inlineStr">
        <is>
          <t>VÄSTMANLANDS LÄN</t>
        </is>
      </c>
      <c r="E1435" t="inlineStr">
        <is>
          <t>SALA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30621-2023</t>
        </is>
      </c>
      <c r="B1436" s="1" t="n">
        <v>45112.42612268519</v>
      </c>
      <c r="C1436" s="1" t="n">
        <v>45998</v>
      </c>
      <c r="D1436" t="inlineStr">
        <is>
          <t>VÄSTMANLANDS LÄN</t>
        </is>
      </c>
      <c r="E1436" t="inlineStr">
        <is>
          <t>KUNGSÖR</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30623-2023</t>
        </is>
      </c>
      <c r="B1437" s="1" t="n">
        <v>45112.4308912037</v>
      </c>
      <c r="C1437" s="1" t="n">
        <v>45998</v>
      </c>
      <c r="D1437" t="inlineStr">
        <is>
          <t>VÄSTMANLANDS LÄN</t>
        </is>
      </c>
      <c r="E1437" t="inlineStr">
        <is>
          <t>KUNGSÖR</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12618-2023</t>
        </is>
      </c>
      <c r="B1438" s="1" t="n">
        <v>44999</v>
      </c>
      <c r="C1438" s="1" t="n">
        <v>45998</v>
      </c>
      <c r="D1438" t="inlineStr">
        <is>
          <t>VÄSTMANLANDS LÄN</t>
        </is>
      </c>
      <c r="E1438" t="inlineStr">
        <is>
          <t>VÄSTERÅS</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16400-2024</t>
        </is>
      </c>
      <c r="B1439" s="1" t="n">
        <v>45407</v>
      </c>
      <c r="C1439" s="1" t="n">
        <v>45998</v>
      </c>
      <c r="D1439" t="inlineStr">
        <is>
          <t>VÄSTMANLANDS LÄN</t>
        </is>
      </c>
      <c r="E1439" t="inlineStr">
        <is>
          <t>SKINNSKATTEBERG</t>
        </is>
      </c>
      <c r="F1439" t="inlineStr">
        <is>
          <t>Sveaskog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16523-2024</t>
        </is>
      </c>
      <c r="B1440" s="1" t="n">
        <v>45408.41509259259</v>
      </c>
      <c r="C1440" s="1" t="n">
        <v>45998</v>
      </c>
      <c r="D1440" t="inlineStr">
        <is>
          <t>VÄSTMANLANDS LÄN</t>
        </is>
      </c>
      <c r="E1440" t="inlineStr">
        <is>
          <t>SKINNSKATTEBERG</t>
        </is>
      </c>
      <c r="F1440" t="inlineStr">
        <is>
          <t>Sveaskog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19266-2024</t>
        </is>
      </c>
      <c r="B1441" s="1" t="n">
        <v>45428.62668981482</v>
      </c>
      <c r="C1441" s="1" t="n">
        <v>45998</v>
      </c>
      <c r="D1441" t="inlineStr">
        <is>
          <t>VÄSTMANLANDS LÄN</t>
        </is>
      </c>
      <c r="E1441" t="inlineStr">
        <is>
          <t>KUNGSÖR</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12131-2022</t>
        </is>
      </c>
      <c r="B1442" s="1" t="n">
        <v>44636</v>
      </c>
      <c r="C1442" s="1" t="n">
        <v>45998</v>
      </c>
      <c r="D1442" t="inlineStr">
        <is>
          <t>VÄSTMANLANDS LÄN</t>
        </is>
      </c>
      <c r="E1442" t="inlineStr">
        <is>
          <t>VÄSTERÅS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46686-2024</t>
        </is>
      </c>
      <c r="B1443" s="1" t="n">
        <v>45583.3955324074</v>
      </c>
      <c r="C1443" s="1" t="n">
        <v>45998</v>
      </c>
      <c r="D1443" t="inlineStr">
        <is>
          <t>VÄSTMANLANDS LÄN</t>
        </is>
      </c>
      <c r="E1443" t="inlineStr">
        <is>
          <t>NORBERG</t>
        </is>
      </c>
      <c r="F1443" t="inlineStr">
        <is>
          <t>Sveaskog</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2690-2025</t>
        </is>
      </c>
      <c r="B1444" s="1" t="n">
        <v>45677</v>
      </c>
      <c r="C1444" s="1" t="n">
        <v>45998</v>
      </c>
      <c r="D1444" t="inlineStr">
        <is>
          <t>VÄSTMANLANDS LÄN</t>
        </is>
      </c>
      <c r="E1444" t="inlineStr">
        <is>
          <t>ARBOGA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40607-2024</t>
        </is>
      </c>
      <c r="B1445" s="1" t="n">
        <v>45556.70357638889</v>
      </c>
      <c r="C1445" s="1" t="n">
        <v>45998</v>
      </c>
      <c r="D1445" t="inlineStr">
        <is>
          <t>VÄSTMANLANDS LÄN</t>
        </is>
      </c>
      <c r="E1445" t="inlineStr">
        <is>
          <t>KUNGSÖR</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21264-2022</t>
        </is>
      </c>
      <c r="B1446" s="1" t="n">
        <v>44705</v>
      </c>
      <c r="C1446" s="1" t="n">
        <v>45998</v>
      </c>
      <c r="D1446" t="inlineStr">
        <is>
          <t>VÄSTMANLANDS LÄN</t>
        </is>
      </c>
      <c r="E1446" t="inlineStr">
        <is>
          <t>HALLSTAHAMMAR</t>
        </is>
      </c>
      <c r="F1446" t="inlineStr">
        <is>
          <t>Allmännings- och besparingsskogar</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669-2025</t>
        </is>
      </c>
      <c r="B1447" s="1" t="n">
        <v>45664</v>
      </c>
      <c r="C1447" s="1" t="n">
        <v>45998</v>
      </c>
      <c r="D1447" t="inlineStr">
        <is>
          <t>VÄSTMANLANDS LÄN</t>
        </is>
      </c>
      <c r="E1447" t="inlineStr">
        <is>
          <t>ARBOGA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16404-2022</t>
        </is>
      </c>
      <c r="B1448" s="1" t="n">
        <v>44671</v>
      </c>
      <c r="C1448" s="1" t="n">
        <v>45998</v>
      </c>
      <c r="D1448" t="inlineStr">
        <is>
          <t>VÄSTMANLANDS LÄN</t>
        </is>
      </c>
      <c r="E1448" t="inlineStr">
        <is>
          <t>SALA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58701-2021</t>
        </is>
      </c>
      <c r="B1449" s="1" t="n">
        <v>44489.46454861111</v>
      </c>
      <c r="C1449" s="1" t="n">
        <v>45998</v>
      </c>
      <c r="D1449" t="inlineStr">
        <is>
          <t>VÄSTMANLANDS LÄN</t>
        </is>
      </c>
      <c r="E1449" t="inlineStr">
        <is>
          <t>SALA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40497-2023</t>
        </is>
      </c>
      <c r="B1450" s="1" t="n">
        <v>45170.3894212963</v>
      </c>
      <c r="C1450" s="1" t="n">
        <v>45998</v>
      </c>
      <c r="D1450" t="inlineStr">
        <is>
          <t>VÄSTMANLANDS LÄN</t>
        </is>
      </c>
      <c r="E1450" t="inlineStr">
        <is>
          <t>SKINNSKATTEBERG</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64201-2023</t>
        </is>
      </c>
      <c r="B1451" s="1" t="n">
        <v>45279</v>
      </c>
      <c r="C1451" s="1" t="n">
        <v>45998</v>
      </c>
      <c r="D1451" t="inlineStr">
        <is>
          <t>VÄSTMANLANDS LÄN</t>
        </is>
      </c>
      <c r="E1451" t="inlineStr">
        <is>
          <t>VÄSTERÅS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13721-2024</t>
        </is>
      </c>
      <c r="B1452" s="1" t="n">
        <v>45390</v>
      </c>
      <c r="C1452" s="1" t="n">
        <v>45998</v>
      </c>
      <c r="D1452" t="inlineStr">
        <is>
          <t>VÄSTMANLANDS LÄN</t>
        </is>
      </c>
      <c r="E1452" t="inlineStr">
        <is>
          <t>FAGERSTA</t>
        </is>
      </c>
      <c r="F1452" t="inlineStr">
        <is>
          <t>Kommuner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12077-2022</t>
        </is>
      </c>
      <c r="B1453" s="1" t="n">
        <v>44636.47484953704</v>
      </c>
      <c r="C1453" s="1" t="n">
        <v>45998</v>
      </c>
      <c r="D1453" t="inlineStr">
        <is>
          <t>VÄSTMANLANDS LÄN</t>
        </is>
      </c>
      <c r="E1453" t="inlineStr">
        <is>
          <t>HALLSTAHAMMAR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55784-2024</t>
        </is>
      </c>
      <c r="B1454" s="1" t="n">
        <v>45623</v>
      </c>
      <c r="C1454" s="1" t="n">
        <v>45998</v>
      </c>
      <c r="D1454" t="inlineStr">
        <is>
          <t>VÄSTMANLANDS LÄN</t>
        </is>
      </c>
      <c r="E1454" t="inlineStr">
        <is>
          <t>SALA</t>
        </is>
      </c>
      <c r="F1454" t="inlineStr">
        <is>
          <t>Bergvik skog öst AB</t>
        </is>
      </c>
      <c r="G1454" t="n">
        <v>28.4</v>
      </c>
      <c r="H1454" t="n">
        <v>0</v>
      </c>
      <c r="I1454" t="n">
        <v>0</v>
      </c>
      <c r="J1454" t="n">
        <v>0</v>
      </c>
      <c r="K1454" t="n">
        <v>0</v>
      </c>
      <c r="L1454" t="n">
        <v>0</v>
      </c>
      <c r="M1454" t="n">
        <v>0</v>
      </c>
      <c r="N1454" t="n">
        <v>0</v>
      </c>
      <c r="O1454" t="n">
        <v>0</v>
      </c>
      <c r="P1454" t="n">
        <v>0</v>
      </c>
      <c r="Q1454" t="n">
        <v>0</v>
      </c>
      <c r="R1454" s="2" t="inlineStr"/>
    </row>
    <row r="1455" ht="15" customHeight="1">
      <c r="A1455" t="inlineStr">
        <is>
          <t>A 13713-2024</t>
        </is>
      </c>
      <c r="B1455" s="1" t="n">
        <v>45390</v>
      </c>
      <c r="C1455" s="1" t="n">
        <v>45998</v>
      </c>
      <c r="D1455" t="inlineStr">
        <is>
          <t>VÄSTMANLANDS LÄN</t>
        </is>
      </c>
      <c r="E1455" t="inlineStr">
        <is>
          <t>SKINNSKATTEBERG</t>
        </is>
      </c>
      <c r="F1455" t="inlineStr">
        <is>
          <t>Sveaskog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7370-2022</t>
        </is>
      </c>
      <c r="B1456" s="1" t="n">
        <v>44606</v>
      </c>
      <c r="C1456" s="1" t="n">
        <v>45998</v>
      </c>
      <c r="D1456" t="inlineStr">
        <is>
          <t>VÄSTMANLANDS LÄN</t>
        </is>
      </c>
      <c r="E1456" t="inlineStr">
        <is>
          <t>KÖPING</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7378-2022</t>
        </is>
      </c>
      <c r="B1457" s="1" t="n">
        <v>44606.61012731482</v>
      </c>
      <c r="C1457" s="1" t="n">
        <v>45998</v>
      </c>
      <c r="D1457" t="inlineStr">
        <is>
          <t>VÄSTMANLANDS LÄN</t>
        </is>
      </c>
      <c r="E1457" t="inlineStr">
        <is>
          <t>VÄSTERÅS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11099-2022</t>
        </is>
      </c>
      <c r="B1458" s="1" t="n">
        <v>44628.72158564815</v>
      </c>
      <c r="C1458" s="1" t="n">
        <v>45998</v>
      </c>
      <c r="D1458" t="inlineStr">
        <is>
          <t>VÄSTMANLANDS LÄN</t>
        </is>
      </c>
      <c r="E1458" t="inlineStr">
        <is>
          <t>NORBERG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53880-2021</t>
        </is>
      </c>
      <c r="B1459" s="1" t="n">
        <v>44469.68425925926</v>
      </c>
      <c r="C1459" s="1" t="n">
        <v>45998</v>
      </c>
      <c r="D1459" t="inlineStr">
        <is>
          <t>VÄSTMANLANDS LÄN</t>
        </is>
      </c>
      <c r="E1459" t="inlineStr">
        <is>
          <t>SKINNSKATTEBERG</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22025-2025</t>
        </is>
      </c>
      <c r="B1460" s="1" t="n">
        <v>45784</v>
      </c>
      <c r="C1460" s="1" t="n">
        <v>45998</v>
      </c>
      <c r="D1460" t="inlineStr">
        <is>
          <t>VÄSTMANLANDS LÄN</t>
        </is>
      </c>
      <c r="E1460" t="inlineStr">
        <is>
          <t>FAGERSTA</t>
        </is>
      </c>
      <c r="F1460" t="inlineStr">
        <is>
          <t>Kommuner</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16430-2022</t>
        </is>
      </c>
      <c r="B1461" s="1" t="n">
        <v>44671</v>
      </c>
      <c r="C1461" s="1" t="n">
        <v>45998</v>
      </c>
      <c r="D1461" t="inlineStr">
        <is>
          <t>VÄSTMANLANDS LÄN</t>
        </is>
      </c>
      <c r="E1461" t="inlineStr">
        <is>
          <t>KÖPING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25843-2023</t>
        </is>
      </c>
      <c r="B1462" s="1" t="n">
        <v>45090</v>
      </c>
      <c r="C1462" s="1" t="n">
        <v>45998</v>
      </c>
      <c r="D1462" t="inlineStr">
        <is>
          <t>VÄSTMANLANDS LÄN</t>
        </is>
      </c>
      <c r="E1462" t="inlineStr">
        <is>
          <t>SKINNSKATTEBERG</t>
        </is>
      </c>
      <c r="F1462" t="inlineStr">
        <is>
          <t>Sveaskog</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40304-2023</t>
        </is>
      </c>
      <c r="B1463" s="1" t="n">
        <v>45169</v>
      </c>
      <c r="C1463" s="1" t="n">
        <v>45998</v>
      </c>
      <c r="D1463" t="inlineStr">
        <is>
          <t>VÄSTMANLANDS LÄN</t>
        </is>
      </c>
      <c r="E1463" t="inlineStr">
        <is>
          <t>VÄSTERÅS</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31268-2023</t>
        </is>
      </c>
      <c r="B1464" s="1" t="n">
        <v>45114</v>
      </c>
      <c r="C1464" s="1" t="n">
        <v>45998</v>
      </c>
      <c r="D1464" t="inlineStr">
        <is>
          <t>VÄSTMANLANDS LÄN</t>
        </is>
      </c>
      <c r="E1464" t="inlineStr">
        <is>
          <t>SKINNSKATTEBERG</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43567-2022</t>
        </is>
      </c>
      <c r="B1465" s="1" t="n">
        <v>44837</v>
      </c>
      <c r="C1465" s="1" t="n">
        <v>45998</v>
      </c>
      <c r="D1465" t="inlineStr">
        <is>
          <t>VÄSTMANLANDS LÄN</t>
        </is>
      </c>
      <c r="E1465" t="inlineStr">
        <is>
          <t>KÖPING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26069-2023</t>
        </is>
      </c>
      <c r="B1466" s="1" t="n">
        <v>45091</v>
      </c>
      <c r="C1466" s="1" t="n">
        <v>45998</v>
      </c>
      <c r="D1466" t="inlineStr">
        <is>
          <t>VÄSTMANLANDS LÄN</t>
        </is>
      </c>
      <c r="E1466" t="inlineStr">
        <is>
          <t>NORBERG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13697-2025</t>
        </is>
      </c>
      <c r="B1467" s="1" t="n">
        <v>45737</v>
      </c>
      <c r="C1467" s="1" t="n">
        <v>45998</v>
      </c>
      <c r="D1467" t="inlineStr">
        <is>
          <t>VÄSTMANLANDS LÄN</t>
        </is>
      </c>
      <c r="E1467" t="inlineStr">
        <is>
          <t>FAGERSTA</t>
        </is>
      </c>
      <c r="F1467" t="inlineStr">
        <is>
          <t>Bergvik skog väst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37337-2024</t>
        </is>
      </c>
      <c r="B1468" s="1" t="n">
        <v>45540</v>
      </c>
      <c r="C1468" s="1" t="n">
        <v>45998</v>
      </c>
      <c r="D1468" t="inlineStr">
        <is>
          <t>VÄSTMANLANDS LÄN</t>
        </is>
      </c>
      <c r="E1468" t="inlineStr">
        <is>
          <t>SALA</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30766-2022</t>
        </is>
      </c>
      <c r="B1469" s="1" t="n">
        <v>44764</v>
      </c>
      <c r="C1469" s="1" t="n">
        <v>45998</v>
      </c>
      <c r="D1469" t="inlineStr">
        <is>
          <t>VÄSTMANLANDS LÄN</t>
        </is>
      </c>
      <c r="E1469" t="inlineStr">
        <is>
          <t>HALLSTAHAMMAR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21232-2024</t>
        </is>
      </c>
      <c r="B1470" s="1" t="n">
        <v>45440</v>
      </c>
      <c r="C1470" s="1" t="n">
        <v>45998</v>
      </c>
      <c r="D1470" t="inlineStr">
        <is>
          <t>VÄSTMANLANDS LÄN</t>
        </is>
      </c>
      <c r="E1470" t="inlineStr">
        <is>
          <t>NORBERG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10496-2022</t>
        </is>
      </c>
      <c r="B1471" s="1" t="n">
        <v>44623.65987268519</v>
      </c>
      <c r="C1471" s="1" t="n">
        <v>45998</v>
      </c>
      <c r="D1471" t="inlineStr">
        <is>
          <t>VÄSTMANLANDS LÄN</t>
        </is>
      </c>
      <c r="E1471" t="inlineStr">
        <is>
          <t>VÄSTERÅS</t>
        </is>
      </c>
      <c r="F1471" t="inlineStr">
        <is>
          <t>Sveaskog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29542-2023</t>
        </is>
      </c>
      <c r="B1472" s="1" t="n">
        <v>45098</v>
      </c>
      <c r="C1472" s="1" t="n">
        <v>45998</v>
      </c>
      <c r="D1472" t="inlineStr">
        <is>
          <t>VÄSTMANLANDS LÄN</t>
        </is>
      </c>
      <c r="E1472" t="inlineStr">
        <is>
          <t>SALA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18409-2025</t>
        </is>
      </c>
      <c r="B1473" s="1" t="n">
        <v>45762.61232638889</v>
      </c>
      <c r="C1473" s="1" t="n">
        <v>45998</v>
      </c>
      <c r="D1473" t="inlineStr">
        <is>
          <t>VÄSTMANLANDS LÄN</t>
        </is>
      </c>
      <c r="E1473" t="inlineStr">
        <is>
          <t>SKINNSKATTEBERG</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27038-2023</t>
        </is>
      </c>
      <c r="B1474" s="1" t="n">
        <v>45095</v>
      </c>
      <c r="C1474" s="1" t="n">
        <v>45998</v>
      </c>
      <c r="D1474" t="inlineStr">
        <is>
          <t>VÄSTMANLANDS LÄN</t>
        </is>
      </c>
      <c r="E1474" t="inlineStr">
        <is>
          <t>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57496-2024</t>
        </is>
      </c>
      <c r="B1475" s="1" t="n">
        <v>45630.37325231481</v>
      </c>
      <c r="C1475" s="1" t="n">
        <v>45998</v>
      </c>
      <c r="D1475" t="inlineStr">
        <is>
          <t>VÄSTMANLANDS LÄN</t>
        </is>
      </c>
      <c r="E1475" t="inlineStr">
        <is>
          <t>KÖPING</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23389-2023</t>
        </is>
      </c>
      <c r="B1476" s="1" t="n">
        <v>45076</v>
      </c>
      <c r="C1476" s="1" t="n">
        <v>45998</v>
      </c>
      <c r="D1476" t="inlineStr">
        <is>
          <t>VÄSTMANLANDS LÄN</t>
        </is>
      </c>
      <c r="E1476" t="inlineStr">
        <is>
          <t>KÖPING</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15201-2022</t>
        </is>
      </c>
      <c r="B1477" s="1" t="n">
        <v>44658</v>
      </c>
      <c r="C1477" s="1" t="n">
        <v>45998</v>
      </c>
      <c r="D1477" t="inlineStr">
        <is>
          <t>VÄSTMANLANDS LÄN</t>
        </is>
      </c>
      <c r="E1477" t="inlineStr">
        <is>
          <t>VÄSTERÅS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59805-2024</t>
        </is>
      </c>
      <c r="B1478" s="1" t="n">
        <v>45639.60199074074</v>
      </c>
      <c r="C1478" s="1" t="n">
        <v>45998</v>
      </c>
      <c r="D1478" t="inlineStr">
        <is>
          <t>VÄSTMANLANDS LÄN</t>
        </is>
      </c>
      <c r="E1478" t="inlineStr">
        <is>
          <t>KUNGSÖR</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19099-2022</t>
        </is>
      </c>
      <c r="B1479" s="1" t="n">
        <v>44691</v>
      </c>
      <c r="C1479" s="1" t="n">
        <v>45998</v>
      </c>
      <c r="D1479" t="inlineStr">
        <is>
          <t>VÄSTMANLANDS LÄN</t>
        </is>
      </c>
      <c r="E1479" t="inlineStr">
        <is>
          <t>SURAHAMMAR</t>
        </is>
      </c>
      <c r="F1479" t="inlineStr">
        <is>
          <t>Övriga Aktiebolag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4379-2025</t>
        </is>
      </c>
      <c r="B1480" s="1" t="n">
        <v>45686.39192129629</v>
      </c>
      <c r="C1480" s="1" t="n">
        <v>45998</v>
      </c>
      <c r="D1480" t="inlineStr">
        <is>
          <t>VÄSTMANLANDS LÄN</t>
        </is>
      </c>
      <c r="E1480" t="inlineStr">
        <is>
          <t>SKINNSKATTEBERG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59715-2021</t>
        </is>
      </c>
      <c r="B1481" s="1" t="n">
        <v>44494</v>
      </c>
      <c r="C1481" s="1" t="n">
        <v>45998</v>
      </c>
      <c r="D1481" t="inlineStr">
        <is>
          <t>VÄSTMANLANDS LÄN</t>
        </is>
      </c>
      <c r="E1481" t="inlineStr">
        <is>
          <t>ARBOGA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58577-2023</t>
        </is>
      </c>
      <c r="B1482" s="1" t="n">
        <v>45251</v>
      </c>
      <c r="C1482" s="1" t="n">
        <v>45998</v>
      </c>
      <c r="D1482" t="inlineStr">
        <is>
          <t>VÄSTMANLANDS LÄN</t>
        </is>
      </c>
      <c r="E1482" t="inlineStr">
        <is>
          <t>VÄSTERÅS</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18417-2025</t>
        </is>
      </c>
      <c r="B1483" s="1" t="n">
        <v>45762.61646990741</v>
      </c>
      <c r="C1483" s="1" t="n">
        <v>45998</v>
      </c>
      <c r="D1483" t="inlineStr">
        <is>
          <t>VÄSTMANLANDS LÄN</t>
        </is>
      </c>
      <c r="E1483" t="inlineStr">
        <is>
          <t>SKINNSKATTEBERG</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68714-2021</t>
        </is>
      </c>
      <c r="B1484" s="1" t="n">
        <v>44529.6944212963</v>
      </c>
      <c r="C1484" s="1" t="n">
        <v>45998</v>
      </c>
      <c r="D1484" t="inlineStr">
        <is>
          <t>VÄSTMANLANDS LÄN</t>
        </is>
      </c>
      <c r="E1484" t="inlineStr">
        <is>
          <t>KÖPING</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37660-2022</t>
        </is>
      </c>
      <c r="B1485" s="1" t="n">
        <v>44810.44481481481</v>
      </c>
      <c r="C1485" s="1" t="n">
        <v>45998</v>
      </c>
      <c r="D1485" t="inlineStr">
        <is>
          <t>VÄSTMANLANDS LÄN</t>
        </is>
      </c>
      <c r="E1485" t="inlineStr">
        <is>
          <t>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57297-2024</t>
        </is>
      </c>
      <c r="B1486" s="1" t="n">
        <v>45629</v>
      </c>
      <c r="C1486" s="1" t="n">
        <v>45998</v>
      </c>
      <c r="D1486" t="inlineStr">
        <is>
          <t>VÄSTMANLANDS LÄN</t>
        </is>
      </c>
      <c r="E1486" t="inlineStr">
        <is>
          <t>KÖPING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39332-2024</t>
        </is>
      </c>
      <c r="B1487" s="1" t="n">
        <v>45551.43763888889</v>
      </c>
      <c r="C1487" s="1" t="n">
        <v>45998</v>
      </c>
      <c r="D1487" t="inlineStr">
        <is>
          <t>VÄSTMANLANDS LÄN</t>
        </is>
      </c>
      <c r="E1487" t="inlineStr">
        <is>
          <t>KÖPING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66821-2020</t>
        </is>
      </c>
      <c r="B1488" s="1" t="n">
        <v>44179.88008101852</v>
      </c>
      <c r="C1488" s="1" t="n">
        <v>45998</v>
      </c>
      <c r="D1488" t="inlineStr">
        <is>
          <t>VÄSTMANLANDS LÄN</t>
        </is>
      </c>
      <c r="E1488" t="inlineStr">
        <is>
          <t>SALA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42045-2022</t>
        </is>
      </c>
      <c r="B1489" s="1" t="n">
        <v>44830</v>
      </c>
      <c r="C1489" s="1" t="n">
        <v>45998</v>
      </c>
      <c r="D1489" t="inlineStr">
        <is>
          <t>VÄSTMANLANDS LÄN</t>
        </is>
      </c>
      <c r="E1489" t="inlineStr">
        <is>
          <t>ARBOGA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11983-2022</t>
        </is>
      </c>
      <c r="B1490" s="1" t="n">
        <v>44635.68010416667</v>
      </c>
      <c r="C1490" s="1" t="n">
        <v>45998</v>
      </c>
      <c r="D1490" t="inlineStr">
        <is>
          <t>VÄSTMANLANDS LÄN</t>
        </is>
      </c>
      <c r="E1490" t="inlineStr">
        <is>
          <t>VÄSTERÅS</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11989-2022</t>
        </is>
      </c>
      <c r="B1491" s="1" t="n">
        <v>44635.69003472223</v>
      </c>
      <c r="C1491" s="1" t="n">
        <v>45998</v>
      </c>
      <c r="D1491" t="inlineStr">
        <is>
          <t>VÄSTMANLANDS LÄN</t>
        </is>
      </c>
      <c r="E1491" t="inlineStr">
        <is>
          <t>VÄSTERÅS</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8193-2023</t>
        </is>
      </c>
      <c r="B1492" s="1" t="n">
        <v>44974</v>
      </c>
      <c r="C1492" s="1" t="n">
        <v>45998</v>
      </c>
      <c r="D1492" t="inlineStr">
        <is>
          <t>VÄSTMANLANDS LÄN</t>
        </is>
      </c>
      <c r="E1492" t="inlineStr">
        <is>
          <t>KUNGSÖR</t>
        </is>
      </c>
      <c r="F1492" t="inlineStr">
        <is>
          <t>Allmännings- och besparingsskogar</t>
        </is>
      </c>
      <c r="G1492" t="n">
        <v>10.5</v>
      </c>
      <c r="H1492" t="n">
        <v>0</v>
      </c>
      <c r="I1492" t="n">
        <v>0</v>
      </c>
      <c r="J1492" t="n">
        <v>0</v>
      </c>
      <c r="K1492" t="n">
        <v>0</v>
      </c>
      <c r="L1492" t="n">
        <v>0</v>
      </c>
      <c r="M1492" t="n">
        <v>0</v>
      </c>
      <c r="N1492" t="n">
        <v>0</v>
      </c>
      <c r="O1492" t="n">
        <v>0</v>
      </c>
      <c r="P1492" t="n">
        <v>0</v>
      </c>
      <c r="Q1492" t="n">
        <v>0</v>
      </c>
      <c r="R1492" s="2" t="inlineStr"/>
    </row>
    <row r="1493" ht="15" customHeight="1">
      <c r="A1493" t="inlineStr">
        <is>
          <t>A 8228-2023</t>
        </is>
      </c>
      <c r="B1493" s="1" t="n">
        <v>44974</v>
      </c>
      <c r="C1493" s="1" t="n">
        <v>45998</v>
      </c>
      <c r="D1493" t="inlineStr">
        <is>
          <t>VÄSTMANLANDS LÄN</t>
        </is>
      </c>
      <c r="E1493" t="inlineStr">
        <is>
          <t>KUNGSÖR</t>
        </is>
      </c>
      <c r="G1493" t="n">
        <v>13.9</v>
      </c>
      <c r="H1493" t="n">
        <v>0</v>
      </c>
      <c r="I1493" t="n">
        <v>0</v>
      </c>
      <c r="J1493" t="n">
        <v>0</v>
      </c>
      <c r="K1493" t="n">
        <v>0</v>
      </c>
      <c r="L1493" t="n">
        <v>0</v>
      </c>
      <c r="M1493" t="n">
        <v>0</v>
      </c>
      <c r="N1493" t="n">
        <v>0</v>
      </c>
      <c r="O1493" t="n">
        <v>0</v>
      </c>
      <c r="P1493" t="n">
        <v>0</v>
      </c>
      <c r="Q1493" t="n">
        <v>0</v>
      </c>
      <c r="R1493" s="2" t="inlineStr"/>
    </row>
    <row r="1494" ht="15" customHeight="1">
      <c r="A1494" t="inlineStr">
        <is>
          <t>A 8357-2022</t>
        </is>
      </c>
      <c r="B1494" s="1" t="n">
        <v>44610.6044212963</v>
      </c>
      <c r="C1494" s="1" t="n">
        <v>45998</v>
      </c>
      <c r="D1494" t="inlineStr">
        <is>
          <t>VÄSTMANLANDS LÄN</t>
        </is>
      </c>
      <c r="E1494" t="inlineStr">
        <is>
          <t>VÄSTERÅS</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8362-2022</t>
        </is>
      </c>
      <c r="B1495" s="1" t="n">
        <v>44610.60694444444</v>
      </c>
      <c r="C1495" s="1" t="n">
        <v>45998</v>
      </c>
      <c r="D1495" t="inlineStr">
        <is>
          <t>VÄSTMANLANDS LÄN</t>
        </is>
      </c>
      <c r="E1495" t="inlineStr">
        <is>
          <t>VÄSTERÅS</t>
        </is>
      </c>
      <c r="F1495" t="inlineStr">
        <is>
          <t>Sveaskog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14413-2023</t>
        </is>
      </c>
      <c r="B1496" s="1" t="n">
        <v>45012.5225462963</v>
      </c>
      <c r="C1496" s="1" t="n">
        <v>45998</v>
      </c>
      <c r="D1496" t="inlineStr">
        <is>
          <t>VÄSTMANLANDS LÄN</t>
        </is>
      </c>
      <c r="E1496" t="inlineStr">
        <is>
          <t>ARBOGA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17051-2025</t>
        </is>
      </c>
      <c r="B1497" s="1" t="n">
        <v>45755</v>
      </c>
      <c r="C1497" s="1" t="n">
        <v>45998</v>
      </c>
      <c r="D1497" t="inlineStr">
        <is>
          <t>VÄSTMANLANDS LÄN</t>
        </is>
      </c>
      <c r="E1497" t="inlineStr">
        <is>
          <t>SALA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10250-2025</t>
        </is>
      </c>
      <c r="B1498" s="1" t="n">
        <v>45720.36165509259</v>
      </c>
      <c r="C1498" s="1" t="n">
        <v>45998</v>
      </c>
      <c r="D1498" t="inlineStr">
        <is>
          <t>VÄSTMANLANDS LÄN</t>
        </is>
      </c>
      <c r="E1498" t="inlineStr">
        <is>
          <t>SALA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23180-2022</t>
        </is>
      </c>
      <c r="B1499" s="1" t="n">
        <v>44719.79344907407</v>
      </c>
      <c r="C1499" s="1" t="n">
        <v>45998</v>
      </c>
      <c r="D1499" t="inlineStr">
        <is>
          <t>VÄSTMANLANDS LÄN</t>
        </is>
      </c>
      <c r="E1499" t="inlineStr">
        <is>
          <t>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21053-2022</t>
        </is>
      </c>
      <c r="B1500" s="1" t="n">
        <v>44704</v>
      </c>
      <c r="C1500" s="1" t="n">
        <v>45998</v>
      </c>
      <c r="D1500" t="inlineStr">
        <is>
          <t>VÄSTMANLANDS LÄN</t>
        </is>
      </c>
      <c r="E1500" t="inlineStr">
        <is>
          <t>SALA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46045-2023</t>
        </is>
      </c>
      <c r="B1501" s="1" t="n">
        <v>45196</v>
      </c>
      <c r="C1501" s="1" t="n">
        <v>45998</v>
      </c>
      <c r="D1501" t="inlineStr">
        <is>
          <t>VÄSTMANLANDS LÄN</t>
        </is>
      </c>
      <c r="E1501" t="inlineStr">
        <is>
          <t>NORBERG</t>
        </is>
      </c>
      <c r="F1501" t="inlineStr">
        <is>
          <t>Bergvik skog väst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42844-2024</t>
        </is>
      </c>
      <c r="B1502" s="1" t="n">
        <v>45566.62930555556</v>
      </c>
      <c r="C1502" s="1" t="n">
        <v>45998</v>
      </c>
      <c r="D1502" t="inlineStr">
        <is>
          <t>VÄSTMANLANDS LÄN</t>
        </is>
      </c>
      <c r="E1502" t="inlineStr">
        <is>
          <t>FAGERSTA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15316-2022</t>
        </is>
      </c>
      <c r="B1503" s="1" t="n">
        <v>44659.48399305555</v>
      </c>
      <c r="C1503" s="1" t="n">
        <v>45998</v>
      </c>
      <c r="D1503" t="inlineStr">
        <is>
          <t>VÄSTMANLANDS LÄN</t>
        </is>
      </c>
      <c r="E1503" t="inlineStr">
        <is>
          <t>VÄSTERÅS</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20381-2023</t>
        </is>
      </c>
      <c r="B1504" s="1" t="n">
        <v>45056</v>
      </c>
      <c r="C1504" s="1" t="n">
        <v>45998</v>
      </c>
      <c r="D1504" t="inlineStr">
        <is>
          <t>VÄSTMANLANDS LÄN</t>
        </is>
      </c>
      <c r="E1504" t="inlineStr">
        <is>
          <t>NORBERG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51096-2024</t>
        </is>
      </c>
      <c r="B1505" s="1" t="n">
        <v>45603.47366898148</v>
      </c>
      <c r="C1505" s="1" t="n">
        <v>45998</v>
      </c>
      <c r="D1505" t="inlineStr">
        <is>
          <t>VÄSTMANLANDS LÄN</t>
        </is>
      </c>
      <c r="E1505" t="inlineStr">
        <is>
          <t>KUNGSÖR</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18340-2025</t>
        </is>
      </c>
      <c r="B1506" s="1" t="n">
        <v>45762</v>
      </c>
      <c r="C1506" s="1" t="n">
        <v>45998</v>
      </c>
      <c r="D1506" t="inlineStr">
        <is>
          <t>VÄSTMANLANDS LÄN</t>
        </is>
      </c>
      <c r="E1506" t="inlineStr">
        <is>
          <t>SALA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41815-2023</t>
        </is>
      </c>
      <c r="B1507" s="1" t="n">
        <v>45176.55569444445</v>
      </c>
      <c r="C1507" s="1" t="n">
        <v>45998</v>
      </c>
      <c r="D1507" t="inlineStr">
        <is>
          <t>VÄSTMANLANDS LÄN</t>
        </is>
      </c>
      <c r="E1507" t="inlineStr">
        <is>
          <t>KÖPING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64714-2023</t>
        </is>
      </c>
      <c r="B1508" s="1" t="n">
        <v>45281.69546296296</v>
      </c>
      <c r="C1508" s="1" t="n">
        <v>45998</v>
      </c>
      <c r="D1508" t="inlineStr">
        <is>
          <t>VÄSTMANLANDS LÄN</t>
        </is>
      </c>
      <c r="E1508" t="inlineStr">
        <is>
          <t>VÄSTERÅS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8285-2025</t>
        </is>
      </c>
      <c r="B1509" s="1" t="n">
        <v>45708</v>
      </c>
      <c r="C1509" s="1" t="n">
        <v>45998</v>
      </c>
      <c r="D1509" t="inlineStr">
        <is>
          <t>VÄSTMANLANDS LÄN</t>
        </is>
      </c>
      <c r="E1509" t="inlineStr">
        <is>
          <t>SALA</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11950-2022</t>
        </is>
      </c>
      <c r="B1510" s="1" t="n">
        <v>44635</v>
      </c>
      <c r="C1510" s="1" t="n">
        <v>45998</v>
      </c>
      <c r="D1510" t="inlineStr">
        <is>
          <t>VÄSTMANLANDS LÄN</t>
        </is>
      </c>
      <c r="E1510" t="inlineStr">
        <is>
          <t>VÄSTERÅS</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37669-2023</t>
        </is>
      </c>
      <c r="B1511" s="1" t="n">
        <v>45159.55391203704</v>
      </c>
      <c r="C1511" s="1" t="n">
        <v>45998</v>
      </c>
      <c r="D1511" t="inlineStr">
        <is>
          <t>VÄSTMANLANDS LÄN</t>
        </is>
      </c>
      <c r="E1511" t="inlineStr">
        <is>
          <t>KÖPING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16638-2023</t>
        </is>
      </c>
      <c r="B1512" s="1" t="n">
        <v>45027</v>
      </c>
      <c r="C1512" s="1" t="n">
        <v>45998</v>
      </c>
      <c r="D1512" t="inlineStr">
        <is>
          <t>VÄSTMANLANDS LÄN</t>
        </is>
      </c>
      <c r="E1512" t="inlineStr">
        <is>
          <t>SALA</t>
        </is>
      </c>
      <c r="G1512" t="n">
        <v>14.8</v>
      </c>
      <c r="H1512" t="n">
        <v>0</v>
      </c>
      <c r="I1512" t="n">
        <v>0</v>
      </c>
      <c r="J1512" t="n">
        <v>0</v>
      </c>
      <c r="K1512" t="n">
        <v>0</v>
      </c>
      <c r="L1512" t="n">
        <v>0</v>
      </c>
      <c r="M1512" t="n">
        <v>0</v>
      </c>
      <c r="N1512" t="n">
        <v>0</v>
      </c>
      <c r="O1512" t="n">
        <v>0</v>
      </c>
      <c r="P1512" t="n">
        <v>0</v>
      </c>
      <c r="Q1512" t="n">
        <v>0</v>
      </c>
      <c r="R1512" s="2" t="inlineStr"/>
    </row>
    <row r="1513" ht="15" customHeight="1">
      <c r="A1513" t="inlineStr">
        <is>
          <t>A 18361-2025</t>
        </is>
      </c>
      <c r="B1513" s="1" t="n">
        <v>45762</v>
      </c>
      <c r="C1513" s="1" t="n">
        <v>45998</v>
      </c>
      <c r="D1513" t="inlineStr">
        <is>
          <t>VÄSTMANLANDS LÄN</t>
        </is>
      </c>
      <c r="E1513" t="inlineStr">
        <is>
          <t>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19655-2025</t>
        </is>
      </c>
      <c r="B1514" s="1" t="n">
        <v>45770.67399305556</v>
      </c>
      <c r="C1514" s="1" t="n">
        <v>45998</v>
      </c>
      <c r="D1514" t="inlineStr">
        <is>
          <t>VÄSTMANLANDS LÄN</t>
        </is>
      </c>
      <c r="E1514" t="inlineStr">
        <is>
          <t>SKINNSKATTEBERG</t>
        </is>
      </c>
      <c r="F1514" t="inlineStr">
        <is>
          <t>Sveaskog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14010-2021</t>
        </is>
      </c>
      <c r="B1515" s="1" t="n">
        <v>44277.63396990741</v>
      </c>
      <c r="C1515" s="1" t="n">
        <v>45998</v>
      </c>
      <c r="D1515" t="inlineStr">
        <is>
          <t>VÄSTMANLANDS LÄN</t>
        </is>
      </c>
      <c r="E1515" t="inlineStr">
        <is>
          <t>SALA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59578-2024</t>
        </is>
      </c>
      <c r="B1516" s="1" t="n">
        <v>45637</v>
      </c>
      <c r="C1516" s="1" t="n">
        <v>45998</v>
      </c>
      <c r="D1516" t="inlineStr">
        <is>
          <t>VÄSTMANLANDS LÄN</t>
        </is>
      </c>
      <c r="E1516" t="inlineStr">
        <is>
          <t>SKINNSKATTEBERG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52433-2024</t>
        </is>
      </c>
      <c r="B1517" s="1" t="n">
        <v>45608</v>
      </c>
      <c r="C1517" s="1" t="n">
        <v>45998</v>
      </c>
      <c r="D1517" t="inlineStr">
        <is>
          <t>VÄSTMANLANDS LÄN</t>
        </is>
      </c>
      <c r="E1517" t="inlineStr">
        <is>
          <t>ARBOGA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1652-2022</t>
        </is>
      </c>
      <c r="B1518" s="1" t="n">
        <v>44574</v>
      </c>
      <c r="C1518" s="1" t="n">
        <v>45998</v>
      </c>
      <c r="D1518" t="inlineStr">
        <is>
          <t>VÄSTMANLANDS LÄN</t>
        </is>
      </c>
      <c r="E1518" t="inlineStr">
        <is>
          <t>VÄSTERÅS</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14627-2024</t>
        </is>
      </c>
      <c r="B1519" s="1" t="n">
        <v>45397</v>
      </c>
      <c r="C1519" s="1" t="n">
        <v>45998</v>
      </c>
      <c r="D1519" t="inlineStr">
        <is>
          <t>VÄSTMANLANDS LÄN</t>
        </is>
      </c>
      <c r="E1519" t="inlineStr">
        <is>
          <t>SKINNSKATTEBERG</t>
        </is>
      </c>
      <c r="F1519" t="inlineStr">
        <is>
          <t>Sveaskog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54573-2023</t>
        </is>
      </c>
      <c r="B1520" s="1" t="n">
        <v>45233</v>
      </c>
      <c r="C1520" s="1" t="n">
        <v>45998</v>
      </c>
      <c r="D1520" t="inlineStr">
        <is>
          <t>VÄSTMANLANDS LÄN</t>
        </is>
      </c>
      <c r="E1520" t="inlineStr">
        <is>
          <t>NORBERG</t>
        </is>
      </c>
      <c r="F1520" t="inlineStr">
        <is>
          <t>Sveaskog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23702-2024</t>
        </is>
      </c>
      <c r="B1521" s="1" t="n">
        <v>45454</v>
      </c>
      <c r="C1521" s="1" t="n">
        <v>45998</v>
      </c>
      <c r="D1521" t="inlineStr">
        <is>
          <t>VÄSTMANLANDS LÄN</t>
        </is>
      </c>
      <c r="E1521" t="inlineStr">
        <is>
          <t>NORBERG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23705-2024</t>
        </is>
      </c>
      <c r="B1522" s="1" t="n">
        <v>45454</v>
      </c>
      <c r="C1522" s="1" t="n">
        <v>45998</v>
      </c>
      <c r="D1522" t="inlineStr">
        <is>
          <t>VÄSTMANLANDS LÄN</t>
        </is>
      </c>
      <c r="E1522" t="inlineStr">
        <is>
          <t>NORBERG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2523-2025</t>
        </is>
      </c>
      <c r="B1523" s="1" t="n">
        <v>45674</v>
      </c>
      <c r="C1523" s="1" t="n">
        <v>45998</v>
      </c>
      <c r="D1523" t="inlineStr">
        <is>
          <t>VÄSTMANLANDS LÄN</t>
        </is>
      </c>
      <c r="E1523" t="inlineStr">
        <is>
          <t>VÄSTERÅS</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13553-2023</t>
        </is>
      </c>
      <c r="B1524" s="1" t="n">
        <v>45006.46628472222</v>
      </c>
      <c r="C1524" s="1" t="n">
        <v>45998</v>
      </c>
      <c r="D1524" t="inlineStr">
        <is>
          <t>VÄSTMANLANDS LÄN</t>
        </is>
      </c>
      <c r="E1524" t="inlineStr">
        <is>
          <t>SKINNSKATTEBERG</t>
        </is>
      </c>
      <c r="F1524" t="inlineStr">
        <is>
          <t>Allmännings- och besparingsskogar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14189-2024</t>
        </is>
      </c>
      <c r="B1525" s="1" t="n">
        <v>45393</v>
      </c>
      <c r="C1525" s="1" t="n">
        <v>45998</v>
      </c>
      <c r="D1525" t="inlineStr">
        <is>
          <t>VÄSTMANLANDS LÄN</t>
        </is>
      </c>
      <c r="E1525" t="inlineStr">
        <is>
          <t>SKINNSKATTEBERG</t>
        </is>
      </c>
      <c r="F1525" t="inlineStr">
        <is>
          <t>Sveaskog</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54576-2024</t>
        </is>
      </c>
      <c r="B1526" s="1" t="n">
        <v>45617.65555555555</v>
      </c>
      <c r="C1526" s="1" t="n">
        <v>45998</v>
      </c>
      <c r="D1526" t="inlineStr">
        <is>
          <t>VÄSTMANLANDS LÄN</t>
        </is>
      </c>
      <c r="E1526" t="inlineStr">
        <is>
          <t>SKINNSKATTEBERG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22019-2021</t>
        </is>
      </c>
      <c r="B1527" s="1" t="n">
        <v>44323</v>
      </c>
      <c r="C1527" s="1" t="n">
        <v>45998</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5243-2025</t>
        </is>
      </c>
      <c r="B1528" s="1" t="n">
        <v>45692</v>
      </c>
      <c r="C1528" s="1" t="n">
        <v>45998</v>
      </c>
      <c r="D1528" t="inlineStr">
        <is>
          <t>VÄSTMANLANDS LÄN</t>
        </is>
      </c>
      <c r="E1528" t="inlineStr">
        <is>
          <t>ARBOGA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37407-2023</t>
        </is>
      </c>
      <c r="B1529" s="1" t="n">
        <v>45156.60152777778</v>
      </c>
      <c r="C1529" s="1" t="n">
        <v>45998</v>
      </c>
      <c r="D1529" t="inlineStr">
        <is>
          <t>VÄSTMANLANDS LÄN</t>
        </is>
      </c>
      <c r="E1529" t="inlineStr">
        <is>
          <t>HALLSTAHAMMAR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10516-2022</t>
        </is>
      </c>
      <c r="B1530" s="1" t="n">
        <v>44623.71763888889</v>
      </c>
      <c r="C1530" s="1" t="n">
        <v>45998</v>
      </c>
      <c r="D1530" t="inlineStr">
        <is>
          <t>VÄSTMANLANDS LÄN</t>
        </is>
      </c>
      <c r="E1530" t="inlineStr">
        <is>
          <t>KUNGSÖR</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10517-2022</t>
        </is>
      </c>
      <c r="B1531" s="1" t="n">
        <v>44623</v>
      </c>
      <c r="C1531" s="1" t="n">
        <v>45998</v>
      </c>
      <c r="D1531" t="inlineStr">
        <is>
          <t>VÄSTMANLANDS LÄN</t>
        </is>
      </c>
      <c r="E1531" t="inlineStr">
        <is>
          <t>KUNGSÖR</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7786-2025</t>
        </is>
      </c>
      <c r="B1532" s="1" t="n">
        <v>45706.59180555555</v>
      </c>
      <c r="C1532" s="1" t="n">
        <v>45998</v>
      </c>
      <c r="D1532" t="inlineStr">
        <is>
          <t>VÄSTMANLANDS LÄN</t>
        </is>
      </c>
      <c r="E1532" t="inlineStr">
        <is>
          <t>ARBOGA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15158-2022</t>
        </is>
      </c>
      <c r="B1533" s="1" t="n">
        <v>44658</v>
      </c>
      <c r="C1533" s="1" t="n">
        <v>45998</v>
      </c>
      <c r="D1533" t="inlineStr">
        <is>
          <t>VÄSTMANLANDS LÄN</t>
        </is>
      </c>
      <c r="E1533" t="inlineStr">
        <is>
          <t>KÖPING</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15162-2022</t>
        </is>
      </c>
      <c r="B1534" s="1" t="n">
        <v>44658.50546296296</v>
      </c>
      <c r="C1534" s="1" t="n">
        <v>45998</v>
      </c>
      <c r="D1534" t="inlineStr">
        <is>
          <t>VÄSTMANLANDS LÄN</t>
        </is>
      </c>
      <c r="E1534" t="inlineStr">
        <is>
          <t>KÖPING</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57404-2024</t>
        </is>
      </c>
      <c r="B1535" s="1" t="n">
        <v>45629.71967592592</v>
      </c>
      <c r="C1535" s="1" t="n">
        <v>45998</v>
      </c>
      <c r="D1535" t="inlineStr">
        <is>
          <t>VÄSTMANLANDS LÄN</t>
        </is>
      </c>
      <c r="E1535" t="inlineStr">
        <is>
          <t>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15549-2024</t>
        </is>
      </c>
      <c r="B1536" s="1" t="n">
        <v>45401.63344907408</v>
      </c>
      <c r="C1536" s="1" t="n">
        <v>45998</v>
      </c>
      <c r="D1536" t="inlineStr">
        <is>
          <t>VÄSTMANLANDS LÄN</t>
        </is>
      </c>
      <c r="E1536" t="inlineStr">
        <is>
          <t>KÖPING</t>
        </is>
      </c>
      <c r="F1536" t="inlineStr">
        <is>
          <t>Sveaskog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6097-2022</t>
        </is>
      </c>
      <c r="B1537" s="1" t="n">
        <v>44599</v>
      </c>
      <c r="C1537" s="1" t="n">
        <v>45998</v>
      </c>
      <c r="D1537" t="inlineStr">
        <is>
          <t>VÄSTMANLANDS LÄN</t>
        </is>
      </c>
      <c r="E1537" t="inlineStr">
        <is>
          <t>SALA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39717-2023</t>
        </is>
      </c>
      <c r="B1538" s="1" t="n">
        <v>45167.62804398148</v>
      </c>
      <c r="C1538" s="1" t="n">
        <v>45998</v>
      </c>
      <c r="D1538" t="inlineStr">
        <is>
          <t>VÄSTMANLANDS LÄN</t>
        </is>
      </c>
      <c r="E1538" t="inlineStr">
        <is>
          <t>KUNGSÖR</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51156-2024</t>
        </is>
      </c>
      <c r="B1539" s="1" t="n">
        <v>45603.57417824074</v>
      </c>
      <c r="C1539" s="1" t="n">
        <v>45998</v>
      </c>
      <c r="D1539" t="inlineStr">
        <is>
          <t>VÄSTMANLANDS LÄN</t>
        </is>
      </c>
      <c r="E1539" t="inlineStr">
        <is>
          <t>KÖPING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21754-2025</t>
        </is>
      </c>
      <c r="B1540" s="1" t="n">
        <v>45783.61837962963</v>
      </c>
      <c r="C1540" s="1" t="n">
        <v>45998</v>
      </c>
      <c r="D1540" t="inlineStr">
        <is>
          <t>VÄSTMANLANDS LÄN</t>
        </is>
      </c>
      <c r="E1540" t="inlineStr">
        <is>
          <t>SALA</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46041-2023</t>
        </is>
      </c>
      <c r="B1541" s="1" t="n">
        <v>45196</v>
      </c>
      <c r="C1541" s="1" t="n">
        <v>45998</v>
      </c>
      <c r="D1541" t="inlineStr">
        <is>
          <t>VÄSTMANLANDS LÄN</t>
        </is>
      </c>
      <c r="E1541" t="inlineStr">
        <is>
          <t>NORBERG</t>
        </is>
      </c>
      <c r="F1541" t="inlineStr">
        <is>
          <t>Bergvik skog väst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58310-2024</t>
        </is>
      </c>
      <c r="B1542" s="1" t="n">
        <v>45632</v>
      </c>
      <c r="C1542" s="1" t="n">
        <v>45998</v>
      </c>
      <c r="D1542" t="inlineStr">
        <is>
          <t>VÄSTMANLANDS LÄN</t>
        </is>
      </c>
      <c r="E1542" t="inlineStr">
        <is>
          <t>FAGERSTA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21694-2025</t>
        </is>
      </c>
      <c r="B1543" s="1" t="n">
        <v>45783</v>
      </c>
      <c r="C1543" s="1" t="n">
        <v>45998</v>
      </c>
      <c r="D1543" t="inlineStr">
        <is>
          <t>VÄSTMANLANDS LÄN</t>
        </is>
      </c>
      <c r="E1543" t="inlineStr">
        <is>
          <t>VÄSTERÅS</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20074-2023</t>
        </is>
      </c>
      <c r="B1544" s="1" t="n">
        <v>45054.77178240741</v>
      </c>
      <c r="C1544" s="1" t="n">
        <v>45998</v>
      </c>
      <c r="D1544" t="inlineStr">
        <is>
          <t>VÄSTMANLANDS LÄN</t>
        </is>
      </c>
      <c r="E1544" t="inlineStr">
        <is>
          <t>SKINNSKATTEBERG</t>
        </is>
      </c>
      <c r="F1544" t="inlineStr">
        <is>
          <t>Sveaskog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47123-2024</t>
        </is>
      </c>
      <c r="B1545" s="1" t="n">
        <v>45586.5691087963</v>
      </c>
      <c r="C1545" s="1" t="n">
        <v>45998</v>
      </c>
      <c r="D1545" t="inlineStr">
        <is>
          <t>VÄSTMANLANDS LÄN</t>
        </is>
      </c>
      <c r="E1545" t="inlineStr">
        <is>
          <t>KUNGSÖR</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21691-2025</t>
        </is>
      </c>
      <c r="B1546" s="1" t="n">
        <v>45783.49538194444</v>
      </c>
      <c r="C1546" s="1" t="n">
        <v>45998</v>
      </c>
      <c r="D1546" t="inlineStr">
        <is>
          <t>VÄSTMANLANDS LÄN</t>
        </is>
      </c>
      <c r="E1546" t="inlineStr">
        <is>
          <t>KÖPING</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13041-2025</t>
        </is>
      </c>
      <c r="B1547" s="1" t="n">
        <v>45734</v>
      </c>
      <c r="C1547" s="1" t="n">
        <v>45998</v>
      </c>
      <c r="D1547" t="inlineStr">
        <is>
          <t>VÄSTMANLANDS LÄN</t>
        </is>
      </c>
      <c r="E1547" t="inlineStr">
        <is>
          <t>KÖPING</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6949-2023</t>
        </is>
      </c>
      <c r="B1548" s="1" t="n">
        <v>44967.58563657408</v>
      </c>
      <c r="C1548" s="1" t="n">
        <v>45998</v>
      </c>
      <c r="D1548" t="inlineStr">
        <is>
          <t>VÄSTMANLANDS LÄN</t>
        </is>
      </c>
      <c r="E1548" t="inlineStr">
        <is>
          <t>KÖPING</t>
        </is>
      </c>
      <c r="F1548" t="inlineStr">
        <is>
          <t>Sveaskog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17117-2023</t>
        </is>
      </c>
      <c r="B1549" s="1" t="n">
        <v>45034</v>
      </c>
      <c r="C1549" s="1" t="n">
        <v>45998</v>
      </c>
      <c r="D1549" t="inlineStr">
        <is>
          <t>VÄSTMANLANDS LÄN</t>
        </is>
      </c>
      <c r="E1549" t="inlineStr">
        <is>
          <t>SALA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21761-2022</t>
        </is>
      </c>
      <c r="B1550" s="1" t="n">
        <v>44708.4474537037</v>
      </c>
      <c r="C1550" s="1" t="n">
        <v>45998</v>
      </c>
      <c r="D1550" t="inlineStr">
        <is>
          <t>VÄSTMANLANDS LÄN</t>
        </is>
      </c>
      <c r="E1550" t="inlineStr">
        <is>
          <t>VÄSTERÅS</t>
        </is>
      </c>
      <c r="F1550" t="inlineStr">
        <is>
          <t>Sveaskog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21777-2022</t>
        </is>
      </c>
      <c r="B1551" s="1" t="n">
        <v>44708.48194444444</v>
      </c>
      <c r="C1551" s="1" t="n">
        <v>45998</v>
      </c>
      <c r="D1551" t="inlineStr">
        <is>
          <t>VÄSTMANLANDS LÄN</t>
        </is>
      </c>
      <c r="E1551" t="inlineStr">
        <is>
          <t>SALA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17866-2025</t>
        </is>
      </c>
      <c r="B1552" s="1" t="n">
        <v>45758</v>
      </c>
      <c r="C1552" s="1" t="n">
        <v>45998</v>
      </c>
      <c r="D1552" t="inlineStr">
        <is>
          <t>VÄSTMANLANDS LÄN</t>
        </is>
      </c>
      <c r="E1552" t="inlineStr">
        <is>
          <t>SALA</t>
        </is>
      </c>
      <c r="F1552" t="inlineStr">
        <is>
          <t>Bergvik skog öst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20430-2023</t>
        </is>
      </c>
      <c r="B1553" s="1" t="n">
        <v>45056.70799768518</v>
      </c>
      <c r="C1553" s="1" t="n">
        <v>45998</v>
      </c>
      <c r="D1553" t="inlineStr">
        <is>
          <t>VÄSTMANLANDS LÄN</t>
        </is>
      </c>
      <c r="E1553" t="inlineStr">
        <is>
          <t>SKINNSKATTEBERG</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7439-2025</t>
        </is>
      </c>
      <c r="B1554" s="1" t="n">
        <v>45705.39998842592</v>
      </c>
      <c r="C1554" s="1" t="n">
        <v>45998</v>
      </c>
      <c r="D1554" t="inlineStr">
        <is>
          <t>VÄSTMANLANDS LÄN</t>
        </is>
      </c>
      <c r="E1554" t="inlineStr">
        <is>
          <t>VÄSTERÅS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25780-2023</t>
        </is>
      </c>
      <c r="B1555" s="1" t="n">
        <v>45090.47523148148</v>
      </c>
      <c r="C1555" s="1" t="n">
        <v>45998</v>
      </c>
      <c r="D1555" t="inlineStr">
        <is>
          <t>VÄSTMANLANDS LÄN</t>
        </is>
      </c>
      <c r="E1555" t="inlineStr">
        <is>
          <t>SURAHAMMAR</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59909-2024</t>
        </is>
      </c>
      <c r="B1556" s="1" t="n">
        <v>45641</v>
      </c>
      <c r="C1556" s="1" t="n">
        <v>45998</v>
      </c>
      <c r="D1556" t="inlineStr">
        <is>
          <t>VÄSTMANLANDS LÄN</t>
        </is>
      </c>
      <c r="E1556" t="inlineStr">
        <is>
          <t>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46688-2024</t>
        </is>
      </c>
      <c r="B1557" s="1" t="n">
        <v>45583.39818287037</v>
      </c>
      <c r="C1557" s="1" t="n">
        <v>45998</v>
      </c>
      <c r="D1557" t="inlineStr">
        <is>
          <t>VÄSTMANLANDS LÄN</t>
        </is>
      </c>
      <c r="E1557" t="inlineStr">
        <is>
          <t>NORBERG</t>
        </is>
      </c>
      <c r="F1557" t="inlineStr">
        <is>
          <t>Sveaskog</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31407-2024</t>
        </is>
      </c>
      <c r="B1558" s="1" t="n">
        <v>45505.57873842592</v>
      </c>
      <c r="C1558" s="1" t="n">
        <v>45998</v>
      </c>
      <c r="D1558" t="inlineStr">
        <is>
          <t>VÄSTMANLANDS LÄN</t>
        </is>
      </c>
      <c r="E1558" t="inlineStr">
        <is>
          <t>SKINNSKATTEBERG</t>
        </is>
      </c>
      <c r="F1558" t="inlineStr">
        <is>
          <t>Sveaskog</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33932-2024</t>
        </is>
      </c>
      <c r="B1559" s="1" t="n">
        <v>45523.43164351852</v>
      </c>
      <c r="C1559" s="1" t="n">
        <v>45998</v>
      </c>
      <c r="D1559" t="inlineStr">
        <is>
          <t>VÄSTMANLANDS LÄN</t>
        </is>
      </c>
      <c r="E1559" t="inlineStr">
        <is>
          <t>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33789-2024</t>
        </is>
      </c>
      <c r="B1560" s="1" t="n">
        <v>45520</v>
      </c>
      <c r="C1560" s="1" t="n">
        <v>45998</v>
      </c>
      <c r="D1560" t="inlineStr">
        <is>
          <t>VÄSTMANLANDS LÄN</t>
        </is>
      </c>
      <c r="E1560" t="inlineStr">
        <is>
          <t>SKINNSKATTEBERG</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33732-2023</t>
        </is>
      </c>
      <c r="B1561" s="1" t="n">
        <v>45133.32409722222</v>
      </c>
      <c r="C1561" s="1" t="n">
        <v>45998</v>
      </c>
      <c r="D1561" t="inlineStr">
        <is>
          <t>VÄSTMANLANDS LÄN</t>
        </is>
      </c>
      <c r="E1561" t="inlineStr">
        <is>
          <t>SALA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30028-2024</t>
        </is>
      </c>
      <c r="B1562" s="1" t="n">
        <v>45485</v>
      </c>
      <c r="C1562" s="1" t="n">
        <v>45998</v>
      </c>
      <c r="D1562" t="inlineStr">
        <is>
          <t>VÄSTMANLANDS LÄN</t>
        </is>
      </c>
      <c r="E1562" t="inlineStr">
        <is>
          <t>SALA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54306-2023</t>
        </is>
      </c>
      <c r="B1563" s="1" t="n">
        <v>45232</v>
      </c>
      <c r="C1563" s="1" t="n">
        <v>45998</v>
      </c>
      <c r="D1563" t="inlineStr">
        <is>
          <t>VÄSTMANLANDS LÄN</t>
        </is>
      </c>
      <c r="E1563" t="inlineStr">
        <is>
          <t>NORBERG</t>
        </is>
      </c>
      <c r="F1563" t="inlineStr">
        <is>
          <t>Sveaskog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54657-2022</t>
        </is>
      </c>
      <c r="B1564" s="1" t="n">
        <v>44883</v>
      </c>
      <c r="C1564" s="1" t="n">
        <v>45998</v>
      </c>
      <c r="D1564" t="inlineStr">
        <is>
          <t>VÄSTMANLANDS LÄN</t>
        </is>
      </c>
      <c r="E1564" t="inlineStr">
        <is>
          <t>SKINNSKATTEBERG</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44370-2022</t>
        </is>
      </c>
      <c r="B1565" s="1" t="n">
        <v>44839</v>
      </c>
      <c r="C1565" s="1" t="n">
        <v>45998</v>
      </c>
      <c r="D1565" t="inlineStr">
        <is>
          <t>VÄSTMANLANDS LÄN</t>
        </is>
      </c>
      <c r="E1565" t="inlineStr">
        <is>
          <t>KÖPING</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35312-2023</t>
        </is>
      </c>
      <c r="B1566" s="1" t="n">
        <v>45145</v>
      </c>
      <c r="C1566" s="1" t="n">
        <v>45998</v>
      </c>
      <c r="D1566" t="inlineStr">
        <is>
          <t>VÄSTMANLANDS LÄN</t>
        </is>
      </c>
      <c r="E1566" t="inlineStr">
        <is>
          <t>ARBOGA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36288-2022</t>
        </is>
      </c>
      <c r="B1567" s="1" t="n">
        <v>44803</v>
      </c>
      <c r="C1567" s="1" t="n">
        <v>45998</v>
      </c>
      <c r="D1567" t="inlineStr">
        <is>
          <t>VÄSTMANLANDS LÄN</t>
        </is>
      </c>
      <c r="E1567" t="inlineStr">
        <is>
          <t>SKINNSKATTEBERG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33309-2022</t>
        </is>
      </c>
      <c r="B1568" s="1" t="n">
        <v>44788.40986111111</v>
      </c>
      <c r="C1568" s="1" t="n">
        <v>45998</v>
      </c>
      <c r="D1568" t="inlineStr">
        <is>
          <t>VÄSTMANLANDS LÄN</t>
        </is>
      </c>
      <c r="E1568" t="inlineStr">
        <is>
          <t>SALA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10366-2021</t>
        </is>
      </c>
      <c r="B1569" s="1" t="n">
        <v>44257</v>
      </c>
      <c r="C1569" s="1" t="n">
        <v>45998</v>
      </c>
      <c r="D1569" t="inlineStr">
        <is>
          <t>VÄSTMANLANDS LÄN</t>
        </is>
      </c>
      <c r="E1569" t="inlineStr">
        <is>
          <t>ARBOGA</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7377-2023</t>
        </is>
      </c>
      <c r="B1570" s="1" t="n">
        <v>44971</v>
      </c>
      <c r="C1570" s="1" t="n">
        <v>45998</v>
      </c>
      <c r="D1570" t="inlineStr">
        <is>
          <t>VÄSTMANLANDS LÄN</t>
        </is>
      </c>
      <c r="E1570" t="inlineStr">
        <is>
          <t>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18119-2025</t>
        </is>
      </c>
      <c r="B1571" s="1" t="n">
        <v>45761.58875</v>
      </c>
      <c r="C1571" s="1" t="n">
        <v>45998</v>
      </c>
      <c r="D1571" t="inlineStr">
        <is>
          <t>VÄSTMANLANDS LÄN</t>
        </is>
      </c>
      <c r="E1571" t="inlineStr">
        <is>
          <t>VÄSTERÅS</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18126-2025</t>
        </is>
      </c>
      <c r="B1572" s="1" t="n">
        <v>45761.595</v>
      </c>
      <c r="C1572" s="1" t="n">
        <v>45998</v>
      </c>
      <c r="D1572" t="inlineStr">
        <is>
          <t>VÄSTMANLANDS LÄN</t>
        </is>
      </c>
      <c r="E1572" t="inlineStr">
        <is>
          <t>VÄSTERÅS</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18157-2025</t>
        </is>
      </c>
      <c r="B1573" s="1" t="n">
        <v>45761.62535879629</v>
      </c>
      <c r="C1573" s="1" t="n">
        <v>45998</v>
      </c>
      <c r="D1573" t="inlineStr">
        <is>
          <t>VÄSTMANLANDS LÄN</t>
        </is>
      </c>
      <c r="E1573" t="inlineStr">
        <is>
          <t>VÄSTERÅS</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29317-2022</t>
        </is>
      </c>
      <c r="B1574" s="1" t="n">
        <v>44751.34050925926</v>
      </c>
      <c r="C1574" s="1" t="n">
        <v>45998</v>
      </c>
      <c r="D1574" t="inlineStr">
        <is>
          <t>VÄSTMANLANDS LÄN</t>
        </is>
      </c>
      <c r="E1574" t="inlineStr">
        <is>
          <t>KÖPING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27229-2022</t>
        </is>
      </c>
      <c r="B1575" s="1" t="n">
        <v>44741</v>
      </c>
      <c r="C1575" s="1" t="n">
        <v>45998</v>
      </c>
      <c r="D1575" t="inlineStr">
        <is>
          <t>VÄSTMANLANDS LÄN</t>
        </is>
      </c>
      <c r="E1575" t="inlineStr">
        <is>
          <t>SALA</t>
        </is>
      </c>
      <c r="F1575" t="inlineStr">
        <is>
          <t>Kommuner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7166-2025</t>
        </is>
      </c>
      <c r="B1576" s="1" t="n">
        <v>45702</v>
      </c>
      <c r="C1576" s="1" t="n">
        <v>45998</v>
      </c>
      <c r="D1576" t="inlineStr">
        <is>
          <t>VÄSTMANLANDS LÄN</t>
        </is>
      </c>
      <c r="E1576" t="inlineStr">
        <is>
          <t>SALA</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4981-2024</t>
        </is>
      </c>
      <c r="B1577" s="1" t="n">
        <v>45329</v>
      </c>
      <c r="C1577" s="1" t="n">
        <v>45998</v>
      </c>
      <c r="D1577" t="inlineStr">
        <is>
          <t>VÄSTMANLANDS LÄN</t>
        </is>
      </c>
      <c r="E1577" t="inlineStr">
        <is>
          <t>KÖPING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19585-2025</t>
        </is>
      </c>
      <c r="B1578" s="1" t="n">
        <v>45770.56731481481</v>
      </c>
      <c r="C1578" s="1" t="n">
        <v>45998</v>
      </c>
      <c r="D1578" t="inlineStr">
        <is>
          <t>VÄSTMANLANDS LÄN</t>
        </is>
      </c>
      <c r="E1578" t="inlineStr">
        <is>
          <t>KÖPING</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38308-2023</t>
        </is>
      </c>
      <c r="B1579" s="1" t="n">
        <v>45161.66641203704</v>
      </c>
      <c r="C1579" s="1" t="n">
        <v>45998</v>
      </c>
      <c r="D1579" t="inlineStr">
        <is>
          <t>VÄSTMANLANDS LÄN</t>
        </is>
      </c>
      <c r="E1579" t="inlineStr">
        <is>
          <t>KUNGSÖR</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24540-2022</t>
        </is>
      </c>
      <c r="B1580" s="1" t="n">
        <v>44727.31997685185</v>
      </c>
      <c r="C1580" s="1" t="n">
        <v>45998</v>
      </c>
      <c r="D1580" t="inlineStr">
        <is>
          <t>VÄSTMANLANDS LÄN</t>
        </is>
      </c>
      <c r="E1580" t="inlineStr">
        <is>
          <t>NORBERG</t>
        </is>
      </c>
      <c r="F1580" t="inlineStr">
        <is>
          <t>Bergvik skog väst AB</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50987-2024</t>
        </is>
      </c>
      <c r="B1581" s="1" t="n">
        <v>45603</v>
      </c>
      <c r="C1581" s="1" t="n">
        <v>45998</v>
      </c>
      <c r="D1581" t="inlineStr">
        <is>
          <t>VÄSTMANLANDS LÄN</t>
        </is>
      </c>
      <c r="E1581" t="inlineStr">
        <is>
          <t>VÄSTERÅS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14851-2024</t>
        </is>
      </c>
      <c r="B1582" s="1" t="n">
        <v>45398</v>
      </c>
      <c r="C1582" s="1" t="n">
        <v>45998</v>
      </c>
      <c r="D1582" t="inlineStr">
        <is>
          <t>VÄSTMANLANDS LÄN</t>
        </is>
      </c>
      <c r="E1582" t="inlineStr">
        <is>
          <t>VÄSTERÅS</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52566-2024</t>
        </is>
      </c>
      <c r="B1583" s="1" t="n">
        <v>45609</v>
      </c>
      <c r="C1583" s="1" t="n">
        <v>45998</v>
      </c>
      <c r="D1583" t="inlineStr">
        <is>
          <t>VÄSTMANLANDS LÄN</t>
        </is>
      </c>
      <c r="E1583" t="inlineStr">
        <is>
          <t>SKINNSKATTEBERG</t>
        </is>
      </c>
      <c r="F1583" t="inlineStr">
        <is>
          <t>Sveaskog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60185-2022</t>
        </is>
      </c>
      <c r="B1584" s="1" t="n">
        <v>44910.36125</v>
      </c>
      <c r="C1584" s="1" t="n">
        <v>45998</v>
      </c>
      <c r="D1584" t="inlineStr">
        <is>
          <t>VÄSTMANLANDS LÄN</t>
        </is>
      </c>
      <c r="E1584" t="inlineStr">
        <is>
          <t>SKINNSKATTEBERG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26859-2021</t>
        </is>
      </c>
      <c r="B1585" s="1" t="n">
        <v>44349.60321759259</v>
      </c>
      <c r="C1585" s="1" t="n">
        <v>45998</v>
      </c>
      <c r="D1585" t="inlineStr">
        <is>
          <t>VÄSTMANLANDS LÄN</t>
        </is>
      </c>
      <c r="E1585" t="inlineStr">
        <is>
          <t>ARBOGA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3229-2025</t>
        </is>
      </c>
      <c r="B1586" s="1" t="n">
        <v>45679.48306712963</v>
      </c>
      <c r="C1586" s="1" t="n">
        <v>45998</v>
      </c>
      <c r="D1586" t="inlineStr">
        <is>
          <t>VÄSTMANLANDS LÄN</t>
        </is>
      </c>
      <c r="E1586" t="inlineStr">
        <is>
          <t>ARBOGA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24755-2021</t>
        </is>
      </c>
      <c r="B1587" s="1" t="n">
        <v>44340</v>
      </c>
      <c r="C1587" s="1" t="n">
        <v>45998</v>
      </c>
      <c r="D1587" t="inlineStr">
        <is>
          <t>VÄSTMANLANDS LÄN</t>
        </is>
      </c>
      <c r="E1587" t="inlineStr">
        <is>
          <t>SALA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34867-2023</t>
        </is>
      </c>
      <c r="B1588" s="1" t="n">
        <v>45142.33481481481</v>
      </c>
      <c r="C1588" s="1" t="n">
        <v>45998</v>
      </c>
      <c r="D1588" t="inlineStr">
        <is>
          <t>VÄSTMANLANDS LÄN</t>
        </is>
      </c>
      <c r="E1588" t="inlineStr">
        <is>
          <t>SALA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33900-2023</t>
        </is>
      </c>
      <c r="B1589" s="1" t="n">
        <v>45134.37332175926</v>
      </c>
      <c r="C1589" s="1" t="n">
        <v>45998</v>
      </c>
      <c r="D1589" t="inlineStr">
        <is>
          <t>VÄSTMANLANDS LÄN</t>
        </is>
      </c>
      <c r="E1589" t="inlineStr">
        <is>
          <t>SKINNSKATTEBERG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15561-2024</t>
        </is>
      </c>
      <c r="B1590" s="1" t="n">
        <v>45401.64908564815</v>
      </c>
      <c r="C1590" s="1" t="n">
        <v>45998</v>
      </c>
      <c r="D1590" t="inlineStr">
        <is>
          <t>VÄSTMANLANDS LÄN</t>
        </is>
      </c>
      <c r="E1590" t="inlineStr">
        <is>
          <t>SKINNSKATTEBERG</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44857-2023</t>
        </is>
      </c>
      <c r="B1591" s="1" t="n">
        <v>45190.58479166667</v>
      </c>
      <c r="C1591" s="1" t="n">
        <v>45998</v>
      </c>
      <c r="D1591" t="inlineStr">
        <is>
          <t>VÄSTMANLANDS LÄN</t>
        </is>
      </c>
      <c r="E1591" t="inlineStr">
        <is>
          <t>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46352-2023</t>
        </is>
      </c>
      <c r="B1592" s="1" t="n">
        <v>45192</v>
      </c>
      <c r="C1592" s="1" t="n">
        <v>45998</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56699-2024</t>
        </is>
      </c>
      <c r="B1593" s="1" t="n">
        <v>45627.7980787037</v>
      </c>
      <c r="C1593" s="1" t="n">
        <v>45998</v>
      </c>
      <c r="D1593" t="inlineStr">
        <is>
          <t>VÄSTMANLANDS LÄN</t>
        </is>
      </c>
      <c r="E1593" t="inlineStr">
        <is>
          <t>FAGERSTA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51190-2024</t>
        </is>
      </c>
      <c r="B1594" s="1" t="n">
        <v>45603.61458333334</v>
      </c>
      <c r="C1594" s="1" t="n">
        <v>45998</v>
      </c>
      <c r="D1594" t="inlineStr">
        <is>
          <t>VÄSTMANLANDS LÄN</t>
        </is>
      </c>
      <c r="E1594" t="inlineStr">
        <is>
          <t>KÖPING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22397-2022</t>
        </is>
      </c>
      <c r="B1595" s="1" t="n">
        <v>44713</v>
      </c>
      <c r="C1595" s="1" t="n">
        <v>45998</v>
      </c>
      <c r="D1595" t="inlineStr">
        <is>
          <t>VÄSTMANLANDS LÄN</t>
        </is>
      </c>
      <c r="E1595" t="inlineStr">
        <is>
          <t>SALA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31260-2023</t>
        </is>
      </c>
      <c r="B1596" s="1" t="n">
        <v>45114</v>
      </c>
      <c r="C1596" s="1" t="n">
        <v>45998</v>
      </c>
      <c r="D1596" t="inlineStr">
        <is>
          <t>VÄSTMANLANDS LÄN</t>
        </is>
      </c>
      <c r="E1596" t="inlineStr">
        <is>
          <t>SKINNSKATTEBERG</t>
        </is>
      </c>
      <c r="F1596" t="inlineStr">
        <is>
          <t>Sveaskog</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27424-2023</t>
        </is>
      </c>
      <c r="B1597" s="1" t="n">
        <v>45097.37690972222</v>
      </c>
      <c r="C1597" s="1" t="n">
        <v>45998</v>
      </c>
      <c r="D1597" t="inlineStr">
        <is>
          <t>VÄSTMANLANDS LÄN</t>
        </is>
      </c>
      <c r="E1597" t="inlineStr">
        <is>
          <t>SALA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15637-2022</t>
        </is>
      </c>
      <c r="B1598" s="1" t="n">
        <v>44662.89638888889</v>
      </c>
      <c r="C1598" s="1" t="n">
        <v>45998</v>
      </c>
      <c r="D1598" t="inlineStr">
        <is>
          <t>VÄSTMANLANDS LÄN</t>
        </is>
      </c>
      <c r="E1598" t="inlineStr">
        <is>
          <t>SURAHAMMAR</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59705-2024</t>
        </is>
      </c>
      <c r="B1599" s="1" t="n">
        <v>45639</v>
      </c>
      <c r="C1599" s="1" t="n">
        <v>45998</v>
      </c>
      <c r="D1599" t="inlineStr">
        <is>
          <t>VÄSTMANLANDS LÄN</t>
        </is>
      </c>
      <c r="E1599" t="inlineStr">
        <is>
          <t>NORBERG</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10286-2022</t>
        </is>
      </c>
      <c r="B1600" s="1" t="n">
        <v>44622</v>
      </c>
      <c r="C1600" s="1" t="n">
        <v>45998</v>
      </c>
      <c r="D1600" t="inlineStr">
        <is>
          <t>VÄSTMANLANDS LÄN</t>
        </is>
      </c>
      <c r="E1600" t="inlineStr">
        <is>
          <t>ARBOGA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41332-2023</t>
        </is>
      </c>
      <c r="B1601" s="1" t="n">
        <v>45174</v>
      </c>
      <c r="C1601" s="1" t="n">
        <v>45998</v>
      </c>
      <c r="D1601" t="inlineStr">
        <is>
          <t>VÄSTMANLANDS LÄN</t>
        </is>
      </c>
      <c r="E1601" t="inlineStr">
        <is>
          <t>SKINNSKATTEBERG</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25748-2022</t>
        </is>
      </c>
      <c r="B1602" s="1" t="n">
        <v>44732</v>
      </c>
      <c r="C1602" s="1" t="n">
        <v>45998</v>
      </c>
      <c r="D1602" t="inlineStr">
        <is>
          <t>VÄSTMANLANDS LÄN</t>
        </is>
      </c>
      <c r="E1602" t="inlineStr">
        <is>
          <t>SALA</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20798-2022</t>
        </is>
      </c>
      <c r="B1603" s="1" t="n">
        <v>44701.40878472223</v>
      </c>
      <c r="C1603" s="1" t="n">
        <v>45998</v>
      </c>
      <c r="D1603" t="inlineStr">
        <is>
          <t>VÄSTMANLANDS LÄN</t>
        </is>
      </c>
      <c r="E1603" t="inlineStr">
        <is>
          <t>KÖPING</t>
        </is>
      </c>
      <c r="F1603" t="inlineStr">
        <is>
          <t>Sveaskog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65521-2020</t>
        </is>
      </c>
      <c r="B1604" s="1" t="n">
        <v>44173</v>
      </c>
      <c r="C1604" s="1" t="n">
        <v>45998</v>
      </c>
      <c r="D1604" t="inlineStr">
        <is>
          <t>VÄSTMANLANDS LÄN</t>
        </is>
      </c>
      <c r="E1604" t="inlineStr">
        <is>
          <t>SKINNSKATTEBERG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44749-2021</t>
        </is>
      </c>
      <c r="B1605" s="1" t="n">
        <v>44438.43557870371</v>
      </c>
      <c r="C1605" s="1" t="n">
        <v>45998</v>
      </c>
      <c r="D1605" t="inlineStr">
        <is>
          <t>VÄSTMANLANDS LÄN</t>
        </is>
      </c>
      <c r="E1605" t="inlineStr">
        <is>
          <t>KÖPING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56463-2024</t>
        </is>
      </c>
      <c r="B1606" s="1" t="n">
        <v>45625</v>
      </c>
      <c r="C1606" s="1" t="n">
        <v>45998</v>
      </c>
      <c r="D1606" t="inlineStr">
        <is>
          <t>VÄSTMANLANDS LÄN</t>
        </is>
      </c>
      <c r="E1606" t="inlineStr">
        <is>
          <t>ARBOGA</t>
        </is>
      </c>
      <c r="F1606" t="inlineStr">
        <is>
          <t>Kommuner</t>
        </is>
      </c>
      <c r="G1606" t="n">
        <v>12.2</v>
      </c>
      <c r="H1606" t="n">
        <v>0</v>
      </c>
      <c r="I1606" t="n">
        <v>0</v>
      </c>
      <c r="J1606" t="n">
        <v>0</v>
      </c>
      <c r="K1606" t="n">
        <v>0</v>
      </c>
      <c r="L1606" t="n">
        <v>0</v>
      </c>
      <c r="M1606" t="n">
        <v>0</v>
      </c>
      <c r="N1606" t="n">
        <v>0</v>
      </c>
      <c r="O1606" t="n">
        <v>0</v>
      </c>
      <c r="P1606" t="n">
        <v>0</v>
      </c>
      <c r="Q1606" t="n">
        <v>0</v>
      </c>
      <c r="R1606" s="2" t="inlineStr"/>
    </row>
    <row r="1607" ht="15" customHeight="1">
      <c r="A1607" t="inlineStr">
        <is>
          <t>A 32350-2023</t>
        </is>
      </c>
      <c r="B1607" s="1" t="n">
        <v>45110</v>
      </c>
      <c r="C1607" s="1" t="n">
        <v>45998</v>
      </c>
      <c r="D1607" t="inlineStr">
        <is>
          <t>VÄSTMANLANDS LÄN</t>
        </is>
      </c>
      <c r="E1607" t="inlineStr">
        <is>
          <t>VÄSTERÅS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7469-2025</t>
        </is>
      </c>
      <c r="B1608" s="1" t="n">
        <v>45705</v>
      </c>
      <c r="C1608" s="1" t="n">
        <v>45998</v>
      </c>
      <c r="D1608" t="inlineStr">
        <is>
          <t>VÄSTMANLANDS LÄN</t>
        </is>
      </c>
      <c r="E1608" t="inlineStr">
        <is>
          <t>SALA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19786-2023</t>
        </is>
      </c>
      <c r="B1609" s="1" t="n">
        <v>45050</v>
      </c>
      <c r="C1609" s="1" t="n">
        <v>45998</v>
      </c>
      <c r="D1609" t="inlineStr">
        <is>
          <t>VÄSTMANLANDS LÄN</t>
        </is>
      </c>
      <c r="E1609" t="inlineStr">
        <is>
          <t>SURAHAMMAR</t>
        </is>
      </c>
      <c r="F1609" t="inlineStr">
        <is>
          <t>Bergvik skog väst AB</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6691-2025</t>
        </is>
      </c>
      <c r="B1610" s="1" t="n">
        <v>45700.50625</v>
      </c>
      <c r="C1610" s="1" t="n">
        <v>45998</v>
      </c>
      <c r="D1610" t="inlineStr">
        <is>
          <t>VÄSTMANLANDS LÄN</t>
        </is>
      </c>
      <c r="E1610" t="inlineStr">
        <is>
          <t>SALA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60036-2024</t>
        </is>
      </c>
      <c r="B1611" s="1" t="n">
        <v>45642.46434027778</v>
      </c>
      <c r="C1611" s="1" t="n">
        <v>45998</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30813-2022</t>
        </is>
      </c>
      <c r="B1612" s="1" t="n">
        <v>44764.96467592593</v>
      </c>
      <c r="C1612" s="1" t="n">
        <v>45998</v>
      </c>
      <c r="D1612" t="inlineStr">
        <is>
          <t>VÄSTMANLANDS LÄN</t>
        </is>
      </c>
      <c r="E1612" t="inlineStr">
        <is>
          <t>FAGERSTA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24083-2024</t>
        </is>
      </c>
      <c r="B1613" s="1" t="n">
        <v>45456</v>
      </c>
      <c r="C1613" s="1" t="n">
        <v>45998</v>
      </c>
      <c r="D1613" t="inlineStr">
        <is>
          <t>VÄSTMANLANDS LÄN</t>
        </is>
      </c>
      <c r="E1613" t="inlineStr">
        <is>
          <t>ARBOGA</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21908-2023</t>
        </is>
      </c>
      <c r="B1614" s="1" t="n">
        <v>45068.53958333333</v>
      </c>
      <c r="C1614" s="1" t="n">
        <v>45998</v>
      </c>
      <c r="D1614" t="inlineStr">
        <is>
          <t>VÄSTMANLANDS LÄN</t>
        </is>
      </c>
      <c r="E1614" t="inlineStr">
        <is>
          <t>SKINNSKATTEBERG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42257-2023</t>
        </is>
      </c>
      <c r="B1615" s="1" t="n">
        <v>45180</v>
      </c>
      <c r="C1615" s="1" t="n">
        <v>45998</v>
      </c>
      <c r="D1615" t="inlineStr">
        <is>
          <t>VÄSTMANLANDS LÄN</t>
        </is>
      </c>
      <c r="E1615" t="inlineStr">
        <is>
          <t>VÄSTERÅS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13386-2025</t>
        </is>
      </c>
      <c r="B1616" s="1" t="n">
        <v>45735</v>
      </c>
      <c r="C1616" s="1" t="n">
        <v>45998</v>
      </c>
      <c r="D1616" t="inlineStr">
        <is>
          <t>VÄSTMANLANDS LÄN</t>
        </is>
      </c>
      <c r="E1616" t="inlineStr">
        <is>
          <t>SURAHAMMAR</t>
        </is>
      </c>
      <c r="F1616" t="inlineStr">
        <is>
          <t>Bergvik skog väst AB</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22394-2022</t>
        </is>
      </c>
      <c r="B1617" s="1" t="n">
        <v>44713</v>
      </c>
      <c r="C1617" s="1" t="n">
        <v>45998</v>
      </c>
      <c r="D1617" t="inlineStr">
        <is>
          <t>VÄSTMANLANDS LÄN</t>
        </is>
      </c>
      <c r="E1617" t="inlineStr">
        <is>
          <t>SKINNSKATTEBERG</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49512-2024</t>
        </is>
      </c>
      <c r="B1618" s="1" t="n">
        <v>45591</v>
      </c>
      <c r="C1618" s="1" t="n">
        <v>45998</v>
      </c>
      <c r="D1618" t="inlineStr">
        <is>
          <t>VÄSTMANLANDS LÄN</t>
        </is>
      </c>
      <c r="E1618" t="inlineStr">
        <is>
          <t>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24884-2023</t>
        </is>
      </c>
      <c r="B1619" s="1" t="n">
        <v>45085.45267361111</v>
      </c>
      <c r="C1619" s="1" t="n">
        <v>45998</v>
      </c>
      <c r="D1619" t="inlineStr">
        <is>
          <t>VÄSTMANLANDS LÄN</t>
        </is>
      </c>
      <c r="E1619" t="inlineStr">
        <is>
          <t>SKINNSKATTEBERG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47753-2024</t>
        </is>
      </c>
      <c r="B1620" s="1" t="n">
        <v>45588</v>
      </c>
      <c r="C1620" s="1" t="n">
        <v>45998</v>
      </c>
      <c r="D1620" t="inlineStr">
        <is>
          <t>VÄSTMANLANDS LÄN</t>
        </is>
      </c>
      <c r="E1620" t="inlineStr">
        <is>
          <t>NORBERG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48492-2024</t>
        </is>
      </c>
      <c r="B1621" s="1" t="n">
        <v>45592</v>
      </c>
      <c r="C1621" s="1" t="n">
        <v>45998</v>
      </c>
      <c r="D1621" t="inlineStr">
        <is>
          <t>VÄSTMANLANDS LÄN</t>
        </is>
      </c>
      <c r="E1621" t="inlineStr">
        <is>
          <t>SKINNSKATTEBERG</t>
        </is>
      </c>
      <c r="F1621" t="inlineStr">
        <is>
          <t>Sveaskog</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17725-2022</t>
        </is>
      </c>
      <c r="B1622" s="1" t="n">
        <v>44680.71219907407</v>
      </c>
      <c r="C1622" s="1" t="n">
        <v>45998</v>
      </c>
      <c r="D1622" t="inlineStr">
        <is>
          <t>VÄSTMANLANDS LÄN</t>
        </is>
      </c>
      <c r="E1622" t="inlineStr">
        <is>
          <t>VÄSTERÅS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46875-2024</t>
        </is>
      </c>
      <c r="B1623" s="1" t="n">
        <v>45583.64113425926</v>
      </c>
      <c r="C1623" s="1" t="n">
        <v>45998</v>
      </c>
      <c r="D1623" t="inlineStr">
        <is>
          <t>VÄSTMANLANDS LÄN</t>
        </is>
      </c>
      <c r="E1623" t="inlineStr">
        <is>
          <t>SKINNSKATTEBERG</t>
        </is>
      </c>
      <c r="F1623" t="inlineStr">
        <is>
          <t>Sveaskog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37587-2024</t>
        </is>
      </c>
      <c r="B1624" s="1" t="n">
        <v>45541</v>
      </c>
      <c r="C1624" s="1" t="n">
        <v>45998</v>
      </c>
      <c r="D1624" t="inlineStr">
        <is>
          <t>VÄSTMANLANDS LÄN</t>
        </is>
      </c>
      <c r="E1624" t="inlineStr">
        <is>
          <t>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12158-2024</t>
        </is>
      </c>
      <c r="B1625" s="1" t="n">
        <v>45377</v>
      </c>
      <c r="C1625" s="1" t="n">
        <v>45998</v>
      </c>
      <c r="D1625" t="inlineStr">
        <is>
          <t>VÄSTMANLANDS LÄN</t>
        </is>
      </c>
      <c r="E1625" t="inlineStr">
        <is>
          <t>SKINNSKATTEBERG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22296-2025</t>
        </is>
      </c>
      <c r="B1626" s="1" t="n">
        <v>45786.35171296296</v>
      </c>
      <c r="C1626" s="1" t="n">
        <v>45998</v>
      </c>
      <c r="D1626" t="inlineStr">
        <is>
          <t>VÄSTMANLANDS LÄN</t>
        </is>
      </c>
      <c r="E1626" t="inlineStr">
        <is>
          <t>SKINNSKATTEBERG</t>
        </is>
      </c>
      <c r="F1626" t="inlineStr">
        <is>
          <t>Sveaskog</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13128-2023</t>
        </is>
      </c>
      <c r="B1627" s="1" t="n">
        <v>45002</v>
      </c>
      <c r="C1627" s="1" t="n">
        <v>45998</v>
      </c>
      <c r="D1627" t="inlineStr">
        <is>
          <t>VÄSTMANLANDS LÄN</t>
        </is>
      </c>
      <c r="E1627" t="inlineStr">
        <is>
          <t>SALA</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29749-2022</t>
        </is>
      </c>
      <c r="B1628" s="1" t="n">
        <v>44755</v>
      </c>
      <c r="C1628" s="1" t="n">
        <v>45998</v>
      </c>
      <c r="D1628" t="inlineStr">
        <is>
          <t>VÄSTMANLANDS LÄN</t>
        </is>
      </c>
      <c r="E1628" t="inlineStr">
        <is>
          <t>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39810-2024</t>
        </is>
      </c>
      <c r="B1629" s="1" t="n">
        <v>45553</v>
      </c>
      <c r="C1629" s="1" t="n">
        <v>45998</v>
      </c>
      <c r="D1629" t="inlineStr">
        <is>
          <t>VÄSTMANLANDS LÄN</t>
        </is>
      </c>
      <c r="E1629" t="inlineStr">
        <is>
          <t>VÄSTERÅS</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6191-2021</t>
        </is>
      </c>
      <c r="B1630" s="1" t="n">
        <v>44234</v>
      </c>
      <c r="C1630" s="1" t="n">
        <v>45998</v>
      </c>
      <c r="D1630" t="inlineStr">
        <is>
          <t>VÄSTMANLANDS LÄN</t>
        </is>
      </c>
      <c r="E1630" t="inlineStr">
        <is>
          <t>ARBOGA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50011-2021</t>
        </is>
      </c>
      <c r="B1631" s="1" t="n">
        <v>44456</v>
      </c>
      <c r="C1631" s="1" t="n">
        <v>45998</v>
      </c>
      <c r="D1631" t="inlineStr">
        <is>
          <t>VÄSTMANLANDS LÄN</t>
        </is>
      </c>
      <c r="E1631" t="inlineStr">
        <is>
          <t>ARBOGA</t>
        </is>
      </c>
      <c r="F1631" t="inlineStr">
        <is>
          <t>Allmännings- och besparingsskogar</t>
        </is>
      </c>
      <c r="G1631" t="n">
        <v>15.7</v>
      </c>
      <c r="H1631" t="n">
        <v>0</v>
      </c>
      <c r="I1631" t="n">
        <v>0</v>
      </c>
      <c r="J1631" t="n">
        <v>0</v>
      </c>
      <c r="K1631" t="n">
        <v>0</v>
      </c>
      <c r="L1631" t="n">
        <v>0</v>
      </c>
      <c r="M1631" t="n">
        <v>0</v>
      </c>
      <c r="N1631" t="n">
        <v>0</v>
      </c>
      <c r="O1631" t="n">
        <v>0</v>
      </c>
      <c r="P1631" t="n">
        <v>0</v>
      </c>
      <c r="Q1631" t="n">
        <v>0</v>
      </c>
      <c r="R1631" s="2" t="inlineStr"/>
    </row>
    <row r="1632" ht="15" customHeight="1">
      <c r="A1632" t="inlineStr">
        <is>
          <t>A 46674-2023</t>
        </is>
      </c>
      <c r="B1632" s="1" t="n">
        <v>45198.48434027778</v>
      </c>
      <c r="C1632" s="1" t="n">
        <v>45998</v>
      </c>
      <c r="D1632" t="inlineStr">
        <is>
          <t>VÄSTMANLANDS LÄN</t>
        </is>
      </c>
      <c r="E1632" t="inlineStr">
        <is>
          <t>ARBOGA</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50058-2021</t>
        </is>
      </c>
      <c r="B1633" s="1" t="n">
        <v>44456.54690972222</v>
      </c>
      <c r="C1633" s="1" t="n">
        <v>45998</v>
      </c>
      <c r="D1633" t="inlineStr">
        <is>
          <t>VÄSTMANLANDS LÄN</t>
        </is>
      </c>
      <c r="E1633" t="inlineStr">
        <is>
          <t>KUNGSÖR</t>
        </is>
      </c>
      <c r="F1633" t="inlineStr">
        <is>
          <t>Allmännings- och besparingsskogar</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22299-2025</t>
        </is>
      </c>
      <c r="B1634" s="1" t="n">
        <v>45786.35387731482</v>
      </c>
      <c r="C1634" s="1" t="n">
        <v>45998</v>
      </c>
      <c r="D1634" t="inlineStr">
        <is>
          <t>VÄSTMANLANDS LÄN</t>
        </is>
      </c>
      <c r="E1634" t="inlineStr">
        <is>
          <t>SKINNSKATTEBERG</t>
        </is>
      </c>
      <c r="F1634" t="inlineStr">
        <is>
          <t>Sveaskog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16503-2024</t>
        </is>
      </c>
      <c r="B1635" s="1" t="n">
        <v>45408</v>
      </c>
      <c r="C1635" s="1" t="n">
        <v>45998</v>
      </c>
      <c r="D1635" t="inlineStr">
        <is>
          <t>VÄSTMANLANDS LÄN</t>
        </is>
      </c>
      <c r="E1635" t="inlineStr">
        <is>
          <t>NORBERG</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37958-2024</t>
        </is>
      </c>
      <c r="B1636" s="1" t="n">
        <v>45544</v>
      </c>
      <c r="C1636" s="1" t="n">
        <v>45998</v>
      </c>
      <c r="D1636" t="inlineStr">
        <is>
          <t>VÄSTMANLANDS LÄN</t>
        </is>
      </c>
      <c r="E1636" t="inlineStr">
        <is>
          <t>SALA</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43805-2024</t>
        </is>
      </c>
      <c r="B1637" s="1" t="n">
        <v>45571</v>
      </c>
      <c r="C1637" s="1" t="n">
        <v>45998</v>
      </c>
      <c r="D1637" t="inlineStr">
        <is>
          <t>VÄSTMANLANDS LÄN</t>
        </is>
      </c>
      <c r="E1637" t="inlineStr">
        <is>
          <t>SKINNSKATTEBERG</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43806-2024</t>
        </is>
      </c>
      <c r="B1638" s="1" t="n">
        <v>45571</v>
      </c>
      <c r="C1638" s="1" t="n">
        <v>45998</v>
      </c>
      <c r="D1638" t="inlineStr">
        <is>
          <t>VÄSTMANLANDS LÄN</t>
        </is>
      </c>
      <c r="E1638" t="inlineStr">
        <is>
          <t>SKINNSKATTEBERG</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68934-2020</t>
        </is>
      </c>
      <c r="B1639" s="1" t="n">
        <v>44187</v>
      </c>
      <c r="C1639" s="1" t="n">
        <v>45998</v>
      </c>
      <c r="D1639" t="inlineStr">
        <is>
          <t>VÄSTMANLANDS LÄN</t>
        </is>
      </c>
      <c r="E1639" t="inlineStr">
        <is>
          <t>VÄSTERÅS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54501-2024</t>
        </is>
      </c>
      <c r="B1640" s="1" t="n">
        <v>45617.58048611111</v>
      </c>
      <c r="C1640" s="1" t="n">
        <v>45998</v>
      </c>
      <c r="D1640" t="inlineStr">
        <is>
          <t>VÄSTMANLANDS LÄN</t>
        </is>
      </c>
      <c r="E1640" t="inlineStr">
        <is>
          <t>SKINNSKATTEBERG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18431-2023</t>
        </is>
      </c>
      <c r="B1641" s="1" t="n">
        <v>45042</v>
      </c>
      <c r="C1641" s="1" t="n">
        <v>45998</v>
      </c>
      <c r="D1641" t="inlineStr">
        <is>
          <t>VÄSTMANLANDS LÄN</t>
        </is>
      </c>
      <c r="E1641" t="inlineStr">
        <is>
          <t>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24130-2024</t>
        </is>
      </c>
      <c r="B1642" s="1" t="n">
        <v>45456</v>
      </c>
      <c r="C1642" s="1" t="n">
        <v>45998</v>
      </c>
      <c r="D1642" t="inlineStr">
        <is>
          <t>VÄSTMANLANDS LÄN</t>
        </is>
      </c>
      <c r="E1642" t="inlineStr">
        <is>
          <t>KÖPING</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57343-2023</t>
        </is>
      </c>
      <c r="B1643" s="1" t="n">
        <v>45245</v>
      </c>
      <c r="C1643" s="1" t="n">
        <v>45998</v>
      </c>
      <c r="D1643" t="inlineStr">
        <is>
          <t>VÄSTMANLANDS LÄN</t>
        </is>
      </c>
      <c r="E1643" t="inlineStr">
        <is>
          <t>SKINNSKATTEBERG</t>
        </is>
      </c>
      <c r="F1643" t="inlineStr">
        <is>
          <t>Sveaskog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20067-2024</t>
        </is>
      </c>
      <c r="B1644" s="1" t="n">
        <v>45434</v>
      </c>
      <c r="C1644" s="1" t="n">
        <v>45998</v>
      </c>
      <c r="D1644" t="inlineStr">
        <is>
          <t>VÄSTMANLANDS LÄN</t>
        </is>
      </c>
      <c r="E1644" t="inlineStr">
        <is>
          <t>ARBOGA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31617-2024</t>
        </is>
      </c>
      <c r="B1645" s="1" t="n">
        <v>45506</v>
      </c>
      <c r="C1645" s="1" t="n">
        <v>45998</v>
      </c>
      <c r="D1645" t="inlineStr">
        <is>
          <t>VÄSTMANLANDS LÄN</t>
        </is>
      </c>
      <c r="E1645" t="inlineStr">
        <is>
          <t>SKINNSKATTEBERG</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6518-2025</t>
        </is>
      </c>
      <c r="B1646" s="1" t="n">
        <v>45699.6603587963</v>
      </c>
      <c r="C1646" s="1" t="n">
        <v>45998</v>
      </c>
      <c r="D1646" t="inlineStr">
        <is>
          <t>VÄSTMANLANDS LÄN</t>
        </is>
      </c>
      <c r="E1646" t="inlineStr">
        <is>
          <t>ARBOGA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24793-2022</t>
        </is>
      </c>
      <c r="B1647" s="1" t="n">
        <v>44728</v>
      </c>
      <c r="C1647" s="1" t="n">
        <v>45998</v>
      </c>
      <c r="D1647" t="inlineStr">
        <is>
          <t>VÄSTMANLANDS LÄN</t>
        </is>
      </c>
      <c r="E1647" t="inlineStr">
        <is>
          <t>SKINNSKATTEBERG</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43188-2023</t>
        </is>
      </c>
      <c r="B1648" s="1" t="n">
        <v>45183</v>
      </c>
      <c r="C1648" s="1" t="n">
        <v>45998</v>
      </c>
      <c r="D1648" t="inlineStr">
        <is>
          <t>VÄSTMANLANDS LÄN</t>
        </is>
      </c>
      <c r="E1648" t="inlineStr">
        <is>
          <t>SALA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43205-2023</t>
        </is>
      </c>
      <c r="B1649" s="1" t="n">
        <v>45183</v>
      </c>
      <c r="C1649" s="1" t="n">
        <v>45998</v>
      </c>
      <c r="D1649" t="inlineStr">
        <is>
          <t>VÄSTMANLANDS LÄN</t>
        </is>
      </c>
      <c r="E1649" t="inlineStr">
        <is>
          <t>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28827-2022</t>
        </is>
      </c>
      <c r="B1650" s="1" t="n">
        <v>44749.45561342593</v>
      </c>
      <c r="C1650" s="1" t="n">
        <v>45998</v>
      </c>
      <c r="D1650" t="inlineStr">
        <is>
          <t>VÄSTMANLANDS LÄN</t>
        </is>
      </c>
      <c r="E1650" t="inlineStr">
        <is>
          <t>SALA</t>
        </is>
      </c>
      <c r="F1650" t="inlineStr">
        <is>
          <t>Kommuner</t>
        </is>
      </c>
      <c r="G1650" t="n">
        <v>11.9</v>
      </c>
      <c r="H1650" t="n">
        <v>0</v>
      </c>
      <c r="I1650" t="n">
        <v>0</v>
      </c>
      <c r="J1650" t="n">
        <v>0</v>
      </c>
      <c r="K1650" t="n">
        <v>0</v>
      </c>
      <c r="L1650" t="n">
        <v>0</v>
      </c>
      <c r="M1650" t="n">
        <v>0</v>
      </c>
      <c r="N1650" t="n">
        <v>0</v>
      </c>
      <c r="O1650" t="n">
        <v>0</v>
      </c>
      <c r="P1650" t="n">
        <v>0</v>
      </c>
      <c r="Q1650" t="n">
        <v>0</v>
      </c>
      <c r="R1650" s="2" t="inlineStr"/>
    </row>
    <row r="1651" ht="15" customHeight="1">
      <c r="A1651" t="inlineStr">
        <is>
          <t>A 27722-2022</t>
        </is>
      </c>
      <c r="B1651" s="1" t="n">
        <v>44743</v>
      </c>
      <c r="C1651" s="1" t="n">
        <v>45998</v>
      </c>
      <c r="D1651" t="inlineStr">
        <is>
          <t>VÄSTMANLANDS LÄN</t>
        </is>
      </c>
      <c r="E1651" t="inlineStr">
        <is>
          <t>VÄSTERÅS</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4486-2025</t>
        </is>
      </c>
      <c r="B1652" s="1" t="n">
        <v>45686</v>
      </c>
      <c r="C1652" s="1" t="n">
        <v>45998</v>
      </c>
      <c r="D1652" t="inlineStr">
        <is>
          <t>VÄSTMANLANDS LÄN</t>
        </is>
      </c>
      <c r="E1652" t="inlineStr">
        <is>
          <t>FAGERSTA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33357-2023</t>
        </is>
      </c>
      <c r="B1653" s="1" t="n">
        <v>45128.4874537037</v>
      </c>
      <c r="C1653" s="1" t="n">
        <v>45998</v>
      </c>
      <c r="D1653" t="inlineStr">
        <is>
          <t>VÄSTMANLANDS LÄN</t>
        </is>
      </c>
      <c r="E1653" t="inlineStr">
        <is>
          <t>FAGERSTA</t>
        </is>
      </c>
      <c r="F1653" t="inlineStr">
        <is>
          <t>Sveaskog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40545-2023</t>
        </is>
      </c>
      <c r="B1654" s="1" t="n">
        <v>45170</v>
      </c>
      <c r="C1654" s="1" t="n">
        <v>45998</v>
      </c>
      <c r="D1654" t="inlineStr">
        <is>
          <t>VÄSTMANLANDS LÄN</t>
        </is>
      </c>
      <c r="E1654" t="inlineStr">
        <is>
          <t>SKINNSKATTEBERG</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51586-2023</t>
        </is>
      </c>
      <c r="B1655" s="1" t="n">
        <v>45222.46934027778</v>
      </c>
      <c r="C1655" s="1" t="n">
        <v>45998</v>
      </c>
      <c r="D1655" t="inlineStr">
        <is>
          <t>VÄSTMANLANDS LÄN</t>
        </is>
      </c>
      <c r="E1655" t="inlineStr">
        <is>
          <t>FAGERSTA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14112-2025</t>
        </is>
      </c>
      <c r="B1656" s="1" t="n">
        <v>45740.45893518518</v>
      </c>
      <c r="C1656" s="1" t="n">
        <v>45998</v>
      </c>
      <c r="D1656" t="inlineStr">
        <is>
          <t>VÄSTMANLANDS LÄN</t>
        </is>
      </c>
      <c r="E1656" t="inlineStr">
        <is>
          <t>NORBERG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15756-2025</t>
        </is>
      </c>
      <c r="B1657" s="1" t="n">
        <v>45748.56810185185</v>
      </c>
      <c r="C1657" s="1" t="n">
        <v>45998</v>
      </c>
      <c r="D1657" t="inlineStr">
        <is>
          <t>VÄSTMANLANDS LÄN</t>
        </is>
      </c>
      <c r="E1657" t="inlineStr">
        <is>
          <t>SALA</t>
        </is>
      </c>
      <c r="F1657" t="inlineStr">
        <is>
          <t>Bergvik skog öst AB</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14406-2025</t>
        </is>
      </c>
      <c r="B1658" s="1" t="n">
        <v>45741.47040509259</v>
      </c>
      <c r="C1658" s="1" t="n">
        <v>45998</v>
      </c>
      <c r="D1658" t="inlineStr">
        <is>
          <t>VÄSTMANLANDS LÄN</t>
        </is>
      </c>
      <c r="E1658" t="inlineStr">
        <is>
          <t>ARBOGA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36641-2023</t>
        </is>
      </c>
      <c r="B1659" s="1" t="n">
        <v>45153</v>
      </c>
      <c r="C1659" s="1" t="n">
        <v>45998</v>
      </c>
      <c r="D1659" t="inlineStr">
        <is>
          <t>VÄSTMANLANDS LÄN</t>
        </is>
      </c>
      <c r="E1659" t="inlineStr">
        <is>
          <t>VÄSTERÅS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42198-2023</t>
        </is>
      </c>
      <c r="B1660" s="1" t="n">
        <v>45179</v>
      </c>
      <c r="C1660" s="1" t="n">
        <v>45998</v>
      </c>
      <c r="D1660" t="inlineStr">
        <is>
          <t>VÄSTMANLANDS LÄN</t>
        </is>
      </c>
      <c r="E1660" t="inlineStr">
        <is>
          <t>NORBERG</t>
        </is>
      </c>
      <c r="F1660" t="inlineStr">
        <is>
          <t>Sveaskog</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26029-2022</t>
        </is>
      </c>
      <c r="B1661" s="1" t="n">
        <v>44734</v>
      </c>
      <c r="C1661" s="1" t="n">
        <v>45998</v>
      </c>
      <c r="D1661" t="inlineStr">
        <is>
          <t>VÄSTMANLANDS LÄN</t>
        </is>
      </c>
      <c r="E1661" t="inlineStr">
        <is>
          <t>KUNGSÖR</t>
        </is>
      </c>
      <c r="F1661" t="inlineStr">
        <is>
          <t>Allmännings- och besparingsskogar</t>
        </is>
      </c>
      <c r="G1661" t="n">
        <v>9.699999999999999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37730-2024</t>
        </is>
      </c>
      <c r="B1662" s="1" t="n">
        <v>45541.66181712963</v>
      </c>
      <c r="C1662" s="1" t="n">
        <v>45998</v>
      </c>
      <c r="D1662" t="inlineStr">
        <is>
          <t>VÄSTMANLANDS LÄN</t>
        </is>
      </c>
      <c r="E1662" t="inlineStr">
        <is>
          <t>SKINNSKATTEBERG</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57650-2024</t>
        </is>
      </c>
      <c r="B1663" s="1" t="n">
        <v>45630</v>
      </c>
      <c r="C1663" s="1" t="n">
        <v>45998</v>
      </c>
      <c r="D1663" t="inlineStr">
        <is>
          <t>VÄSTMANLANDS LÄN</t>
        </is>
      </c>
      <c r="E1663" t="inlineStr">
        <is>
          <t>SALA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22280-2025</t>
        </is>
      </c>
      <c r="B1664" s="1" t="n">
        <v>45786.33869212963</v>
      </c>
      <c r="C1664" s="1" t="n">
        <v>45998</v>
      </c>
      <c r="D1664" t="inlineStr">
        <is>
          <t>VÄSTMANLANDS LÄN</t>
        </is>
      </c>
      <c r="E1664" t="inlineStr">
        <is>
          <t>SKINNSKATTEBERG</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19243-2025</t>
        </is>
      </c>
      <c r="B1665" s="1" t="n">
        <v>45769</v>
      </c>
      <c r="C1665" s="1" t="n">
        <v>45998</v>
      </c>
      <c r="D1665" t="inlineStr">
        <is>
          <t>VÄSTMANLANDS LÄN</t>
        </is>
      </c>
      <c r="E1665" t="inlineStr">
        <is>
          <t>SALA</t>
        </is>
      </c>
      <c r="F1665" t="inlineStr">
        <is>
          <t>Bergvik skog öst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16178-2022</t>
        </is>
      </c>
      <c r="B1666" s="1" t="n">
        <v>44668</v>
      </c>
      <c r="C1666" s="1" t="n">
        <v>45998</v>
      </c>
      <c r="D1666" t="inlineStr">
        <is>
          <t>VÄSTMANLANDS LÄN</t>
        </is>
      </c>
      <c r="E1666" t="inlineStr">
        <is>
          <t>ARBOGA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51132-2023</t>
        </is>
      </c>
      <c r="B1667" s="1" t="n">
        <v>45219.32967592592</v>
      </c>
      <c r="C1667" s="1" t="n">
        <v>45998</v>
      </c>
      <c r="D1667" t="inlineStr">
        <is>
          <t>VÄSTMANLANDS LÄN</t>
        </is>
      </c>
      <c r="E1667" t="inlineStr">
        <is>
          <t>KÖPING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24229-2021</t>
        </is>
      </c>
      <c r="B1668" s="1" t="n">
        <v>44336</v>
      </c>
      <c r="C1668" s="1" t="n">
        <v>45998</v>
      </c>
      <c r="D1668" t="inlineStr">
        <is>
          <t>VÄSTMANLANDS LÄN</t>
        </is>
      </c>
      <c r="E1668" t="inlineStr">
        <is>
          <t>VÄSTERÅS</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52789-2024</t>
        </is>
      </c>
      <c r="B1669" s="1" t="n">
        <v>45610.55425925926</v>
      </c>
      <c r="C1669" s="1" t="n">
        <v>45998</v>
      </c>
      <c r="D1669" t="inlineStr">
        <is>
          <t>VÄSTMANLANDS LÄN</t>
        </is>
      </c>
      <c r="E1669" t="inlineStr">
        <is>
          <t>KUNGSÖR</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51790-2024</t>
        </is>
      </c>
      <c r="B1670" s="1" t="n">
        <v>45607</v>
      </c>
      <c r="C1670" s="1" t="n">
        <v>45998</v>
      </c>
      <c r="D1670" t="inlineStr">
        <is>
          <t>VÄSTMANLANDS LÄN</t>
        </is>
      </c>
      <c r="E1670" t="inlineStr">
        <is>
          <t>NORBERG</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51791-2024</t>
        </is>
      </c>
      <c r="B1671" s="1" t="n">
        <v>45607.46363425926</v>
      </c>
      <c r="C1671" s="1" t="n">
        <v>45998</v>
      </c>
      <c r="D1671" t="inlineStr">
        <is>
          <t>VÄSTMANLANDS LÄN</t>
        </is>
      </c>
      <c r="E1671" t="inlineStr">
        <is>
          <t>NORBERG</t>
        </is>
      </c>
      <c r="F1671" t="inlineStr">
        <is>
          <t>Övriga Aktiebolag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51472-2024</t>
        </is>
      </c>
      <c r="B1672" s="1" t="n">
        <v>45604</v>
      </c>
      <c r="C1672" s="1" t="n">
        <v>45998</v>
      </c>
      <c r="D1672" t="inlineStr">
        <is>
          <t>VÄSTMANLANDS LÄN</t>
        </is>
      </c>
      <c r="E1672" t="inlineStr">
        <is>
          <t>SKINNSKATTEBERG</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51223-2023</t>
        </is>
      </c>
      <c r="B1673" s="1" t="n">
        <v>45219.45563657407</v>
      </c>
      <c r="C1673" s="1" t="n">
        <v>45998</v>
      </c>
      <c r="D1673" t="inlineStr">
        <is>
          <t>VÄSTMANLANDS LÄN</t>
        </is>
      </c>
      <c r="E1673" t="inlineStr">
        <is>
          <t>VÄSTERÅS</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59297-2023</t>
        </is>
      </c>
      <c r="B1674" s="1" t="n">
        <v>45253</v>
      </c>
      <c r="C1674" s="1" t="n">
        <v>45998</v>
      </c>
      <c r="D1674" t="inlineStr">
        <is>
          <t>VÄSTMANLANDS LÄN</t>
        </is>
      </c>
      <c r="E1674" t="inlineStr">
        <is>
          <t>SALA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49005-2023</t>
        </is>
      </c>
      <c r="B1675" s="1" t="n">
        <v>45209.67546296296</v>
      </c>
      <c r="C1675" s="1" t="n">
        <v>45998</v>
      </c>
      <c r="D1675" t="inlineStr">
        <is>
          <t>VÄSTMANLANDS LÄN</t>
        </is>
      </c>
      <c r="E1675" t="inlineStr">
        <is>
          <t>ARBOGA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10255-2024</t>
        </is>
      </c>
      <c r="B1676" s="1" t="n">
        <v>45365</v>
      </c>
      <c r="C1676" s="1" t="n">
        <v>45998</v>
      </c>
      <c r="D1676" t="inlineStr">
        <is>
          <t>VÄSTMANLANDS LÄN</t>
        </is>
      </c>
      <c r="E1676" t="inlineStr">
        <is>
          <t>SALA</t>
        </is>
      </c>
      <c r="F1676" t="inlineStr">
        <is>
          <t>Kommuner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6136-2025</t>
        </is>
      </c>
      <c r="B1677" s="1" t="n">
        <v>45698.37601851852</v>
      </c>
      <c r="C1677" s="1" t="n">
        <v>45998</v>
      </c>
      <c r="D1677" t="inlineStr">
        <is>
          <t>VÄSTMANLANDS LÄN</t>
        </is>
      </c>
      <c r="E1677" t="inlineStr">
        <is>
          <t>SALA</t>
        </is>
      </c>
      <c r="F1677" t="inlineStr">
        <is>
          <t>Bergvik skog öst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6190-2025</t>
        </is>
      </c>
      <c r="B1678" s="1" t="n">
        <v>45698</v>
      </c>
      <c r="C1678" s="1" t="n">
        <v>45998</v>
      </c>
      <c r="D1678" t="inlineStr">
        <is>
          <t>VÄSTMANLANDS LÄN</t>
        </is>
      </c>
      <c r="E1678" t="inlineStr">
        <is>
          <t>SALA</t>
        </is>
      </c>
      <c r="F1678" t="inlineStr">
        <is>
          <t>Bergvik skog öst AB</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15889-2022</t>
        </is>
      </c>
      <c r="B1679" s="1" t="n">
        <v>44664</v>
      </c>
      <c r="C1679" s="1" t="n">
        <v>45998</v>
      </c>
      <c r="D1679" t="inlineStr">
        <is>
          <t>VÄSTMANLANDS LÄN</t>
        </is>
      </c>
      <c r="E1679" t="inlineStr">
        <is>
          <t>VÄSTERÅS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10546-2024</t>
        </is>
      </c>
      <c r="B1680" s="1" t="n">
        <v>45366</v>
      </c>
      <c r="C1680" s="1" t="n">
        <v>45998</v>
      </c>
      <c r="D1680" t="inlineStr">
        <is>
          <t>VÄSTMANLANDS LÄN</t>
        </is>
      </c>
      <c r="E1680" t="inlineStr">
        <is>
          <t>VÄSTERÅS</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39780-2023</t>
        </is>
      </c>
      <c r="B1681" s="1" t="n">
        <v>45167</v>
      </c>
      <c r="C1681" s="1" t="n">
        <v>45998</v>
      </c>
      <c r="D1681" t="inlineStr">
        <is>
          <t>VÄSTMANLANDS LÄN</t>
        </is>
      </c>
      <c r="E1681" t="inlineStr">
        <is>
          <t>ARBOGA</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10559-2024</t>
        </is>
      </c>
      <c r="B1682" s="1" t="n">
        <v>45366</v>
      </c>
      <c r="C1682" s="1" t="n">
        <v>45998</v>
      </c>
      <c r="D1682" t="inlineStr">
        <is>
          <t>VÄSTMANLANDS LÄN</t>
        </is>
      </c>
      <c r="E1682" t="inlineStr">
        <is>
          <t>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22353-2025</t>
        </is>
      </c>
      <c r="B1683" s="1" t="n">
        <v>45786</v>
      </c>
      <c r="C1683" s="1" t="n">
        <v>45998</v>
      </c>
      <c r="D1683" t="inlineStr">
        <is>
          <t>VÄSTMANLANDS LÄN</t>
        </is>
      </c>
      <c r="E1683" t="inlineStr">
        <is>
          <t>SALA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64724-2023</t>
        </is>
      </c>
      <c r="B1684" s="1" t="n">
        <v>45281.7602662037</v>
      </c>
      <c r="C1684" s="1" t="n">
        <v>45998</v>
      </c>
      <c r="D1684" t="inlineStr">
        <is>
          <t>VÄSTMANLANDS LÄN</t>
        </is>
      </c>
      <c r="E1684" t="inlineStr">
        <is>
          <t>SALA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57256-2024</t>
        </is>
      </c>
      <c r="B1685" s="1" t="n">
        <v>45629.56054398148</v>
      </c>
      <c r="C1685" s="1" t="n">
        <v>45998</v>
      </c>
      <c r="D1685" t="inlineStr">
        <is>
          <t>VÄSTMANLANDS LÄN</t>
        </is>
      </c>
      <c r="E1685" t="inlineStr">
        <is>
          <t>ARBOGA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7245-2025</t>
        </is>
      </c>
      <c r="B1686" s="1" t="n">
        <v>45702</v>
      </c>
      <c r="C1686" s="1" t="n">
        <v>45998</v>
      </c>
      <c r="D1686" t="inlineStr">
        <is>
          <t>VÄSTMANLANDS LÄN</t>
        </is>
      </c>
      <c r="E1686" t="inlineStr">
        <is>
          <t>HALLSTAHAMMAR</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10617-2023</t>
        </is>
      </c>
      <c r="B1687" s="1" t="n">
        <v>44988</v>
      </c>
      <c r="C1687" s="1" t="n">
        <v>45998</v>
      </c>
      <c r="D1687" t="inlineStr">
        <is>
          <t>VÄSTMANLANDS LÄN</t>
        </is>
      </c>
      <c r="E1687" t="inlineStr">
        <is>
          <t>ARBOGA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28863-2022</t>
        </is>
      </c>
      <c r="B1688" s="1" t="n">
        <v>44749.50649305555</v>
      </c>
      <c r="C1688" s="1" t="n">
        <v>45998</v>
      </c>
      <c r="D1688" t="inlineStr">
        <is>
          <t>VÄSTMANLANDS LÄN</t>
        </is>
      </c>
      <c r="E1688" t="inlineStr">
        <is>
          <t>SALA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58241-2024</t>
        </is>
      </c>
      <c r="B1689" s="1" t="n">
        <v>45632</v>
      </c>
      <c r="C1689" s="1" t="n">
        <v>45998</v>
      </c>
      <c r="D1689" t="inlineStr">
        <is>
          <t>VÄSTMANLANDS LÄN</t>
        </is>
      </c>
      <c r="E1689" t="inlineStr">
        <is>
          <t>ARBOGA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10362-2021</t>
        </is>
      </c>
      <c r="B1690" s="1" t="n">
        <v>44257</v>
      </c>
      <c r="C1690" s="1" t="n">
        <v>45998</v>
      </c>
      <c r="D1690" t="inlineStr">
        <is>
          <t>VÄSTMANLANDS LÄN</t>
        </is>
      </c>
      <c r="E1690" t="inlineStr">
        <is>
          <t>ARBOGA</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19377-2025</t>
        </is>
      </c>
      <c r="B1691" s="1" t="n">
        <v>45769.65043981482</v>
      </c>
      <c r="C1691" s="1" t="n">
        <v>45998</v>
      </c>
      <c r="D1691" t="inlineStr">
        <is>
          <t>VÄSTMANLANDS LÄN</t>
        </is>
      </c>
      <c r="E1691" t="inlineStr">
        <is>
          <t>NORBERG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45390-2023</t>
        </is>
      </c>
      <c r="B1692" s="1" t="n">
        <v>45193.92085648148</v>
      </c>
      <c r="C1692" s="1" t="n">
        <v>45998</v>
      </c>
      <c r="D1692" t="inlineStr">
        <is>
          <t>VÄSTMANLANDS LÄN</t>
        </is>
      </c>
      <c r="E1692" t="inlineStr">
        <is>
          <t>FAGERSTA</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45492-2023</t>
        </is>
      </c>
      <c r="B1693" s="1" t="n">
        <v>45194.46662037037</v>
      </c>
      <c r="C1693" s="1" t="n">
        <v>45998</v>
      </c>
      <c r="D1693" t="inlineStr">
        <is>
          <t>VÄSTMANLANDS LÄN</t>
        </is>
      </c>
      <c r="E1693" t="inlineStr">
        <is>
          <t>ARBOGA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28696-2023</t>
        </is>
      </c>
      <c r="B1694" s="1" t="n">
        <v>45103.71759259259</v>
      </c>
      <c r="C1694" s="1" t="n">
        <v>45998</v>
      </c>
      <c r="D1694" t="inlineStr">
        <is>
          <t>VÄSTMANLANDS LÄN</t>
        </is>
      </c>
      <c r="E1694" t="inlineStr">
        <is>
          <t>SALA</t>
        </is>
      </c>
      <c r="F1694" t="inlineStr">
        <is>
          <t>Kommuner</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12121-2023</t>
        </is>
      </c>
      <c r="B1695" s="1" t="n">
        <v>44998</v>
      </c>
      <c r="C1695" s="1" t="n">
        <v>45998</v>
      </c>
      <c r="D1695" t="inlineStr">
        <is>
          <t>VÄSTMANLANDS LÄN</t>
        </is>
      </c>
      <c r="E1695" t="inlineStr">
        <is>
          <t>FAGERSTA</t>
        </is>
      </c>
      <c r="F1695" t="inlineStr">
        <is>
          <t>Övriga Aktiebolag</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1387-2025</t>
        </is>
      </c>
      <c r="B1696" s="1" t="n">
        <v>45667</v>
      </c>
      <c r="C1696" s="1" t="n">
        <v>45998</v>
      </c>
      <c r="D1696" t="inlineStr">
        <is>
          <t>VÄSTMANLANDS LÄN</t>
        </is>
      </c>
      <c r="E1696" t="inlineStr">
        <is>
          <t>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22370-2025</t>
        </is>
      </c>
      <c r="B1697" s="1" t="n">
        <v>45786</v>
      </c>
      <c r="C1697" s="1" t="n">
        <v>45998</v>
      </c>
      <c r="D1697" t="inlineStr">
        <is>
          <t>VÄSTMANLANDS LÄN</t>
        </is>
      </c>
      <c r="E1697" t="inlineStr">
        <is>
          <t>SALA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22383-2025</t>
        </is>
      </c>
      <c r="B1698" s="1" t="n">
        <v>45786</v>
      </c>
      <c r="C1698" s="1" t="n">
        <v>45998</v>
      </c>
      <c r="D1698" t="inlineStr">
        <is>
          <t>VÄSTMANLANDS LÄN</t>
        </is>
      </c>
      <c r="E1698" t="inlineStr">
        <is>
          <t>SALA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35682-2022</t>
        </is>
      </c>
      <c r="B1699" s="1" t="n">
        <v>44799.60422453703</v>
      </c>
      <c r="C1699" s="1" t="n">
        <v>45998</v>
      </c>
      <c r="D1699" t="inlineStr">
        <is>
          <t>VÄSTMANLANDS LÄN</t>
        </is>
      </c>
      <c r="E1699" t="inlineStr">
        <is>
          <t>SURAHAMMAR</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15330-2023</t>
        </is>
      </c>
      <c r="B1700" s="1" t="n">
        <v>45019</v>
      </c>
      <c r="C1700" s="1" t="n">
        <v>45998</v>
      </c>
      <c r="D1700" t="inlineStr">
        <is>
          <t>VÄSTMANLANDS LÄN</t>
        </is>
      </c>
      <c r="E1700" t="inlineStr">
        <is>
          <t>VÄSTERÅS</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22801-2021</t>
        </is>
      </c>
      <c r="B1701" s="1" t="n">
        <v>44328</v>
      </c>
      <c r="C1701" s="1" t="n">
        <v>45998</v>
      </c>
      <c r="D1701" t="inlineStr">
        <is>
          <t>VÄSTMANLANDS LÄN</t>
        </is>
      </c>
      <c r="E1701" t="inlineStr">
        <is>
          <t>NORBERG</t>
        </is>
      </c>
      <c r="F1701" t="inlineStr">
        <is>
          <t>Kyrkan</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10096-2025</t>
        </is>
      </c>
      <c r="B1702" s="1" t="n">
        <v>45719.57665509259</v>
      </c>
      <c r="C1702" s="1" t="n">
        <v>45998</v>
      </c>
      <c r="D1702" t="inlineStr">
        <is>
          <t>VÄSTMANLANDS LÄN</t>
        </is>
      </c>
      <c r="E1702" t="inlineStr">
        <is>
          <t>KÖPING</t>
        </is>
      </c>
      <c r="F1702" t="inlineStr">
        <is>
          <t>Sveaskog</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18467-2023</t>
        </is>
      </c>
      <c r="B1703" s="1" t="n">
        <v>45042</v>
      </c>
      <c r="C1703" s="1" t="n">
        <v>45998</v>
      </c>
      <c r="D1703" t="inlineStr">
        <is>
          <t>VÄSTMANLANDS LÄN</t>
        </is>
      </c>
      <c r="E1703" t="inlineStr">
        <is>
          <t>VÄSTERÅS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63483-2023</t>
        </is>
      </c>
      <c r="B1704" s="1" t="n">
        <v>45274.65981481481</v>
      </c>
      <c r="C1704" s="1" t="n">
        <v>45998</v>
      </c>
      <c r="D1704" t="inlineStr">
        <is>
          <t>VÄSTMANLANDS LÄN</t>
        </is>
      </c>
      <c r="E1704" t="inlineStr">
        <is>
          <t>VÄSTERÅS</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31072-2021</t>
        </is>
      </c>
      <c r="B1705" s="1" t="n">
        <v>44368</v>
      </c>
      <c r="C1705" s="1" t="n">
        <v>45998</v>
      </c>
      <c r="D1705" t="inlineStr">
        <is>
          <t>VÄSTMANLANDS LÄN</t>
        </is>
      </c>
      <c r="E1705" t="inlineStr">
        <is>
          <t>SALA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25541-2024</t>
        </is>
      </c>
      <c r="B1706" s="1" t="n">
        <v>45463.56337962963</v>
      </c>
      <c r="C1706" s="1" t="n">
        <v>45998</v>
      </c>
      <c r="D1706" t="inlineStr">
        <is>
          <t>VÄSTMANLANDS LÄN</t>
        </is>
      </c>
      <c r="E1706" t="inlineStr">
        <is>
          <t>SALA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10679-2024</t>
        </is>
      </c>
      <c r="B1707" s="1" t="n">
        <v>45368</v>
      </c>
      <c r="C1707" s="1" t="n">
        <v>45998</v>
      </c>
      <c r="D1707" t="inlineStr">
        <is>
          <t>VÄSTMANLANDS LÄN</t>
        </is>
      </c>
      <c r="E1707" t="inlineStr">
        <is>
          <t>ARBOGA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14062-2024</t>
        </is>
      </c>
      <c r="B1708" s="1" t="n">
        <v>45392.56596064815</v>
      </c>
      <c r="C1708" s="1" t="n">
        <v>45998</v>
      </c>
      <c r="D1708" t="inlineStr">
        <is>
          <t>VÄSTMANLANDS LÄN</t>
        </is>
      </c>
      <c r="E1708" t="inlineStr">
        <is>
          <t>KÖPING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11323-2021</t>
        </is>
      </c>
      <c r="B1709" s="1" t="n">
        <v>44263</v>
      </c>
      <c r="C1709" s="1" t="n">
        <v>45998</v>
      </c>
      <c r="D1709" t="inlineStr">
        <is>
          <t>VÄSTMANLANDS LÄN</t>
        </is>
      </c>
      <c r="E1709" t="inlineStr">
        <is>
          <t>ARBOGA</t>
        </is>
      </c>
      <c r="F1709" t="inlineStr">
        <is>
          <t>Sveaskog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40693-2023</t>
        </is>
      </c>
      <c r="B1710" s="1" t="n">
        <v>45170.60415509259</v>
      </c>
      <c r="C1710" s="1" t="n">
        <v>45998</v>
      </c>
      <c r="D1710" t="inlineStr">
        <is>
          <t>VÄSTMANLANDS LÄN</t>
        </is>
      </c>
      <c r="E1710" t="inlineStr">
        <is>
          <t>KÖPING</t>
        </is>
      </c>
      <c r="F1710" t="inlineStr">
        <is>
          <t>Sveaskog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16543-2023</t>
        </is>
      </c>
      <c r="B1711" s="1" t="n">
        <v>45029</v>
      </c>
      <c r="C1711" s="1" t="n">
        <v>45998</v>
      </c>
      <c r="D1711" t="inlineStr">
        <is>
          <t>VÄSTMANLANDS LÄN</t>
        </is>
      </c>
      <c r="E1711" t="inlineStr">
        <is>
          <t>SALA</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49289-2024</t>
        </is>
      </c>
      <c r="B1712" s="1" t="n">
        <v>45595.51947916667</v>
      </c>
      <c r="C1712" s="1" t="n">
        <v>45998</v>
      </c>
      <c r="D1712" t="inlineStr">
        <is>
          <t>VÄSTMANLANDS LÄN</t>
        </is>
      </c>
      <c r="E1712" t="inlineStr">
        <is>
          <t>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16397-2024</t>
        </is>
      </c>
      <c r="B1713" s="1" t="n">
        <v>45407.62880787037</v>
      </c>
      <c r="C1713" s="1" t="n">
        <v>45998</v>
      </c>
      <c r="D1713" t="inlineStr">
        <is>
          <t>VÄSTMANLANDS LÄN</t>
        </is>
      </c>
      <c r="E1713" t="inlineStr">
        <is>
          <t>SKINNSKATTEBERG</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27328-2023</t>
        </is>
      </c>
      <c r="B1714" s="1" t="n">
        <v>45096.67375</v>
      </c>
      <c r="C1714" s="1" t="n">
        <v>45998</v>
      </c>
      <c r="D1714" t="inlineStr">
        <is>
          <t>VÄSTMANLANDS LÄN</t>
        </is>
      </c>
      <c r="E1714" t="inlineStr">
        <is>
          <t>SKINNSKATTEBERG</t>
        </is>
      </c>
      <c r="F1714" t="inlineStr">
        <is>
          <t>Sveaskog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16844-2023</t>
        </is>
      </c>
      <c r="B1715" s="1" t="n">
        <v>45033</v>
      </c>
      <c r="C1715" s="1" t="n">
        <v>45998</v>
      </c>
      <c r="D1715" t="inlineStr">
        <is>
          <t>VÄSTMANLANDS LÄN</t>
        </is>
      </c>
      <c r="E1715" t="inlineStr">
        <is>
          <t>VÄSTERÅS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1069-2023</t>
        </is>
      </c>
      <c r="B1716" s="1" t="n">
        <v>44935.52166666667</v>
      </c>
      <c r="C1716" s="1" t="n">
        <v>45998</v>
      </c>
      <c r="D1716" t="inlineStr">
        <is>
          <t>VÄSTMANLANDS LÄN</t>
        </is>
      </c>
      <c r="E1716" t="inlineStr">
        <is>
          <t>SKINNSKATTEBERG</t>
        </is>
      </c>
      <c r="G1716" t="n">
        <v>10.5</v>
      </c>
      <c r="H1716" t="n">
        <v>0</v>
      </c>
      <c r="I1716" t="n">
        <v>0</v>
      </c>
      <c r="J1716" t="n">
        <v>0</v>
      </c>
      <c r="K1716" t="n">
        <v>0</v>
      </c>
      <c r="L1716" t="n">
        <v>0</v>
      </c>
      <c r="M1716" t="n">
        <v>0</v>
      </c>
      <c r="N1716" t="n">
        <v>0</v>
      </c>
      <c r="O1716" t="n">
        <v>0</v>
      </c>
      <c r="P1716" t="n">
        <v>0</v>
      </c>
      <c r="Q1716" t="n">
        <v>0</v>
      </c>
      <c r="R1716" s="2" t="inlineStr"/>
    </row>
    <row r="1717" ht="15" customHeight="1">
      <c r="A1717" t="inlineStr">
        <is>
          <t>A 22523-2023</t>
        </is>
      </c>
      <c r="B1717" s="1" t="n">
        <v>45069</v>
      </c>
      <c r="C1717" s="1" t="n">
        <v>45998</v>
      </c>
      <c r="D1717" t="inlineStr">
        <is>
          <t>VÄSTMANLANDS LÄN</t>
        </is>
      </c>
      <c r="E1717" t="inlineStr">
        <is>
          <t>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1181-2025</t>
        </is>
      </c>
      <c r="B1718" s="1" t="n">
        <v>45667</v>
      </c>
      <c r="C1718" s="1" t="n">
        <v>45998</v>
      </c>
      <c r="D1718" t="inlineStr">
        <is>
          <t>VÄSTMANLANDS LÄN</t>
        </is>
      </c>
      <c r="E1718" t="inlineStr">
        <is>
          <t>KÖPING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22675-2025</t>
        </is>
      </c>
      <c r="B1719" s="1" t="n">
        <v>45786</v>
      </c>
      <c r="C1719" s="1" t="n">
        <v>45998</v>
      </c>
      <c r="D1719" t="inlineStr">
        <is>
          <t>VÄSTMANLANDS LÄN</t>
        </is>
      </c>
      <c r="E1719" t="inlineStr">
        <is>
          <t>VÄSTERÅS</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29934-2022</t>
        </is>
      </c>
      <c r="B1720" s="1" t="n">
        <v>44757</v>
      </c>
      <c r="C1720" s="1" t="n">
        <v>45998</v>
      </c>
      <c r="D1720" t="inlineStr">
        <is>
          <t>VÄSTMANLANDS LÄN</t>
        </is>
      </c>
      <c r="E1720" t="inlineStr">
        <is>
          <t>KÖPING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4663-2022</t>
        </is>
      </c>
      <c r="B1721" s="1" t="n">
        <v>44592.45429398148</v>
      </c>
      <c r="C1721" s="1" t="n">
        <v>45998</v>
      </c>
      <c r="D1721" t="inlineStr">
        <is>
          <t>VÄSTMANLANDS LÄN</t>
        </is>
      </c>
      <c r="E1721" t="inlineStr">
        <is>
          <t>SALA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6388-2025</t>
        </is>
      </c>
      <c r="B1722" s="1" t="n">
        <v>45699.42703703704</v>
      </c>
      <c r="C1722" s="1" t="n">
        <v>45998</v>
      </c>
      <c r="D1722" t="inlineStr">
        <is>
          <t>VÄSTMANLANDS LÄN</t>
        </is>
      </c>
      <c r="E1722" t="inlineStr">
        <is>
          <t>NORBERG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13835-2025</t>
        </is>
      </c>
      <c r="B1723" s="1" t="n">
        <v>45737</v>
      </c>
      <c r="C1723" s="1" t="n">
        <v>45998</v>
      </c>
      <c r="D1723" t="inlineStr">
        <is>
          <t>VÄSTMANLANDS LÄN</t>
        </is>
      </c>
      <c r="E1723" t="inlineStr">
        <is>
          <t>NORBERG</t>
        </is>
      </c>
      <c r="F1723" t="inlineStr">
        <is>
          <t>Sveaskog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16074-2025</t>
        </is>
      </c>
      <c r="B1724" s="1" t="n">
        <v>45749</v>
      </c>
      <c r="C1724" s="1" t="n">
        <v>45998</v>
      </c>
      <c r="D1724" t="inlineStr">
        <is>
          <t>VÄSTMANLANDS LÄN</t>
        </is>
      </c>
      <c r="E1724" t="inlineStr">
        <is>
          <t>VÄSTERÅS</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29213-2022</t>
        </is>
      </c>
      <c r="B1725" s="1" t="n">
        <v>44750.57474537037</v>
      </c>
      <c r="C1725" s="1" t="n">
        <v>45998</v>
      </c>
      <c r="D1725" t="inlineStr">
        <is>
          <t>VÄSTMANLANDS LÄN</t>
        </is>
      </c>
      <c r="E1725" t="inlineStr">
        <is>
          <t>SALA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15487-2022</t>
        </is>
      </c>
      <c r="B1726" s="1" t="n">
        <v>44662</v>
      </c>
      <c r="C1726" s="1" t="n">
        <v>45998</v>
      </c>
      <c r="D1726" t="inlineStr">
        <is>
          <t>VÄSTMANLANDS LÄN</t>
        </is>
      </c>
      <c r="E1726" t="inlineStr">
        <is>
          <t>ARBOGA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41333-2023</t>
        </is>
      </c>
      <c r="B1727" s="1" t="n">
        <v>45174</v>
      </c>
      <c r="C1727" s="1" t="n">
        <v>45998</v>
      </c>
      <c r="D1727" t="inlineStr">
        <is>
          <t>VÄSTMANLANDS LÄN</t>
        </is>
      </c>
      <c r="E1727" t="inlineStr">
        <is>
          <t>SKINNSKATTEBERG</t>
        </is>
      </c>
      <c r="F1727" t="inlineStr">
        <is>
          <t>Sveaskog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6132-2025</t>
        </is>
      </c>
      <c r="B1728" s="1" t="n">
        <v>45698</v>
      </c>
      <c r="C1728" s="1" t="n">
        <v>45998</v>
      </c>
      <c r="D1728" t="inlineStr">
        <is>
          <t>VÄSTMANLANDS LÄN</t>
        </is>
      </c>
      <c r="E1728" t="inlineStr">
        <is>
          <t>SALA</t>
        </is>
      </c>
      <c r="F1728" t="inlineStr">
        <is>
          <t>Bergvik skog öst AB</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54483-2024</t>
        </is>
      </c>
      <c r="B1729" s="1" t="n">
        <v>45617.56130787037</v>
      </c>
      <c r="C1729" s="1" t="n">
        <v>45998</v>
      </c>
      <c r="D1729" t="inlineStr">
        <is>
          <t>VÄSTMANLANDS LÄN</t>
        </is>
      </c>
      <c r="E1729" t="inlineStr">
        <is>
          <t>SKINNSKATTEBERG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56964-2023</t>
        </is>
      </c>
      <c r="B1730" s="1" t="n">
        <v>45244.63140046296</v>
      </c>
      <c r="C1730" s="1" t="n">
        <v>45998</v>
      </c>
      <c r="D1730" t="inlineStr">
        <is>
          <t>VÄSTMANLANDS LÄN</t>
        </is>
      </c>
      <c r="E1730" t="inlineStr">
        <is>
          <t>SALA</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40320-2023</t>
        </is>
      </c>
      <c r="B1731" s="1" t="n">
        <v>45169</v>
      </c>
      <c r="C1731" s="1" t="n">
        <v>45998</v>
      </c>
      <c r="D1731" t="inlineStr">
        <is>
          <t>VÄSTMANLANDS LÄN</t>
        </is>
      </c>
      <c r="E1731" t="inlineStr">
        <is>
          <t>SKINNSKATTEBERG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14149-2022</t>
        </is>
      </c>
      <c r="B1732" s="1" t="n">
        <v>44651</v>
      </c>
      <c r="C1732" s="1" t="n">
        <v>45998</v>
      </c>
      <c r="D1732" t="inlineStr">
        <is>
          <t>VÄSTMANLANDS LÄN</t>
        </is>
      </c>
      <c r="E1732" t="inlineStr">
        <is>
          <t>HALLSTAHAMMAR</t>
        </is>
      </c>
      <c r="F1732" t="inlineStr">
        <is>
          <t>Allmännings- och besparingsskogar</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55229-2023</t>
        </is>
      </c>
      <c r="B1733" s="1" t="n">
        <v>45237.620625</v>
      </c>
      <c r="C1733" s="1" t="n">
        <v>45998</v>
      </c>
      <c r="D1733" t="inlineStr">
        <is>
          <t>VÄSTMANLANDS LÄN</t>
        </is>
      </c>
      <c r="E1733" t="inlineStr">
        <is>
          <t>SKINNSKATTEBERG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18463-2025</t>
        </is>
      </c>
      <c r="B1734" s="1" t="n">
        <v>45762.69976851852</v>
      </c>
      <c r="C1734" s="1" t="n">
        <v>45998</v>
      </c>
      <c r="D1734" t="inlineStr">
        <is>
          <t>VÄSTMANLANDS LÄN</t>
        </is>
      </c>
      <c r="E1734" t="inlineStr">
        <is>
          <t>FAGERSTA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31859-2023</t>
        </is>
      </c>
      <c r="B1735" s="1" t="n">
        <v>45118</v>
      </c>
      <c r="C1735" s="1" t="n">
        <v>45998</v>
      </c>
      <c r="D1735" t="inlineStr">
        <is>
          <t>VÄSTMANLANDS LÄN</t>
        </is>
      </c>
      <c r="E1735" t="inlineStr">
        <is>
          <t>SALA</t>
        </is>
      </c>
      <c r="G1735" t="n">
        <v>0.5</v>
      </c>
      <c r="H1735" t="n">
        <v>0</v>
      </c>
      <c r="I1735" t="n">
        <v>0</v>
      </c>
      <c r="J1735" t="n">
        <v>0</v>
      </c>
      <c r="K1735" t="n">
        <v>0</v>
      </c>
      <c r="L1735" t="n">
        <v>0</v>
      </c>
      <c r="M1735" t="n">
        <v>0</v>
      </c>
      <c r="N1735" t="n">
        <v>0</v>
      </c>
      <c r="O1735" t="n">
        <v>0</v>
      </c>
      <c r="P1735" t="n">
        <v>0</v>
      </c>
      <c r="Q1735" t="n">
        <v>0</v>
      </c>
      <c r="R1735" s="2" t="inlineStr"/>
      <c r="U1735">
        <f>HYPERLINK("https://klasma.github.io/Logging_1981/knärot/A 31859-2023 karta knärot.png", "A 31859-2023")</f>
        <v/>
      </c>
      <c r="V1735">
        <f>HYPERLINK("https://klasma.github.io/Logging_1981/klagomål/A 31859-2023 FSC-klagomål.docx", "A 31859-2023")</f>
        <v/>
      </c>
      <c r="W1735">
        <f>HYPERLINK("https://klasma.github.io/Logging_1981/klagomålsmail/A 31859-2023 FSC-klagomål mail.docx", "A 31859-2023")</f>
        <v/>
      </c>
      <c r="X1735">
        <f>HYPERLINK("https://klasma.github.io/Logging_1981/tillsyn/A 31859-2023 tillsynsbegäran.docx", "A 31859-2023")</f>
        <v/>
      </c>
      <c r="Y1735">
        <f>HYPERLINK("https://klasma.github.io/Logging_1981/tillsynsmail/A 31859-2023 tillsynsbegäran mail.docx", "A 31859-2023")</f>
        <v/>
      </c>
    </row>
    <row r="1736" ht="15" customHeight="1">
      <c r="A1736" t="inlineStr">
        <is>
          <t>A 40141-2023</t>
        </is>
      </c>
      <c r="B1736" s="1" t="n">
        <v>45169.34711805556</v>
      </c>
      <c r="C1736" s="1" t="n">
        <v>45998</v>
      </c>
      <c r="D1736" t="inlineStr">
        <is>
          <t>VÄSTMANLANDS LÄN</t>
        </is>
      </c>
      <c r="E1736" t="inlineStr">
        <is>
          <t>NORBERG</t>
        </is>
      </c>
      <c r="F1736" t="inlineStr">
        <is>
          <t>Sveaskog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61681-2024</t>
        </is>
      </c>
      <c r="B1737" s="1" t="n">
        <v>45647</v>
      </c>
      <c r="C1737" s="1" t="n">
        <v>45998</v>
      </c>
      <c r="D1737" t="inlineStr">
        <is>
          <t>VÄSTMANLANDS LÄN</t>
        </is>
      </c>
      <c r="E1737" t="inlineStr">
        <is>
          <t>SALA</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54960-2024</t>
        </is>
      </c>
      <c r="B1738" s="1" t="n">
        <v>45619.85208333333</v>
      </c>
      <c r="C1738" s="1" t="n">
        <v>45998</v>
      </c>
      <c r="D1738" t="inlineStr">
        <is>
          <t>VÄSTMANLANDS LÄN</t>
        </is>
      </c>
      <c r="E1738" t="inlineStr">
        <is>
          <t>SALA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51230-2023</t>
        </is>
      </c>
      <c r="B1739" s="1" t="n">
        <v>45219.46137731482</v>
      </c>
      <c r="C1739" s="1" t="n">
        <v>45998</v>
      </c>
      <c r="D1739" t="inlineStr">
        <is>
          <t>VÄSTMANLANDS LÄN</t>
        </is>
      </c>
      <c r="E1739" t="inlineStr">
        <is>
          <t>VÄSTERÅS</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40153-2023</t>
        </is>
      </c>
      <c r="B1740" s="1" t="n">
        <v>45169.35862268518</v>
      </c>
      <c r="C1740" s="1" t="n">
        <v>45998</v>
      </c>
      <c r="D1740" t="inlineStr">
        <is>
          <t>VÄSTMANLANDS LÄN</t>
        </is>
      </c>
      <c r="E1740" t="inlineStr">
        <is>
          <t>NORBERG</t>
        </is>
      </c>
      <c r="F1740" t="inlineStr">
        <is>
          <t>Sveaskog</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10912-2024</t>
        </is>
      </c>
      <c r="B1741" s="1" t="n">
        <v>45370.39363425926</v>
      </c>
      <c r="C1741" s="1" t="n">
        <v>45998</v>
      </c>
      <c r="D1741" t="inlineStr">
        <is>
          <t>VÄSTMANLANDS LÄN</t>
        </is>
      </c>
      <c r="E1741" t="inlineStr">
        <is>
          <t>VÄSTERÅS</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24838-2021</t>
        </is>
      </c>
      <c r="B1742" s="1" t="n">
        <v>44340</v>
      </c>
      <c r="C1742" s="1" t="n">
        <v>45998</v>
      </c>
      <c r="D1742" t="inlineStr">
        <is>
          <t>VÄSTMANLANDS LÄN</t>
        </is>
      </c>
      <c r="E1742" t="inlineStr">
        <is>
          <t>VÄSTERÅS</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31883-2022</t>
        </is>
      </c>
      <c r="B1743" s="1" t="n">
        <v>44777</v>
      </c>
      <c r="C1743" s="1" t="n">
        <v>45998</v>
      </c>
      <c r="D1743" t="inlineStr">
        <is>
          <t>VÄSTMANLANDS LÄN</t>
        </is>
      </c>
      <c r="E1743" t="inlineStr">
        <is>
          <t>KUNGSÖR</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31082-2021</t>
        </is>
      </c>
      <c r="B1744" s="1" t="n">
        <v>44368</v>
      </c>
      <c r="C1744" s="1" t="n">
        <v>45998</v>
      </c>
      <c r="D1744" t="inlineStr">
        <is>
          <t>VÄSTMANLANDS LÄN</t>
        </is>
      </c>
      <c r="E1744" t="inlineStr">
        <is>
          <t>SALA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45664-2024</t>
        </is>
      </c>
      <c r="B1745" s="1" t="n">
        <v>45579</v>
      </c>
      <c r="C1745" s="1" t="n">
        <v>45998</v>
      </c>
      <c r="D1745" t="inlineStr">
        <is>
          <t>VÄSTMANLANDS LÄN</t>
        </is>
      </c>
      <c r="E1745" t="inlineStr">
        <is>
          <t>KÖPING</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45684-2024</t>
        </is>
      </c>
      <c r="B1746" s="1" t="n">
        <v>45579</v>
      </c>
      <c r="C1746" s="1" t="n">
        <v>45998</v>
      </c>
      <c r="D1746" t="inlineStr">
        <is>
          <t>VÄSTMANLANDS LÄN</t>
        </is>
      </c>
      <c r="E1746" t="inlineStr">
        <is>
          <t>KÖPING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20352-2022</t>
        </is>
      </c>
      <c r="B1747" s="1" t="n">
        <v>44699.37318287037</v>
      </c>
      <c r="C1747" s="1" t="n">
        <v>45998</v>
      </c>
      <c r="D1747" t="inlineStr">
        <is>
          <t>VÄSTMANLANDS LÄN</t>
        </is>
      </c>
      <c r="E1747" t="inlineStr">
        <is>
          <t>SALA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23765-2022</t>
        </is>
      </c>
      <c r="B1748" s="1" t="n">
        <v>44722.38237268518</v>
      </c>
      <c r="C1748" s="1" t="n">
        <v>45998</v>
      </c>
      <c r="D1748" t="inlineStr">
        <is>
          <t>VÄSTMANLANDS LÄN</t>
        </is>
      </c>
      <c r="E1748" t="inlineStr">
        <is>
          <t>VÄSTERÅS</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69168-2021</t>
        </is>
      </c>
      <c r="B1749" s="1" t="n">
        <v>44530</v>
      </c>
      <c r="C1749" s="1" t="n">
        <v>45998</v>
      </c>
      <c r="D1749" t="inlineStr">
        <is>
          <t>VÄSTMANLANDS LÄN</t>
        </is>
      </c>
      <c r="E1749" t="inlineStr">
        <is>
          <t>ARBOGA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37432-2023</t>
        </is>
      </c>
      <c r="B1750" s="1" t="n">
        <v>45156</v>
      </c>
      <c r="C1750" s="1" t="n">
        <v>45998</v>
      </c>
      <c r="D1750" t="inlineStr">
        <is>
          <t>VÄSTMANLANDS LÄN</t>
        </is>
      </c>
      <c r="E1750" t="inlineStr">
        <is>
          <t>SKINNSKATTEBERG</t>
        </is>
      </c>
      <c r="F1750" t="inlineStr">
        <is>
          <t>Sveaskog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3131-2024</t>
        </is>
      </c>
      <c r="B1751" s="1" t="n">
        <v>45316</v>
      </c>
      <c r="C1751" s="1" t="n">
        <v>45998</v>
      </c>
      <c r="D1751" t="inlineStr">
        <is>
          <t>VÄSTMANLANDS LÄN</t>
        </is>
      </c>
      <c r="E1751" t="inlineStr">
        <is>
          <t>NORBERG</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37730-2022</t>
        </is>
      </c>
      <c r="B1752" s="1" t="n">
        <v>44810.56791666667</v>
      </c>
      <c r="C1752" s="1" t="n">
        <v>45998</v>
      </c>
      <c r="D1752" t="inlineStr">
        <is>
          <t>VÄSTMANLANDS LÄN</t>
        </is>
      </c>
      <c r="E1752" t="inlineStr">
        <is>
          <t>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32029-2024</t>
        </is>
      </c>
      <c r="B1753" s="1" t="n">
        <v>45510.66086805556</v>
      </c>
      <c r="C1753" s="1" t="n">
        <v>45998</v>
      </c>
      <c r="D1753" t="inlineStr">
        <is>
          <t>VÄSTMANLANDS LÄN</t>
        </is>
      </c>
      <c r="E1753" t="inlineStr">
        <is>
          <t>KÖPING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18163-2024</t>
        </is>
      </c>
      <c r="B1754" s="1" t="n">
        <v>45420</v>
      </c>
      <c r="C1754" s="1" t="n">
        <v>45998</v>
      </c>
      <c r="D1754" t="inlineStr">
        <is>
          <t>VÄSTMANLANDS LÄN</t>
        </is>
      </c>
      <c r="E1754" t="inlineStr">
        <is>
          <t>SKINNSKATTEBERG</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43073-2024</t>
        </is>
      </c>
      <c r="B1755" s="1" t="n">
        <v>45567</v>
      </c>
      <c r="C1755" s="1" t="n">
        <v>45998</v>
      </c>
      <c r="D1755" t="inlineStr">
        <is>
          <t>VÄSTMANLANDS LÄN</t>
        </is>
      </c>
      <c r="E1755" t="inlineStr">
        <is>
          <t>NORBERG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14590-2025</t>
        </is>
      </c>
      <c r="B1756" s="1" t="n">
        <v>45742.33019675926</v>
      </c>
      <c r="C1756" s="1" t="n">
        <v>45998</v>
      </c>
      <c r="D1756" t="inlineStr">
        <is>
          <t>VÄSTMANLANDS LÄN</t>
        </is>
      </c>
      <c r="E1756" t="inlineStr">
        <is>
          <t>FAGERSTA</t>
        </is>
      </c>
      <c r="F1756" t="inlineStr">
        <is>
          <t>Kommuner</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9238-2025</t>
        </is>
      </c>
      <c r="B1757" s="1" t="n">
        <v>45714</v>
      </c>
      <c r="C1757" s="1" t="n">
        <v>45998</v>
      </c>
      <c r="D1757" t="inlineStr">
        <is>
          <t>VÄSTMANLANDS LÄN</t>
        </is>
      </c>
      <c r="E1757" t="inlineStr">
        <is>
          <t>ARBOGA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61262-2024</t>
        </is>
      </c>
      <c r="B1758" s="1" t="n">
        <v>45645</v>
      </c>
      <c r="C1758" s="1" t="n">
        <v>45998</v>
      </c>
      <c r="D1758" t="inlineStr">
        <is>
          <t>VÄSTMANLANDS LÄN</t>
        </is>
      </c>
      <c r="E1758" t="inlineStr">
        <is>
          <t>KUNGSÖR</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61264-2024</t>
        </is>
      </c>
      <c r="B1759" s="1" t="n">
        <v>45645</v>
      </c>
      <c r="C1759" s="1" t="n">
        <v>45998</v>
      </c>
      <c r="D1759" t="inlineStr">
        <is>
          <t>VÄSTMANLANDS LÄN</t>
        </is>
      </c>
      <c r="E1759" t="inlineStr">
        <is>
          <t>KUNGSÖR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27657-2023</t>
        </is>
      </c>
      <c r="B1760" s="1" t="n">
        <v>45097.76631944445</v>
      </c>
      <c r="C1760" s="1" t="n">
        <v>45998</v>
      </c>
      <c r="D1760" t="inlineStr">
        <is>
          <t>VÄSTMANLANDS LÄN</t>
        </is>
      </c>
      <c r="E1760" t="inlineStr">
        <is>
          <t>SALA</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2766-2024</t>
        </is>
      </c>
      <c r="B1761" s="1" t="n">
        <v>45314.60950231482</v>
      </c>
      <c r="C1761" s="1" t="n">
        <v>45998</v>
      </c>
      <c r="D1761" t="inlineStr">
        <is>
          <t>VÄSTMANLANDS LÄN</t>
        </is>
      </c>
      <c r="E1761" t="inlineStr">
        <is>
          <t>SALA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1555-2024</t>
        </is>
      </c>
      <c r="B1762" s="1" t="n">
        <v>45306</v>
      </c>
      <c r="C1762" s="1" t="n">
        <v>45998</v>
      </c>
      <c r="D1762" t="inlineStr">
        <is>
          <t>VÄSTMANLANDS LÄN</t>
        </is>
      </c>
      <c r="E1762" t="inlineStr">
        <is>
          <t>SALA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13188-2025</t>
        </is>
      </c>
      <c r="B1763" s="1" t="n">
        <v>45735.39246527778</v>
      </c>
      <c r="C1763" s="1" t="n">
        <v>45998</v>
      </c>
      <c r="D1763" t="inlineStr">
        <is>
          <t>VÄSTMANLANDS LÄN</t>
        </is>
      </c>
      <c r="E1763" t="inlineStr">
        <is>
          <t>SALA</t>
        </is>
      </c>
      <c r="F1763" t="inlineStr">
        <is>
          <t>Naturvårdsverket</t>
        </is>
      </c>
      <c r="G1763" t="n">
        <v>18.4</v>
      </c>
      <c r="H1763" t="n">
        <v>0</v>
      </c>
      <c r="I1763" t="n">
        <v>0</v>
      </c>
      <c r="J1763" t="n">
        <v>0</v>
      </c>
      <c r="K1763" t="n">
        <v>0</v>
      </c>
      <c r="L1763" t="n">
        <v>0</v>
      </c>
      <c r="M1763" t="n">
        <v>0</v>
      </c>
      <c r="N1763" t="n">
        <v>0</v>
      </c>
      <c r="O1763" t="n">
        <v>0</v>
      </c>
      <c r="P1763" t="n">
        <v>0</v>
      </c>
      <c r="Q1763" t="n">
        <v>0</v>
      </c>
      <c r="R1763" s="2" t="inlineStr"/>
    </row>
    <row r="1764" ht="15" customHeight="1">
      <c r="A1764" t="inlineStr">
        <is>
          <t>A 60550-2024</t>
        </is>
      </c>
      <c r="B1764" s="1" t="n">
        <v>45643</v>
      </c>
      <c r="C1764" s="1" t="n">
        <v>45998</v>
      </c>
      <c r="D1764" t="inlineStr">
        <is>
          <t>VÄSTMANLANDS LÄN</t>
        </is>
      </c>
      <c r="E1764" t="inlineStr">
        <is>
          <t>SALA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2608-2025</t>
        </is>
      </c>
      <c r="B1765" s="1" t="n">
        <v>45674</v>
      </c>
      <c r="C1765" s="1" t="n">
        <v>45998</v>
      </c>
      <c r="D1765" t="inlineStr">
        <is>
          <t>VÄSTMANLANDS LÄN</t>
        </is>
      </c>
      <c r="E1765" t="inlineStr">
        <is>
          <t>KÖPING</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14690-2025</t>
        </is>
      </c>
      <c r="B1766" s="1" t="n">
        <v>45742.58212962963</v>
      </c>
      <c r="C1766" s="1" t="n">
        <v>45998</v>
      </c>
      <c r="D1766" t="inlineStr">
        <is>
          <t>VÄSTMANLANDS LÄN</t>
        </is>
      </c>
      <c r="E1766" t="inlineStr">
        <is>
          <t>SALA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51407-2023</t>
        </is>
      </c>
      <c r="B1767" s="1" t="n">
        <v>45219.69122685185</v>
      </c>
      <c r="C1767" s="1" t="n">
        <v>45998</v>
      </c>
      <c r="D1767" t="inlineStr">
        <is>
          <t>VÄSTMANLANDS LÄN</t>
        </is>
      </c>
      <c r="E1767" t="inlineStr">
        <is>
          <t>KÖPING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26556-2022</t>
        </is>
      </c>
      <c r="B1768" s="1" t="n">
        <v>44739.47778935185</v>
      </c>
      <c r="C1768" s="1" t="n">
        <v>45998</v>
      </c>
      <c r="D1768" t="inlineStr">
        <is>
          <t>VÄSTMANLANDS LÄN</t>
        </is>
      </c>
      <c r="E1768" t="inlineStr">
        <is>
          <t>VÄSTERÅS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26568-2022</t>
        </is>
      </c>
      <c r="B1769" s="1" t="n">
        <v>44739</v>
      </c>
      <c r="C1769" s="1" t="n">
        <v>45998</v>
      </c>
      <c r="D1769" t="inlineStr">
        <is>
          <t>VÄSTMANLANDS LÄN</t>
        </is>
      </c>
      <c r="E1769" t="inlineStr">
        <is>
          <t>VÄSTERÅS</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58616-2024</t>
        </is>
      </c>
      <c r="B1770" s="1" t="n">
        <v>45632</v>
      </c>
      <c r="C1770" s="1" t="n">
        <v>45998</v>
      </c>
      <c r="D1770" t="inlineStr">
        <is>
          <t>VÄSTMANLANDS LÄN</t>
        </is>
      </c>
      <c r="E1770" t="inlineStr">
        <is>
          <t>NORBERG</t>
        </is>
      </c>
      <c r="F1770" t="inlineStr">
        <is>
          <t>Bergvik skog väst AB</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24175-2024</t>
        </is>
      </c>
      <c r="B1771" s="1" t="n">
        <v>45456</v>
      </c>
      <c r="C1771" s="1" t="n">
        <v>45998</v>
      </c>
      <c r="D1771" t="inlineStr">
        <is>
          <t>VÄSTMANLANDS LÄN</t>
        </is>
      </c>
      <c r="E1771" t="inlineStr">
        <is>
          <t>SALA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19075-2022</t>
        </is>
      </c>
      <c r="B1772" s="1" t="n">
        <v>44691</v>
      </c>
      <c r="C1772" s="1" t="n">
        <v>45998</v>
      </c>
      <c r="D1772" t="inlineStr">
        <is>
          <t>VÄSTMANLANDS LÄN</t>
        </is>
      </c>
      <c r="E1772" t="inlineStr">
        <is>
          <t>NORBERG</t>
        </is>
      </c>
      <c r="F1772" t="inlineStr">
        <is>
          <t>Övriga Aktiebolag</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22439-2024</t>
        </is>
      </c>
      <c r="B1773" s="1" t="n">
        <v>45446</v>
      </c>
      <c r="C1773" s="1" t="n">
        <v>45998</v>
      </c>
      <c r="D1773" t="inlineStr">
        <is>
          <t>VÄSTMANLANDS LÄN</t>
        </is>
      </c>
      <c r="E1773" t="inlineStr">
        <is>
          <t>ARBOGA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2867-2024</t>
        </is>
      </c>
      <c r="B1774" s="1" t="n">
        <v>45315</v>
      </c>
      <c r="C1774" s="1" t="n">
        <v>45998</v>
      </c>
      <c r="D1774" t="inlineStr">
        <is>
          <t>VÄSTMANLANDS LÄN</t>
        </is>
      </c>
      <c r="E1774" t="inlineStr">
        <is>
          <t>SURAHAMMAR</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37011-2023</t>
        </is>
      </c>
      <c r="B1775" s="1" t="n">
        <v>45155</v>
      </c>
      <c r="C1775" s="1" t="n">
        <v>45998</v>
      </c>
      <c r="D1775" t="inlineStr">
        <is>
          <t>VÄSTMANLANDS LÄN</t>
        </is>
      </c>
      <c r="E1775" t="inlineStr">
        <is>
          <t>NORBERG</t>
        </is>
      </c>
      <c r="F1775" t="inlineStr">
        <is>
          <t>Övriga Aktiebolag</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12110-2025</t>
        </is>
      </c>
      <c r="B1776" s="1" t="n">
        <v>45729.3569212963</v>
      </c>
      <c r="C1776" s="1" t="n">
        <v>45998</v>
      </c>
      <c r="D1776" t="inlineStr">
        <is>
          <t>VÄSTMANLANDS LÄN</t>
        </is>
      </c>
      <c r="E1776" t="inlineStr">
        <is>
          <t>NORBERG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44814-2023</t>
        </is>
      </c>
      <c r="B1777" s="1" t="n">
        <v>45190</v>
      </c>
      <c r="C1777" s="1" t="n">
        <v>45998</v>
      </c>
      <c r="D1777" t="inlineStr">
        <is>
          <t>VÄSTMANLANDS LÄN</t>
        </is>
      </c>
      <c r="E1777" t="inlineStr">
        <is>
          <t>KÖPING</t>
        </is>
      </c>
      <c r="G1777" t="n">
        <v>24.2</v>
      </c>
      <c r="H1777" t="n">
        <v>0</v>
      </c>
      <c r="I1777" t="n">
        <v>0</v>
      </c>
      <c r="J1777" t="n">
        <v>0</v>
      </c>
      <c r="K1777" t="n">
        <v>0</v>
      </c>
      <c r="L1777" t="n">
        <v>0</v>
      </c>
      <c r="M1777" t="n">
        <v>0</v>
      </c>
      <c r="N1777" t="n">
        <v>0</v>
      </c>
      <c r="O1777" t="n">
        <v>0</v>
      </c>
      <c r="P1777" t="n">
        <v>0</v>
      </c>
      <c r="Q1777" t="n">
        <v>0</v>
      </c>
      <c r="R1777" s="2" t="inlineStr"/>
    </row>
    <row r="1778" ht="15" customHeight="1">
      <c r="A1778" t="inlineStr">
        <is>
          <t>A 62449-2023</t>
        </is>
      </c>
      <c r="B1778" s="1" t="n">
        <v>45268.49008101852</v>
      </c>
      <c r="C1778" s="1" t="n">
        <v>45998</v>
      </c>
      <c r="D1778" t="inlineStr">
        <is>
          <t>VÄSTMANLANDS LÄN</t>
        </is>
      </c>
      <c r="E1778" t="inlineStr">
        <is>
          <t>SALA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64202-2023</t>
        </is>
      </c>
      <c r="B1779" s="1" t="n">
        <v>45279.7046412037</v>
      </c>
      <c r="C1779" s="1" t="n">
        <v>45998</v>
      </c>
      <c r="D1779" t="inlineStr">
        <is>
          <t>VÄSTMANLANDS LÄN</t>
        </is>
      </c>
      <c r="E1779" t="inlineStr">
        <is>
          <t>VÄSTERÅS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54910-2023</t>
        </is>
      </c>
      <c r="B1780" s="1" t="n">
        <v>45229</v>
      </c>
      <c r="C1780" s="1" t="n">
        <v>45998</v>
      </c>
      <c r="D1780" t="inlineStr">
        <is>
          <t>VÄSTMANLANDS LÄN</t>
        </is>
      </c>
      <c r="E1780" t="inlineStr">
        <is>
          <t>SALA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7197-2025</t>
        </is>
      </c>
      <c r="B1781" s="1" t="n">
        <v>45702</v>
      </c>
      <c r="C1781" s="1" t="n">
        <v>45998</v>
      </c>
      <c r="D1781" t="inlineStr">
        <is>
          <t>VÄSTMANLANDS LÄN</t>
        </is>
      </c>
      <c r="E1781" t="inlineStr">
        <is>
          <t>SALA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32868-2024</t>
        </is>
      </c>
      <c r="B1782" s="1" t="n">
        <v>45516.65678240741</v>
      </c>
      <c r="C1782" s="1" t="n">
        <v>45998</v>
      </c>
      <c r="D1782" t="inlineStr">
        <is>
          <t>VÄSTMANLANDS LÄN</t>
        </is>
      </c>
      <c r="E1782" t="inlineStr">
        <is>
          <t>VÄSTERÅS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17838-2025</t>
        </is>
      </c>
      <c r="B1783" s="1" t="n">
        <v>45758.58688657408</v>
      </c>
      <c r="C1783" s="1" t="n">
        <v>45998</v>
      </c>
      <c r="D1783" t="inlineStr">
        <is>
          <t>VÄSTMANLANDS LÄN</t>
        </is>
      </c>
      <c r="E1783" t="inlineStr">
        <is>
          <t>SKINNSKATTEBERG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15350-2023</t>
        </is>
      </c>
      <c r="B1784" s="1" t="n">
        <v>45019</v>
      </c>
      <c r="C1784" s="1" t="n">
        <v>45998</v>
      </c>
      <c r="D1784" t="inlineStr">
        <is>
          <t>VÄSTMANLANDS LÄN</t>
        </is>
      </c>
      <c r="E1784" t="inlineStr">
        <is>
          <t>VÄSTERÅS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10582-2024</t>
        </is>
      </c>
      <c r="B1785" s="1" t="n">
        <v>45366.67637731481</v>
      </c>
      <c r="C1785" s="1" t="n">
        <v>45998</v>
      </c>
      <c r="D1785" t="inlineStr">
        <is>
          <t>VÄSTMANLANDS LÄN</t>
        </is>
      </c>
      <c r="E1785" t="inlineStr">
        <is>
          <t>KÖPING</t>
        </is>
      </c>
      <c r="F1785" t="inlineStr">
        <is>
          <t>Sveaskog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43411-2024</t>
        </is>
      </c>
      <c r="B1786" s="1" t="n">
        <v>45568.62128472222</v>
      </c>
      <c r="C1786" s="1" t="n">
        <v>45998</v>
      </c>
      <c r="D1786" t="inlineStr">
        <is>
          <t>VÄSTMANLANDS LÄN</t>
        </is>
      </c>
      <c r="E1786" t="inlineStr">
        <is>
          <t>SKINNSKATTEBERG</t>
        </is>
      </c>
      <c r="F1786" t="inlineStr">
        <is>
          <t>Sveaskog</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64793-2023</t>
        </is>
      </c>
      <c r="B1787" s="1" t="n">
        <v>45282.36827546296</v>
      </c>
      <c r="C1787" s="1" t="n">
        <v>45998</v>
      </c>
      <c r="D1787" t="inlineStr">
        <is>
          <t>VÄSTMANLANDS LÄN</t>
        </is>
      </c>
      <c r="E1787" t="inlineStr">
        <is>
          <t>VÄSTERÅS</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15050-2025</t>
        </is>
      </c>
      <c r="B1788" s="1" t="n">
        <v>45743</v>
      </c>
      <c r="C1788" s="1" t="n">
        <v>45998</v>
      </c>
      <c r="D1788" t="inlineStr">
        <is>
          <t>VÄSTMANLANDS LÄN</t>
        </is>
      </c>
      <c r="E1788" t="inlineStr">
        <is>
          <t>VÄSTERÅS</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15099-2025</t>
        </is>
      </c>
      <c r="B1789" s="1" t="n">
        <v>45744.3434837963</v>
      </c>
      <c r="C1789" s="1" t="n">
        <v>45998</v>
      </c>
      <c r="D1789" t="inlineStr">
        <is>
          <t>VÄSTMANLANDS LÄN</t>
        </is>
      </c>
      <c r="E1789" t="inlineStr">
        <is>
          <t>SALA</t>
        </is>
      </c>
      <c r="F1789" t="inlineStr">
        <is>
          <t>Sveaskog</t>
        </is>
      </c>
      <c r="G1789" t="n">
        <v>14.4</v>
      </c>
      <c r="H1789" t="n">
        <v>0</v>
      </c>
      <c r="I1789" t="n">
        <v>0</v>
      </c>
      <c r="J1789" t="n">
        <v>0</v>
      </c>
      <c r="K1789" t="n">
        <v>0</v>
      </c>
      <c r="L1789" t="n">
        <v>0</v>
      </c>
      <c r="M1789" t="n">
        <v>0</v>
      </c>
      <c r="N1789" t="n">
        <v>0</v>
      </c>
      <c r="O1789" t="n">
        <v>0</v>
      </c>
      <c r="P1789" t="n">
        <v>0</v>
      </c>
      <c r="Q1789" t="n">
        <v>0</v>
      </c>
      <c r="R1789" s="2" t="inlineStr"/>
    </row>
    <row r="1790" ht="15" customHeight="1">
      <c r="A1790" t="inlineStr">
        <is>
          <t>A 5363-2025</t>
        </is>
      </c>
      <c r="B1790" s="1" t="n">
        <v>45692</v>
      </c>
      <c r="C1790" s="1" t="n">
        <v>45998</v>
      </c>
      <c r="D1790" t="inlineStr">
        <is>
          <t>VÄSTMANLANDS LÄN</t>
        </is>
      </c>
      <c r="E1790" t="inlineStr">
        <is>
          <t>VÄSTERÅS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11583-2025</t>
        </is>
      </c>
      <c r="B1791" s="1" t="n">
        <v>45727</v>
      </c>
      <c r="C1791" s="1" t="n">
        <v>45998</v>
      </c>
      <c r="D1791" t="inlineStr">
        <is>
          <t>VÄSTMANLANDS LÄN</t>
        </is>
      </c>
      <c r="E1791" t="inlineStr">
        <is>
          <t>FAGERSTA</t>
        </is>
      </c>
      <c r="F1791" t="inlineStr">
        <is>
          <t>Kommuner</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19213-2025</t>
        </is>
      </c>
      <c r="B1792" s="1" t="n">
        <v>45769.43887731482</v>
      </c>
      <c r="C1792" s="1" t="n">
        <v>45998</v>
      </c>
      <c r="D1792" t="inlineStr">
        <is>
          <t>VÄSTMANLANDS LÄN</t>
        </is>
      </c>
      <c r="E1792" t="inlineStr">
        <is>
          <t>FAGERSTA</t>
        </is>
      </c>
      <c r="F1792" t="inlineStr">
        <is>
          <t>Övriga Aktiebolag</t>
        </is>
      </c>
      <c r="G1792" t="n">
        <v>14.6</v>
      </c>
      <c r="H1792" t="n">
        <v>0</v>
      </c>
      <c r="I1792" t="n">
        <v>0</v>
      </c>
      <c r="J1792" t="n">
        <v>0</v>
      </c>
      <c r="K1792" t="n">
        <v>0</v>
      </c>
      <c r="L1792" t="n">
        <v>0</v>
      </c>
      <c r="M1792" t="n">
        <v>0</v>
      </c>
      <c r="N1792" t="n">
        <v>0</v>
      </c>
      <c r="O1792" t="n">
        <v>0</v>
      </c>
      <c r="P1792" t="n">
        <v>0</v>
      </c>
      <c r="Q1792" t="n">
        <v>0</v>
      </c>
      <c r="R1792" s="2" t="inlineStr"/>
    </row>
    <row r="1793" ht="15" customHeight="1">
      <c r="A1793" t="inlineStr">
        <is>
          <t>A 19222-2025</t>
        </is>
      </c>
      <c r="B1793" s="1" t="n">
        <v>45769</v>
      </c>
      <c r="C1793" s="1" t="n">
        <v>45998</v>
      </c>
      <c r="D1793" t="inlineStr">
        <is>
          <t>VÄSTMANLANDS LÄN</t>
        </is>
      </c>
      <c r="E1793" t="inlineStr">
        <is>
          <t>SALA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19241-2025</t>
        </is>
      </c>
      <c r="B1794" s="1" t="n">
        <v>45769</v>
      </c>
      <c r="C1794" s="1" t="n">
        <v>45998</v>
      </c>
      <c r="D1794" t="inlineStr">
        <is>
          <t>VÄSTMANLANDS LÄN</t>
        </is>
      </c>
      <c r="E1794" t="inlineStr">
        <is>
          <t>SALA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12913-2025</t>
        </is>
      </c>
      <c r="B1795" s="1" t="n">
        <v>45733.83596064815</v>
      </c>
      <c r="C1795" s="1" t="n">
        <v>45998</v>
      </c>
      <c r="D1795" t="inlineStr">
        <is>
          <t>VÄSTMANLANDS LÄN</t>
        </is>
      </c>
      <c r="E1795" t="inlineStr">
        <is>
          <t>FAGERSTA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12888-2024</t>
        </is>
      </c>
      <c r="B1796" s="1" t="n">
        <v>45385</v>
      </c>
      <c r="C1796" s="1" t="n">
        <v>45998</v>
      </c>
      <c r="D1796" t="inlineStr">
        <is>
          <t>VÄSTMANLANDS LÄN</t>
        </is>
      </c>
      <c r="E1796" t="inlineStr">
        <is>
          <t>SKINNSKATTEBERG</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2928-2024</t>
        </is>
      </c>
      <c r="B1797" s="1" t="n">
        <v>45315.59041666667</v>
      </c>
      <c r="C1797" s="1" t="n">
        <v>45998</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43807-2024</t>
        </is>
      </c>
      <c r="B1798" s="1" t="n">
        <v>45571</v>
      </c>
      <c r="C1798" s="1" t="n">
        <v>45998</v>
      </c>
      <c r="D1798" t="inlineStr">
        <is>
          <t>VÄSTMANLANDS LÄN</t>
        </is>
      </c>
      <c r="E1798" t="inlineStr">
        <is>
          <t>SKINNSKATTEBERG</t>
        </is>
      </c>
      <c r="F1798" t="inlineStr">
        <is>
          <t>Sveaskog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22881-2024</t>
        </is>
      </c>
      <c r="B1799" s="1" t="n">
        <v>45448.66190972222</v>
      </c>
      <c r="C1799" s="1" t="n">
        <v>45998</v>
      </c>
      <c r="D1799" t="inlineStr">
        <is>
          <t>VÄSTMANLANDS LÄN</t>
        </is>
      </c>
      <c r="E1799" t="inlineStr">
        <is>
          <t>KÖPING</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14237-2025</t>
        </is>
      </c>
      <c r="B1800" s="1" t="n">
        <v>45740.60653935185</v>
      </c>
      <c r="C1800" s="1" t="n">
        <v>45998</v>
      </c>
      <c r="D1800" t="inlineStr">
        <is>
          <t>VÄSTMANLANDS LÄN</t>
        </is>
      </c>
      <c r="E1800" t="inlineStr">
        <is>
          <t>SKINNSKATTEBERG</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16547-2025</t>
        </is>
      </c>
      <c r="B1801" s="1" t="n">
        <v>45751.68385416667</v>
      </c>
      <c r="C1801" s="1" t="n">
        <v>45998</v>
      </c>
      <c r="D1801" t="inlineStr">
        <is>
          <t>VÄSTMANLANDS LÄN</t>
        </is>
      </c>
      <c r="E1801" t="inlineStr">
        <is>
          <t>FAGERSTA</t>
        </is>
      </c>
      <c r="F1801" t="inlineStr">
        <is>
          <t>Sveaskog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3354-2025</t>
        </is>
      </c>
      <c r="B1802" s="1" t="n">
        <v>45679</v>
      </c>
      <c r="C1802" s="1" t="n">
        <v>45998</v>
      </c>
      <c r="D1802" t="inlineStr">
        <is>
          <t>VÄSTMANLANDS LÄN</t>
        </is>
      </c>
      <c r="E1802" t="inlineStr">
        <is>
          <t>NORBERG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9103-2025</t>
        </is>
      </c>
      <c r="B1803" s="1" t="n">
        <v>45713.69668981482</v>
      </c>
      <c r="C1803" s="1" t="n">
        <v>45998</v>
      </c>
      <c r="D1803" t="inlineStr">
        <is>
          <t>VÄSTMANLANDS LÄN</t>
        </is>
      </c>
      <c r="E1803" t="inlineStr">
        <is>
          <t>VÄSTERÅS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51147-2023</t>
        </is>
      </c>
      <c r="B1804" s="1" t="n">
        <v>45219.3633912037</v>
      </c>
      <c r="C1804" s="1" t="n">
        <v>45998</v>
      </c>
      <c r="D1804" t="inlineStr">
        <is>
          <t>VÄSTMANLANDS LÄN</t>
        </is>
      </c>
      <c r="E1804" t="inlineStr">
        <is>
          <t>VÄSTERÅS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2660-2024</t>
        </is>
      </c>
      <c r="B1805" s="1" t="n">
        <v>45310</v>
      </c>
      <c r="C1805" s="1" t="n">
        <v>45998</v>
      </c>
      <c r="D1805" t="inlineStr">
        <is>
          <t>VÄSTMANLANDS LÄN</t>
        </is>
      </c>
      <c r="E1805" t="inlineStr">
        <is>
          <t>SURAHAMMAR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60046-2022</t>
        </is>
      </c>
      <c r="B1806" s="1" t="n">
        <v>44909.51736111111</v>
      </c>
      <c r="C1806" s="1" t="n">
        <v>45998</v>
      </c>
      <c r="D1806" t="inlineStr">
        <is>
          <t>VÄSTMANLANDS LÄN</t>
        </is>
      </c>
      <c r="E1806" t="inlineStr">
        <is>
          <t>ARBOGA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47029-2024</t>
        </is>
      </c>
      <c r="B1807" s="1" t="n">
        <v>45586.42438657407</v>
      </c>
      <c r="C1807" s="1" t="n">
        <v>45998</v>
      </c>
      <c r="D1807" t="inlineStr">
        <is>
          <t>VÄSTMANLANDS LÄN</t>
        </is>
      </c>
      <c r="E1807" t="inlineStr">
        <is>
          <t>NORBERG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26416-2023</t>
        </is>
      </c>
      <c r="B1808" s="1" t="n">
        <v>45092.38087962963</v>
      </c>
      <c r="C1808" s="1" t="n">
        <v>45998</v>
      </c>
      <c r="D1808" t="inlineStr">
        <is>
          <t>VÄSTMANLANDS LÄN</t>
        </is>
      </c>
      <c r="E1808" t="inlineStr">
        <is>
          <t>SALA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40546-2023</t>
        </is>
      </c>
      <c r="B1809" s="1" t="n">
        <v>45170.44954861111</v>
      </c>
      <c r="C1809" s="1" t="n">
        <v>45998</v>
      </c>
      <c r="D1809" t="inlineStr">
        <is>
          <t>VÄSTMANLANDS LÄN</t>
        </is>
      </c>
      <c r="E1809" t="inlineStr">
        <is>
          <t>SKINNSKATTEBERG</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9962-2025</t>
        </is>
      </c>
      <c r="B1810" s="1" t="n">
        <v>45719.37072916667</v>
      </c>
      <c r="C1810" s="1" t="n">
        <v>45998</v>
      </c>
      <c r="D1810" t="inlineStr">
        <is>
          <t>VÄSTMANLANDS LÄN</t>
        </is>
      </c>
      <c r="E1810" t="inlineStr">
        <is>
          <t>SALA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26692-2023</t>
        </is>
      </c>
      <c r="B1811" s="1" t="n">
        <v>45093.360625</v>
      </c>
      <c r="C1811" s="1" t="n">
        <v>45998</v>
      </c>
      <c r="D1811" t="inlineStr">
        <is>
          <t>VÄSTMANLANDS LÄN</t>
        </is>
      </c>
      <c r="E1811" t="inlineStr">
        <is>
          <t>SALA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42379-2021</t>
        </is>
      </c>
      <c r="B1812" s="1" t="n">
        <v>44427</v>
      </c>
      <c r="C1812" s="1" t="n">
        <v>45998</v>
      </c>
      <c r="D1812" t="inlineStr">
        <is>
          <t>VÄSTMANLANDS LÄN</t>
        </is>
      </c>
      <c r="E1812" t="inlineStr">
        <is>
          <t>ARBOGA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59536-2024</t>
        </is>
      </c>
      <c r="B1813" s="1" t="n">
        <v>45638</v>
      </c>
      <c r="C1813" s="1" t="n">
        <v>45998</v>
      </c>
      <c r="D1813" t="inlineStr">
        <is>
          <t>VÄSTMANLANDS LÄN</t>
        </is>
      </c>
      <c r="E1813" t="inlineStr">
        <is>
          <t>VÄSTERÅS</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13043-2025</t>
        </is>
      </c>
      <c r="B1814" s="1" t="n">
        <v>45734</v>
      </c>
      <c r="C1814" s="1" t="n">
        <v>45998</v>
      </c>
      <c r="D1814" t="inlineStr">
        <is>
          <t>VÄSTMANLANDS LÄN</t>
        </is>
      </c>
      <c r="E1814" t="inlineStr">
        <is>
          <t>KÖPING</t>
        </is>
      </c>
      <c r="F1814" t="inlineStr">
        <is>
          <t>Sveaskog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13047-2025</t>
        </is>
      </c>
      <c r="B1815" s="1" t="n">
        <v>45734.59141203704</v>
      </c>
      <c r="C1815" s="1" t="n">
        <v>45998</v>
      </c>
      <c r="D1815" t="inlineStr">
        <is>
          <t>VÄSTMANLANDS LÄN</t>
        </is>
      </c>
      <c r="E1815" t="inlineStr">
        <is>
          <t>KÖPING</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15681-2025</t>
        </is>
      </c>
      <c r="B1816" s="1" t="n">
        <v>45748.45454861111</v>
      </c>
      <c r="C1816" s="1" t="n">
        <v>45998</v>
      </c>
      <c r="D1816" t="inlineStr">
        <is>
          <t>VÄSTMANLANDS LÄN</t>
        </is>
      </c>
      <c r="E1816" t="inlineStr">
        <is>
          <t>SALA</t>
        </is>
      </c>
      <c r="F1816" t="inlineStr">
        <is>
          <t>Bergvik skog öst AB</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27329-2023</t>
        </is>
      </c>
      <c r="B1817" s="1" t="n">
        <v>45096.67586805556</v>
      </c>
      <c r="C1817" s="1" t="n">
        <v>45998</v>
      </c>
      <c r="D1817" t="inlineStr">
        <is>
          <t>VÄSTMANLANDS LÄN</t>
        </is>
      </c>
      <c r="E1817" t="inlineStr">
        <is>
          <t>SKINNSKATTEBERG</t>
        </is>
      </c>
      <c r="F1817" t="inlineStr">
        <is>
          <t>Sveaskog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49763-2024</t>
        </is>
      </c>
      <c r="B1818" s="1" t="n">
        <v>45597</v>
      </c>
      <c r="C1818" s="1" t="n">
        <v>45998</v>
      </c>
      <c r="D1818" t="inlineStr">
        <is>
          <t>VÄSTMANLANDS LÄN</t>
        </is>
      </c>
      <c r="E1818" t="inlineStr">
        <is>
          <t>NORBERG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1611-2024</t>
        </is>
      </c>
      <c r="B1819" s="1" t="n">
        <v>45306.62385416667</v>
      </c>
      <c r="C1819" s="1" t="n">
        <v>45998</v>
      </c>
      <c r="D1819" t="inlineStr">
        <is>
          <t>VÄSTMANLANDS LÄN</t>
        </is>
      </c>
      <c r="E1819" t="inlineStr">
        <is>
          <t>SKINNSKATTEBERG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36187-2024</t>
        </is>
      </c>
      <c r="B1820" s="1" t="n">
        <v>45534</v>
      </c>
      <c r="C1820" s="1" t="n">
        <v>45998</v>
      </c>
      <c r="D1820" t="inlineStr">
        <is>
          <t>VÄSTMANLANDS LÄN</t>
        </is>
      </c>
      <c r="E1820" t="inlineStr">
        <is>
          <t>ARBOGA</t>
        </is>
      </c>
      <c r="F1820" t="inlineStr">
        <is>
          <t>Sveaskog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1619-2024</t>
        </is>
      </c>
      <c r="B1821" s="1" t="n">
        <v>45306.63797453704</v>
      </c>
      <c r="C1821" s="1" t="n">
        <v>45998</v>
      </c>
      <c r="D1821" t="inlineStr">
        <is>
          <t>VÄSTMANLANDS LÄN</t>
        </is>
      </c>
      <c r="E1821" t="inlineStr">
        <is>
          <t>SKINNSKATTEBERG</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1620-2024</t>
        </is>
      </c>
      <c r="B1822" s="1" t="n">
        <v>45306.64103009259</v>
      </c>
      <c r="C1822" s="1" t="n">
        <v>45998</v>
      </c>
      <c r="D1822" t="inlineStr">
        <is>
          <t>VÄSTMANLANDS LÄN</t>
        </is>
      </c>
      <c r="E1822" t="inlineStr">
        <is>
          <t>SKINNSKATTEBERG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35715-2025</t>
        </is>
      </c>
      <c r="B1823" s="1" t="n">
        <v>45860.42148148148</v>
      </c>
      <c r="C1823" s="1" t="n">
        <v>45998</v>
      </c>
      <c r="D1823" t="inlineStr">
        <is>
          <t>VÄSTMANLANDS LÄN</t>
        </is>
      </c>
      <c r="E1823" t="inlineStr">
        <is>
          <t>SALA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35651-2025</t>
        </is>
      </c>
      <c r="B1824" s="1" t="n">
        <v>45859.52435185185</v>
      </c>
      <c r="C1824" s="1" t="n">
        <v>45998</v>
      </c>
      <c r="D1824" t="inlineStr">
        <is>
          <t>VÄSTMANLANDS LÄN</t>
        </is>
      </c>
      <c r="E1824" t="inlineStr">
        <is>
          <t>SALA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35775-2025</t>
        </is>
      </c>
      <c r="B1825" s="1" t="n">
        <v>45860</v>
      </c>
      <c r="C1825" s="1" t="n">
        <v>45998</v>
      </c>
      <c r="D1825" t="inlineStr">
        <is>
          <t>VÄSTMANLANDS LÄN</t>
        </is>
      </c>
      <c r="E1825" t="inlineStr">
        <is>
          <t>SALA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35774-2025</t>
        </is>
      </c>
      <c r="B1826" s="1" t="n">
        <v>45860.68780092592</v>
      </c>
      <c r="C1826" s="1" t="n">
        <v>45998</v>
      </c>
      <c r="D1826" t="inlineStr">
        <is>
          <t>VÄSTMANLANDS LÄN</t>
        </is>
      </c>
      <c r="E1826" t="inlineStr">
        <is>
          <t>SALA</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14024-2025</t>
        </is>
      </c>
      <c r="B1827" s="1" t="n">
        <v>45740.34650462963</v>
      </c>
      <c r="C1827" s="1" t="n">
        <v>45998</v>
      </c>
      <c r="D1827" t="inlineStr">
        <is>
          <t>VÄSTMANLANDS LÄN</t>
        </is>
      </c>
      <c r="E1827" t="inlineStr">
        <is>
          <t>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35776-2025</t>
        </is>
      </c>
      <c r="B1828" s="1" t="n">
        <v>45860.69211805556</v>
      </c>
      <c r="C1828" s="1" t="n">
        <v>45998</v>
      </c>
      <c r="D1828" t="inlineStr">
        <is>
          <t>VÄSTMANLANDS LÄN</t>
        </is>
      </c>
      <c r="E1828" t="inlineStr">
        <is>
          <t>SALA</t>
        </is>
      </c>
      <c r="G1828" t="n">
        <v>14.2</v>
      </c>
      <c r="H1828" t="n">
        <v>0</v>
      </c>
      <c r="I1828" t="n">
        <v>0</v>
      </c>
      <c r="J1828" t="n">
        <v>0</v>
      </c>
      <c r="K1828" t="n">
        <v>0</v>
      </c>
      <c r="L1828" t="n">
        <v>0</v>
      </c>
      <c r="M1828" t="n">
        <v>0</v>
      </c>
      <c r="N1828" t="n">
        <v>0</v>
      </c>
      <c r="O1828" t="n">
        <v>0</v>
      </c>
      <c r="P1828" t="n">
        <v>0</v>
      </c>
      <c r="Q1828" t="n">
        <v>0</v>
      </c>
      <c r="R1828" s="2" t="inlineStr"/>
    </row>
    <row r="1829" ht="15" customHeight="1">
      <c r="A1829" t="inlineStr">
        <is>
          <t>A 35779-2025</t>
        </is>
      </c>
      <c r="B1829" s="1" t="n">
        <v>45860.69495370371</v>
      </c>
      <c r="C1829" s="1" t="n">
        <v>45998</v>
      </c>
      <c r="D1829" t="inlineStr">
        <is>
          <t>VÄSTMANLANDS LÄN</t>
        </is>
      </c>
      <c r="E1829" t="inlineStr">
        <is>
          <t>SALA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30139-2025</t>
        </is>
      </c>
      <c r="B1830" s="1" t="n">
        <v>45826</v>
      </c>
      <c r="C1830" s="1" t="n">
        <v>45998</v>
      </c>
      <c r="D1830" t="inlineStr">
        <is>
          <t>VÄSTMANLANDS LÄN</t>
        </is>
      </c>
      <c r="E1830" t="inlineStr">
        <is>
          <t>KÖPING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35788-2025</t>
        </is>
      </c>
      <c r="B1831" s="1" t="n">
        <v>45860</v>
      </c>
      <c r="C1831" s="1" t="n">
        <v>45998</v>
      </c>
      <c r="D1831" t="inlineStr">
        <is>
          <t>VÄSTMANLANDS LÄN</t>
        </is>
      </c>
      <c r="E1831" t="inlineStr">
        <is>
          <t>VÄSTERÅS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51412-2023</t>
        </is>
      </c>
      <c r="B1832" s="1" t="n">
        <v>45219.71002314815</v>
      </c>
      <c r="C1832" s="1" t="n">
        <v>45998</v>
      </c>
      <c r="D1832" t="inlineStr">
        <is>
          <t>VÄSTMANLANDS LÄN</t>
        </is>
      </c>
      <c r="E1832" t="inlineStr">
        <is>
          <t>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3551-2024</t>
        </is>
      </c>
      <c r="B1833" s="1" t="n">
        <v>45320.61099537037</v>
      </c>
      <c r="C1833" s="1" t="n">
        <v>45998</v>
      </c>
      <c r="D1833" t="inlineStr">
        <is>
          <t>VÄSTMANLANDS LÄN</t>
        </is>
      </c>
      <c r="E1833" t="inlineStr">
        <is>
          <t>SALA</t>
        </is>
      </c>
      <c r="F1833" t="inlineStr">
        <is>
          <t>Kommuner</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18131-2025</t>
        </is>
      </c>
      <c r="B1834" s="1" t="n">
        <v>45761.60011574074</v>
      </c>
      <c r="C1834" s="1" t="n">
        <v>45998</v>
      </c>
      <c r="D1834" t="inlineStr">
        <is>
          <t>VÄSTMANLANDS LÄN</t>
        </is>
      </c>
      <c r="E1834" t="inlineStr">
        <is>
          <t>VÄSTERÅS</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55210-2023</t>
        </is>
      </c>
      <c r="B1835" s="1" t="n">
        <v>45237.59635416666</v>
      </c>
      <c r="C1835" s="1" t="n">
        <v>45998</v>
      </c>
      <c r="D1835" t="inlineStr">
        <is>
          <t>VÄSTMANLANDS LÄN</t>
        </is>
      </c>
      <c r="E1835" t="inlineStr">
        <is>
          <t>SKINNSKATTEBERG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36049-2025</t>
        </is>
      </c>
      <c r="B1836" s="1" t="n">
        <v>45866.37065972222</v>
      </c>
      <c r="C1836" s="1" t="n">
        <v>45998</v>
      </c>
      <c r="D1836" t="inlineStr">
        <is>
          <t>VÄSTMANLANDS LÄN</t>
        </is>
      </c>
      <c r="E1836" t="inlineStr">
        <is>
          <t>SALA</t>
        </is>
      </c>
      <c r="F1836" t="inlineStr">
        <is>
          <t>Kommuner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36031-2025</t>
        </is>
      </c>
      <c r="B1837" s="1" t="n">
        <v>45865.46111111111</v>
      </c>
      <c r="C1837" s="1" t="n">
        <v>45998</v>
      </c>
      <c r="D1837" t="inlineStr">
        <is>
          <t>VÄSTMANLANDS LÄN</t>
        </is>
      </c>
      <c r="E1837" t="inlineStr">
        <is>
          <t>SALA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36060-2025</t>
        </is>
      </c>
      <c r="B1838" s="1" t="n">
        <v>45866.39469907407</v>
      </c>
      <c r="C1838" s="1" t="n">
        <v>45998</v>
      </c>
      <c r="D1838" t="inlineStr">
        <is>
          <t>VÄSTMANLANDS LÄN</t>
        </is>
      </c>
      <c r="E1838" t="inlineStr">
        <is>
          <t>SALA</t>
        </is>
      </c>
      <c r="F1838" t="inlineStr">
        <is>
          <t>Kommuner</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36032-2025</t>
        </is>
      </c>
      <c r="B1839" s="1" t="n">
        <v>45865.48740740741</v>
      </c>
      <c r="C1839" s="1" t="n">
        <v>45998</v>
      </c>
      <c r="D1839" t="inlineStr">
        <is>
          <t>VÄSTMANLANDS LÄN</t>
        </is>
      </c>
      <c r="E1839" t="inlineStr">
        <is>
          <t>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36043-2025</t>
        </is>
      </c>
      <c r="B1840" s="1" t="n">
        <v>45866.35333333333</v>
      </c>
      <c r="C1840" s="1" t="n">
        <v>45998</v>
      </c>
      <c r="D1840" t="inlineStr">
        <is>
          <t>VÄSTMANLANDS LÄN</t>
        </is>
      </c>
      <c r="E1840" t="inlineStr">
        <is>
          <t>SALA</t>
        </is>
      </c>
      <c r="F1840" t="inlineStr">
        <is>
          <t>Kommuner</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36045-2025</t>
        </is>
      </c>
      <c r="B1841" s="1" t="n">
        <v>45866.36200231482</v>
      </c>
      <c r="C1841" s="1" t="n">
        <v>45998</v>
      </c>
      <c r="D1841" t="inlineStr">
        <is>
          <t>VÄSTMANLANDS LÄN</t>
        </is>
      </c>
      <c r="E1841" t="inlineStr">
        <is>
          <t>SALA</t>
        </is>
      </c>
      <c r="F1841" t="inlineStr">
        <is>
          <t>Kommuner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263-2021</t>
        </is>
      </c>
      <c r="B1842" s="1" t="n">
        <v>44200</v>
      </c>
      <c r="C1842" s="1" t="n">
        <v>45998</v>
      </c>
      <c r="D1842" t="inlineStr">
        <is>
          <t>VÄSTMANLANDS LÄN</t>
        </is>
      </c>
      <c r="E1842" t="inlineStr">
        <is>
          <t>KÖPING</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34387-2025</t>
        </is>
      </c>
      <c r="B1843" s="1" t="n">
        <v>45846</v>
      </c>
      <c r="C1843" s="1" t="n">
        <v>45998</v>
      </c>
      <c r="D1843" t="inlineStr">
        <is>
          <t>VÄSTMANLANDS LÄN</t>
        </is>
      </c>
      <c r="E1843" t="inlineStr">
        <is>
          <t>NORBERG</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43804-2024</t>
        </is>
      </c>
      <c r="B1844" s="1" t="n">
        <v>45571.72634259259</v>
      </c>
      <c r="C1844" s="1" t="n">
        <v>45998</v>
      </c>
      <c r="D1844" t="inlineStr">
        <is>
          <t>VÄSTMANLANDS LÄN</t>
        </is>
      </c>
      <c r="E1844" t="inlineStr">
        <is>
          <t>SKINNSKATTEBERG</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22118-2025</t>
        </is>
      </c>
      <c r="B1845" s="1" t="n">
        <v>45785.51457175926</v>
      </c>
      <c r="C1845" s="1" t="n">
        <v>45998</v>
      </c>
      <c r="D1845" t="inlineStr">
        <is>
          <t>VÄSTMANLANDS LÄN</t>
        </is>
      </c>
      <c r="E1845" t="inlineStr">
        <is>
          <t>FAGERSTA</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17985-2025</t>
        </is>
      </c>
      <c r="B1846" s="1" t="n">
        <v>45761</v>
      </c>
      <c r="C1846" s="1" t="n">
        <v>45998</v>
      </c>
      <c r="D1846" t="inlineStr">
        <is>
          <t>VÄSTMANLANDS LÄN</t>
        </is>
      </c>
      <c r="E1846" t="inlineStr">
        <is>
          <t>SALA</t>
        </is>
      </c>
      <c r="G1846" t="n">
        <v>12.5</v>
      </c>
      <c r="H1846" t="n">
        <v>0</v>
      </c>
      <c r="I1846" t="n">
        <v>0</v>
      </c>
      <c r="J1846" t="n">
        <v>0</v>
      </c>
      <c r="K1846" t="n">
        <v>0</v>
      </c>
      <c r="L1846" t="n">
        <v>0</v>
      </c>
      <c r="M1846" t="n">
        <v>0</v>
      </c>
      <c r="N1846" t="n">
        <v>0</v>
      </c>
      <c r="O1846" t="n">
        <v>0</v>
      </c>
      <c r="P1846" t="n">
        <v>0</v>
      </c>
      <c r="Q1846" t="n">
        <v>0</v>
      </c>
      <c r="R1846" s="2" t="inlineStr"/>
    </row>
    <row r="1847" ht="15" customHeight="1">
      <c r="A1847" t="inlineStr">
        <is>
          <t>A 31869-2025</t>
        </is>
      </c>
      <c r="B1847" s="1" t="n">
        <v>45834.64555555556</v>
      </c>
      <c r="C1847" s="1" t="n">
        <v>45998</v>
      </c>
      <c r="D1847" t="inlineStr">
        <is>
          <t>VÄSTMANLANDS LÄN</t>
        </is>
      </c>
      <c r="E1847" t="inlineStr">
        <is>
          <t>SALA</t>
        </is>
      </c>
      <c r="G1847" t="n">
        <v>17.5</v>
      </c>
      <c r="H1847" t="n">
        <v>0</v>
      </c>
      <c r="I1847" t="n">
        <v>0</v>
      </c>
      <c r="J1847" t="n">
        <v>0</v>
      </c>
      <c r="K1847" t="n">
        <v>0</v>
      </c>
      <c r="L1847" t="n">
        <v>0</v>
      </c>
      <c r="M1847" t="n">
        <v>0</v>
      </c>
      <c r="N1847" t="n">
        <v>0</v>
      </c>
      <c r="O1847" t="n">
        <v>0</v>
      </c>
      <c r="P1847" t="n">
        <v>0</v>
      </c>
      <c r="Q1847" t="n">
        <v>0</v>
      </c>
      <c r="R1847" s="2" t="inlineStr"/>
    </row>
    <row r="1848" ht="15" customHeight="1">
      <c r="A1848" t="inlineStr">
        <is>
          <t>A 59615-2021</t>
        </is>
      </c>
      <c r="B1848" s="1" t="n">
        <v>44491.70662037037</v>
      </c>
      <c r="C1848" s="1" t="n">
        <v>45998</v>
      </c>
      <c r="D1848" t="inlineStr">
        <is>
          <t>VÄSTMANLANDS LÄN</t>
        </is>
      </c>
      <c r="E1848" t="inlineStr">
        <is>
          <t>KUNGSÖR</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31863-2025</t>
        </is>
      </c>
      <c r="B1849" s="1" t="n">
        <v>45834.63303240741</v>
      </c>
      <c r="C1849" s="1" t="n">
        <v>45998</v>
      </c>
      <c r="D1849" t="inlineStr">
        <is>
          <t>VÄSTMANLANDS LÄN</t>
        </is>
      </c>
      <c r="E1849" t="inlineStr">
        <is>
          <t>SALA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17766-2025</t>
        </is>
      </c>
      <c r="B1850" s="1" t="n">
        <v>45758</v>
      </c>
      <c r="C1850" s="1" t="n">
        <v>45998</v>
      </c>
      <c r="D1850" t="inlineStr">
        <is>
          <t>VÄSTMANLANDS LÄN</t>
        </is>
      </c>
      <c r="E1850" t="inlineStr">
        <is>
          <t>SALA</t>
        </is>
      </c>
      <c r="G1850" t="n">
        <v>16.5</v>
      </c>
      <c r="H1850" t="n">
        <v>0</v>
      </c>
      <c r="I1850" t="n">
        <v>0</v>
      </c>
      <c r="J1850" t="n">
        <v>0</v>
      </c>
      <c r="K1850" t="n">
        <v>0</v>
      </c>
      <c r="L1850" t="n">
        <v>0</v>
      </c>
      <c r="M1850" t="n">
        <v>0</v>
      </c>
      <c r="N1850" t="n">
        <v>0</v>
      </c>
      <c r="O1850" t="n">
        <v>0</v>
      </c>
      <c r="P1850" t="n">
        <v>0</v>
      </c>
      <c r="Q1850" t="n">
        <v>0</v>
      </c>
      <c r="R1850" s="2" t="inlineStr"/>
    </row>
    <row r="1851" ht="15" customHeight="1">
      <c r="A1851" t="inlineStr">
        <is>
          <t>A 7664-2023</t>
        </is>
      </c>
      <c r="B1851" s="1" t="n">
        <v>44972</v>
      </c>
      <c r="C1851" s="1" t="n">
        <v>45998</v>
      </c>
      <c r="D1851" t="inlineStr">
        <is>
          <t>VÄSTMANLANDS LÄN</t>
        </is>
      </c>
      <c r="E1851" t="inlineStr">
        <is>
          <t>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3546-2025</t>
        </is>
      </c>
      <c r="B1852" s="1" t="n">
        <v>45680</v>
      </c>
      <c r="C1852" s="1" t="n">
        <v>45998</v>
      </c>
      <c r="D1852" t="inlineStr">
        <is>
          <t>VÄSTMANLANDS LÄN</t>
        </is>
      </c>
      <c r="E1852" t="inlineStr">
        <is>
          <t>SALA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3818-2022</t>
        </is>
      </c>
      <c r="B1853" s="1" t="n">
        <v>44587</v>
      </c>
      <c r="C1853" s="1" t="n">
        <v>45998</v>
      </c>
      <c r="D1853" t="inlineStr">
        <is>
          <t>VÄSTMANLANDS LÄN</t>
        </is>
      </c>
      <c r="E1853" t="inlineStr">
        <is>
          <t>SURAHAMMAR</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32861-2024</t>
        </is>
      </c>
      <c r="B1854" s="1" t="n">
        <v>45516.64833333333</v>
      </c>
      <c r="C1854" s="1" t="n">
        <v>45998</v>
      </c>
      <c r="D1854" t="inlineStr">
        <is>
          <t>VÄSTMANLANDS LÄN</t>
        </is>
      </c>
      <c r="E1854" t="inlineStr">
        <is>
          <t>VÄSTERÅS</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36731-2025</t>
        </is>
      </c>
      <c r="B1855" s="1" t="n">
        <v>45873.50177083333</v>
      </c>
      <c r="C1855" s="1" t="n">
        <v>45998</v>
      </c>
      <c r="D1855" t="inlineStr">
        <is>
          <t>VÄSTMANLANDS LÄN</t>
        </is>
      </c>
      <c r="E1855" t="inlineStr">
        <is>
          <t>SKINNSKATTEBERG</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22117-2025</t>
        </is>
      </c>
      <c r="B1856" s="1" t="n">
        <v>45785.51381944444</v>
      </c>
      <c r="C1856" s="1" t="n">
        <v>45998</v>
      </c>
      <c r="D1856" t="inlineStr">
        <is>
          <t>VÄSTMANLANDS LÄN</t>
        </is>
      </c>
      <c r="E1856" t="inlineStr">
        <is>
          <t>FAGERSTA</t>
        </is>
      </c>
      <c r="F1856" t="inlineStr">
        <is>
          <t>Sveaskog</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50409-2024</t>
        </is>
      </c>
      <c r="B1857" s="1" t="n">
        <v>45601.36454861111</v>
      </c>
      <c r="C1857" s="1" t="n">
        <v>45998</v>
      </c>
      <c r="D1857" t="inlineStr">
        <is>
          <t>VÄSTMANLANDS LÄN</t>
        </is>
      </c>
      <c r="E1857" t="inlineStr">
        <is>
          <t>KÖPING</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16653-2025</t>
        </is>
      </c>
      <c r="B1858" s="1" t="n">
        <v>45754.3925</v>
      </c>
      <c r="C1858" s="1" t="n">
        <v>45998</v>
      </c>
      <c r="D1858" t="inlineStr">
        <is>
          <t>VÄSTMANLANDS LÄN</t>
        </is>
      </c>
      <c r="E1858" t="inlineStr">
        <is>
          <t>SKINNSKATTEBERG</t>
        </is>
      </c>
      <c r="F1858" t="inlineStr">
        <is>
          <t>Sveaskog</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36817-2025</t>
        </is>
      </c>
      <c r="B1859" s="1" t="n">
        <v>45873.77577546296</v>
      </c>
      <c r="C1859" s="1" t="n">
        <v>45998</v>
      </c>
      <c r="D1859" t="inlineStr">
        <is>
          <t>VÄSTMANLANDS LÄN</t>
        </is>
      </c>
      <c r="E1859" t="inlineStr">
        <is>
          <t>SKINNSKATTEBERG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13654-2024</t>
        </is>
      </c>
      <c r="B1860" s="1" t="n">
        <v>45390.4814699074</v>
      </c>
      <c r="C1860" s="1" t="n">
        <v>45998</v>
      </c>
      <c r="D1860" t="inlineStr">
        <is>
          <t>VÄSTMANLANDS LÄN</t>
        </is>
      </c>
      <c r="E1860" t="inlineStr">
        <is>
          <t>NORBERG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20378-2023</t>
        </is>
      </c>
      <c r="B1861" s="1" t="n">
        <v>45056</v>
      </c>
      <c r="C1861" s="1" t="n">
        <v>45998</v>
      </c>
      <c r="D1861" t="inlineStr">
        <is>
          <t>VÄSTMANLANDS LÄN</t>
        </is>
      </c>
      <c r="E1861" t="inlineStr">
        <is>
          <t>NORBERG</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2064-2025</t>
        </is>
      </c>
      <c r="B1862" s="1" t="n">
        <v>45672.56321759259</v>
      </c>
      <c r="C1862" s="1" t="n">
        <v>45998</v>
      </c>
      <c r="D1862" t="inlineStr">
        <is>
          <t>VÄSTMANLANDS LÄN</t>
        </is>
      </c>
      <c r="E1862" t="inlineStr">
        <is>
          <t>KÖPING</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60545-2024</t>
        </is>
      </c>
      <c r="B1863" s="1" t="n">
        <v>45643</v>
      </c>
      <c r="C1863" s="1" t="n">
        <v>45998</v>
      </c>
      <c r="D1863" t="inlineStr">
        <is>
          <t>VÄSTMANLANDS LÄN</t>
        </is>
      </c>
      <c r="E1863" t="inlineStr">
        <is>
          <t>SALA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60547-2024</t>
        </is>
      </c>
      <c r="B1864" s="1" t="n">
        <v>45643</v>
      </c>
      <c r="C1864" s="1" t="n">
        <v>45998</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7176-2023</t>
        </is>
      </c>
      <c r="B1865" s="1" t="n">
        <v>44970</v>
      </c>
      <c r="C1865" s="1" t="n">
        <v>45998</v>
      </c>
      <c r="D1865" t="inlineStr">
        <is>
          <t>VÄSTMANLANDS LÄN</t>
        </is>
      </c>
      <c r="E1865" t="inlineStr">
        <is>
          <t>SALA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36786-2025</t>
        </is>
      </c>
      <c r="B1866" s="1" t="n">
        <v>45873.63013888889</v>
      </c>
      <c r="C1866" s="1" t="n">
        <v>45998</v>
      </c>
      <c r="D1866" t="inlineStr">
        <is>
          <t>VÄSTMANLANDS LÄN</t>
        </is>
      </c>
      <c r="E1866" t="inlineStr">
        <is>
          <t>SKINNSKATTEBERG</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15965-2024</t>
        </is>
      </c>
      <c r="B1867" s="1" t="n">
        <v>45405.55740740741</v>
      </c>
      <c r="C1867" s="1" t="n">
        <v>45998</v>
      </c>
      <c r="D1867" t="inlineStr">
        <is>
          <t>VÄSTMANLANDS LÄN</t>
        </is>
      </c>
      <c r="E1867" t="inlineStr">
        <is>
          <t>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37022-2025</t>
        </is>
      </c>
      <c r="B1868" s="1" t="n">
        <v>45874</v>
      </c>
      <c r="C1868" s="1" t="n">
        <v>45998</v>
      </c>
      <c r="D1868" t="inlineStr">
        <is>
          <t>VÄSTMANLANDS LÄN</t>
        </is>
      </c>
      <c r="E1868" t="inlineStr">
        <is>
          <t>VÄSTERÅS</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22590-2025</t>
        </is>
      </c>
      <c r="B1869" s="1" t="n">
        <v>45789</v>
      </c>
      <c r="C1869" s="1" t="n">
        <v>45998</v>
      </c>
      <c r="D1869" t="inlineStr">
        <is>
          <t>VÄSTMANLANDS LÄN</t>
        </is>
      </c>
      <c r="E1869" t="inlineStr">
        <is>
          <t>FAGERSTA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37013-2025</t>
        </is>
      </c>
      <c r="B1870" s="1" t="n">
        <v>45874</v>
      </c>
      <c r="C1870" s="1" t="n">
        <v>45998</v>
      </c>
      <c r="D1870" t="inlineStr">
        <is>
          <t>VÄSTMANLANDS LÄN</t>
        </is>
      </c>
      <c r="E1870" t="inlineStr">
        <is>
          <t>SURAHAMMAR</t>
        </is>
      </c>
      <c r="F1870" t="inlineStr">
        <is>
          <t>Bergvik skog väst AB</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16088-2024</t>
        </is>
      </c>
      <c r="B1871" s="1" t="n">
        <v>45406</v>
      </c>
      <c r="C1871" s="1" t="n">
        <v>45998</v>
      </c>
      <c r="D1871" t="inlineStr">
        <is>
          <t>VÄSTMANLANDS LÄN</t>
        </is>
      </c>
      <c r="E1871" t="inlineStr">
        <is>
          <t>SKINNSKATTEBERG</t>
        </is>
      </c>
      <c r="F1871" t="inlineStr">
        <is>
          <t>Sveaskog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73673-2021</t>
        </is>
      </c>
      <c r="B1872" s="1" t="n">
        <v>44552.46501157407</v>
      </c>
      <c r="C1872" s="1" t="n">
        <v>45998</v>
      </c>
      <c r="D1872" t="inlineStr">
        <is>
          <t>VÄSTMANLANDS LÄN</t>
        </is>
      </c>
      <c r="E1872" t="inlineStr">
        <is>
          <t>SALA</t>
        </is>
      </c>
      <c r="G1872" t="n">
        <v>11.4</v>
      </c>
      <c r="H1872" t="n">
        <v>0</v>
      </c>
      <c r="I1872" t="n">
        <v>0</v>
      </c>
      <c r="J1872" t="n">
        <v>0</v>
      </c>
      <c r="K1872" t="n">
        <v>0</v>
      </c>
      <c r="L1872" t="n">
        <v>0</v>
      </c>
      <c r="M1872" t="n">
        <v>0</v>
      </c>
      <c r="N1872" t="n">
        <v>0</v>
      </c>
      <c r="O1872" t="n">
        <v>0</v>
      </c>
      <c r="P1872" t="n">
        <v>0</v>
      </c>
      <c r="Q1872" t="n">
        <v>0</v>
      </c>
      <c r="R1872" s="2" t="inlineStr"/>
    </row>
    <row r="1873" ht="15" customHeight="1">
      <c r="A1873" t="inlineStr">
        <is>
          <t>A 59143-2022</t>
        </is>
      </c>
      <c r="B1873" s="1" t="n">
        <v>44904.45761574074</v>
      </c>
      <c r="C1873" s="1" t="n">
        <v>45998</v>
      </c>
      <c r="D1873" t="inlineStr">
        <is>
          <t>VÄSTMANLANDS LÄN</t>
        </is>
      </c>
      <c r="E1873" t="inlineStr">
        <is>
          <t>VÄSTERÅS</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1196-2023</t>
        </is>
      </c>
      <c r="B1874" s="1" t="n">
        <v>44935.82290509259</v>
      </c>
      <c r="C1874" s="1" t="n">
        <v>45998</v>
      </c>
      <c r="D1874" t="inlineStr">
        <is>
          <t>VÄSTMANLANDS LÄN</t>
        </is>
      </c>
      <c r="E1874" t="inlineStr">
        <is>
          <t>SALA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38574-2025</t>
        </is>
      </c>
      <c r="B1875" s="1" t="n">
        <v>45884.46390046296</v>
      </c>
      <c r="C1875" s="1" t="n">
        <v>45998</v>
      </c>
      <c r="D1875" t="inlineStr">
        <is>
          <t>VÄSTMANLANDS LÄN</t>
        </is>
      </c>
      <c r="E1875" t="inlineStr">
        <is>
          <t>SALA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59853-2022</t>
        </is>
      </c>
      <c r="B1876" s="1" t="n">
        <v>44908</v>
      </c>
      <c r="C1876" s="1" t="n">
        <v>45998</v>
      </c>
      <c r="D1876" t="inlineStr">
        <is>
          <t>VÄSTMANLANDS LÄN</t>
        </is>
      </c>
      <c r="E1876" t="inlineStr">
        <is>
          <t>KUNGSÖR</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40179-2024</t>
        </is>
      </c>
      <c r="B1877" s="1" t="n">
        <v>45554.55842592593</v>
      </c>
      <c r="C1877" s="1" t="n">
        <v>45998</v>
      </c>
      <c r="D1877" t="inlineStr">
        <is>
          <t>VÄSTMANLANDS LÄN</t>
        </is>
      </c>
      <c r="E1877" t="inlineStr">
        <is>
          <t>SKINNSKATTEBERG</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40232-2024</t>
        </is>
      </c>
      <c r="B1878" s="1" t="n">
        <v>45554</v>
      </c>
      <c r="C1878" s="1" t="n">
        <v>45998</v>
      </c>
      <c r="D1878" t="inlineStr">
        <is>
          <t>VÄSTMANLANDS LÄN</t>
        </is>
      </c>
      <c r="E1878" t="inlineStr">
        <is>
          <t>NORBERG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22624-2025</t>
        </is>
      </c>
      <c r="B1879" s="1" t="n">
        <v>45789.43327546296</v>
      </c>
      <c r="C1879" s="1" t="n">
        <v>45998</v>
      </c>
      <c r="D1879" t="inlineStr">
        <is>
          <t>VÄSTMANLANDS LÄN</t>
        </is>
      </c>
      <c r="E1879" t="inlineStr">
        <is>
          <t>SALA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16651-2021</t>
        </is>
      </c>
      <c r="B1880" s="1" t="n">
        <v>44294.50096064815</v>
      </c>
      <c r="C1880" s="1" t="n">
        <v>45998</v>
      </c>
      <c r="D1880" t="inlineStr">
        <is>
          <t>VÄSTMANLANDS LÄN</t>
        </is>
      </c>
      <c r="E1880" t="inlineStr">
        <is>
          <t>SALA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60736-2024</t>
        </is>
      </c>
      <c r="B1881" s="1" t="n">
        <v>45644</v>
      </c>
      <c r="C1881" s="1" t="n">
        <v>45998</v>
      </c>
      <c r="D1881" t="inlineStr">
        <is>
          <t>VÄSTMANLANDS LÄN</t>
        </is>
      </c>
      <c r="E1881" t="inlineStr">
        <is>
          <t>KUNGSÖR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60797-2022</t>
        </is>
      </c>
      <c r="B1882" s="1" t="n">
        <v>44914.43560185185</v>
      </c>
      <c r="C1882" s="1" t="n">
        <v>45998</v>
      </c>
      <c r="D1882" t="inlineStr">
        <is>
          <t>VÄSTMANLANDS LÄN</t>
        </is>
      </c>
      <c r="E1882" t="inlineStr">
        <is>
          <t>VÄSTERÅS</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38294-2025</t>
        </is>
      </c>
      <c r="B1883" s="1" t="n">
        <v>45883.44854166666</v>
      </c>
      <c r="C1883" s="1" t="n">
        <v>45998</v>
      </c>
      <c r="D1883" t="inlineStr">
        <is>
          <t>VÄSTMANLANDS LÄN</t>
        </is>
      </c>
      <c r="E1883" t="inlineStr">
        <is>
          <t>SALA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40990-2024</t>
        </is>
      </c>
      <c r="B1884" s="1" t="n">
        <v>45558</v>
      </c>
      <c r="C1884" s="1" t="n">
        <v>45998</v>
      </c>
      <c r="D1884" t="inlineStr">
        <is>
          <t>VÄSTMANLANDS LÄN</t>
        </is>
      </c>
      <c r="E1884" t="inlineStr">
        <is>
          <t>KÖPING</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22627-2025</t>
        </is>
      </c>
      <c r="B1885" s="1" t="n">
        <v>45789.43600694444</v>
      </c>
      <c r="C1885" s="1" t="n">
        <v>45998</v>
      </c>
      <c r="D1885" t="inlineStr">
        <is>
          <t>VÄSTMANLANDS LÄN</t>
        </is>
      </c>
      <c r="E1885" t="inlineStr">
        <is>
          <t>NORBERG</t>
        </is>
      </c>
      <c r="F1885" t="inlineStr">
        <is>
          <t>Bergvik skog väst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50407-2023</t>
        </is>
      </c>
      <c r="B1886" s="1" t="n">
        <v>45216.65878472223</v>
      </c>
      <c r="C1886" s="1" t="n">
        <v>45998</v>
      </c>
      <c r="D1886" t="inlineStr">
        <is>
          <t>VÄSTMANLANDS LÄN</t>
        </is>
      </c>
      <c r="E1886" t="inlineStr">
        <is>
          <t>SKINNSKATTEBERG</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22301-2025</t>
        </is>
      </c>
      <c r="B1887" s="1" t="n">
        <v>45786.3565162037</v>
      </c>
      <c r="C1887" s="1" t="n">
        <v>45998</v>
      </c>
      <c r="D1887" t="inlineStr">
        <is>
          <t>VÄSTMANLANDS LÄN</t>
        </is>
      </c>
      <c r="E1887" t="inlineStr">
        <is>
          <t>SKINNSKATTEBERG</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21679-2024</t>
        </is>
      </c>
      <c r="B1888" s="1" t="n">
        <v>45442</v>
      </c>
      <c r="C1888" s="1" t="n">
        <v>45998</v>
      </c>
      <c r="D1888" t="inlineStr">
        <is>
          <t>VÄSTMANLANDS LÄN</t>
        </is>
      </c>
      <c r="E1888" t="inlineStr">
        <is>
          <t>FAGERSTA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40823-2024</t>
        </is>
      </c>
      <c r="B1889" s="1" t="n">
        <v>45558.55979166667</v>
      </c>
      <c r="C1889" s="1" t="n">
        <v>45998</v>
      </c>
      <c r="D1889" t="inlineStr">
        <is>
          <t>VÄSTMANLANDS LÄN</t>
        </is>
      </c>
      <c r="E1889" t="inlineStr">
        <is>
          <t>KÖPING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37017-2025</t>
        </is>
      </c>
      <c r="B1890" s="1" t="n">
        <v>45874</v>
      </c>
      <c r="C1890" s="1" t="n">
        <v>45998</v>
      </c>
      <c r="D1890" t="inlineStr">
        <is>
          <t>VÄSTMANLANDS LÄN</t>
        </is>
      </c>
      <c r="E1890" t="inlineStr">
        <is>
          <t>SALA</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36726-2025</t>
        </is>
      </c>
      <c r="B1891" s="1" t="n">
        <v>45873</v>
      </c>
      <c r="C1891" s="1" t="n">
        <v>45998</v>
      </c>
      <c r="D1891" t="inlineStr">
        <is>
          <t>VÄSTMANLANDS LÄN</t>
        </is>
      </c>
      <c r="E1891" t="inlineStr">
        <is>
          <t>KÖPING</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31405-2024</t>
        </is>
      </c>
      <c r="B1892" s="1" t="n">
        <v>45505.5490625</v>
      </c>
      <c r="C1892" s="1" t="n">
        <v>45998</v>
      </c>
      <c r="D1892" t="inlineStr">
        <is>
          <t>VÄSTMANLANDS LÄN</t>
        </is>
      </c>
      <c r="E1892" t="inlineStr">
        <is>
          <t>SALA</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37072-2025</t>
        </is>
      </c>
      <c r="B1893" s="1" t="n">
        <v>45875.40431712963</v>
      </c>
      <c r="C1893" s="1" t="n">
        <v>45998</v>
      </c>
      <c r="D1893" t="inlineStr">
        <is>
          <t>VÄSTMANLANDS LÄN</t>
        </is>
      </c>
      <c r="E1893" t="inlineStr">
        <is>
          <t>HALLSTAHAMMAR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22735-2025</t>
        </is>
      </c>
      <c r="B1894" s="1" t="n">
        <v>45789</v>
      </c>
      <c r="C1894" s="1" t="n">
        <v>45998</v>
      </c>
      <c r="D1894" t="inlineStr">
        <is>
          <t>VÄSTMANLANDS LÄN</t>
        </is>
      </c>
      <c r="E1894" t="inlineStr">
        <is>
          <t>ARBOGA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38783-2024</t>
        </is>
      </c>
      <c r="B1895" s="1" t="n">
        <v>45547.47407407407</v>
      </c>
      <c r="C1895" s="1" t="n">
        <v>45998</v>
      </c>
      <c r="D1895" t="inlineStr">
        <is>
          <t>VÄSTMANLANDS LÄN</t>
        </is>
      </c>
      <c r="E1895" t="inlineStr">
        <is>
          <t>SKINNSKATTEBERG</t>
        </is>
      </c>
      <c r="F1895" t="inlineStr">
        <is>
          <t>Sveaskog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37103-2025</t>
        </is>
      </c>
      <c r="B1896" s="1" t="n">
        <v>45875.47743055555</v>
      </c>
      <c r="C1896" s="1" t="n">
        <v>45998</v>
      </c>
      <c r="D1896" t="inlineStr">
        <is>
          <t>VÄSTMANLANDS LÄN</t>
        </is>
      </c>
      <c r="E1896" t="inlineStr">
        <is>
          <t>SALA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22738-2025</t>
        </is>
      </c>
      <c r="B1897" s="1" t="n">
        <v>45789.59186342593</v>
      </c>
      <c r="C1897" s="1" t="n">
        <v>45998</v>
      </c>
      <c r="D1897" t="inlineStr">
        <is>
          <t>VÄSTMANLANDS LÄN</t>
        </is>
      </c>
      <c r="E1897" t="inlineStr">
        <is>
          <t>ARBOGA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1700-2023</t>
        </is>
      </c>
      <c r="B1898" s="1" t="n">
        <v>44936</v>
      </c>
      <c r="C1898" s="1" t="n">
        <v>45998</v>
      </c>
      <c r="D1898" t="inlineStr">
        <is>
          <t>VÄSTMANLANDS LÄN</t>
        </is>
      </c>
      <c r="E1898" t="inlineStr">
        <is>
          <t>VÄSTERÅS</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37246-2025</t>
        </is>
      </c>
      <c r="B1899" s="1" t="n">
        <v>45876.39435185185</v>
      </c>
      <c r="C1899" s="1" t="n">
        <v>45998</v>
      </c>
      <c r="D1899" t="inlineStr">
        <is>
          <t>VÄSTMANLANDS LÄN</t>
        </is>
      </c>
      <c r="E1899" t="inlineStr">
        <is>
          <t>SALA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60894-2022</t>
        </is>
      </c>
      <c r="B1900" s="1" t="n">
        <v>44914</v>
      </c>
      <c r="C1900" s="1" t="n">
        <v>45998</v>
      </c>
      <c r="D1900" t="inlineStr">
        <is>
          <t>VÄSTMANLANDS LÄN</t>
        </is>
      </c>
      <c r="E1900" t="inlineStr">
        <is>
          <t>KÖPING</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22616-2025</t>
        </is>
      </c>
      <c r="B1901" s="1" t="n">
        <v>45789.42752314815</v>
      </c>
      <c r="C1901" s="1" t="n">
        <v>45998</v>
      </c>
      <c r="D1901" t="inlineStr">
        <is>
          <t>VÄSTMANLANDS LÄN</t>
        </is>
      </c>
      <c r="E1901" t="inlineStr">
        <is>
          <t>SALA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43600-2024</t>
        </is>
      </c>
      <c r="B1902" s="1" t="n">
        <v>45569</v>
      </c>
      <c r="C1902" s="1" t="n">
        <v>45998</v>
      </c>
      <c r="D1902" t="inlineStr">
        <is>
          <t>VÄSTMANLANDS LÄN</t>
        </is>
      </c>
      <c r="E1902" t="inlineStr">
        <is>
          <t>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13130-2025</t>
        </is>
      </c>
      <c r="B1903" s="1" t="n">
        <v>45734</v>
      </c>
      <c r="C1903" s="1" t="n">
        <v>45998</v>
      </c>
      <c r="D1903" t="inlineStr">
        <is>
          <t>VÄSTMANLANDS LÄN</t>
        </is>
      </c>
      <c r="E1903" t="inlineStr">
        <is>
          <t>SALA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56704-2024</t>
        </is>
      </c>
      <c r="B1904" s="1" t="n">
        <v>45627.83027777778</v>
      </c>
      <c r="C1904" s="1" t="n">
        <v>45998</v>
      </c>
      <c r="D1904" t="inlineStr">
        <is>
          <t>VÄSTMANLANDS LÄN</t>
        </is>
      </c>
      <c r="E1904" t="inlineStr">
        <is>
          <t>FAGERSTA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62651-2022</t>
        </is>
      </c>
      <c r="B1905" s="1" t="n">
        <v>44917</v>
      </c>
      <c r="C1905" s="1" t="n">
        <v>45998</v>
      </c>
      <c r="D1905" t="inlineStr">
        <is>
          <t>VÄSTMANLANDS LÄN</t>
        </is>
      </c>
      <c r="E1905" t="inlineStr">
        <is>
          <t>SALA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54836-2024</t>
        </is>
      </c>
      <c r="B1906" s="1" t="n">
        <v>45618</v>
      </c>
      <c r="C1906" s="1" t="n">
        <v>45998</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54870-2024</t>
        </is>
      </c>
      <c r="B1907" s="1" t="n">
        <v>45618.59853009259</v>
      </c>
      <c r="C1907" s="1" t="n">
        <v>45998</v>
      </c>
      <c r="D1907" t="inlineStr">
        <is>
          <t>VÄSTMANLANDS LÄN</t>
        </is>
      </c>
      <c r="E1907" t="inlineStr">
        <is>
          <t>KÖPING</t>
        </is>
      </c>
      <c r="F1907" t="inlineStr">
        <is>
          <t>Sveaskog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31629-2024</t>
        </is>
      </c>
      <c r="B1908" s="1" t="n">
        <v>45506.54628472222</v>
      </c>
      <c r="C1908" s="1" t="n">
        <v>45998</v>
      </c>
      <c r="D1908" t="inlineStr">
        <is>
          <t>VÄSTMANLANDS LÄN</t>
        </is>
      </c>
      <c r="E1908" t="inlineStr">
        <is>
          <t>SKINNSKATTEBERG</t>
        </is>
      </c>
      <c r="F1908" t="inlineStr">
        <is>
          <t>Sveaskog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13987-2023</t>
        </is>
      </c>
      <c r="B1909" s="1" t="n">
        <v>45007</v>
      </c>
      <c r="C1909" s="1" t="n">
        <v>45998</v>
      </c>
      <c r="D1909" t="inlineStr">
        <is>
          <t>VÄSTMANLANDS LÄN</t>
        </is>
      </c>
      <c r="E1909" t="inlineStr">
        <is>
          <t>SALA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13990-2023</t>
        </is>
      </c>
      <c r="B1910" s="1" t="n">
        <v>45007</v>
      </c>
      <c r="C1910" s="1" t="n">
        <v>45998</v>
      </c>
      <c r="D1910" t="inlineStr">
        <is>
          <t>VÄSTMANLANDS LÄN</t>
        </is>
      </c>
      <c r="E1910" t="inlineStr">
        <is>
          <t>SALA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37076-2025</t>
        </is>
      </c>
      <c r="B1911" s="1" t="n">
        <v>45875.41342592592</v>
      </c>
      <c r="C1911" s="1" t="n">
        <v>45998</v>
      </c>
      <c r="D1911" t="inlineStr">
        <is>
          <t>VÄSTMANLANDS LÄN</t>
        </is>
      </c>
      <c r="E1911" t="inlineStr">
        <is>
          <t>HALLSTAHAMMAR</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13847-2025</t>
        </is>
      </c>
      <c r="B1912" s="1" t="n">
        <v>45737.56431712963</v>
      </c>
      <c r="C1912" s="1" t="n">
        <v>45998</v>
      </c>
      <c r="D1912" t="inlineStr">
        <is>
          <t>VÄSTMANLANDS LÄN</t>
        </is>
      </c>
      <c r="E1912" t="inlineStr">
        <is>
          <t>KÖPING</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40176-2024</t>
        </is>
      </c>
      <c r="B1913" s="1" t="n">
        <v>45554.55740740741</v>
      </c>
      <c r="C1913" s="1" t="n">
        <v>45998</v>
      </c>
      <c r="D1913" t="inlineStr">
        <is>
          <t>VÄSTMANLANDS LÄN</t>
        </is>
      </c>
      <c r="E1913" t="inlineStr">
        <is>
          <t>SKINNSKATTEBERG</t>
        </is>
      </c>
      <c r="F1913" t="inlineStr">
        <is>
          <t>Sveaskog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51464-2024</t>
        </is>
      </c>
      <c r="B1914" s="1" t="n">
        <v>45604.49768518518</v>
      </c>
      <c r="C1914" s="1" t="n">
        <v>45998</v>
      </c>
      <c r="D1914" t="inlineStr">
        <is>
          <t>VÄSTMANLANDS LÄN</t>
        </is>
      </c>
      <c r="E1914" t="inlineStr">
        <is>
          <t>SALA</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51409-2023</t>
        </is>
      </c>
      <c r="B1915" s="1" t="n">
        <v>45219.69724537037</v>
      </c>
      <c r="C1915" s="1" t="n">
        <v>45998</v>
      </c>
      <c r="D1915" t="inlineStr">
        <is>
          <t>VÄSTMANLANDS LÄN</t>
        </is>
      </c>
      <c r="E1915" t="inlineStr">
        <is>
          <t>KÖPING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17722-2025</t>
        </is>
      </c>
      <c r="B1916" s="1" t="n">
        <v>45758</v>
      </c>
      <c r="C1916" s="1" t="n">
        <v>45998</v>
      </c>
      <c r="D1916" t="inlineStr">
        <is>
          <t>VÄSTMANLANDS LÄN</t>
        </is>
      </c>
      <c r="E1916" t="inlineStr">
        <is>
          <t>SALA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23131-2025</t>
        </is>
      </c>
      <c r="B1917" s="1" t="n">
        <v>45791.38737268518</v>
      </c>
      <c r="C1917" s="1" t="n">
        <v>45998</v>
      </c>
      <c r="D1917" t="inlineStr">
        <is>
          <t>VÄSTMANLANDS LÄN</t>
        </is>
      </c>
      <c r="E1917" t="inlineStr">
        <is>
          <t>SKINNSKATTEBERG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1128-2025</t>
        </is>
      </c>
      <c r="B1918" s="1" t="n">
        <v>45666.68469907407</v>
      </c>
      <c r="C1918" s="1" t="n">
        <v>45998</v>
      </c>
      <c r="D1918" t="inlineStr">
        <is>
          <t>VÄSTMANLANDS LÄN</t>
        </is>
      </c>
      <c r="E1918" t="inlineStr">
        <is>
          <t>SALA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15739-2023</t>
        </is>
      </c>
      <c r="B1919" s="1" t="n">
        <v>45021</v>
      </c>
      <c r="C1919" s="1" t="n">
        <v>45998</v>
      </c>
      <c r="D1919" t="inlineStr">
        <is>
          <t>VÄSTMANLANDS LÄN</t>
        </is>
      </c>
      <c r="E1919" t="inlineStr">
        <is>
          <t>SURAHAMMAR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38302-2025</t>
        </is>
      </c>
      <c r="B1920" s="1" t="n">
        <v>45883.46337962963</v>
      </c>
      <c r="C1920" s="1" t="n">
        <v>45998</v>
      </c>
      <c r="D1920" t="inlineStr">
        <is>
          <t>VÄSTMANLANDS LÄN</t>
        </is>
      </c>
      <c r="E1920" t="inlineStr">
        <is>
          <t>ARBOGA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43176-2023</t>
        </is>
      </c>
      <c r="B1921" s="1" t="n">
        <v>45183</v>
      </c>
      <c r="C1921" s="1" t="n">
        <v>45998</v>
      </c>
      <c r="D1921" t="inlineStr">
        <is>
          <t>VÄSTMANLANDS LÄN</t>
        </is>
      </c>
      <c r="E1921" t="inlineStr">
        <is>
          <t>SALA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6528-2025</t>
        </is>
      </c>
      <c r="B1922" s="1" t="n">
        <v>45699.66982638889</v>
      </c>
      <c r="C1922" s="1" t="n">
        <v>45998</v>
      </c>
      <c r="D1922" t="inlineStr">
        <is>
          <t>VÄSTMANLANDS LÄN</t>
        </is>
      </c>
      <c r="E1922" t="inlineStr">
        <is>
          <t>ARBOGA</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23624-2025</t>
        </is>
      </c>
      <c r="B1923" s="1" t="n">
        <v>45792.6740162037</v>
      </c>
      <c r="C1923" s="1" t="n">
        <v>45998</v>
      </c>
      <c r="D1923" t="inlineStr">
        <is>
          <t>VÄSTMANLANDS LÄN</t>
        </is>
      </c>
      <c r="E1923" t="inlineStr">
        <is>
          <t>SKINNSKATTEBERG</t>
        </is>
      </c>
      <c r="F1923" t="inlineStr">
        <is>
          <t>Sveaskog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16629-2024</t>
        </is>
      </c>
      <c r="B1924" s="1" t="n">
        <v>45408</v>
      </c>
      <c r="C1924" s="1" t="n">
        <v>45998</v>
      </c>
      <c r="D1924" t="inlineStr">
        <is>
          <t>VÄSTMANLANDS LÄN</t>
        </is>
      </c>
      <c r="E1924" t="inlineStr">
        <is>
          <t>NORBERG</t>
        </is>
      </c>
      <c r="F1924" t="inlineStr">
        <is>
          <t>Sveaskog</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37590-2025</t>
        </is>
      </c>
      <c r="B1925" s="1" t="n">
        <v>45880.41138888889</v>
      </c>
      <c r="C1925" s="1" t="n">
        <v>45998</v>
      </c>
      <c r="D1925" t="inlineStr">
        <is>
          <t>VÄSTMANLANDS LÄN</t>
        </is>
      </c>
      <c r="E1925" t="inlineStr">
        <is>
          <t>SALA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37593-2025</t>
        </is>
      </c>
      <c r="B1926" s="1" t="n">
        <v>45880.41325231481</v>
      </c>
      <c r="C1926" s="1" t="n">
        <v>45998</v>
      </c>
      <c r="D1926" t="inlineStr">
        <is>
          <t>VÄSTMANLANDS LÄN</t>
        </is>
      </c>
      <c r="E1926" t="inlineStr">
        <is>
          <t>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37763-2025</t>
        </is>
      </c>
      <c r="B1927" s="1" t="n">
        <v>45880.70201388889</v>
      </c>
      <c r="C1927" s="1" t="n">
        <v>45998</v>
      </c>
      <c r="D1927" t="inlineStr">
        <is>
          <t>VÄSTMANLANDS LÄN</t>
        </is>
      </c>
      <c r="E1927" t="inlineStr">
        <is>
          <t>SKINNSKATTEBERG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39145-2025</t>
        </is>
      </c>
      <c r="B1928" s="1" t="n">
        <v>45888.60222222222</v>
      </c>
      <c r="C1928" s="1" t="n">
        <v>45998</v>
      </c>
      <c r="D1928" t="inlineStr">
        <is>
          <t>VÄSTMANLANDS LÄN</t>
        </is>
      </c>
      <c r="E1928" t="inlineStr">
        <is>
          <t>SKINNSKATTEBERG</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39146-2025</t>
        </is>
      </c>
      <c r="B1929" s="1" t="n">
        <v>45888.60400462963</v>
      </c>
      <c r="C1929" s="1" t="n">
        <v>45998</v>
      </c>
      <c r="D1929" t="inlineStr">
        <is>
          <t>VÄSTMANLANDS LÄN</t>
        </is>
      </c>
      <c r="E1929" t="inlineStr">
        <is>
          <t>SKINNSKATTEBERG</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39182-2025</t>
        </is>
      </c>
      <c r="B1930" s="1" t="n">
        <v>45888.66204861111</v>
      </c>
      <c r="C1930" s="1" t="n">
        <v>45998</v>
      </c>
      <c r="D1930" t="inlineStr">
        <is>
          <t>VÄSTMANLANDS LÄN</t>
        </is>
      </c>
      <c r="E1930" t="inlineStr">
        <is>
          <t>SALA</t>
        </is>
      </c>
      <c r="F1930" t="inlineStr">
        <is>
          <t>Bergvik skog öst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38299-2025</t>
        </is>
      </c>
      <c r="B1931" s="1" t="n">
        <v>45883</v>
      </c>
      <c r="C1931" s="1" t="n">
        <v>45998</v>
      </c>
      <c r="D1931" t="inlineStr">
        <is>
          <t>VÄSTMANLANDS LÄN</t>
        </is>
      </c>
      <c r="E1931" t="inlineStr">
        <is>
          <t>ARBOGA</t>
        </is>
      </c>
      <c r="G1931" t="n">
        <v>9.199999999999999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38018-2025</t>
        </is>
      </c>
      <c r="B1932" s="1" t="n">
        <v>45882.33851851852</v>
      </c>
      <c r="C1932" s="1" t="n">
        <v>45998</v>
      </c>
      <c r="D1932" t="inlineStr">
        <is>
          <t>VÄSTMANLANDS LÄN</t>
        </is>
      </c>
      <c r="E1932" t="inlineStr">
        <is>
          <t>NORBERG</t>
        </is>
      </c>
      <c r="F1932" t="inlineStr">
        <is>
          <t>Övriga Aktiebolag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38019-2025</t>
        </is>
      </c>
      <c r="B1933" s="1" t="n">
        <v>45882.34303240741</v>
      </c>
      <c r="C1933" s="1" t="n">
        <v>45998</v>
      </c>
      <c r="D1933" t="inlineStr">
        <is>
          <t>VÄSTMANLANDS LÄN</t>
        </is>
      </c>
      <c r="E1933" t="inlineStr">
        <is>
          <t>NORBERG</t>
        </is>
      </c>
      <c r="F1933" t="inlineStr">
        <is>
          <t>Övriga Aktiebolag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37969-2025</t>
        </is>
      </c>
      <c r="B1934" s="1" t="n">
        <v>45881.66729166666</v>
      </c>
      <c r="C1934" s="1" t="n">
        <v>45998</v>
      </c>
      <c r="D1934" t="inlineStr">
        <is>
          <t>VÄSTMANLANDS LÄN</t>
        </is>
      </c>
      <c r="E1934" t="inlineStr">
        <is>
          <t>NORBERG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38854-2025</t>
        </is>
      </c>
      <c r="B1935" s="1" t="n">
        <v>45887.55680555556</v>
      </c>
      <c r="C1935" s="1" t="n">
        <v>45998</v>
      </c>
      <c r="D1935" t="inlineStr">
        <is>
          <t>VÄSTMANLANDS LÄN</t>
        </is>
      </c>
      <c r="E1935" t="inlineStr">
        <is>
          <t>KÖPING</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27913-2025</t>
        </is>
      </c>
      <c r="B1936" s="1" t="n">
        <v>45817.47966435185</v>
      </c>
      <c r="C1936" s="1" t="n">
        <v>45998</v>
      </c>
      <c r="D1936" t="inlineStr">
        <is>
          <t>VÄSTMANLANDS LÄN</t>
        </is>
      </c>
      <c r="E1936" t="inlineStr">
        <is>
          <t>NORBERG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38822-2025</t>
        </is>
      </c>
      <c r="B1937" s="1" t="n">
        <v>45887.50528935185</v>
      </c>
      <c r="C1937" s="1" t="n">
        <v>45998</v>
      </c>
      <c r="D1937" t="inlineStr">
        <is>
          <t>VÄSTMANLANDS LÄN</t>
        </is>
      </c>
      <c r="E1937" t="inlineStr">
        <is>
          <t>VÄSTERÅS</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13510-2025</t>
        </is>
      </c>
      <c r="B1938" s="1" t="n">
        <v>45736.47103009259</v>
      </c>
      <c r="C1938" s="1" t="n">
        <v>45998</v>
      </c>
      <c r="D1938" t="inlineStr">
        <is>
          <t>VÄSTMANLANDS LÄN</t>
        </is>
      </c>
      <c r="E1938" t="inlineStr">
        <is>
          <t>HALLSTAHAMMAR</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43359-2024</t>
        </is>
      </c>
      <c r="B1939" s="1" t="n">
        <v>45568.57724537037</v>
      </c>
      <c r="C1939" s="1" t="n">
        <v>45998</v>
      </c>
      <c r="D1939" t="inlineStr">
        <is>
          <t>VÄSTMANLANDS LÄN</t>
        </is>
      </c>
      <c r="E1939" t="inlineStr">
        <is>
          <t>SALA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38017-2025</t>
        </is>
      </c>
      <c r="B1940" s="1" t="n">
        <v>45882.33378472222</v>
      </c>
      <c r="C1940" s="1" t="n">
        <v>45998</v>
      </c>
      <c r="D1940" t="inlineStr">
        <is>
          <t>VÄSTMANLANDS LÄN</t>
        </is>
      </c>
      <c r="E1940" t="inlineStr">
        <is>
          <t>NORBERG</t>
        </is>
      </c>
      <c r="F1940" t="inlineStr">
        <is>
          <t>Övriga Aktiebolag</t>
        </is>
      </c>
      <c r="G1940" t="n">
        <v>15.5</v>
      </c>
      <c r="H1940" t="n">
        <v>0</v>
      </c>
      <c r="I1940" t="n">
        <v>0</v>
      </c>
      <c r="J1940" t="n">
        <v>0</v>
      </c>
      <c r="K1940" t="n">
        <v>0</v>
      </c>
      <c r="L1940" t="n">
        <v>0</v>
      </c>
      <c r="M1940" t="n">
        <v>0</v>
      </c>
      <c r="N1940" t="n">
        <v>0</v>
      </c>
      <c r="O1940" t="n">
        <v>0</v>
      </c>
      <c r="P1940" t="n">
        <v>0</v>
      </c>
      <c r="Q1940" t="n">
        <v>0</v>
      </c>
      <c r="R1940" s="2" t="inlineStr"/>
    </row>
    <row r="1941" ht="15" customHeight="1">
      <c r="A1941" t="inlineStr">
        <is>
          <t>A 23611-2025</t>
        </is>
      </c>
      <c r="B1941" s="1" t="n">
        <v>45792.66241898148</v>
      </c>
      <c r="C1941" s="1" t="n">
        <v>45998</v>
      </c>
      <c r="D1941" t="inlineStr">
        <is>
          <t>VÄSTMANLANDS LÄN</t>
        </is>
      </c>
      <c r="E1941" t="inlineStr">
        <is>
          <t>SKINNSKATTEBERG</t>
        </is>
      </c>
      <c r="F1941" t="inlineStr">
        <is>
          <t>Sveaskog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29972-2025</t>
        </is>
      </c>
      <c r="B1942" s="1" t="n">
        <v>45826</v>
      </c>
      <c r="C1942" s="1" t="n">
        <v>45998</v>
      </c>
      <c r="D1942" t="inlineStr">
        <is>
          <t>VÄSTMANLANDS LÄN</t>
        </is>
      </c>
      <c r="E1942" t="inlineStr">
        <is>
          <t>SALA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37954-2025</t>
        </is>
      </c>
      <c r="B1943" s="1" t="n">
        <v>45881</v>
      </c>
      <c r="C1943" s="1" t="n">
        <v>45998</v>
      </c>
      <c r="D1943" t="inlineStr">
        <is>
          <t>VÄSTMANLANDS LÄN</t>
        </is>
      </c>
      <c r="E1943" t="inlineStr">
        <is>
          <t>SURAHAMMAR</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24865-2025</t>
        </is>
      </c>
      <c r="B1944" s="1" t="n">
        <v>45799</v>
      </c>
      <c r="C1944" s="1" t="n">
        <v>45998</v>
      </c>
      <c r="D1944" t="inlineStr">
        <is>
          <t>VÄSTMANLANDS LÄN</t>
        </is>
      </c>
      <c r="E1944" t="inlineStr">
        <is>
          <t>NORBERG</t>
        </is>
      </c>
      <c r="F1944" t="inlineStr">
        <is>
          <t>Bergvik skog väst AB</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38852-2025</t>
        </is>
      </c>
      <c r="B1945" s="1" t="n">
        <v>45887.55572916667</v>
      </c>
      <c r="C1945" s="1" t="n">
        <v>45998</v>
      </c>
      <c r="D1945" t="inlineStr">
        <is>
          <t>VÄSTMANLANDS LÄN</t>
        </is>
      </c>
      <c r="E1945" t="inlineStr">
        <is>
          <t>KÖPING</t>
        </is>
      </c>
      <c r="F1945" t="inlineStr">
        <is>
          <t>Sveaskog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46279-2021</t>
        </is>
      </c>
      <c r="B1946" s="1" t="n">
        <v>44442.57797453704</v>
      </c>
      <c r="C1946" s="1" t="n">
        <v>45998</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39144-2025</t>
        </is>
      </c>
      <c r="B1947" s="1" t="n">
        <v>45888.59943287037</v>
      </c>
      <c r="C1947" s="1" t="n">
        <v>45998</v>
      </c>
      <c r="D1947" t="inlineStr">
        <is>
          <t>VÄSTMANLANDS LÄN</t>
        </is>
      </c>
      <c r="E1947" t="inlineStr">
        <is>
          <t>SKINNSKATTEBERG</t>
        </is>
      </c>
      <c r="F1947" t="inlineStr">
        <is>
          <t>Sveaskog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39148-2025</t>
        </is>
      </c>
      <c r="B1948" s="1" t="n">
        <v>45888.60707175926</v>
      </c>
      <c r="C1948" s="1" t="n">
        <v>45998</v>
      </c>
      <c r="D1948" t="inlineStr">
        <is>
          <t>VÄSTMANLANDS LÄN</t>
        </is>
      </c>
      <c r="E1948" t="inlineStr">
        <is>
          <t>SKINNSKATTEBERG</t>
        </is>
      </c>
      <c r="F1948" t="inlineStr">
        <is>
          <t>Sveaskog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49234-2024</t>
        </is>
      </c>
      <c r="B1949" s="1" t="n">
        <v>45595</v>
      </c>
      <c r="C1949" s="1" t="n">
        <v>45998</v>
      </c>
      <c r="D1949" t="inlineStr">
        <is>
          <t>VÄSTMANLANDS LÄN</t>
        </is>
      </c>
      <c r="E1949" t="inlineStr">
        <is>
          <t>VÄSTERÅS</t>
        </is>
      </c>
      <c r="F1949" t="inlineStr">
        <is>
          <t>Övriga Aktiebolag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23860-2025</t>
        </is>
      </c>
      <c r="B1950" s="1" t="n">
        <v>45793</v>
      </c>
      <c r="C1950" s="1" t="n">
        <v>45998</v>
      </c>
      <c r="D1950" t="inlineStr">
        <is>
          <t>VÄSTMANLANDS LÄN</t>
        </is>
      </c>
      <c r="E1950" t="inlineStr">
        <is>
          <t>NORBERG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31106-2025</t>
        </is>
      </c>
      <c r="B1951" s="1" t="n">
        <v>45832.6050462963</v>
      </c>
      <c r="C1951" s="1" t="n">
        <v>45998</v>
      </c>
      <c r="D1951" t="inlineStr">
        <is>
          <t>VÄSTMANLANDS LÄN</t>
        </is>
      </c>
      <c r="E1951" t="inlineStr">
        <is>
          <t>VÄSTERÅS</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15858-2025</t>
        </is>
      </c>
      <c r="B1952" s="1" t="n">
        <v>45749.34443287037</v>
      </c>
      <c r="C1952" s="1" t="n">
        <v>45998</v>
      </c>
      <c r="D1952" t="inlineStr">
        <is>
          <t>VÄSTMANLANDS LÄN</t>
        </is>
      </c>
      <c r="E1952" t="inlineStr">
        <is>
          <t>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37817-2025</t>
        </is>
      </c>
      <c r="B1953" s="1" t="n">
        <v>45881.38631944444</v>
      </c>
      <c r="C1953" s="1" t="n">
        <v>45998</v>
      </c>
      <c r="D1953" t="inlineStr">
        <is>
          <t>VÄSTMANLANDS LÄN</t>
        </is>
      </c>
      <c r="E1953" t="inlineStr">
        <is>
          <t>NORBERG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19953-2025</t>
        </is>
      </c>
      <c r="B1954" s="1" t="n">
        <v>45771</v>
      </c>
      <c r="C1954" s="1" t="n">
        <v>45998</v>
      </c>
      <c r="D1954" t="inlineStr">
        <is>
          <t>VÄSTMANLANDS LÄN</t>
        </is>
      </c>
      <c r="E1954" t="inlineStr">
        <is>
          <t>KÖPING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19919-2025</t>
        </is>
      </c>
      <c r="B1955" s="1" t="n">
        <v>45771.62453703704</v>
      </c>
      <c r="C1955" s="1" t="n">
        <v>45998</v>
      </c>
      <c r="D1955" t="inlineStr">
        <is>
          <t>VÄSTMANLANDS LÄN</t>
        </is>
      </c>
      <c r="E1955" t="inlineStr">
        <is>
          <t>SKINNSKATTEBERG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31864-2025</t>
        </is>
      </c>
      <c r="B1956" s="1" t="n">
        <v>45834.63819444444</v>
      </c>
      <c r="C1956" s="1" t="n">
        <v>45998</v>
      </c>
      <c r="D1956" t="inlineStr">
        <is>
          <t>VÄSTMANLANDS LÄN</t>
        </is>
      </c>
      <c r="E1956" t="inlineStr">
        <is>
          <t>SALA</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23621-2025</t>
        </is>
      </c>
      <c r="B1957" s="1" t="n">
        <v>45792.67262731482</v>
      </c>
      <c r="C1957" s="1" t="n">
        <v>45998</v>
      </c>
      <c r="D1957" t="inlineStr">
        <is>
          <t>VÄSTMANLANDS LÄN</t>
        </is>
      </c>
      <c r="E1957" t="inlineStr">
        <is>
          <t>SKINNSKATTEBERG</t>
        </is>
      </c>
      <c r="F1957" t="inlineStr">
        <is>
          <t>Sveaskog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49232-2024</t>
        </is>
      </c>
      <c r="B1958" s="1" t="n">
        <v>45595</v>
      </c>
      <c r="C1958" s="1" t="n">
        <v>45998</v>
      </c>
      <c r="D1958" t="inlineStr">
        <is>
          <t>VÄSTMANLANDS LÄN</t>
        </is>
      </c>
      <c r="E1958" t="inlineStr">
        <is>
          <t>VÄSTERÅS</t>
        </is>
      </c>
      <c r="F1958" t="inlineStr">
        <is>
          <t>Övriga Aktiebolag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38986-2025</t>
        </is>
      </c>
      <c r="B1959" s="1" t="n">
        <v>45888.30837962963</v>
      </c>
      <c r="C1959" s="1" t="n">
        <v>45998</v>
      </c>
      <c r="D1959" t="inlineStr">
        <is>
          <t>VÄSTMANLANDS LÄN</t>
        </is>
      </c>
      <c r="E1959" t="inlineStr">
        <is>
          <t>KÖPING</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38823-2025</t>
        </is>
      </c>
      <c r="B1960" s="1" t="n">
        <v>45887.50710648148</v>
      </c>
      <c r="C1960" s="1" t="n">
        <v>45998</v>
      </c>
      <c r="D1960" t="inlineStr">
        <is>
          <t>VÄSTMANLANDS LÄN</t>
        </is>
      </c>
      <c r="E1960" t="inlineStr">
        <is>
          <t>VÄSTERÅS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38858-2025</t>
        </is>
      </c>
      <c r="B1961" s="1" t="n">
        <v>45887.55859953703</v>
      </c>
      <c r="C1961" s="1" t="n">
        <v>45998</v>
      </c>
      <c r="D1961" t="inlineStr">
        <is>
          <t>VÄSTMANLANDS LÄN</t>
        </is>
      </c>
      <c r="E1961" t="inlineStr">
        <is>
          <t>KÖPING</t>
        </is>
      </c>
      <c r="F1961" t="inlineStr">
        <is>
          <t>Sveaskog</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39015-2025</t>
        </is>
      </c>
      <c r="B1962" s="1" t="n">
        <v>45888.36605324074</v>
      </c>
      <c r="C1962" s="1" t="n">
        <v>45998</v>
      </c>
      <c r="D1962" t="inlineStr">
        <is>
          <t>VÄSTMANLANDS LÄN</t>
        </is>
      </c>
      <c r="E1962" t="inlineStr">
        <is>
          <t>FAGERSTA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39167-2025</t>
        </is>
      </c>
      <c r="B1963" s="1" t="n">
        <v>45888</v>
      </c>
      <c r="C1963" s="1" t="n">
        <v>45998</v>
      </c>
      <c r="D1963" t="inlineStr">
        <is>
          <t>VÄSTMANLANDS LÄN</t>
        </is>
      </c>
      <c r="E1963" t="inlineStr">
        <is>
          <t>SALA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47092-2025</t>
        </is>
      </c>
      <c r="B1964" s="1" t="n">
        <v>45929.65053240741</v>
      </c>
      <c r="C1964" s="1" t="n">
        <v>45998</v>
      </c>
      <c r="D1964" t="inlineStr">
        <is>
          <t>VÄSTMANLANDS LÄN</t>
        </is>
      </c>
      <c r="E1964" t="inlineStr">
        <is>
          <t>VÄSTERÅS</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6516-2021</t>
        </is>
      </c>
      <c r="B1965" s="1" t="n">
        <v>44236</v>
      </c>
      <c r="C1965" s="1" t="n">
        <v>45998</v>
      </c>
      <c r="D1965" t="inlineStr">
        <is>
          <t>VÄSTMANLANDS LÄN</t>
        </is>
      </c>
      <c r="E1965" t="inlineStr">
        <is>
          <t>SKINNSKATTEBERG</t>
        </is>
      </c>
      <c r="F1965" t="inlineStr">
        <is>
          <t>Sveaskog</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73835-2021</t>
        </is>
      </c>
      <c r="B1966" s="1" t="n">
        <v>44552.92112268518</v>
      </c>
      <c r="C1966" s="1" t="n">
        <v>45998</v>
      </c>
      <c r="D1966" t="inlineStr">
        <is>
          <t>VÄSTMANLANDS LÄN</t>
        </is>
      </c>
      <c r="E1966" t="inlineStr">
        <is>
          <t>SALA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46661-2025</t>
        </is>
      </c>
      <c r="B1967" s="1" t="n">
        <v>45926</v>
      </c>
      <c r="C1967" s="1" t="n">
        <v>45998</v>
      </c>
      <c r="D1967" t="inlineStr">
        <is>
          <t>VÄSTMANLANDS LÄN</t>
        </is>
      </c>
      <c r="E1967" t="inlineStr">
        <is>
          <t>SALA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15545-2025</t>
        </is>
      </c>
      <c r="B1968" s="1" t="n">
        <v>45747.65975694444</v>
      </c>
      <c r="C1968" s="1" t="n">
        <v>45998</v>
      </c>
      <c r="D1968" t="inlineStr">
        <is>
          <t>VÄSTMANLANDS LÄN</t>
        </is>
      </c>
      <c r="E1968" t="inlineStr">
        <is>
          <t>SKINNSKATTEBERG</t>
        </is>
      </c>
      <c r="G1968" t="n">
        <v>11.8</v>
      </c>
      <c r="H1968" t="n">
        <v>0</v>
      </c>
      <c r="I1968" t="n">
        <v>0</v>
      </c>
      <c r="J1968" t="n">
        <v>0</v>
      </c>
      <c r="K1968" t="n">
        <v>0</v>
      </c>
      <c r="L1968" t="n">
        <v>0</v>
      </c>
      <c r="M1968" t="n">
        <v>0</v>
      </c>
      <c r="N1968" t="n">
        <v>0</v>
      </c>
      <c r="O1968" t="n">
        <v>0</v>
      </c>
      <c r="P1968" t="n">
        <v>0</v>
      </c>
      <c r="Q1968" t="n">
        <v>0</v>
      </c>
      <c r="R1968" s="2" t="inlineStr"/>
    </row>
    <row r="1969" ht="15" customHeight="1">
      <c r="A1969" t="inlineStr">
        <is>
          <t>A 47089-2025</t>
        </is>
      </c>
      <c r="B1969" s="1" t="n">
        <v>45929.64620370371</v>
      </c>
      <c r="C1969" s="1" t="n">
        <v>45998</v>
      </c>
      <c r="D1969" t="inlineStr">
        <is>
          <t>VÄSTMANLANDS LÄN</t>
        </is>
      </c>
      <c r="E1969" t="inlineStr">
        <is>
          <t>VÄSTERÅS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52498-2022</t>
        </is>
      </c>
      <c r="B1970" s="1" t="n">
        <v>44874.50152777778</v>
      </c>
      <c r="C1970" s="1" t="n">
        <v>45998</v>
      </c>
      <c r="D1970" t="inlineStr">
        <is>
          <t>VÄSTMANLANDS LÄN</t>
        </is>
      </c>
      <c r="E1970" t="inlineStr">
        <is>
          <t>SALA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39624-2025</t>
        </is>
      </c>
      <c r="B1971" s="1" t="n">
        <v>45890.57650462963</v>
      </c>
      <c r="C1971" s="1" t="n">
        <v>45998</v>
      </c>
      <c r="D1971" t="inlineStr">
        <is>
          <t>VÄSTMANLANDS LÄN</t>
        </is>
      </c>
      <c r="E1971" t="inlineStr">
        <is>
          <t>VÄSTERÅS</t>
        </is>
      </c>
      <c r="F1971" t="inlineStr">
        <is>
          <t>Kommuner</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39262-2025</t>
        </is>
      </c>
      <c r="B1972" s="1" t="n">
        <v>45889.37228009259</v>
      </c>
      <c r="C1972" s="1" t="n">
        <v>45998</v>
      </c>
      <c r="D1972" t="inlineStr">
        <is>
          <t>VÄSTMANLANDS LÄN</t>
        </is>
      </c>
      <c r="E1972" t="inlineStr">
        <is>
          <t>SKINNSKATTEBERG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39691-2025</t>
        </is>
      </c>
      <c r="B1973" s="1" t="n">
        <v>45890.67935185185</v>
      </c>
      <c r="C1973" s="1" t="n">
        <v>45998</v>
      </c>
      <c r="D1973" t="inlineStr">
        <is>
          <t>VÄSTMANLANDS LÄN</t>
        </is>
      </c>
      <c r="E1973" t="inlineStr">
        <is>
          <t>SKINNSKATTEBERG</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39411-2025</t>
        </is>
      </c>
      <c r="B1974" s="1" t="n">
        <v>45889.65506944444</v>
      </c>
      <c r="C1974" s="1" t="n">
        <v>45998</v>
      </c>
      <c r="D1974" t="inlineStr">
        <is>
          <t>VÄSTMANLANDS LÄN</t>
        </is>
      </c>
      <c r="E1974" t="inlineStr">
        <is>
          <t>VÄSTERÅS</t>
        </is>
      </c>
      <c r="F1974" t="inlineStr">
        <is>
          <t>Kommuner</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1926-2025</t>
        </is>
      </c>
      <c r="B1975" s="1" t="n">
        <v>45671</v>
      </c>
      <c r="C1975" s="1" t="n">
        <v>45998</v>
      </c>
      <c r="D1975" t="inlineStr">
        <is>
          <t>VÄSTMANLANDS LÄN</t>
        </is>
      </c>
      <c r="E1975" t="inlineStr">
        <is>
          <t>KÖPING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30356-2024</t>
        </is>
      </c>
      <c r="B1976" s="1" t="n">
        <v>45491.31465277778</v>
      </c>
      <c r="C1976" s="1" t="n">
        <v>45998</v>
      </c>
      <c r="D1976" t="inlineStr">
        <is>
          <t>VÄSTMANLANDS LÄN</t>
        </is>
      </c>
      <c r="E1976" t="inlineStr">
        <is>
          <t>FAGERSTA</t>
        </is>
      </c>
      <c r="F1976" t="inlineStr">
        <is>
          <t>Bergvik skog väst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34582-2025</t>
        </is>
      </c>
      <c r="B1977" s="1" t="n">
        <v>45846</v>
      </c>
      <c r="C1977" s="1" t="n">
        <v>45998</v>
      </c>
      <c r="D1977" t="inlineStr">
        <is>
          <t>VÄSTMANLANDS LÄN</t>
        </is>
      </c>
      <c r="E1977" t="inlineStr">
        <is>
          <t>SURAHAMMAR</t>
        </is>
      </c>
      <c r="F1977" t="inlineStr">
        <is>
          <t>Bergvik skog väst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47096-2025</t>
        </is>
      </c>
      <c r="B1978" s="1" t="n">
        <v>45929.65461805555</v>
      </c>
      <c r="C1978" s="1" t="n">
        <v>45998</v>
      </c>
      <c r="D1978" t="inlineStr">
        <is>
          <t>VÄSTMANLANDS LÄN</t>
        </is>
      </c>
      <c r="E1978" t="inlineStr">
        <is>
          <t>VÄSTERÅS</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47107-2025</t>
        </is>
      </c>
      <c r="B1979" s="1" t="n">
        <v>45929.66028935185</v>
      </c>
      <c r="C1979" s="1" t="n">
        <v>45998</v>
      </c>
      <c r="D1979" t="inlineStr">
        <is>
          <t>VÄSTMANLANDS LÄN</t>
        </is>
      </c>
      <c r="E1979" t="inlineStr">
        <is>
          <t>VÄSTERÅS</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46915-2025</t>
        </is>
      </c>
      <c r="B1980" s="1" t="n">
        <v>45929.42114583333</v>
      </c>
      <c r="C1980" s="1" t="n">
        <v>45998</v>
      </c>
      <c r="D1980" t="inlineStr">
        <is>
          <t>VÄSTMANLANDS LÄN</t>
        </is>
      </c>
      <c r="E1980" t="inlineStr">
        <is>
          <t>SALA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55714-2025</t>
        </is>
      </c>
      <c r="B1981" s="1" t="n">
        <v>45972.49131944445</v>
      </c>
      <c r="C1981" s="1" t="n">
        <v>45998</v>
      </c>
      <c r="D1981" t="inlineStr">
        <is>
          <t>VÄSTMANLANDS LÄN</t>
        </is>
      </c>
      <c r="E1981" t="inlineStr">
        <is>
          <t>SALA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47082-2025</t>
        </is>
      </c>
      <c r="B1982" s="1" t="n">
        <v>45929.64188657407</v>
      </c>
      <c r="C1982" s="1" t="n">
        <v>45998</v>
      </c>
      <c r="D1982" t="inlineStr">
        <is>
          <t>VÄSTMANLANDS LÄN</t>
        </is>
      </c>
      <c r="E1982" t="inlineStr">
        <is>
          <t>VÄSTERÅS</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47101-2025</t>
        </is>
      </c>
      <c r="B1983" s="1" t="n">
        <v>45929.65755787037</v>
      </c>
      <c r="C1983" s="1" t="n">
        <v>45998</v>
      </c>
      <c r="D1983" t="inlineStr">
        <is>
          <t>VÄSTMANLANDS LÄN</t>
        </is>
      </c>
      <c r="E1983" t="inlineStr">
        <is>
          <t>VÄSTERÅS</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40556-2025</t>
        </is>
      </c>
      <c r="B1984" s="1" t="n">
        <v>45896.44944444444</v>
      </c>
      <c r="C1984" s="1" t="n">
        <v>45998</v>
      </c>
      <c r="D1984" t="inlineStr">
        <is>
          <t>VÄSTMANLANDS LÄN</t>
        </is>
      </c>
      <c r="E1984" t="inlineStr">
        <is>
          <t>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47076-2025</t>
        </is>
      </c>
      <c r="B1985" s="1" t="n">
        <v>45929.63734953704</v>
      </c>
      <c r="C1985" s="1" t="n">
        <v>45998</v>
      </c>
      <c r="D1985" t="inlineStr">
        <is>
          <t>VÄSTMANLANDS LÄN</t>
        </is>
      </c>
      <c r="E1985" t="inlineStr">
        <is>
          <t>VÄSTERÅS</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40494-2025</t>
        </is>
      </c>
      <c r="B1986" s="1" t="n">
        <v>45896.31145833333</v>
      </c>
      <c r="C1986" s="1" t="n">
        <v>45998</v>
      </c>
      <c r="D1986" t="inlineStr">
        <is>
          <t>VÄSTMANLANDS LÄN</t>
        </is>
      </c>
      <c r="E1986" t="inlineStr">
        <is>
          <t>SKINNSKATTEBERG</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40559-2025</t>
        </is>
      </c>
      <c r="B1987" s="1" t="n">
        <v>45896.45037037037</v>
      </c>
      <c r="C1987" s="1" t="n">
        <v>45998</v>
      </c>
      <c r="D1987" t="inlineStr">
        <is>
          <t>VÄSTMANLANDS LÄN</t>
        </is>
      </c>
      <c r="E1987" t="inlineStr">
        <is>
          <t>SALA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47681-2025</t>
        </is>
      </c>
      <c r="B1988" s="1" t="n">
        <v>45931.58202546297</v>
      </c>
      <c r="C1988" s="1" t="n">
        <v>45998</v>
      </c>
      <c r="D1988" t="inlineStr">
        <is>
          <t>VÄSTMANLANDS LÄN</t>
        </is>
      </c>
      <c r="E1988" t="inlineStr">
        <is>
          <t>KÖPING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60379-2022</t>
        </is>
      </c>
      <c r="B1989" s="1" t="n">
        <v>44910</v>
      </c>
      <c r="C1989" s="1" t="n">
        <v>45998</v>
      </c>
      <c r="D1989" t="inlineStr">
        <is>
          <t>VÄSTMANLANDS LÄN</t>
        </is>
      </c>
      <c r="E1989" t="inlineStr">
        <is>
          <t>SALA</t>
        </is>
      </c>
      <c r="F1989" t="inlineStr">
        <is>
          <t>Kyrkan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40480-2025</t>
        </is>
      </c>
      <c r="B1990" s="1" t="n">
        <v>45895.76636574074</v>
      </c>
      <c r="C1990" s="1" t="n">
        <v>45998</v>
      </c>
      <c r="D1990" t="inlineStr">
        <is>
          <t>VÄSTMANLANDS LÄN</t>
        </is>
      </c>
      <c r="E1990" t="inlineStr">
        <is>
          <t>KÖPING</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56293-2025</t>
        </is>
      </c>
      <c r="B1991" s="1" t="n">
        <v>45974.59898148148</v>
      </c>
      <c r="C1991" s="1" t="n">
        <v>45998</v>
      </c>
      <c r="D1991" t="inlineStr">
        <is>
          <t>VÄSTMANLANDS LÄN</t>
        </is>
      </c>
      <c r="E1991" t="inlineStr">
        <is>
          <t>KÖPING</t>
        </is>
      </c>
      <c r="F1991" t="inlineStr">
        <is>
          <t>Sveaskog</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47574-2025</t>
        </is>
      </c>
      <c r="B1992" s="1" t="n">
        <v>45931.39986111111</v>
      </c>
      <c r="C1992" s="1" t="n">
        <v>45998</v>
      </c>
      <c r="D1992" t="inlineStr">
        <is>
          <t>VÄSTMANLANDS LÄN</t>
        </is>
      </c>
      <c r="E1992" t="inlineStr">
        <is>
          <t>KÖPING</t>
        </is>
      </c>
      <c r="F1992" t="inlineStr">
        <is>
          <t>Sveaskog</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47640-2025</t>
        </is>
      </c>
      <c r="B1993" s="1" t="n">
        <v>45931.50824074074</v>
      </c>
      <c r="C1993" s="1" t="n">
        <v>45998</v>
      </c>
      <c r="D1993" t="inlineStr">
        <is>
          <t>VÄSTMANLANDS LÄN</t>
        </is>
      </c>
      <c r="E1993" t="inlineStr">
        <is>
          <t>VÄSTERÅS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14181-2025</t>
        </is>
      </c>
      <c r="B1994" s="1" t="n">
        <v>45740</v>
      </c>
      <c r="C1994" s="1" t="n">
        <v>45998</v>
      </c>
      <c r="D1994" t="inlineStr">
        <is>
          <t>VÄSTMANLANDS LÄN</t>
        </is>
      </c>
      <c r="E1994" t="inlineStr">
        <is>
          <t>NORBERG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23569-2025</t>
        </is>
      </c>
      <c r="B1995" s="1" t="n">
        <v>45792.60494212963</v>
      </c>
      <c r="C1995" s="1" t="n">
        <v>45998</v>
      </c>
      <c r="D1995" t="inlineStr">
        <is>
          <t>VÄSTMANLANDS LÄN</t>
        </is>
      </c>
      <c r="E1995" t="inlineStr">
        <is>
          <t>VÄSTERÅS</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55997-2025</t>
        </is>
      </c>
      <c r="B1996" s="1" t="n">
        <v>45973.56833333334</v>
      </c>
      <c r="C1996" s="1" t="n">
        <v>45998</v>
      </c>
      <c r="D1996" t="inlineStr">
        <is>
          <t>VÄSTMANLANDS LÄN</t>
        </is>
      </c>
      <c r="E1996" t="inlineStr">
        <is>
          <t>SALA</t>
        </is>
      </c>
      <c r="F1996" t="inlineStr">
        <is>
          <t>Sveaskog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31302-2024</t>
        </is>
      </c>
      <c r="B1997" s="1" t="n">
        <v>45504</v>
      </c>
      <c r="C1997" s="1" t="n">
        <v>45998</v>
      </c>
      <c r="D1997" t="inlineStr">
        <is>
          <t>VÄSTMANLANDS LÄN</t>
        </is>
      </c>
      <c r="E1997" t="inlineStr">
        <is>
          <t>SKINNSKATTEBERG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56298-2025</t>
        </is>
      </c>
      <c r="B1998" s="1" t="n">
        <v>45974.60434027778</v>
      </c>
      <c r="C1998" s="1" t="n">
        <v>45998</v>
      </c>
      <c r="D1998" t="inlineStr">
        <is>
          <t>VÄSTMANLANDS LÄN</t>
        </is>
      </c>
      <c r="E1998" t="inlineStr">
        <is>
          <t>KÖPING</t>
        </is>
      </c>
      <c r="F1998" t="inlineStr">
        <is>
          <t>Sveaskog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40502-2025</t>
        </is>
      </c>
      <c r="B1999" s="1" t="n">
        <v>45896.33552083333</v>
      </c>
      <c r="C1999" s="1" t="n">
        <v>45998</v>
      </c>
      <c r="D1999" t="inlineStr">
        <is>
          <t>VÄSTMANLANDS LÄN</t>
        </is>
      </c>
      <c r="E1999" t="inlineStr">
        <is>
          <t>KÖPING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23625-2025</t>
        </is>
      </c>
      <c r="B2000" s="1" t="n">
        <v>45792.67484953703</v>
      </c>
      <c r="C2000" s="1" t="n">
        <v>45998</v>
      </c>
      <c r="D2000" t="inlineStr">
        <is>
          <t>VÄSTMANLANDS LÄN</t>
        </is>
      </c>
      <c r="E2000" t="inlineStr">
        <is>
          <t>SKINNSKATTEBERG</t>
        </is>
      </c>
      <c r="F2000" t="inlineStr">
        <is>
          <t>Sveaskog</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40495-2025</t>
        </is>
      </c>
      <c r="B2001" s="1" t="n">
        <v>45896.31319444445</v>
      </c>
      <c r="C2001" s="1" t="n">
        <v>45998</v>
      </c>
      <c r="D2001" t="inlineStr">
        <is>
          <t>VÄSTMANLANDS LÄN</t>
        </is>
      </c>
      <c r="E2001" t="inlineStr">
        <is>
          <t>SKINNSKATTEBERG</t>
        </is>
      </c>
      <c r="F2001" t="inlineStr">
        <is>
          <t>Sveaskog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40620-2025</t>
        </is>
      </c>
      <c r="B2002" s="1" t="n">
        <v>45896.58609953704</v>
      </c>
      <c r="C2002" s="1" t="n">
        <v>45998</v>
      </c>
      <c r="D2002" t="inlineStr">
        <is>
          <t>VÄSTMANLANDS LÄN</t>
        </is>
      </c>
      <c r="E2002" t="inlineStr">
        <is>
          <t>SALA</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55952-2025</t>
        </is>
      </c>
      <c r="B2003" s="1" t="n">
        <v>45973.4725462963</v>
      </c>
      <c r="C2003" s="1" t="n">
        <v>45998</v>
      </c>
      <c r="D2003" t="inlineStr">
        <is>
          <t>VÄSTMANLANDS LÄN</t>
        </is>
      </c>
      <c r="E2003" t="inlineStr">
        <is>
          <t>SKINNSKATTEBERG</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40547-2025</t>
        </is>
      </c>
      <c r="B2004" s="1" t="n">
        <v>45896.43211805556</v>
      </c>
      <c r="C2004" s="1" t="n">
        <v>45998</v>
      </c>
      <c r="D2004" t="inlineStr">
        <is>
          <t>VÄSTMANLANDS LÄN</t>
        </is>
      </c>
      <c r="E2004" t="inlineStr">
        <is>
          <t>VÄSTERÅS</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52958-2025</t>
        </is>
      </c>
      <c r="B2005" s="1" t="n">
        <v>45957</v>
      </c>
      <c r="C2005" s="1" t="n">
        <v>45998</v>
      </c>
      <c r="D2005" t="inlineStr">
        <is>
          <t>VÄSTMANLANDS LÄN</t>
        </is>
      </c>
      <c r="E2005" t="inlineStr">
        <is>
          <t>ARBOGA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56227-2025</t>
        </is>
      </c>
      <c r="B2006" s="1" t="n">
        <v>45974.51658564815</v>
      </c>
      <c r="C2006" s="1" t="n">
        <v>45998</v>
      </c>
      <c r="D2006" t="inlineStr">
        <is>
          <t>VÄSTMANLANDS LÄN</t>
        </is>
      </c>
      <c r="E2006" t="inlineStr">
        <is>
          <t>SKINNSKATTEBERG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55868-2025</t>
        </is>
      </c>
      <c r="B2007" s="1" t="n">
        <v>45973.35263888889</v>
      </c>
      <c r="C2007" s="1" t="n">
        <v>45998</v>
      </c>
      <c r="D2007" t="inlineStr">
        <is>
          <t>VÄSTMANLANDS LÄN</t>
        </is>
      </c>
      <c r="E2007" t="inlineStr">
        <is>
          <t>SURAHAMMAR</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55873-2025</t>
        </is>
      </c>
      <c r="B2008" s="1" t="n">
        <v>45973.35608796297</v>
      </c>
      <c r="C2008" s="1" t="n">
        <v>45998</v>
      </c>
      <c r="D2008" t="inlineStr">
        <is>
          <t>VÄSTMANLANDS LÄN</t>
        </is>
      </c>
      <c r="E2008" t="inlineStr">
        <is>
          <t>SURAHAMMAR</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55874-2025</t>
        </is>
      </c>
      <c r="B2009" s="1" t="n">
        <v>45973.3569212963</v>
      </c>
      <c r="C2009" s="1" t="n">
        <v>45998</v>
      </c>
      <c r="D2009" t="inlineStr">
        <is>
          <t>VÄSTMANLANDS LÄN</t>
        </is>
      </c>
      <c r="E2009" t="inlineStr">
        <is>
          <t>SURAHAMMAR</t>
        </is>
      </c>
      <c r="F2009" t="inlineStr">
        <is>
          <t>Sveaskog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55889-2025</t>
        </is>
      </c>
      <c r="B2010" s="1" t="n">
        <v>45973.37315972222</v>
      </c>
      <c r="C2010" s="1" t="n">
        <v>45998</v>
      </c>
      <c r="D2010" t="inlineStr">
        <is>
          <t>VÄSTMANLANDS LÄN</t>
        </is>
      </c>
      <c r="E2010" t="inlineStr">
        <is>
          <t>SKINNSKATTEBERG</t>
        </is>
      </c>
      <c r="F2010" t="inlineStr">
        <is>
          <t>Sveaskog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47541-2025</t>
        </is>
      </c>
      <c r="B2011" s="1" t="n">
        <v>45931.35510416667</v>
      </c>
      <c r="C2011" s="1" t="n">
        <v>45998</v>
      </c>
      <c r="D2011" t="inlineStr">
        <is>
          <t>VÄSTMANLANDS LÄN</t>
        </is>
      </c>
      <c r="E2011" t="inlineStr">
        <is>
          <t>SKINNSKATTEBERG</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47543-2025</t>
        </is>
      </c>
      <c r="B2012" s="1" t="n">
        <v>45931.35840277778</v>
      </c>
      <c r="C2012" s="1" t="n">
        <v>45998</v>
      </c>
      <c r="D2012" t="inlineStr">
        <is>
          <t>VÄSTMANLANDS LÄN</t>
        </is>
      </c>
      <c r="E2012" t="inlineStr">
        <is>
          <t>SKINNSKATTEBERG</t>
        </is>
      </c>
      <c r="F2012" t="inlineStr">
        <is>
          <t>Sveaskog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40712-2025</t>
        </is>
      </c>
      <c r="B2013" s="1" t="n">
        <v>45897.34274305555</v>
      </c>
      <c r="C2013" s="1" t="n">
        <v>45998</v>
      </c>
      <c r="D2013" t="inlineStr">
        <is>
          <t>VÄSTMANLANDS LÄN</t>
        </is>
      </c>
      <c r="E2013" t="inlineStr">
        <is>
          <t>KÖPING</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48057-2025</t>
        </is>
      </c>
      <c r="B2014" s="1" t="n">
        <v>45932.67947916667</v>
      </c>
      <c r="C2014" s="1" t="n">
        <v>45998</v>
      </c>
      <c r="D2014" t="inlineStr">
        <is>
          <t>VÄSTMANLANDS LÄN</t>
        </is>
      </c>
      <c r="E2014" t="inlineStr">
        <is>
          <t>SALA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40703-2025</t>
        </is>
      </c>
      <c r="B2015" s="1" t="n">
        <v>45897.32975694445</v>
      </c>
      <c r="C2015" s="1" t="n">
        <v>45998</v>
      </c>
      <c r="D2015" t="inlineStr">
        <is>
          <t>VÄSTMANLANDS LÄN</t>
        </is>
      </c>
      <c r="E2015" t="inlineStr">
        <is>
          <t>KÖPING</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40886-2025</t>
        </is>
      </c>
      <c r="B2016" s="1" t="n">
        <v>45897.60268518519</v>
      </c>
      <c r="C2016" s="1" t="n">
        <v>45998</v>
      </c>
      <c r="D2016" t="inlineStr">
        <is>
          <t>VÄSTMANLANDS LÄN</t>
        </is>
      </c>
      <c r="E2016" t="inlineStr">
        <is>
          <t>VÄSTERÅS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47538-2025</t>
        </is>
      </c>
      <c r="B2017" s="1" t="n">
        <v>45931.3474074074</v>
      </c>
      <c r="C2017" s="1" t="n">
        <v>45998</v>
      </c>
      <c r="D2017" t="inlineStr">
        <is>
          <t>VÄSTMANLANDS LÄN</t>
        </is>
      </c>
      <c r="E2017" t="inlineStr">
        <is>
          <t>SKINNSKATTEBERG</t>
        </is>
      </c>
      <c r="F2017" t="inlineStr">
        <is>
          <t>Sveaskog</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47539-2025</t>
        </is>
      </c>
      <c r="B2018" s="1" t="n">
        <v>45931.34961805555</v>
      </c>
      <c r="C2018" s="1" t="n">
        <v>45998</v>
      </c>
      <c r="D2018" t="inlineStr">
        <is>
          <t>VÄSTMANLANDS LÄN</t>
        </is>
      </c>
      <c r="E2018" t="inlineStr">
        <is>
          <t>SKINNSKATTEBERG</t>
        </is>
      </c>
      <c r="F2018" t="inlineStr">
        <is>
          <t>Sveaskog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47540-2025</t>
        </is>
      </c>
      <c r="B2019" s="1" t="n">
        <v>45931.35269675926</v>
      </c>
      <c r="C2019" s="1" t="n">
        <v>45998</v>
      </c>
      <c r="D2019" t="inlineStr">
        <is>
          <t>VÄSTMANLANDS LÄN</t>
        </is>
      </c>
      <c r="E2019" t="inlineStr">
        <is>
          <t>SKINNSKATTEBERG</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47546-2025</t>
        </is>
      </c>
      <c r="B2020" s="1" t="n">
        <v>45931.36364583333</v>
      </c>
      <c r="C2020" s="1" t="n">
        <v>45998</v>
      </c>
      <c r="D2020" t="inlineStr">
        <is>
          <t>VÄSTMANLANDS LÄN</t>
        </is>
      </c>
      <c r="E2020" t="inlineStr">
        <is>
          <t>NORBERG</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55999-2025</t>
        </is>
      </c>
      <c r="B2021" s="1" t="n">
        <v>45973.57314814815</v>
      </c>
      <c r="C2021" s="1" t="n">
        <v>45998</v>
      </c>
      <c r="D2021" t="inlineStr">
        <is>
          <t>VÄSTMANLANDS LÄN</t>
        </is>
      </c>
      <c r="E2021" t="inlineStr">
        <is>
          <t>NORBERG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55980-2025</t>
        </is>
      </c>
      <c r="B2022" s="1" t="n">
        <v>45973.52245370371</v>
      </c>
      <c r="C2022" s="1" t="n">
        <v>45998</v>
      </c>
      <c r="D2022" t="inlineStr">
        <is>
          <t>VÄSTMANLANDS LÄN</t>
        </is>
      </c>
      <c r="E2022" t="inlineStr">
        <is>
          <t>VÄSTERÅS</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56016-2025</t>
        </is>
      </c>
      <c r="B2023" s="1" t="n">
        <v>45973.58966435185</v>
      </c>
      <c r="C2023" s="1" t="n">
        <v>45998</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40700-2025</t>
        </is>
      </c>
      <c r="B2024" s="1" t="n">
        <v>45897.32721064815</v>
      </c>
      <c r="C2024" s="1" t="n">
        <v>45998</v>
      </c>
      <c r="D2024" t="inlineStr">
        <is>
          <t>VÄSTMANLANDS LÄN</t>
        </is>
      </c>
      <c r="E2024" t="inlineStr">
        <is>
          <t>KÖPING</t>
        </is>
      </c>
      <c r="F2024" t="inlineStr">
        <is>
          <t>Sveaskog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40705-2025</t>
        </is>
      </c>
      <c r="B2025" s="1" t="n">
        <v>45897.33090277778</v>
      </c>
      <c r="C2025" s="1" t="n">
        <v>45998</v>
      </c>
      <c r="D2025" t="inlineStr">
        <is>
          <t>VÄSTMANLANDS LÄN</t>
        </is>
      </c>
      <c r="E2025" t="inlineStr">
        <is>
          <t>KÖPING</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40782-2025</t>
        </is>
      </c>
      <c r="B2026" s="1" t="n">
        <v>45897.43640046296</v>
      </c>
      <c r="C2026" s="1" t="n">
        <v>45998</v>
      </c>
      <c r="D2026" t="inlineStr">
        <is>
          <t>VÄSTMANLANDS LÄN</t>
        </is>
      </c>
      <c r="E2026" t="inlineStr">
        <is>
          <t>SKINNSKATTEBERG</t>
        </is>
      </c>
      <c r="F2026" t="inlineStr">
        <is>
          <t>Sveaskog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47577-2025</t>
        </is>
      </c>
      <c r="B2027" s="1" t="n">
        <v>45931.4047337963</v>
      </c>
      <c r="C2027" s="1" t="n">
        <v>45998</v>
      </c>
      <c r="D2027" t="inlineStr">
        <is>
          <t>VÄSTMANLANDS LÄN</t>
        </is>
      </c>
      <c r="E2027" t="inlineStr">
        <is>
          <t>SALA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56296-2025</t>
        </is>
      </c>
      <c r="B2028" s="1" t="n">
        <v>45974.60321759259</v>
      </c>
      <c r="C2028" s="1" t="n">
        <v>45998</v>
      </c>
      <c r="D2028" t="inlineStr">
        <is>
          <t>VÄSTMANLANDS LÄN</t>
        </is>
      </c>
      <c r="E2028" t="inlineStr">
        <is>
          <t>KÖPING</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56300-2025</t>
        </is>
      </c>
      <c r="B2029" s="1" t="n">
        <v>45974.60678240741</v>
      </c>
      <c r="C2029" s="1" t="n">
        <v>45998</v>
      </c>
      <c r="D2029" t="inlineStr">
        <is>
          <t>VÄSTMANLANDS LÄN</t>
        </is>
      </c>
      <c r="E2029" t="inlineStr">
        <is>
          <t>VÄSTERÅS</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40783-2025</t>
        </is>
      </c>
      <c r="B2030" s="1" t="n">
        <v>45897.43825231482</v>
      </c>
      <c r="C2030" s="1" t="n">
        <v>45998</v>
      </c>
      <c r="D2030" t="inlineStr">
        <is>
          <t>VÄSTMANLANDS LÄN</t>
        </is>
      </c>
      <c r="E2030" t="inlineStr">
        <is>
          <t>SKINNSKATTEBERG</t>
        </is>
      </c>
      <c r="F2030" t="inlineStr">
        <is>
          <t>Sveaskog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40788-2025</t>
        </is>
      </c>
      <c r="B2031" s="1" t="n">
        <v>45897.44625</v>
      </c>
      <c r="C2031" s="1" t="n">
        <v>45998</v>
      </c>
      <c r="D2031" t="inlineStr">
        <is>
          <t>VÄSTMANLANDS LÄN</t>
        </is>
      </c>
      <c r="E2031" t="inlineStr">
        <is>
          <t>SKINNSKATTEBERG</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55978-2025</t>
        </is>
      </c>
      <c r="B2032" s="1" t="n">
        <v>45973.51996527778</v>
      </c>
      <c r="C2032" s="1" t="n">
        <v>45998</v>
      </c>
      <c r="D2032" t="inlineStr">
        <is>
          <t>VÄSTMANLANDS LÄN</t>
        </is>
      </c>
      <c r="E2032" t="inlineStr">
        <is>
          <t>VÄSTERÅS</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40778-2025</t>
        </is>
      </c>
      <c r="B2033" s="1" t="n">
        <v>45897.43260416666</v>
      </c>
      <c r="C2033" s="1" t="n">
        <v>45998</v>
      </c>
      <c r="D2033" t="inlineStr">
        <is>
          <t>VÄSTMANLANDS LÄN</t>
        </is>
      </c>
      <c r="E2033" t="inlineStr">
        <is>
          <t>SKINNSKATTEBERG</t>
        </is>
      </c>
      <c r="F2033" t="inlineStr">
        <is>
          <t>Sveaskog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40784-2025</t>
        </is>
      </c>
      <c r="B2034" s="1" t="n">
        <v>45897.44212962963</v>
      </c>
      <c r="C2034" s="1" t="n">
        <v>45998</v>
      </c>
      <c r="D2034" t="inlineStr">
        <is>
          <t>VÄSTMANLANDS LÄN</t>
        </is>
      </c>
      <c r="E2034" t="inlineStr">
        <is>
          <t>SKINNSKATTEBERG</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40706-2025</t>
        </is>
      </c>
      <c r="B2035" s="1" t="n">
        <v>45897.33193287037</v>
      </c>
      <c r="C2035" s="1" t="n">
        <v>45998</v>
      </c>
      <c r="D2035" t="inlineStr">
        <is>
          <t>VÄSTMANLANDS LÄN</t>
        </is>
      </c>
      <c r="E2035" t="inlineStr">
        <is>
          <t>KÖPING</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40702-2025</t>
        </is>
      </c>
      <c r="B2036" s="1" t="n">
        <v>45897.32894675926</v>
      </c>
      <c r="C2036" s="1" t="n">
        <v>45998</v>
      </c>
      <c r="D2036" t="inlineStr">
        <is>
          <t>VÄSTMANLANDS LÄN</t>
        </is>
      </c>
      <c r="E2036" t="inlineStr">
        <is>
          <t>KÖPING</t>
        </is>
      </c>
      <c r="F2036" t="inlineStr">
        <is>
          <t>Sveaskog</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41230-2025</t>
        </is>
      </c>
      <c r="B2037" s="1" t="n">
        <v>45898</v>
      </c>
      <c r="C2037" s="1" t="n">
        <v>45998</v>
      </c>
      <c r="D2037" t="inlineStr">
        <is>
          <t>VÄSTMANLANDS LÄN</t>
        </is>
      </c>
      <c r="E2037" t="inlineStr">
        <is>
          <t>SALA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40762-2025</t>
        </is>
      </c>
      <c r="B2038" s="1" t="n">
        <v>45897.39564814815</v>
      </c>
      <c r="C2038" s="1" t="n">
        <v>45998</v>
      </c>
      <c r="D2038" t="inlineStr">
        <is>
          <t>VÄSTMANLANDS LÄN</t>
        </is>
      </c>
      <c r="E2038" t="inlineStr">
        <is>
          <t>KÖPING</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40776-2025</t>
        </is>
      </c>
      <c r="B2039" s="1" t="n">
        <v>45897.42736111111</v>
      </c>
      <c r="C2039" s="1" t="n">
        <v>45998</v>
      </c>
      <c r="D2039" t="inlineStr">
        <is>
          <t>VÄSTMANLANDS LÄN</t>
        </is>
      </c>
      <c r="E2039" t="inlineStr">
        <is>
          <t>SKINNSKATTEBERG</t>
        </is>
      </c>
      <c r="F2039" t="inlineStr">
        <is>
          <t>Sveaskog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40795-2025</t>
        </is>
      </c>
      <c r="B2040" s="1" t="n">
        <v>45897.44892361111</v>
      </c>
      <c r="C2040" s="1" t="n">
        <v>45998</v>
      </c>
      <c r="D2040" t="inlineStr">
        <is>
          <t>VÄSTMANLANDS LÄN</t>
        </is>
      </c>
      <c r="E2040" t="inlineStr">
        <is>
          <t>SKINNSKATTEBERG</t>
        </is>
      </c>
      <c r="F2040" t="inlineStr">
        <is>
          <t>Sveaskog</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55871-2025</t>
        </is>
      </c>
      <c r="B2041" s="1" t="n">
        <v>45973.35452546296</v>
      </c>
      <c r="C2041" s="1" t="n">
        <v>45998</v>
      </c>
      <c r="D2041" t="inlineStr">
        <is>
          <t>VÄSTMANLANDS LÄN</t>
        </is>
      </c>
      <c r="E2041" t="inlineStr">
        <is>
          <t>SURAHAMMAR</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55885-2025</t>
        </is>
      </c>
      <c r="B2042" s="1" t="n">
        <v>45973.36837962963</v>
      </c>
      <c r="C2042" s="1" t="n">
        <v>45998</v>
      </c>
      <c r="D2042" t="inlineStr">
        <is>
          <t>VÄSTMANLANDS LÄN</t>
        </is>
      </c>
      <c r="E2042" t="inlineStr">
        <is>
          <t>SKINNSKATTEBERG</t>
        </is>
      </c>
      <c r="F2042" t="inlineStr">
        <is>
          <t>Sveaskog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55887-2025</t>
        </is>
      </c>
      <c r="B2043" s="1" t="n">
        <v>45973.37097222222</v>
      </c>
      <c r="C2043" s="1" t="n">
        <v>45998</v>
      </c>
      <c r="D2043" t="inlineStr">
        <is>
          <t>VÄSTMANLANDS LÄN</t>
        </is>
      </c>
      <c r="E2043" t="inlineStr">
        <is>
          <t>SKINNSKATTEBERG</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47718-2025</t>
        </is>
      </c>
      <c r="B2044" s="1" t="n">
        <v>45931.62083333333</v>
      </c>
      <c r="C2044" s="1" t="n">
        <v>45998</v>
      </c>
      <c r="D2044" t="inlineStr">
        <is>
          <t>VÄSTMANLANDS LÄN</t>
        </is>
      </c>
      <c r="E2044" t="inlineStr">
        <is>
          <t>KÖPING</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41644-2025</t>
        </is>
      </c>
      <c r="B2045" s="1" t="n">
        <v>45902</v>
      </c>
      <c r="C2045" s="1" t="n">
        <v>45998</v>
      </c>
      <c r="D2045" t="inlineStr">
        <is>
          <t>VÄSTMANLANDS LÄN</t>
        </is>
      </c>
      <c r="E2045" t="inlineStr">
        <is>
          <t>FAGERSTA</t>
        </is>
      </c>
      <c r="F2045" t="inlineStr">
        <is>
          <t>Kommuner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47576-2025</t>
        </is>
      </c>
      <c r="B2046" s="1" t="n">
        <v>45931.40219907407</v>
      </c>
      <c r="C2046" s="1" t="n">
        <v>45998</v>
      </c>
      <c r="D2046" t="inlineStr">
        <is>
          <t>VÄSTMANLANDS LÄN</t>
        </is>
      </c>
      <c r="E2046" t="inlineStr">
        <is>
          <t>KÖPING</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1638-2023</t>
        </is>
      </c>
      <c r="B2047" s="1" t="n">
        <v>44937</v>
      </c>
      <c r="C2047" s="1" t="n">
        <v>45998</v>
      </c>
      <c r="D2047" t="inlineStr">
        <is>
          <t>VÄSTMANLANDS LÄN</t>
        </is>
      </c>
      <c r="E2047" t="inlineStr">
        <is>
          <t>SALA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47828-2025</t>
        </is>
      </c>
      <c r="B2048" s="1" t="n">
        <v>45932.34612268519</v>
      </c>
      <c r="C2048" s="1" t="n">
        <v>45998</v>
      </c>
      <c r="D2048" t="inlineStr">
        <is>
          <t>VÄSTMANLANDS LÄN</t>
        </is>
      </c>
      <c r="E2048" t="inlineStr">
        <is>
          <t>ARBOGA</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34368-2025</t>
        </is>
      </c>
      <c r="B2049" s="1" t="n">
        <v>45846.50275462963</v>
      </c>
      <c r="C2049" s="1" t="n">
        <v>45998</v>
      </c>
      <c r="D2049" t="inlineStr">
        <is>
          <t>VÄSTMANLANDS LÄN</t>
        </is>
      </c>
      <c r="E2049" t="inlineStr">
        <is>
          <t>KÖPING</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17292-2025</t>
        </is>
      </c>
      <c r="B2050" s="1" t="n">
        <v>45756.58886574074</v>
      </c>
      <c r="C2050" s="1" t="n">
        <v>45998</v>
      </c>
      <c r="D2050" t="inlineStr">
        <is>
          <t>VÄSTMANLANDS LÄN</t>
        </is>
      </c>
      <c r="E2050" t="inlineStr">
        <is>
          <t>SKINNSKATTEBERG</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28207-2024</t>
        </is>
      </c>
      <c r="B2051" s="1" t="n">
        <v>45477</v>
      </c>
      <c r="C2051" s="1" t="n">
        <v>45998</v>
      </c>
      <c r="D2051" t="inlineStr">
        <is>
          <t>VÄSTMANLANDS LÄN</t>
        </is>
      </c>
      <c r="E2051" t="inlineStr">
        <is>
          <t>FAGERSTA</t>
        </is>
      </c>
      <c r="F2051" t="inlineStr">
        <is>
          <t>Sveaskog</t>
        </is>
      </c>
      <c r="G2051" t="n">
        <v>11.4</v>
      </c>
      <c r="H2051" t="n">
        <v>0</v>
      </c>
      <c r="I2051" t="n">
        <v>0</v>
      </c>
      <c r="J2051" t="n">
        <v>0</v>
      </c>
      <c r="K2051" t="n">
        <v>0</v>
      </c>
      <c r="L2051" t="n">
        <v>0</v>
      </c>
      <c r="M2051" t="n">
        <v>0</v>
      </c>
      <c r="N2051" t="n">
        <v>0</v>
      </c>
      <c r="O2051" t="n">
        <v>0</v>
      </c>
      <c r="P2051" t="n">
        <v>0</v>
      </c>
      <c r="Q2051" t="n">
        <v>0</v>
      </c>
      <c r="R2051" s="2" t="inlineStr"/>
    </row>
    <row r="2052" ht="15" customHeight="1">
      <c r="A2052" t="inlineStr">
        <is>
          <t>A 40549-2024</t>
        </is>
      </c>
      <c r="B2052" s="1" t="n">
        <v>45555</v>
      </c>
      <c r="C2052" s="1" t="n">
        <v>45998</v>
      </c>
      <c r="D2052" t="inlineStr">
        <is>
          <t>VÄSTMANLANDS LÄN</t>
        </is>
      </c>
      <c r="E2052" t="inlineStr">
        <is>
          <t>SKINNSKATTEBERG</t>
        </is>
      </c>
      <c r="F2052" t="inlineStr">
        <is>
          <t>Sveaskog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42088-2025</t>
        </is>
      </c>
      <c r="B2053" s="1" t="n">
        <v>45902</v>
      </c>
      <c r="C2053" s="1" t="n">
        <v>45998</v>
      </c>
      <c r="D2053" t="inlineStr">
        <is>
          <t>VÄSTMANLANDS LÄN</t>
        </is>
      </c>
      <c r="E2053" t="inlineStr">
        <is>
          <t>SURAHAMMAR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41431-2025</t>
        </is>
      </c>
      <c r="B2054" s="1" t="n">
        <v>45901.39347222223</v>
      </c>
      <c r="C2054" s="1" t="n">
        <v>45998</v>
      </c>
      <c r="D2054" t="inlineStr">
        <is>
          <t>VÄSTMANLANDS LÄN</t>
        </is>
      </c>
      <c r="E2054" t="inlineStr">
        <is>
          <t>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58594-2024</t>
        </is>
      </c>
      <c r="B2055" s="1" t="n">
        <v>45635</v>
      </c>
      <c r="C2055" s="1" t="n">
        <v>45998</v>
      </c>
      <c r="D2055" t="inlineStr">
        <is>
          <t>VÄSTMANLANDS LÄN</t>
        </is>
      </c>
      <c r="E2055" t="inlineStr">
        <is>
          <t>FAGERSTA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41414-2025</t>
        </is>
      </c>
      <c r="B2056" s="1" t="n">
        <v>45901.360625</v>
      </c>
      <c r="C2056" s="1" t="n">
        <v>45998</v>
      </c>
      <c r="D2056" t="inlineStr">
        <is>
          <t>VÄSTMANLANDS LÄN</t>
        </is>
      </c>
      <c r="E2056" t="inlineStr">
        <is>
          <t>SALA</t>
        </is>
      </c>
      <c r="G2056" t="n">
        <v>8.800000000000001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53164-2024</t>
        </is>
      </c>
      <c r="B2057" s="1" t="n">
        <v>45611.64887731482</v>
      </c>
      <c r="C2057" s="1" t="n">
        <v>45998</v>
      </c>
      <c r="D2057" t="inlineStr">
        <is>
          <t>VÄSTMANLANDS LÄN</t>
        </is>
      </c>
      <c r="E2057" t="inlineStr">
        <is>
          <t>SALA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41546-2025</t>
        </is>
      </c>
      <c r="B2058" s="1" t="n">
        <v>45901.57927083333</v>
      </c>
      <c r="C2058" s="1" t="n">
        <v>45998</v>
      </c>
      <c r="D2058" t="inlineStr">
        <is>
          <t>VÄSTMANLANDS LÄN</t>
        </is>
      </c>
      <c r="E2058" t="inlineStr">
        <is>
          <t>HALLSTAHAMMAR</t>
        </is>
      </c>
      <c r="F2058" t="inlineStr">
        <is>
          <t>Allmännings- och besparingsskogar</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41550-2025</t>
        </is>
      </c>
      <c r="B2059" s="1" t="n">
        <v>45901.58652777778</v>
      </c>
      <c r="C2059" s="1" t="n">
        <v>45998</v>
      </c>
      <c r="D2059" t="inlineStr">
        <is>
          <t>VÄSTMANLANDS LÄN</t>
        </is>
      </c>
      <c r="E2059" t="inlineStr">
        <is>
          <t>HALLSTAHAMMAR</t>
        </is>
      </c>
      <c r="F2059" t="inlineStr">
        <is>
          <t>Allmännings- och besparingsskogar</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41575-2025</t>
        </is>
      </c>
      <c r="B2060" s="1" t="n">
        <v>45901.61650462963</v>
      </c>
      <c r="C2060" s="1" t="n">
        <v>45998</v>
      </c>
      <c r="D2060" t="inlineStr">
        <is>
          <t>VÄSTMANLANDS LÄN</t>
        </is>
      </c>
      <c r="E2060" t="inlineStr">
        <is>
          <t>SKINNSKATTEBERG</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32845-2025</t>
        </is>
      </c>
      <c r="B2061" s="1" t="n">
        <v>45839.57179398148</v>
      </c>
      <c r="C2061" s="1" t="n">
        <v>45998</v>
      </c>
      <c r="D2061" t="inlineStr">
        <is>
          <t>VÄSTMANLANDS LÄN</t>
        </is>
      </c>
      <c r="E2061" t="inlineStr">
        <is>
          <t>KÖPING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41594-2025</t>
        </is>
      </c>
      <c r="B2062" s="1" t="n">
        <v>45901.64753472222</v>
      </c>
      <c r="C2062" s="1" t="n">
        <v>45998</v>
      </c>
      <c r="D2062" t="inlineStr">
        <is>
          <t>VÄSTMANLANDS LÄN</t>
        </is>
      </c>
      <c r="E2062" t="inlineStr">
        <is>
          <t>SKINNSKATTEBERG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61717-2024</t>
        </is>
      </c>
      <c r="B2063" s="1" t="n">
        <v>45648</v>
      </c>
      <c r="C2063" s="1" t="n">
        <v>45998</v>
      </c>
      <c r="D2063" t="inlineStr">
        <is>
          <t>VÄSTMANLANDS LÄN</t>
        </is>
      </c>
      <c r="E2063" t="inlineStr">
        <is>
          <t>SALA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41676-2025</t>
        </is>
      </c>
      <c r="B2064" s="1" t="n">
        <v>45902.37306712963</v>
      </c>
      <c r="C2064" s="1" t="n">
        <v>45998</v>
      </c>
      <c r="D2064" t="inlineStr">
        <is>
          <t>VÄSTMANLANDS LÄN</t>
        </is>
      </c>
      <c r="E2064" t="inlineStr">
        <is>
          <t>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41959-2025</t>
        </is>
      </c>
      <c r="B2065" s="1" t="n">
        <v>45903.46909722222</v>
      </c>
      <c r="C2065" s="1" t="n">
        <v>45998</v>
      </c>
      <c r="D2065" t="inlineStr">
        <is>
          <t>VÄSTMANLANDS LÄN</t>
        </is>
      </c>
      <c r="E2065" t="inlineStr">
        <is>
          <t>KÖPING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7953-2024</t>
        </is>
      </c>
      <c r="B2066" s="1" t="n">
        <v>45350</v>
      </c>
      <c r="C2066" s="1" t="n">
        <v>45998</v>
      </c>
      <c r="D2066" t="inlineStr">
        <is>
          <t>VÄSTMANLANDS LÄN</t>
        </is>
      </c>
      <c r="E2066" t="inlineStr">
        <is>
          <t>SALA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41965-2025</t>
        </is>
      </c>
      <c r="B2067" s="1" t="n">
        <v>45903.47314814815</v>
      </c>
      <c r="C2067" s="1" t="n">
        <v>45998</v>
      </c>
      <c r="D2067" t="inlineStr">
        <is>
          <t>VÄSTMANLANDS LÄN</t>
        </is>
      </c>
      <c r="E2067" t="inlineStr">
        <is>
          <t>KÖPING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56726-2025</t>
        </is>
      </c>
      <c r="B2068" s="1" t="n">
        <v>45978.31872685185</v>
      </c>
      <c r="C2068" s="1" t="n">
        <v>45998</v>
      </c>
      <c r="D2068" t="inlineStr">
        <is>
          <t>VÄSTMANLANDS LÄN</t>
        </is>
      </c>
      <c r="E2068" t="inlineStr">
        <is>
          <t>NORBERG</t>
        </is>
      </c>
      <c r="F2068" t="inlineStr">
        <is>
          <t>Övriga Aktiebolag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42309-2025</t>
        </is>
      </c>
      <c r="B2069" s="1" t="n">
        <v>45904.65384259259</v>
      </c>
      <c r="C2069" s="1" t="n">
        <v>45998</v>
      </c>
      <c r="D2069" t="inlineStr">
        <is>
          <t>VÄSTMANLANDS LÄN</t>
        </is>
      </c>
      <c r="E2069" t="inlineStr">
        <is>
          <t>SKINNSKATTEBERG</t>
        </is>
      </c>
      <c r="F2069" t="inlineStr">
        <is>
          <t>Sveaskog</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48339-2025</t>
        </is>
      </c>
      <c r="B2070" s="1" t="n">
        <v>45933.64113425926</v>
      </c>
      <c r="C2070" s="1" t="n">
        <v>45998</v>
      </c>
      <c r="D2070" t="inlineStr">
        <is>
          <t>VÄSTMANLANDS LÄN</t>
        </is>
      </c>
      <c r="E2070" t="inlineStr">
        <is>
          <t>VÄSTERÅS</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41920-2025</t>
        </is>
      </c>
      <c r="B2071" s="1" t="n">
        <v>45903.42475694444</v>
      </c>
      <c r="C2071" s="1" t="n">
        <v>45998</v>
      </c>
      <c r="D2071" t="inlineStr">
        <is>
          <t>VÄSTMANLANDS LÄN</t>
        </is>
      </c>
      <c r="E2071" t="inlineStr">
        <is>
          <t>VÄSTERÅS</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48710-2025</t>
        </is>
      </c>
      <c r="B2072" s="1" t="n">
        <v>45936.63184027778</v>
      </c>
      <c r="C2072" s="1" t="n">
        <v>45998</v>
      </c>
      <c r="D2072" t="inlineStr">
        <is>
          <t>VÄSTMANLANDS LÄN</t>
        </is>
      </c>
      <c r="E2072" t="inlineStr">
        <is>
          <t>SALA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48276-2025</t>
        </is>
      </c>
      <c r="B2073" s="1" t="n">
        <v>45933.57945601852</v>
      </c>
      <c r="C2073" s="1" t="n">
        <v>45998</v>
      </c>
      <c r="D2073" t="inlineStr">
        <is>
          <t>VÄSTMANLANDS LÄN</t>
        </is>
      </c>
      <c r="E2073" t="inlineStr">
        <is>
          <t>KÖPING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42905-2025</t>
        </is>
      </c>
      <c r="B2074" s="1" t="n">
        <v>45908.6871875</v>
      </c>
      <c r="C2074" s="1" t="n">
        <v>45998</v>
      </c>
      <c r="D2074" t="inlineStr">
        <is>
          <t>VÄSTMANLANDS LÄN</t>
        </is>
      </c>
      <c r="E2074" t="inlineStr">
        <is>
          <t>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21968-2024</t>
        </is>
      </c>
      <c r="B2075" s="1" t="n">
        <v>45443</v>
      </c>
      <c r="C2075" s="1" t="n">
        <v>45998</v>
      </c>
      <c r="D2075" t="inlineStr">
        <is>
          <t>VÄSTMANLANDS LÄN</t>
        </is>
      </c>
      <c r="E2075" t="inlineStr">
        <is>
          <t>SALA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42640-2025</t>
        </is>
      </c>
      <c r="B2076" s="1" t="n">
        <v>45905.91143518518</v>
      </c>
      <c r="C2076" s="1" t="n">
        <v>45998</v>
      </c>
      <c r="D2076" t="inlineStr">
        <is>
          <t>VÄSTMANLANDS LÄN</t>
        </is>
      </c>
      <c r="E2076" t="inlineStr">
        <is>
          <t>KÖPING</t>
        </is>
      </c>
      <c r="F2076" t="inlineStr">
        <is>
          <t>Sveaskog</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48121-2025</t>
        </is>
      </c>
      <c r="B2077" s="1" t="n">
        <v>45933.36171296296</v>
      </c>
      <c r="C2077" s="1" t="n">
        <v>45998</v>
      </c>
      <c r="D2077" t="inlineStr">
        <is>
          <t>VÄSTMANLANDS LÄN</t>
        </is>
      </c>
      <c r="E2077" t="inlineStr">
        <is>
          <t>ARBOGA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56936-2025</t>
        </is>
      </c>
      <c r="B2078" s="1" t="n">
        <v>45978.61762731482</v>
      </c>
      <c r="C2078" s="1" t="n">
        <v>45998</v>
      </c>
      <c r="D2078" t="inlineStr">
        <is>
          <t>VÄSTMANLANDS LÄN</t>
        </is>
      </c>
      <c r="E2078" t="inlineStr">
        <is>
          <t>KÖPING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42429-2025</t>
        </is>
      </c>
      <c r="B2079" s="1" t="n">
        <v>45905.42334490741</v>
      </c>
      <c r="C2079" s="1" t="n">
        <v>45998</v>
      </c>
      <c r="D2079" t="inlineStr">
        <is>
          <t>VÄSTMANLANDS LÄN</t>
        </is>
      </c>
      <c r="E2079" t="inlineStr">
        <is>
          <t>SKINNSKATTEBERG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56400-2025</t>
        </is>
      </c>
      <c r="B2080" s="1" t="n">
        <v>45974</v>
      </c>
      <c r="C2080" s="1" t="n">
        <v>45998</v>
      </c>
      <c r="D2080" t="inlineStr">
        <is>
          <t>VÄSTMANLANDS LÄN</t>
        </is>
      </c>
      <c r="E2080" t="inlineStr">
        <is>
          <t>NORBERG</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48537-2025</t>
        </is>
      </c>
      <c r="B2081" s="1" t="n">
        <v>45936.41018518519</v>
      </c>
      <c r="C2081" s="1" t="n">
        <v>45998</v>
      </c>
      <c r="D2081" t="inlineStr">
        <is>
          <t>VÄSTMANLANDS LÄN</t>
        </is>
      </c>
      <c r="E2081" t="inlineStr">
        <is>
          <t>ARBOGA</t>
        </is>
      </c>
      <c r="F2081" t="inlineStr">
        <is>
          <t>Allmännings- och besparingsskogar</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23418-2025</t>
        </is>
      </c>
      <c r="B2082" s="1" t="n">
        <v>45792.35083333333</v>
      </c>
      <c r="C2082" s="1" t="n">
        <v>45998</v>
      </c>
      <c r="D2082" t="inlineStr">
        <is>
          <t>VÄSTMANLANDS LÄN</t>
        </is>
      </c>
      <c r="E2082" t="inlineStr">
        <is>
          <t>NORBERG</t>
        </is>
      </c>
      <c r="F2082" t="inlineStr">
        <is>
          <t>Övriga Aktiebolag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42894-2025</t>
        </is>
      </c>
      <c r="B2083" s="1" t="n">
        <v>45908.66902777777</v>
      </c>
      <c r="C2083" s="1" t="n">
        <v>45998</v>
      </c>
      <c r="D2083" t="inlineStr">
        <is>
          <t>VÄSTMANLANDS LÄN</t>
        </is>
      </c>
      <c r="E2083" t="inlineStr">
        <is>
          <t>VÄSTERÅS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42899-2025</t>
        </is>
      </c>
      <c r="B2084" s="1" t="n">
        <v>45908.6750925926</v>
      </c>
      <c r="C2084" s="1" t="n">
        <v>45998</v>
      </c>
      <c r="D2084" t="inlineStr">
        <is>
          <t>VÄSTMANLANDS LÄN</t>
        </is>
      </c>
      <c r="E2084" t="inlineStr">
        <is>
          <t>VÄSTERÅS</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23433-2025</t>
        </is>
      </c>
      <c r="B2085" s="1" t="n">
        <v>45792.36696759259</v>
      </c>
      <c r="C2085" s="1" t="n">
        <v>45998</v>
      </c>
      <c r="D2085" t="inlineStr">
        <is>
          <t>VÄSTMANLANDS LÄN</t>
        </is>
      </c>
      <c r="E2085" t="inlineStr">
        <is>
          <t>NORBERG</t>
        </is>
      </c>
      <c r="F2085" t="inlineStr">
        <is>
          <t>Övriga Aktiebolag</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48317-2025</t>
        </is>
      </c>
      <c r="B2086" s="1" t="n">
        <v>45933.62094907407</v>
      </c>
      <c r="C2086" s="1" t="n">
        <v>45998</v>
      </c>
      <c r="D2086" t="inlineStr">
        <is>
          <t>VÄSTMANLANDS LÄN</t>
        </is>
      </c>
      <c r="E2086" t="inlineStr">
        <is>
          <t>KÖPING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48319-2025</t>
        </is>
      </c>
      <c r="B2087" s="1" t="n">
        <v>45933.62429398148</v>
      </c>
      <c r="C2087" s="1" t="n">
        <v>45998</v>
      </c>
      <c r="D2087" t="inlineStr">
        <is>
          <t>VÄSTMANLANDS LÄN</t>
        </is>
      </c>
      <c r="E2087" t="inlineStr">
        <is>
          <t>KÖPING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42704-2025</t>
        </is>
      </c>
      <c r="B2088" s="1" t="n">
        <v>45908.36978009259</v>
      </c>
      <c r="C2088" s="1" t="n">
        <v>45998</v>
      </c>
      <c r="D2088" t="inlineStr">
        <is>
          <t>VÄSTMANLANDS LÄN</t>
        </is>
      </c>
      <c r="E2088" t="inlineStr">
        <is>
          <t>NORBERG</t>
        </is>
      </c>
      <c r="F2088" t="inlineStr">
        <is>
          <t>Övriga Aktiebolag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1814-2023</t>
        </is>
      </c>
      <c r="B2089" s="1" t="n">
        <v>44938.65002314815</v>
      </c>
      <c r="C2089" s="1" t="n">
        <v>45998</v>
      </c>
      <c r="D2089" t="inlineStr">
        <is>
          <t>VÄSTMANLANDS LÄN</t>
        </is>
      </c>
      <c r="E2089" t="inlineStr">
        <is>
          <t>NORBERG</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5477-2024</t>
        </is>
      </c>
      <c r="B2090" s="1" t="n">
        <v>45333.67833333334</v>
      </c>
      <c r="C2090" s="1" t="n">
        <v>45998</v>
      </c>
      <c r="D2090" t="inlineStr">
        <is>
          <t>VÄSTMANLANDS LÄN</t>
        </is>
      </c>
      <c r="E2090" t="inlineStr">
        <is>
          <t>SALA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1360-2024</t>
        </is>
      </c>
      <c r="B2091" s="1" t="n">
        <v>45303.50130787037</v>
      </c>
      <c r="C2091" s="1" t="n">
        <v>45998</v>
      </c>
      <c r="D2091" t="inlineStr">
        <is>
          <t>VÄSTMANLANDS LÄN</t>
        </is>
      </c>
      <c r="E2091" t="inlineStr">
        <is>
          <t>KÖPING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28941-2024</t>
        </is>
      </c>
      <c r="B2092" s="1" t="n">
        <v>45480</v>
      </c>
      <c r="C2092" s="1" t="n">
        <v>45998</v>
      </c>
      <c r="D2092" t="inlineStr">
        <is>
          <t>VÄSTMANLANDS LÄN</t>
        </is>
      </c>
      <c r="E2092" t="inlineStr">
        <is>
          <t>SKINNSKATTEBERG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895-2025</t>
        </is>
      </c>
      <c r="B2093" s="1" t="n">
        <v>45665</v>
      </c>
      <c r="C2093" s="1" t="n">
        <v>45998</v>
      </c>
      <c r="D2093" t="inlineStr">
        <is>
          <t>VÄSTMANLANDS LÄN</t>
        </is>
      </c>
      <c r="E2093" t="inlineStr">
        <is>
          <t>KÖPING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42421-2025</t>
        </is>
      </c>
      <c r="B2094" s="1" t="n">
        <v>45905.40067129629</v>
      </c>
      <c r="C2094" s="1" t="n">
        <v>45998</v>
      </c>
      <c r="D2094" t="inlineStr">
        <is>
          <t>VÄSTMANLANDS LÄN</t>
        </is>
      </c>
      <c r="E2094" t="inlineStr">
        <is>
          <t>SALA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42637-2025</t>
        </is>
      </c>
      <c r="B2095" s="1" t="n">
        <v>45905.90875</v>
      </c>
      <c r="C2095" s="1" t="n">
        <v>45998</v>
      </c>
      <c r="D2095" t="inlineStr">
        <is>
          <t>VÄSTMANLANDS LÄN</t>
        </is>
      </c>
      <c r="E2095" t="inlineStr">
        <is>
          <t>KÖPING</t>
        </is>
      </c>
      <c r="F2095" t="inlineStr">
        <is>
          <t>Sveaskog</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42638-2025</t>
        </is>
      </c>
      <c r="B2096" s="1" t="n">
        <v>45905.90976851852</v>
      </c>
      <c r="C2096" s="1" t="n">
        <v>45998</v>
      </c>
      <c r="D2096" t="inlineStr">
        <is>
          <t>VÄSTMANLANDS LÄN</t>
        </is>
      </c>
      <c r="E2096" t="inlineStr">
        <is>
          <t>KÖPING</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34436-2024</t>
        </is>
      </c>
      <c r="B2097" s="1" t="n">
        <v>45525.53819444445</v>
      </c>
      <c r="C2097" s="1" t="n">
        <v>45998</v>
      </c>
      <c r="D2097" t="inlineStr">
        <is>
          <t>VÄSTMANLANDS LÄN</t>
        </is>
      </c>
      <c r="E2097" t="inlineStr">
        <is>
          <t>KÖPING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42639-2025</t>
        </is>
      </c>
      <c r="B2098" s="1" t="n">
        <v>45905.91082175926</v>
      </c>
      <c r="C2098" s="1" t="n">
        <v>45998</v>
      </c>
      <c r="D2098" t="inlineStr">
        <is>
          <t>VÄSTMANLANDS LÄN</t>
        </is>
      </c>
      <c r="E2098" t="inlineStr">
        <is>
          <t>KÖPING</t>
        </is>
      </c>
      <c r="F2098" t="inlineStr">
        <is>
          <t>Sveaskog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42641-2025</t>
        </is>
      </c>
      <c r="B2099" s="1" t="n">
        <v>45905.92460648148</v>
      </c>
      <c r="C2099" s="1" t="n">
        <v>45998</v>
      </c>
      <c r="D2099" t="inlineStr">
        <is>
          <t>VÄSTMANLANDS LÄN</t>
        </is>
      </c>
      <c r="E2099" t="inlineStr">
        <is>
          <t>KÖPING</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38154-2021</t>
        </is>
      </c>
      <c r="B2100" s="1" t="n">
        <v>44405.42373842592</v>
      </c>
      <c r="C2100" s="1" t="n">
        <v>45998</v>
      </c>
      <c r="D2100" t="inlineStr">
        <is>
          <t>VÄSTMANLANDS LÄN</t>
        </is>
      </c>
      <c r="E2100" t="inlineStr">
        <is>
          <t>SURAHAMMAR</t>
        </is>
      </c>
      <c r="F2100" t="inlineStr">
        <is>
          <t>Sveaskog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22285-2025</t>
        </is>
      </c>
      <c r="B2101" s="1" t="n">
        <v>45786</v>
      </c>
      <c r="C2101" s="1" t="n">
        <v>45998</v>
      </c>
      <c r="D2101" t="inlineStr">
        <is>
          <t>VÄSTMANLANDS LÄN</t>
        </is>
      </c>
      <c r="E2101" t="inlineStr">
        <is>
          <t>SKINNSKATTEBERG</t>
        </is>
      </c>
      <c r="F2101" t="inlineStr">
        <is>
          <t>Sveaskog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42433-2025</t>
        </is>
      </c>
      <c r="B2102" s="1" t="n">
        <v>45905.42670138889</v>
      </c>
      <c r="C2102" s="1" t="n">
        <v>45998</v>
      </c>
      <c r="D2102" t="inlineStr">
        <is>
          <t>VÄSTMANLANDS LÄN</t>
        </is>
      </c>
      <c r="E2102" t="inlineStr">
        <is>
          <t>SKINNSKATTEBERG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22079-2024</t>
        </is>
      </c>
      <c r="B2103" s="1" t="n">
        <v>45443</v>
      </c>
      <c r="C2103" s="1" t="n">
        <v>45998</v>
      </c>
      <c r="D2103" t="inlineStr">
        <is>
          <t>VÄSTMANLANDS LÄN</t>
        </is>
      </c>
      <c r="E2103" t="inlineStr">
        <is>
          <t>SKINNSKATTEBERG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24169-2025</t>
        </is>
      </c>
      <c r="B2104" s="1" t="n">
        <v>45796</v>
      </c>
      <c r="C2104" s="1" t="n">
        <v>45998</v>
      </c>
      <c r="D2104" t="inlineStr">
        <is>
          <t>VÄSTMANLANDS LÄN</t>
        </is>
      </c>
      <c r="E2104" t="inlineStr">
        <is>
          <t>SALA</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24244-2025</t>
        </is>
      </c>
      <c r="B2105" s="1" t="n">
        <v>45796</v>
      </c>
      <c r="C2105" s="1" t="n">
        <v>45998</v>
      </c>
      <c r="D2105" t="inlineStr">
        <is>
          <t>VÄSTMANLANDS LÄN</t>
        </is>
      </c>
      <c r="E2105" t="inlineStr">
        <is>
          <t>ARBOGA</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68237-2021</t>
        </is>
      </c>
      <c r="B2106" s="1" t="n">
        <v>44526</v>
      </c>
      <c r="C2106" s="1" t="n">
        <v>45998</v>
      </c>
      <c r="D2106" t="inlineStr">
        <is>
          <t>VÄSTMANLANDS LÄN</t>
        </is>
      </c>
      <c r="E2106" t="inlineStr">
        <is>
          <t>ARBOGA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22126-2025</t>
        </is>
      </c>
      <c r="B2107" s="1" t="n">
        <v>45785</v>
      </c>
      <c r="C2107" s="1" t="n">
        <v>45998</v>
      </c>
      <c r="D2107" t="inlineStr">
        <is>
          <t>VÄSTMANLANDS LÄN</t>
        </is>
      </c>
      <c r="E2107" t="inlineStr">
        <is>
          <t>SALA</t>
        </is>
      </c>
      <c r="G2107" t="n">
        <v>10.6</v>
      </c>
      <c r="H2107" t="n">
        <v>0</v>
      </c>
      <c r="I2107" t="n">
        <v>0</v>
      </c>
      <c r="J2107" t="n">
        <v>0</v>
      </c>
      <c r="K2107" t="n">
        <v>0</v>
      </c>
      <c r="L2107" t="n">
        <v>0</v>
      </c>
      <c r="M2107" t="n">
        <v>0</v>
      </c>
      <c r="N2107" t="n">
        <v>0</v>
      </c>
      <c r="O2107" t="n">
        <v>0</v>
      </c>
      <c r="P2107" t="n">
        <v>0</v>
      </c>
      <c r="Q2107" t="n">
        <v>0</v>
      </c>
      <c r="R2107" s="2" t="inlineStr"/>
    </row>
    <row r="2108" ht="15" customHeight="1">
      <c r="A2108" t="inlineStr">
        <is>
          <t>A 23810-2025</t>
        </is>
      </c>
      <c r="B2108" s="1" t="n">
        <v>45793.56989583333</v>
      </c>
      <c r="C2108" s="1" t="n">
        <v>45998</v>
      </c>
      <c r="D2108" t="inlineStr">
        <is>
          <t>VÄSTMANLANDS LÄN</t>
        </is>
      </c>
      <c r="E2108" t="inlineStr">
        <is>
          <t>SALA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43028-2025</t>
        </is>
      </c>
      <c r="B2109" s="1" t="n">
        <v>45909.53472222222</v>
      </c>
      <c r="C2109" s="1" t="n">
        <v>45998</v>
      </c>
      <c r="D2109" t="inlineStr">
        <is>
          <t>VÄSTMANLANDS LÄN</t>
        </is>
      </c>
      <c r="E2109" t="inlineStr">
        <is>
          <t>SALA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43255-2025</t>
        </is>
      </c>
      <c r="B2110" s="1" t="n">
        <v>45910.55325231481</v>
      </c>
      <c r="C2110" s="1" t="n">
        <v>45998</v>
      </c>
      <c r="D2110" t="inlineStr">
        <is>
          <t>VÄSTMANLANDS LÄN</t>
        </is>
      </c>
      <c r="E2110" t="inlineStr">
        <is>
          <t>SURAHAMMAR</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16447-2022</t>
        </is>
      </c>
      <c r="B2111" s="1" t="n">
        <v>44671</v>
      </c>
      <c r="C2111" s="1" t="n">
        <v>45998</v>
      </c>
      <c r="D2111" t="inlineStr">
        <is>
          <t>VÄSTMANLANDS LÄN</t>
        </is>
      </c>
      <c r="E2111" t="inlineStr">
        <is>
          <t>ARBOGA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42994-2025</t>
        </is>
      </c>
      <c r="B2112" s="1" t="n">
        <v>45909.45351851852</v>
      </c>
      <c r="C2112" s="1" t="n">
        <v>45998</v>
      </c>
      <c r="D2112" t="inlineStr">
        <is>
          <t>VÄSTMANLANDS LÄN</t>
        </is>
      </c>
      <c r="E2112" t="inlineStr">
        <is>
          <t>HALLSTAHAMMAR</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42991-2025</t>
        </is>
      </c>
      <c r="B2113" s="1" t="n">
        <v>45909.45190972222</v>
      </c>
      <c r="C2113" s="1" t="n">
        <v>45998</v>
      </c>
      <c r="D2113" t="inlineStr">
        <is>
          <t>VÄSTMANLANDS LÄN</t>
        </is>
      </c>
      <c r="E2113" t="inlineStr">
        <is>
          <t>HALLSTAHAMMAR</t>
        </is>
      </c>
      <c r="G2113" t="n">
        <v>7.2</v>
      </c>
      <c r="H2113" t="n">
        <v>0</v>
      </c>
      <c r="I2113" t="n">
        <v>0</v>
      </c>
      <c r="J2113" t="n">
        <v>0</v>
      </c>
      <c r="K2113" t="n">
        <v>0</v>
      </c>
      <c r="L2113" t="n">
        <v>0</v>
      </c>
      <c r="M2113" t="n">
        <v>0</v>
      </c>
      <c r="N2113" t="n">
        <v>0</v>
      </c>
      <c r="O2113" t="n">
        <v>0</v>
      </c>
      <c r="P2113" t="n">
        <v>0</v>
      </c>
      <c r="Q2113" t="n">
        <v>0</v>
      </c>
      <c r="R2113" s="2" t="inlineStr"/>
    </row>
    <row r="2114" ht="15" customHeight="1">
      <c r="A2114" t="inlineStr">
        <is>
          <t>A 24023-2025</t>
        </is>
      </c>
      <c r="B2114" s="1" t="n">
        <v>45796</v>
      </c>
      <c r="C2114" s="1" t="n">
        <v>45998</v>
      </c>
      <c r="D2114" t="inlineStr">
        <is>
          <t>VÄSTMANLANDS LÄN</t>
        </is>
      </c>
      <c r="E2114" t="inlineStr">
        <is>
          <t>KUNGSÖR</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43171-2025</t>
        </is>
      </c>
      <c r="B2115" s="1" t="n">
        <v>45910</v>
      </c>
      <c r="C2115" s="1" t="n">
        <v>45998</v>
      </c>
      <c r="D2115" t="inlineStr">
        <is>
          <t>VÄSTMANLANDS LÄN</t>
        </is>
      </c>
      <c r="E2115" t="inlineStr">
        <is>
          <t>KÖPING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31107-2025</t>
        </is>
      </c>
      <c r="B2116" s="1" t="n">
        <v>45831</v>
      </c>
      <c r="C2116" s="1" t="n">
        <v>45998</v>
      </c>
      <c r="D2116" t="inlineStr">
        <is>
          <t>VÄSTMANLANDS LÄN</t>
        </is>
      </c>
      <c r="E2116" t="inlineStr">
        <is>
          <t>SURAHAMMAR</t>
        </is>
      </c>
      <c r="F2116" t="inlineStr">
        <is>
          <t>Kommuner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14158-2025</t>
        </is>
      </c>
      <c r="B2117" s="1" t="n">
        <v>45740.50280092593</v>
      </c>
      <c r="C2117" s="1" t="n">
        <v>45998</v>
      </c>
      <c r="D2117" t="inlineStr">
        <is>
          <t>VÄSTMANLANDS LÄN</t>
        </is>
      </c>
      <c r="E2117" t="inlineStr">
        <is>
          <t>NORBERG</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43328-2025</t>
        </is>
      </c>
      <c r="B2118" s="1" t="n">
        <v>45910</v>
      </c>
      <c r="C2118" s="1" t="n">
        <v>45998</v>
      </c>
      <c r="D2118" t="inlineStr">
        <is>
          <t>VÄSTMANLANDS LÄN</t>
        </is>
      </c>
      <c r="E2118" t="inlineStr">
        <is>
          <t>SALA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24944-2023</t>
        </is>
      </c>
      <c r="B2119" s="1" t="n">
        <v>45085</v>
      </c>
      <c r="C2119" s="1" t="n">
        <v>45998</v>
      </c>
      <c r="D2119" t="inlineStr">
        <is>
          <t>VÄSTMANLANDS LÄN</t>
        </is>
      </c>
      <c r="E2119" t="inlineStr">
        <is>
          <t>SALA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28058-2024</t>
        </is>
      </c>
      <c r="B2120" s="1" t="n">
        <v>45476.56349537037</v>
      </c>
      <c r="C2120" s="1" t="n">
        <v>45998</v>
      </c>
      <c r="D2120" t="inlineStr">
        <is>
          <t>VÄSTMANLANDS LÄN</t>
        </is>
      </c>
      <c r="E2120" t="inlineStr">
        <is>
          <t>SKINNSKATTEBERG</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38345-2024</t>
        </is>
      </c>
      <c r="B2121" s="1" t="n">
        <v>45545</v>
      </c>
      <c r="C2121" s="1" t="n">
        <v>45998</v>
      </c>
      <c r="D2121" t="inlineStr">
        <is>
          <t>VÄSTMANLANDS LÄN</t>
        </is>
      </c>
      <c r="E2121" t="inlineStr">
        <is>
          <t>VÄSTERÅS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55801-2024</t>
        </is>
      </c>
      <c r="B2122" s="1" t="n">
        <v>45623.44805555556</v>
      </c>
      <c r="C2122" s="1" t="n">
        <v>45998</v>
      </c>
      <c r="D2122" t="inlineStr">
        <is>
          <t>VÄSTMANLANDS LÄN</t>
        </is>
      </c>
      <c r="E2122" t="inlineStr">
        <is>
          <t>VÄSTERÅS</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19420-2024</t>
        </is>
      </c>
      <c r="B2123" s="1" t="n">
        <v>45429.42680555556</v>
      </c>
      <c r="C2123" s="1" t="n">
        <v>45998</v>
      </c>
      <c r="D2123" t="inlineStr">
        <is>
          <t>VÄSTMANLANDS LÄN</t>
        </is>
      </c>
      <c r="E2123" t="inlineStr">
        <is>
          <t>KUNGSÖR</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65255-2023</t>
        </is>
      </c>
      <c r="B2124" s="1" t="n">
        <v>45290.69128472222</v>
      </c>
      <c r="C2124" s="1" t="n">
        <v>45998</v>
      </c>
      <c r="D2124" t="inlineStr">
        <is>
          <t>VÄSTMANLANDS LÄN</t>
        </is>
      </c>
      <c r="E2124" t="inlineStr">
        <is>
          <t>ARBOGA</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43187-2025</t>
        </is>
      </c>
      <c r="B2125" s="1" t="n">
        <v>45910</v>
      </c>
      <c r="C2125" s="1" t="n">
        <v>45998</v>
      </c>
      <c r="D2125" t="inlineStr">
        <is>
          <t>VÄSTMANLANDS LÄN</t>
        </is>
      </c>
      <c r="E2125" t="inlineStr">
        <is>
          <t>KÖPING</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43190-2025</t>
        </is>
      </c>
      <c r="B2126" s="1" t="n">
        <v>45910.41498842592</v>
      </c>
      <c r="C2126" s="1" t="n">
        <v>45998</v>
      </c>
      <c r="D2126" t="inlineStr">
        <is>
          <t>VÄSTMANLANDS LÄN</t>
        </is>
      </c>
      <c r="E2126" t="inlineStr">
        <is>
          <t>SKINNSKATTEBERG</t>
        </is>
      </c>
      <c r="F2126" t="inlineStr">
        <is>
          <t>Sveaskog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60754-2024</t>
        </is>
      </c>
      <c r="B2127" s="1" t="n">
        <v>45644</v>
      </c>
      <c r="C2127" s="1" t="n">
        <v>45998</v>
      </c>
      <c r="D2127" t="inlineStr">
        <is>
          <t>VÄSTMANLANDS LÄN</t>
        </is>
      </c>
      <c r="E2127" t="inlineStr">
        <is>
          <t>KUNGSÖR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35051-2024</t>
        </is>
      </c>
      <c r="B2128" s="1" t="n">
        <v>45527</v>
      </c>
      <c r="C2128" s="1" t="n">
        <v>45998</v>
      </c>
      <c r="D2128" t="inlineStr">
        <is>
          <t>VÄSTMANLANDS LÄN</t>
        </is>
      </c>
      <c r="E2128" t="inlineStr">
        <is>
          <t>SKINNSKATTEBERG</t>
        </is>
      </c>
      <c r="F2128" t="inlineStr">
        <is>
          <t>Sveaskog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43245-2025</t>
        </is>
      </c>
      <c r="B2129" s="1" t="n">
        <v>45910.54754629629</v>
      </c>
      <c r="C2129" s="1" t="n">
        <v>45998</v>
      </c>
      <c r="D2129" t="inlineStr">
        <is>
          <t>VÄSTMANLANDS LÄN</t>
        </is>
      </c>
      <c r="E2129" t="inlineStr">
        <is>
          <t>KÖPING</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26507-2023</t>
        </is>
      </c>
      <c r="B2130" s="1" t="n">
        <v>45092</v>
      </c>
      <c r="C2130" s="1" t="n">
        <v>45998</v>
      </c>
      <c r="D2130" t="inlineStr">
        <is>
          <t>VÄSTMANLANDS LÄN</t>
        </is>
      </c>
      <c r="E2130" t="inlineStr">
        <is>
          <t>SALA</t>
        </is>
      </c>
      <c r="F2130" t="inlineStr">
        <is>
          <t>Sveaskog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43249-2025</t>
        </is>
      </c>
      <c r="B2131" s="1" t="n">
        <v>45910.55059027778</v>
      </c>
      <c r="C2131" s="1" t="n">
        <v>45998</v>
      </c>
      <c r="D2131" t="inlineStr">
        <is>
          <t>VÄSTMANLANDS LÄN</t>
        </is>
      </c>
      <c r="E2131" t="inlineStr">
        <is>
          <t>SURAHAMMAR</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43174-2025</t>
        </is>
      </c>
      <c r="B2132" s="1" t="n">
        <v>45910</v>
      </c>
      <c r="C2132" s="1" t="n">
        <v>45998</v>
      </c>
      <c r="D2132" t="inlineStr">
        <is>
          <t>VÄSTMANLANDS LÄN</t>
        </is>
      </c>
      <c r="E2132" t="inlineStr">
        <is>
          <t>KÖPING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43175-2025</t>
        </is>
      </c>
      <c r="B2133" s="1" t="n">
        <v>45910.4034837963</v>
      </c>
      <c r="C2133" s="1" t="n">
        <v>45998</v>
      </c>
      <c r="D2133" t="inlineStr">
        <is>
          <t>VÄSTMANLANDS LÄN</t>
        </is>
      </c>
      <c r="E2133" t="inlineStr">
        <is>
          <t>SKINNSKATTEBERG</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43031-2025</t>
        </is>
      </c>
      <c r="B2134" s="1" t="n">
        <v>45909.53856481481</v>
      </c>
      <c r="C2134" s="1" t="n">
        <v>45998</v>
      </c>
      <c r="D2134" t="inlineStr">
        <is>
          <t>VÄSTMANLANDS LÄN</t>
        </is>
      </c>
      <c r="E2134" t="inlineStr">
        <is>
          <t>SALA</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24145-2025</t>
        </is>
      </c>
      <c r="B2135" s="1" t="n">
        <v>45796.64483796297</v>
      </c>
      <c r="C2135" s="1" t="n">
        <v>45998</v>
      </c>
      <c r="D2135" t="inlineStr">
        <is>
          <t>VÄSTMANLANDS LÄN</t>
        </is>
      </c>
      <c r="E2135" t="inlineStr">
        <is>
          <t>ARBOGA</t>
        </is>
      </c>
      <c r="F2135" t="inlineStr">
        <is>
          <t>Sveaskog</t>
        </is>
      </c>
      <c r="G2135" t="n">
        <v>7.8</v>
      </c>
      <c r="H2135" t="n">
        <v>0</v>
      </c>
      <c r="I2135" t="n">
        <v>0</v>
      </c>
      <c r="J2135" t="n">
        <v>0</v>
      </c>
      <c r="K2135" t="n">
        <v>0</v>
      </c>
      <c r="L2135" t="n">
        <v>0</v>
      </c>
      <c r="M2135" t="n">
        <v>0</v>
      </c>
      <c r="N2135" t="n">
        <v>0</v>
      </c>
      <c r="O2135" t="n">
        <v>0</v>
      </c>
      <c r="P2135" t="n">
        <v>0</v>
      </c>
      <c r="Q2135" t="n">
        <v>0</v>
      </c>
      <c r="R2135" s="2" t="inlineStr"/>
    </row>
    <row r="2136" ht="15" customHeight="1">
      <c r="A2136" t="inlineStr">
        <is>
          <t>A 17495-2024</t>
        </is>
      </c>
      <c r="B2136" s="1" t="n">
        <v>45415</v>
      </c>
      <c r="C2136" s="1" t="n">
        <v>45998</v>
      </c>
      <c r="D2136" t="inlineStr">
        <is>
          <t>VÄSTMANLANDS LÄN</t>
        </is>
      </c>
      <c r="E2136" t="inlineStr">
        <is>
          <t>SALA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37263-2025</t>
        </is>
      </c>
      <c r="B2137" s="1" t="n">
        <v>45876.4584837963</v>
      </c>
      <c r="C2137" s="1" t="n">
        <v>45998</v>
      </c>
      <c r="D2137" t="inlineStr">
        <is>
          <t>VÄSTMANLANDS LÄN</t>
        </is>
      </c>
      <c r="E2137" t="inlineStr">
        <is>
          <t>SALA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23804-2025</t>
        </is>
      </c>
      <c r="B2138" s="1" t="n">
        <v>45793.55995370371</v>
      </c>
      <c r="C2138" s="1" t="n">
        <v>45998</v>
      </c>
      <c r="D2138" t="inlineStr">
        <is>
          <t>VÄSTMANLANDS LÄN</t>
        </is>
      </c>
      <c r="E2138" t="inlineStr">
        <is>
          <t>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43179-2025</t>
        </is>
      </c>
      <c r="B2139" s="1" t="n">
        <v>45910</v>
      </c>
      <c r="C2139" s="1" t="n">
        <v>45998</v>
      </c>
      <c r="D2139" t="inlineStr">
        <is>
          <t>VÄSTMANLANDS LÄN</t>
        </is>
      </c>
      <c r="E2139" t="inlineStr">
        <is>
          <t>KÖPING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6680-2023</t>
        </is>
      </c>
      <c r="B2140" s="1" t="n">
        <v>44966</v>
      </c>
      <c r="C2140" s="1" t="n">
        <v>45998</v>
      </c>
      <c r="D2140" t="inlineStr">
        <is>
          <t>VÄSTMANLANDS LÄN</t>
        </is>
      </c>
      <c r="E2140" t="inlineStr">
        <is>
          <t>ARBOGA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40554-2025</t>
        </is>
      </c>
      <c r="B2141" s="1" t="n">
        <v>45896.44506944445</v>
      </c>
      <c r="C2141" s="1" t="n">
        <v>45998</v>
      </c>
      <c r="D2141" t="inlineStr">
        <is>
          <t>VÄSTMANLANDS LÄN</t>
        </is>
      </c>
      <c r="E2141" t="inlineStr">
        <is>
          <t>SALA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47648-2024</t>
        </is>
      </c>
      <c r="B2142" s="1" t="n">
        <v>45588.37608796296</v>
      </c>
      <c r="C2142" s="1" t="n">
        <v>45998</v>
      </c>
      <c r="D2142" t="inlineStr">
        <is>
          <t>VÄSTMANLANDS LÄN</t>
        </is>
      </c>
      <c r="E2142" t="inlineStr">
        <is>
          <t>ARBOGA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6032-2025</t>
        </is>
      </c>
      <c r="B2143" s="1" t="n">
        <v>45695.6371875</v>
      </c>
      <c r="C2143" s="1" t="n">
        <v>45998</v>
      </c>
      <c r="D2143" t="inlineStr">
        <is>
          <t>VÄSTMANLANDS LÄN</t>
        </is>
      </c>
      <c r="E2143" t="inlineStr">
        <is>
          <t>SALA</t>
        </is>
      </c>
      <c r="F2143" t="inlineStr">
        <is>
          <t>Bergvik skog öst AB</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43129-2025</t>
        </is>
      </c>
      <c r="B2144" s="1" t="n">
        <v>45909</v>
      </c>
      <c r="C2144" s="1" t="n">
        <v>45998</v>
      </c>
      <c r="D2144" t="inlineStr">
        <is>
          <t>VÄSTMANLANDS LÄN</t>
        </is>
      </c>
      <c r="E2144" t="inlineStr">
        <is>
          <t>SALA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43130-2025</t>
        </is>
      </c>
      <c r="B2145" s="1" t="n">
        <v>45909</v>
      </c>
      <c r="C2145" s="1" t="n">
        <v>45998</v>
      </c>
      <c r="D2145" t="inlineStr">
        <is>
          <t>VÄSTMANLANDS LÄN</t>
        </is>
      </c>
      <c r="E2145" t="inlineStr">
        <is>
          <t>SALA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43183-2025</t>
        </is>
      </c>
      <c r="B2146" s="1" t="n">
        <v>45910</v>
      </c>
      <c r="C2146" s="1" t="n">
        <v>45998</v>
      </c>
      <c r="D2146" t="inlineStr">
        <is>
          <t>VÄSTMANLANDS LÄN</t>
        </is>
      </c>
      <c r="E2146" t="inlineStr">
        <is>
          <t>KÖPING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43192-2025</t>
        </is>
      </c>
      <c r="B2147" s="1" t="n">
        <v>45910.42025462963</v>
      </c>
      <c r="C2147" s="1" t="n">
        <v>45998</v>
      </c>
      <c r="D2147" t="inlineStr">
        <is>
          <t>VÄSTMANLANDS LÄN</t>
        </is>
      </c>
      <c r="E2147" t="inlineStr">
        <is>
          <t>KÖPING</t>
        </is>
      </c>
      <c r="F2147" t="inlineStr">
        <is>
          <t>Sveaskog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11210-2025</t>
        </is>
      </c>
      <c r="B2148" s="1" t="n">
        <v>45726</v>
      </c>
      <c r="C2148" s="1" t="n">
        <v>45998</v>
      </c>
      <c r="D2148" t="inlineStr">
        <is>
          <t>VÄSTMANLANDS LÄN</t>
        </is>
      </c>
      <c r="E2148" t="inlineStr">
        <is>
          <t>SALA</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494-2025</t>
        </is>
      </c>
      <c r="B2149" s="1" t="n">
        <v>45660</v>
      </c>
      <c r="C2149" s="1" t="n">
        <v>45998</v>
      </c>
      <c r="D2149" t="inlineStr">
        <is>
          <t>VÄSTMANLANDS LÄN</t>
        </is>
      </c>
      <c r="E2149" t="inlineStr">
        <is>
          <t>ARBOGA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43128-2025</t>
        </is>
      </c>
      <c r="B2150" s="1" t="n">
        <v>45909</v>
      </c>
      <c r="C2150" s="1" t="n">
        <v>45998</v>
      </c>
      <c r="D2150" t="inlineStr">
        <is>
          <t>VÄSTMANLANDS LÄN</t>
        </is>
      </c>
      <c r="E2150" t="inlineStr">
        <is>
          <t>SALA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43185-2025</t>
        </is>
      </c>
      <c r="B2151" s="1" t="n">
        <v>45910.4111574074</v>
      </c>
      <c r="C2151" s="1" t="n">
        <v>45998</v>
      </c>
      <c r="D2151" t="inlineStr">
        <is>
          <t>VÄSTMANLANDS LÄN</t>
        </is>
      </c>
      <c r="E2151" t="inlineStr">
        <is>
          <t>SKINNSKATTEBERG</t>
        </is>
      </c>
      <c r="F2151" t="inlineStr">
        <is>
          <t>Sveaskog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19297-2025</t>
        </is>
      </c>
      <c r="B2152" s="1" t="n">
        <v>45769.56261574074</v>
      </c>
      <c r="C2152" s="1" t="n">
        <v>45998</v>
      </c>
      <c r="D2152" t="inlineStr">
        <is>
          <t>VÄSTMANLANDS LÄN</t>
        </is>
      </c>
      <c r="E2152" t="inlineStr">
        <is>
          <t>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43127-2025</t>
        </is>
      </c>
      <c r="B2153" s="1" t="n">
        <v>45909</v>
      </c>
      <c r="C2153" s="1" t="n">
        <v>45998</v>
      </c>
      <c r="D2153" t="inlineStr">
        <is>
          <t>VÄSTMANLANDS LÄN</t>
        </is>
      </c>
      <c r="E2153" t="inlineStr">
        <is>
          <t>SALA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8125-2023</t>
        </is>
      </c>
      <c r="B2154" s="1" t="n">
        <v>44974</v>
      </c>
      <c r="C2154" s="1" t="n">
        <v>45998</v>
      </c>
      <c r="D2154" t="inlineStr">
        <is>
          <t>VÄSTMANLANDS LÄN</t>
        </is>
      </c>
      <c r="E2154" t="inlineStr">
        <is>
          <t>ARBOGA</t>
        </is>
      </c>
      <c r="F2154" t="inlineStr">
        <is>
          <t>Allmännings- och besparingsskogar</t>
        </is>
      </c>
      <c r="G2154" t="n">
        <v>14.1</v>
      </c>
      <c r="H2154" t="n">
        <v>0</v>
      </c>
      <c r="I2154" t="n">
        <v>0</v>
      </c>
      <c r="J2154" t="n">
        <v>0</v>
      </c>
      <c r="K2154" t="n">
        <v>0</v>
      </c>
      <c r="L2154" t="n">
        <v>0</v>
      </c>
      <c r="M2154" t="n">
        <v>0</v>
      </c>
      <c r="N2154" t="n">
        <v>0</v>
      </c>
      <c r="O2154" t="n">
        <v>0</v>
      </c>
      <c r="P2154" t="n">
        <v>0</v>
      </c>
      <c r="Q2154" t="n">
        <v>0</v>
      </c>
      <c r="R2154" s="2" t="inlineStr"/>
    </row>
    <row r="2155" ht="15" customHeight="1">
      <c r="A2155" t="inlineStr">
        <is>
          <t>A 13228-2025</t>
        </is>
      </c>
      <c r="B2155" s="1" t="n">
        <v>45735.46513888889</v>
      </c>
      <c r="C2155" s="1" t="n">
        <v>45998</v>
      </c>
      <c r="D2155" t="inlineStr">
        <is>
          <t>VÄSTMANLANDS LÄN</t>
        </is>
      </c>
      <c r="E2155" t="inlineStr">
        <is>
          <t>VÄSTERÅS</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43156-2025</t>
        </is>
      </c>
      <c r="B2156" s="1" t="n">
        <v>45909</v>
      </c>
      <c r="C2156" s="1" t="n">
        <v>45998</v>
      </c>
      <c r="D2156" t="inlineStr">
        <is>
          <t>VÄSTMANLANDS LÄN</t>
        </is>
      </c>
      <c r="E2156" t="inlineStr">
        <is>
          <t>ARBOGA</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56977-2024</t>
        </is>
      </c>
      <c r="B2157" s="1" t="n">
        <v>45628</v>
      </c>
      <c r="C2157" s="1" t="n">
        <v>45998</v>
      </c>
      <c r="D2157" t="inlineStr">
        <is>
          <t>VÄSTMANLANDS LÄN</t>
        </is>
      </c>
      <c r="E2157" t="inlineStr">
        <is>
          <t>ARBOGA</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12143-2022</t>
        </is>
      </c>
      <c r="B2158" s="1" t="n">
        <v>44636</v>
      </c>
      <c r="C2158" s="1" t="n">
        <v>45998</v>
      </c>
      <c r="D2158" t="inlineStr">
        <is>
          <t>VÄSTMANLANDS LÄN</t>
        </is>
      </c>
      <c r="E2158" t="inlineStr">
        <is>
          <t>VÄSTERÅS</t>
        </is>
      </c>
      <c r="F2158" t="inlineStr">
        <is>
          <t>Kommuner</t>
        </is>
      </c>
      <c r="G2158" t="n">
        <v>12.9</v>
      </c>
      <c r="H2158" t="n">
        <v>0</v>
      </c>
      <c r="I2158" t="n">
        <v>0</v>
      </c>
      <c r="J2158" t="n">
        <v>0</v>
      </c>
      <c r="K2158" t="n">
        <v>0</v>
      </c>
      <c r="L2158" t="n">
        <v>0</v>
      </c>
      <c r="M2158" t="n">
        <v>0</v>
      </c>
      <c r="N2158" t="n">
        <v>0</v>
      </c>
      <c r="O2158" t="n">
        <v>0</v>
      </c>
      <c r="P2158" t="n">
        <v>0</v>
      </c>
      <c r="Q2158" t="n">
        <v>0</v>
      </c>
      <c r="R2158" s="2" t="inlineStr"/>
    </row>
    <row r="2159" ht="15" customHeight="1">
      <c r="A2159" t="inlineStr">
        <is>
          <t>A 12148-2022</t>
        </is>
      </c>
      <c r="B2159" s="1" t="n">
        <v>44636.63550925926</v>
      </c>
      <c r="C2159" s="1" t="n">
        <v>45998</v>
      </c>
      <c r="D2159" t="inlineStr">
        <is>
          <t>VÄSTMANLANDS LÄN</t>
        </is>
      </c>
      <c r="E2159" t="inlineStr">
        <is>
          <t>VÄSTERÅS</t>
        </is>
      </c>
      <c r="F2159" t="inlineStr">
        <is>
          <t>Kommuner</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42898-2025</t>
        </is>
      </c>
      <c r="B2160" s="1" t="n">
        <v>45908</v>
      </c>
      <c r="C2160" s="1" t="n">
        <v>45998</v>
      </c>
      <c r="D2160" t="inlineStr">
        <is>
          <t>VÄSTMANLANDS LÄN</t>
        </is>
      </c>
      <c r="E2160" t="inlineStr">
        <is>
          <t>VÄSTERÅS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42621-2021</t>
        </is>
      </c>
      <c r="B2161" s="1" t="n">
        <v>44428.42920138889</v>
      </c>
      <c r="C2161" s="1" t="n">
        <v>45998</v>
      </c>
      <c r="D2161" t="inlineStr">
        <is>
          <t>VÄSTMANLANDS LÄN</t>
        </is>
      </c>
      <c r="E2161" t="inlineStr">
        <is>
          <t>KÖPING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28902-2024</t>
        </is>
      </c>
      <c r="B2162" s="1" t="n">
        <v>45480.5384375</v>
      </c>
      <c r="C2162" s="1" t="n">
        <v>45998</v>
      </c>
      <c r="D2162" t="inlineStr">
        <is>
          <t>VÄSTMANLANDS LÄN</t>
        </is>
      </c>
      <c r="E2162" t="inlineStr">
        <is>
          <t>KÖPING</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43448-2025</t>
        </is>
      </c>
      <c r="B2163" s="1" t="n">
        <v>45911.45209490741</v>
      </c>
      <c r="C2163" s="1" t="n">
        <v>45998</v>
      </c>
      <c r="D2163" t="inlineStr">
        <is>
          <t>VÄSTMANLANDS LÄN</t>
        </is>
      </c>
      <c r="E2163" t="inlineStr">
        <is>
          <t>HALLSTAHAMMAR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43602-2023</t>
        </is>
      </c>
      <c r="B2164" s="1" t="n">
        <v>45184</v>
      </c>
      <c r="C2164" s="1" t="n">
        <v>45998</v>
      </c>
      <c r="D2164" t="inlineStr">
        <is>
          <t>VÄSTMANLANDS LÄN</t>
        </is>
      </c>
      <c r="E2164" t="inlineStr">
        <is>
          <t>ARBOGA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857-2025</t>
        </is>
      </c>
      <c r="B2165" s="1" t="n">
        <v>45665</v>
      </c>
      <c r="C2165" s="1" t="n">
        <v>45998</v>
      </c>
      <c r="D2165" t="inlineStr">
        <is>
          <t>VÄSTMANLANDS LÄN</t>
        </is>
      </c>
      <c r="E2165" t="inlineStr">
        <is>
          <t>KÖPING</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31623-2024</t>
        </is>
      </c>
      <c r="B2166" s="1" t="n">
        <v>45506</v>
      </c>
      <c r="C2166" s="1" t="n">
        <v>45998</v>
      </c>
      <c r="D2166" t="inlineStr">
        <is>
          <t>VÄSTMANLANDS LÄN</t>
        </is>
      </c>
      <c r="E2166" t="inlineStr">
        <is>
          <t>VÄSTERÅS</t>
        </is>
      </c>
      <c r="F2166" t="inlineStr">
        <is>
          <t>Kommuner</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10512-2022</t>
        </is>
      </c>
      <c r="B2167" s="1" t="n">
        <v>44623.68829861111</v>
      </c>
      <c r="C2167" s="1" t="n">
        <v>45998</v>
      </c>
      <c r="D2167" t="inlineStr">
        <is>
          <t>VÄSTMANLANDS LÄN</t>
        </is>
      </c>
      <c r="E2167" t="inlineStr">
        <is>
          <t>KÖPING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38788-2024</t>
        </is>
      </c>
      <c r="B2168" s="1" t="n">
        <v>45547</v>
      </c>
      <c r="C2168" s="1" t="n">
        <v>45998</v>
      </c>
      <c r="D2168" t="inlineStr">
        <is>
          <t>VÄSTMANLANDS LÄN</t>
        </is>
      </c>
      <c r="E2168" t="inlineStr">
        <is>
          <t>ARBOGA</t>
        </is>
      </c>
      <c r="F2168" t="inlineStr">
        <is>
          <t>Allmännings- och besparingsskogar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24460-2025</t>
        </is>
      </c>
      <c r="B2169" s="1" t="n">
        <v>45798</v>
      </c>
      <c r="C2169" s="1" t="n">
        <v>45998</v>
      </c>
      <c r="D2169" t="inlineStr">
        <is>
          <t>VÄSTMANLANDS LÄN</t>
        </is>
      </c>
      <c r="E2169" t="inlineStr">
        <is>
          <t>SALA</t>
        </is>
      </c>
      <c r="F2169" t="inlineStr">
        <is>
          <t>Bergvik skog öst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24469-2025</t>
        </is>
      </c>
      <c r="B2170" s="1" t="n">
        <v>45798</v>
      </c>
      <c r="C2170" s="1" t="n">
        <v>45998</v>
      </c>
      <c r="D2170" t="inlineStr">
        <is>
          <t>VÄSTMANLANDS LÄN</t>
        </is>
      </c>
      <c r="E2170" t="inlineStr">
        <is>
          <t>KÖPING</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56645-2025</t>
        </is>
      </c>
      <c r="B2171" s="1" t="n">
        <v>45975.63063657407</v>
      </c>
      <c r="C2171" s="1" t="n">
        <v>45998</v>
      </c>
      <c r="D2171" t="inlineStr">
        <is>
          <t>VÄSTMANLANDS LÄN</t>
        </is>
      </c>
      <c r="E2171" t="inlineStr">
        <is>
          <t>SALA</t>
        </is>
      </c>
      <c r="F2171" t="inlineStr">
        <is>
          <t>Bergvik skog öst AB</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63495-2023</t>
        </is>
      </c>
      <c r="B2172" s="1" t="n">
        <v>45274.67429398148</v>
      </c>
      <c r="C2172" s="1" t="n">
        <v>45998</v>
      </c>
      <c r="D2172" t="inlineStr">
        <is>
          <t>VÄSTMANLANDS LÄN</t>
        </is>
      </c>
      <c r="E2172" t="inlineStr">
        <is>
          <t>NORBERG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28904-2024</t>
        </is>
      </c>
      <c r="B2173" s="1" t="n">
        <v>45480.54915509259</v>
      </c>
      <c r="C2173" s="1" t="n">
        <v>45998</v>
      </c>
      <c r="D2173" t="inlineStr">
        <is>
          <t>VÄSTMANLANDS LÄN</t>
        </is>
      </c>
      <c r="E2173" t="inlineStr">
        <is>
          <t>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24481-2025</t>
        </is>
      </c>
      <c r="B2174" s="1" t="n">
        <v>45798.38157407408</v>
      </c>
      <c r="C2174" s="1" t="n">
        <v>45998</v>
      </c>
      <c r="D2174" t="inlineStr">
        <is>
          <t>VÄSTMANLANDS LÄN</t>
        </is>
      </c>
      <c r="E2174" t="inlineStr">
        <is>
          <t>KÖPING</t>
        </is>
      </c>
      <c r="F2174" t="inlineStr">
        <is>
          <t>Sveaskog</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24546-2025</t>
        </is>
      </c>
      <c r="B2175" s="1" t="n">
        <v>45798.44658564815</v>
      </c>
      <c r="C2175" s="1" t="n">
        <v>45998</v>
      </c>
      <c r="D2175" t="inlineStr">
        <is>
          <t>VÄSTMANLANDS LÄN</t>
        </is>
      </c>
      <c r="E2175" t="inlineStr">
        <is>
          <t>VÄSTERÅS</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56614-2025</t>
        </is>
      </c>
      <c r="B2176" s="1" t="n">
        <v>45975.59288194445</v>
      </c>
      <c r="C2176" s="1" t="n">
        <v>45998</v>
      </c>
      <c r="D2176" t="inlineStr">
        <is>
          <t>VÄSTMANLANDS LÄN</t>
        </is>
      </c>
      <c r="E2176" t="inlineStr">
        <is>
          <t>SALA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41472-2024</t>
        </is>
      </c>
      <c r="B2177" s="1" t="n">
        <v>45560.43570601852</v>
      </c>
      <c r="C2177" s="1" t="n">
        <v>45998</v>
      </c>
      <c r="D2177" t="inlineStr">
        <is>
          <t>VÄSTMANLANDS LÄN</t>
        </is>
      </c>
      <c r="E2177" t="inlineStr">
        <is>
          <t>KÖPING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41490-2024</t>
        </is>
      </c>
      <c r="B2178" s="1" t="n">
        <v>45560</v>
      </c>
      <c r="C2178" s="1" t="n">
        <v>45998</v>
      </c>
      <c r="D2178" t="inlineStr">
        <is>
          <t>VÄSTMANLANDS LÄN</t>
        </is>
      </c>
      <c r="E2178" t="inlineStr">
        <is>
          <t>ARBOGA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52590-2025</t>
        </is>
      </c>
      <c r="B2179" s="1" t="n">
        <v>45954.63483796296</v>
      </c>
      <c r="C2179" s="1" t="n">
        <v>45998</v>
      </c>
      <c r="D2179" t="inlineStr">
        <is>
          <t>VÄSTMANLANDS LÄN</t>
        </is>
      </c>
      <c r="E2179" t="inlineStr">
        <is>
          <t>ARBOGA</t>
        </is>
      </c>
      <c r="F2179" t="inlineStr">
        <is>
          <t>Kommuner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24473-2025</t>
        </is>
      </c>
      <c r="B2180" s="1" t="n">
        <v>45798.37075231481</v>
      </c>
      <c r="C2180" s="1" t="n">
        <v>45998</v>
      </c>
      <c r="D2180" t="inlineStr">
        <is>
          <t>VÄSTMANLANDS LÄN</t>
        </is>
      </c>
      <c r="E2180" t="inlineStr">
        <is>
          <t>KÖPING</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24475-2025</t>
        </is>
      </c>
      <c r="B2181" s="1" t="n">
        <v>45798.37363425926</v>
      </c>
      <c r="C2181" s="1" t="n">
        <v>45998</v>
      </c>
      <c r="D2181" t="inlineStr">
        <is>
          <t>VÄSTMANLANDS LÄN</t>
        </is>
      </c>
      <c r="E2181" t="inlineStr">
        <is>
          <t>KÖPING</t>
        </is>
      </c>
      <c r="F2181" t="inlineStr">
        <is>
          <t>Sveaskog</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24477-2025</t>
        </is>
      </c>
      <c r="B2182" s="1" t="n">
        <v>45798</v>
      </c>
      <c r="C2182" s="1" t="n">
        <v>45998</v>
      </c>
      <c r="D2182" t="inlineStr">
        <is>
          <t>VÄSTMANLANDS LÄN</t>
        </is>
      </c>
      <c r="E2182" t="inlineStr">
        <is>
          <t>KÖPING</t>
        </is>
      </c>
      <c r="F2182" t="inlineStr">
        <is>
          <t>Sveaskog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24479-2025</t>
        </is>
      </c>
      <c r="B2183" s="1" t="n">
        <v>45798.37938657407</v>
      </c>
      <c r="C2183" s="1" t="n">
        <v>45998</v>
      </c>
      <c r="D2183" t="inlineStr">
        <is>
          <t>VÄSTMANLANDS LÄN</t>
        </is>
      </c>
      <c r="E2183" t="inlineStr">
        <is>
          <t>KÖPING</t>
        </is>
      </c>
      <c r="F2183" t="inlineStr">
        <is>
          <t>Sveaskog</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24478-2025</t>
        </is>
      </c>
      <c r="B2184" s="1" t="n">
        <v>45798.37822916666</v>
      </c>
      <c r="C2184" s="1" t="n">
        <v>45998</v>
      </c>
      <c r="D2184" t="inlineStr">
        <is>
          <t>VÄSTMANLANDS LÄN</t>
        </is>
      </c>
      <c r="E2184" t="inlineStr">
        <is>
          <t>KÖPING</t>
        </is>
      </c>
      <c r="F2184" t="inlineStr">
        <is>
          <t>Sveaskog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48940-2025</t>
        </is>
      </c>
      <c r="B2185" s="1" t="n">
        <v>45937.53306712963</v>
      </c>
      <c r="C2185" s="1" t="n">
        <v>45998</v>
      </c>
      <c r="D2185" t="inlineStr">
        <is>
          <t>VÄSTMANLANDS LÄN</t>
        </is>
      </c>
      <c r="E2185" t="inlineStr">
        <is>
          <t>VÄSTERÅS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57514-2022</t>
        </is>
      </c>
      <c r="B2186" s="1" t="n">
        <v>44896</v>
      </c>
      <c r="C2186" s="1" t="n">
        <v>45998</v>
      </c>
      <c r="D2186" t="inlineStr">
        <is>
          <t>VÄSTMANLANDS LÄN</t>
        </is>
      </c>
      <c r="E2186" t="inlineStr">
        <is>
          <t>KÖPING</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56502-2025</t>
        </is>
      </c>
      <c r="B2187" s="1" t="n">
        <v>45975</v>
      </c>
      <c r="C2187" s="1" t="n">
        <v>45998</v>
      </c>
      <c r="D2187" t="inlineStr">
        <is>
          <t>VÄSTMANLANDS LÄN</t>
        </is>
      </c>
      <c r="E2187" t="inlineStr">
        <is>
          <t>SALA</t>
        </is>
      </c>
      <c r="F2187" t="inlineStr">
        <is>
          <t>Sveaskog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39157-2024</t>
        </is>
      </c>
      <c r="B2188" s="1" t="n">
        <v>45548.63049768518</v>
      </c>
      <c r="C2188" s="1" t="n">
        <v>45998</v>
      </c>
      <c r="D2188" t="inlineStr">
        <is>
          <t>VÄSTMANLANDS LÄN</t>
        </is>
      </c>
      <c r="E2188" t="inlineStr">
        <is>
          <t>FAGERSTA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55065-2024</t>
        </is>
      </c>
      <c r="B2189" s="1" t="n">
        <v>45618</v>
      </c>
      <c r="C2189" s="1" t="n">
        <v>45998</v>
      </c>
      <c r="D2189" t="inlineStr">
        <is>
          <t>VÄSTMANLANDS LÄN</t>
        </is>
      </c>
      <c r="E2189" t="inlineStr">
        <is>
          <t>SALA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57048-2025</t>
        </is>
      </c>
      <c r="B2190" s="1" t="n">
        <v>45979.34693287037</v>
      </c>
      <c r="C2190" s="1" t="n">
        <v>45998</v>
      </c>
      <c r="D2190" t="inlineStr">
        <is>
          <t>VÄSTMANLANDS LÄN</t>
        </is>
      </c>
      <c r="E2190" t="inlineStr">
        <is>
          <t>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24471-2025</t>
        </is>
      </c>
      <c r="B2191" s="1" t="n">
        <v>45798</v>
      </c>
      <c r="C2191" s="1" t="n">
        <v>45998</v>
      </c>
      <c r="D2191" t="inlineStr">
        <is>
          <t>VÄSTMANLANDS LÄN</t>
        </is>
      </c>
      <c r="E2191" t="inlineStr">
        <is>
          <t>KÖPING</t>
        </is>
      </c>
      <c r="F2191" t="inlineStr">
        <is>
          <t>Sveaskog</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34814-2021</t>
        </is>
      </c>
      <c r="B2192" s="1" t="n">
        <v>44383</v>
      </c>
      <c r="C2192" s="1" t="n">
        <v>45998</v>
      </c>
      <c r="D2192" t="inlineStr">
        <is>
          <t>VÄSTMANLANDS LÄN</t>
        </is>
      </c>
      <c r="E2192" t="inlineStr">
        <is>
          <t>SALA</t>
        </is>
      </c>
      <c r="F2192" t="inlineStr">
        <is>
          <t>Sveaskog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56465-2025</t>
        </is>
      </c>
      <c r="B2193" s="1" t="n">
        <v>45975</v>
      </c>
      <c r="C2193" s="1" t="n">
        <v>45998</v>
      </c>
      <c r="D2193" t="inlineStr">
        <is>
          <t>VÄSTMANLANDS LÄN</t>
        </is>
      </c>
      <c r="E2193" t="inlineStr">
        <is>
          <t>SKINNSKATTEBERG</t>
        </is>
      </c>
      <c r="F2193" t="inlineStr">
        <is>
          <t>Sveaskog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24463-2025</t>
        </is>
      </c>
      <c r="B2194" s="1" t="n">
        <v>45798</v>
      </c>
      <c r="C2194" s="1" t="n">
        <v>45998</v>
      </c>
      <c r="D2194" t="inlineStr">
        <is>
          <t>VÄSTMANLANDS LÄN</t>
        </is>
      </c>
      <c r="E2194" t="inlineStr">
        <is>
          <t>SALA</t>
        </is>
      </c>
      <c r="F2194" t="inlineStr">
        <is>
          <t>Bergvik skog öst AB</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24472-2025</t>
        </is>
      </c>
      <c r="B2195" s="1" t="n">
        <v>45798.36815972222</v>
      </c>
      <c r="C2195" s="1" t="n">
        <v>45998</v>
      </c>
      <c r="D2195" t="inlineStr">
        <is>
          <t>VÄSTMANLANDS LÄN</t>
        </is>
      </c>
      <c r="E2195" t="inlineStr">
        <is>
          <t>KÖPING</t>
        </is>
      </c>
      <c r="F2195" t="inlineStr">
        <is>
          <t>Sveaskog</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57412-2025</t>
        </is>
      </c>
      <c r="B2196" s="1" t="n">
        <v>45980.44883101852</v>
      </c>
      <c r="C2196" s="1" t="n">
        <v>45998</v>
      </c>
      <c r="D2196" t="inlineStr">
        <is>
          <t>VÄSTMANLANDS LÄN</t>
        </is>
      </c>
      <c r="E2196" t="inlineStr">
        <is>
          <t>SALA</t>
        </is>
      </c>
      <c r="F2196" t="inlineStr">
        <is>
          <t>Bergvik skog öst AB</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49022-2025</t>
        </is>
      </c>
      <c r="B2197" s="1" t="n">
        <v>45937.61589120371</v>
      </c>
      <c r="C2197" s="1" t="n">
        <v>45998</v>
      </c>
      <c r="D2197" t="inlineStr">
        <is>
          <t>VÄSTMANLANDS LÄN</t>
        </is>
      </c>
      <c r="E2197" t="inlineStr">
        <is>
          <t>SKINNSKATTEBERG</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52481-2025</t>
        </is>
      </c>
      <c r="B2198" s="1" t="n">
        <v>45954.47333333334</v>
      </c>
      <c r="C2198" s="1" t="n">
        <v>45998</v>
      </c>
      <c r="D2198" t="inlineStr">
        <is>
          <t>VÄSTMANLANDS LÄN</t>
        </is>
      </c>
      <c r="E2198" t="inlineStr">
        <is>
          <t>KÖPING</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56287-2025</t>
        </is>
      </c>
      <c r="B2199" s="1" t="n">
        <v>45974</v>
      </c>
      <c r="C2199" s="1" t="n">
        <v>45998</v>
      </c>
      <c r="D2199" t="inlineStr">
        <is>
          <t>VÄSTMANLANDS LÄN</t>
        </is>
      </c>
      <c r="E2199" t="inlineStr">
        <is>
          <t>KÖPING</t>
        </is>
      </c>
      <c r="F2199" t="inlineStr">
        <is>
          <t>Sveaskog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48948-2025</t>
        </is>
      </c>
      <c r="B2200" s="1" t="n">
        <v>45937.54346064815</v>
      </c>
      <c r="C2200" s="1" t="n">
        <v>45998</v>
      </c>
      <c r="D2200" t="inlineStr">
        <is>
          <t>VÄSTMANLANDS LÄN</t>
        </is>
      </c>
      <c r="E2200" t="inlineStr">
        <is>
          <t>VÄSTERÅS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48978-2025</t>
        </is>
      </c>
      <c r="B2201" s="1" t="n">
        <v>45937.57011574074</v>
      </c>
      <c r="C2201" s="1" t="n">
        <v>45998</v>
      </c>
      <c r="D2201" t="inlineStr">
        <is>
          <t>VÄSTMANLANDS LÄN</t>
        </is>
      </c>
      <c r="E2201" t="inlineStr">
        <is>
          <t>KÖPING</t>
        </is>
      </c>
      <c r="F2201" t="inlineStr">
        <is>
          <t>Sveaskog</t>
        </is>
      </c>
      <c r="G2201" t="n">
        <v>7.2</v>
      </c>
      <c r="H2201" t="n">
        <v>0</v>
      </c>
      <c r="I2201" t="n">
        <v>0</v>
      </c>
      <c r="J2201" t="n">
        <v>0</v>
      </c>
      <c r="K2201" t="n">
        <v>0</v>
      </c>
      <c r="L2201" t="n">
        <v>0</v>
      </c>
      <c r="M2201" t="n">
        <v>0</v>
      </c>
      <c r="N2201" t="n">
        <v>0</v>
      </c>
      <c r="O2201" t="n">
        <v>0</v>
      </c>
      <c r="P2201" t="n">
        <v>0</v>
      </c>
      <c r="Q2201" t="n">
        <v>0</v>
      </c>
      <c r="R2201" s="2" t="inlineStr"/>
    </row>
    <row r="2202" ht="15" customHeight="1">
      <c r="A2202" t="inlineStr">
        <is>
          <t>A 49018-2025</t>
        </is>
      </c>
      <c r="B2202" s="1" t="n">
        <v>45937.61268518519</v>
      </c>
      <c r="C2202" s="1" t="n">
        <v>45998</v>
      </c>
      <c r="D2202" t="inlineStr">
        <is>
          <t>VÄSTMANLANDS LÄN</t>
        </is>
      </c>
      <c r="E2202" t="inlineStr">
        <is>
          <t>SKINNSKATTEBERG</t>
        </is>
      </c>
      <c r="F2202" t="inlineStr">
        <is>
          <t>Sveaskog</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55794-2025</t>
        </is>
      </c>
      <c r="B2203" s="1" t="n">
        <v>45972</v>
      </c>
      <c r="C2203" s="1" t="n">
        <v>45998</v>
      </c>
      <c r="D2203" t="inlineStr">
        <is>
          <t>VÄSTMANLANDS LÄN</t>
        </is>
      </c>
      <c r="E2203" t="inlineStr">
        <is>
          <t>FAGERSTA</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1440-2025</t>
        </is>
      </c>
      <c r="B2204" s="1" t="n">
        <v>45669.71475694444</v>
      </c>
      <c r="C2204" s="1" t="n">
        <v>45998</v>
      </c>
      <c r="D2204" t="inlineStr">
        <is>
          <t>VÄSTMANLANDS LÄN</t>
        </is>
      </c>
      <c r="E2204" t="inlineStr">
        <is>
          <t>KÖPING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45290-2024</t>
        </is>
      </c>
      <c r="B2205" s="1" t="n">
        <v>45576.39340277778</v>
      </c>
      <c r="C2205" s="1" t="n">
        <v>45998</v>
      </c>
      <c r="D2205" t="inlineStr">
        <is>
          <t>VÄSTMANLANDS LÄN</t>
        </is>
      </c>
      <c r="E2205" t="inlineStr">
        <is>
          <t>NORBERG</t>
        </is>
      </c>
      <c r="F2205" t="inlineStr">
        <is>
          <t>Övriga Aktiebolag</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44179-2025</t>
        </is>
      </c>
      <c r="B2206" s="1" t="n">
        <v>45915.60770833334</v>
      </c>
      <c r="C2206" s="1" t="n">
        <v>45998</v>
      </c>
      <c r="D2206" t="inlineStr">
        <is>
          <t>VÄSTMANLANDS LÄN</t>
        </is>
      </c>
      <c r="E2206" t="inlineStr">
        <is>
          <t>SKINNSKATTEBERG</t>
        </is>
      </c>
      <c r="F2206" t="inlineStr">
        <is>
          <t>Sveaskog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44184-2025</t>
        </is>
      </c>
      <c r="B2207" s="1" t="n">
        <v>45915.61032407408</v>
      </c>
      <c r="C2207" s="1" t="n">
        <v>45998</v>
      </c>
      <c r="D2207" t="inlineStr">
        <is>
          <t>VÄSTMANLANDS LÄN</t>
        </is>
      </c>
      <c r="E2207" t="inlineStr">
        <is>
          <t>SKINNSKATTEBERG</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44185-2025</t>
        </is>
      </c>
      <c r="B2208" s="1" t="n">
        <v>45915.61162037037</v>
      </c>
      <c r="C2208" s="1" t="n">
        <v>45998</v>
      </c>
      <c r="D2208" t="inlineStr">
        <is>
          <t>VÄSTMANLANDS LÄN</t>
        </is>
      </c>
      <c r="E2208" t="inlineStr">
        <is>
          <t>SKINNSKATTEBERG</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56380-2025</t>
        </is>
      </c>
      <c r="B2209" s="1" t="n">
        <v>45974</v>
      </c>
      <c r="C2209" s="1" t="n">
        <v>45998</v>
      </c>
      <c r="D2209" t="inlineStr">
        <is>
          <t>VÄSTMANLANDS LÄN</t>
        </is>
      </c>
      <c r="E2209" t="inlineStr">
        <is>
          <t>KÖPING</t>
        </is>
      </c>
      <c r="F2209" t="inlineStr">
        <is>
          <t>Sveaskog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53011-2025</t>
        </is>
      </c>
      <c r="B2210" s="1" t="n">
        <v>45957</v>
      </c>
      <c r="C2210" s="1" t="n">
        <v>45998</v>
      </c>
      <c r="D2210" t="inlineStr">
        <is>
          <t>VÄSTMANLANDS LÄN</t>
        </is>
      </c>
      <c r="E2210" t="inlineStr">
        <is>
          <t>NORBERG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57395-2025</t>
        </is>
      </c>
      <c r="B2211" s="1" t="n">
        <v>45980.42792824074</v>
      </c>
      <c r="C2211" s="1" t="n">
        <v>45998</v>
      </c>
      <c r="D2211" t="inlineStr">
        <is>
          <t>VÄSTMANLANDS LÄN</t>
        </is>
      </c>
      <c r="E2211" t="inlineStr">
        <is>
          <t>SKINNSKATTEBERG</t>
        </is>
      </c>
      <c r="F2211" t="inlineStr">
        <is>
          <t>Sveaskog</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57398-2025</t>
        </is>
      </c>
      <c r="B2212" s="1" t="n">
        <v>45980.43162037037</v>
      </c>
      <c r="C2212" s="1" t="n">
        <v>45998</v>
      </c>
      <c r="D2212" t="inlineStr">
        <is>
          <t>VÄSTMANLANDS LÄN</t>
        </is>
      </c>
      <c r="E2212" t="inlineStr">
        <is>
          <t>SKINNSKATTEBERG</t>
        </is>
      </c>
      <c r="F2212" t="inlineStr">
        <is>
          <t>Sveaskog</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44192-2025</t>
        </is>
      </c>
      <c r="B2213" s="1" t="n">
        <v>45915.61556712963</v>
      </c>
      <c r="C2213" s="1" t="n">
        <v>45998</v>
      </c>
      <c r="D2213" t="inlineStr">
        <is>
          <t>VÄSTMANLANDS LÄN</t>
        </is>
      </c>
      <c r="E2213" t="inlineStr">
        <is>
          <t>HALLSTAHAMMAR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56611-2025</t>
        </is>
      </c>
      <c r="B2214" s="1" t="n">
        <v>45975</v>
      </c>
      <c r="C2214" s="1" t="n">
        <v>45998</v>
      </c>
      <c r="D2214" t="inlineStr">
        <is>
          <t>VÄSTMANLANDS LÄN</t>
        </is>
      </c>
      <c r="E2214" t="inlineStr">
        <is>
          <t>SALA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48979-2025</t>
        </is>
      </c>
      <c r="B2215" s="1" t="n">
        <v>45937.57126157408</v>
      </c>
      <c r="C2215" s="1" t="n">
        <v>45998</v>
      </c>
      <c r="D2215" t="inlineStr">
        <is>
          <t>VÄSTMANLANDS LÄN</t>
        </is>
      </c>
      <c r="E2215" t="inlineStr">
        <is>
          <t>KÖPING</t>
        </is>
      </c>
      <c r="F2215" t="inlineStr">
        <is>
          <t>Sveaskog</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49001-2025</t>
        </is>
      </c>
      <c r="B2216" s="1" t="n">
        <v>45937.59658564815</v>
      </c>
      <c r="C2216" s="1" t="n">
        <v>45998</v>
      </c>
      <c r="D2216" t="inlineStr">
        <is>
          <t>VÄSTMANLANDS LÄN</t>
        </is>
      </c>
      <c r="E2216" t="inlineStr">
        <is>
          <t>NORBERG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49019-2025</t>
        </is>
      </c>
      <c r="B2217" s="1" t="n">
        <v>45937.61363425926</v>
      </c>
      <c r="C2217" s="1" t="n">
        <v>45998</v>
      </c>
      <c r="D2217" t="inlineStr">
        <is>
          <t>VÄSTMANLANDS LÄN</t>
        </is>
      </c>
      <c r="E2217" t="inlineStr">
        <is>
          <t>SKINNSKATTEBERG</t>
        </is>
      </c>
      <c r="F2217" t="inlineStr">
        <is>
          <t>Sveaskog</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57405-2025</t>
        </is>
      </c>
      <c r="B2218" s="1" t="n">
        <v>45980.44159722222</v>
      </c>
      <c r="C2218" s="1" t="n">
        <v>45998</v>
      </c>
      <c r="D2218" t="inlineStr">
        <is>
          <t>VÄSTMANLANDS LÄN</t>
        </is>
      </c>
      <c r="E2218" t="inlineStr">
        <is>
          <t>FAGERSTA</t>
        </is>
      </c>
      <c r="F2218" t="inlineStr">
        <is>
          <t>Sveaskog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44100-2025</t>
        </is>
      </c>
      <c r="B2219" s="1" t="n">
        <v>45915.56707175926</v>
      </c>
      <c r="C2219" s="1" t="n">
        <v>45998</v>
      </c>
      <c r="D2219" t="inlineStr">
        <is>
          <t>VÄSTMANLANDS LÄN</t>
        </is>
      </c>
      <c r="E2219" t="inlineStr">
        <is>
          <t>SALA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57102-2025</t>
        </is>
      </c>
      <c r="B2220" s="1" t="n">
        <v>45979</v>
      </c>
      <c r="C2220" s="1" t="n">
        <v>45998</v>
      </c>
      <c r="D2220" t="inlineStr">
        <is>
          <t>VÄSTMANLANDS LÄN</t>
        </is>
      </c>
      <c r="E2220" t="inlineStr">
        <is>
          <t>VÄSTERÅS</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56543-2025</t>
        </is>
      </c>
      <c r="B2221" s="1" t="n">
        <v>45975</v>
      </c>
      <c r="C2221" s="1" t="n">
        <v>45998</v>
      </c>
      <c r="D2221" t="inlineStr">
        <is>
          <t>VÄSTMANLANDS LÄN</t>
        </is>
      </c>
      <c r="E2221" t="inlineStr">
        <is>
          <t>SURAHAMMAR</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56593-2025</t>
        </is>
      </c>
      <c r="B2222" s="1" t="n">
        <v>45975</v>
      </c>
      <c r="C2222" s="1" t="n">
        <v>45998</v>
      </c>
      <c r="D2222" t="inlineStr">
        <is>
          <t>VÄSTMANLANDS LÄN</t>
        </is>
      </c>
      <c r="E2222" t="inlineStr">
        <is>
          <t>SALA</t>
        </is>
      </c>
      <c r="F2222" t="inlineStr">
        <is>
          <t>Kyrkan</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49240-2025</t>
        </is>
      </c>
      <c r="B2223" s="1" t="n">
        <v>45938.48452546296</v>
      </c>
      <c r="C2223" s="1" t="n">
        <v>45998</v>
      </c>
      <c r="D2223" t="inlineStr">
        <is>
          <t>VÄSTMANLANDS LÄN</t>
        </is>
      </c>
      <c r="E2223" t="inlineStr">
        <is>
          <t>VÄSTERÅS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57282-2025</t>
        </is>
      </c>
      <c r="B2224" s="1" t="n">
        <v>45979.71456018519</v>
      </c>
      <c r="C2224" s="1" t="n">
        <v>45998</v>
      </c>
      <c r="D2224" t="inlineStr">
        <is>
          <t>VÄSTMANLANDS LÄN</t>
        </is>
      </c>
      <c r="E2224" t="inlineStr">
        <is>
          <t>SKINNSKATTEBERG</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57104-2025</t>
        </is>
      </c>
      <c r="B2225" s="1" t="n">
        <v>45979</v>
      </c>
      <c r="C2225" s="1" t="n">
        <v>45998</v>
      </c>
      <c r="D2225" t="inlineStr">
        <is>
          <t>VÄSTMANLANDS LÄN</t>
        </is>
      </c>
      <c r="E2225" t="inlineStr">
        <is>
          <t>VÄSTERÅS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57114-2025</t>
        </is>
      </c>
      <c r="B2226" s="1" t="n">
        <v>45979</v>
      </c>
      <c r="C2226" s="1" t="n">
        <v>45998</v>
      </c>
      <c r="D2226" t="inlineStr">
        <is>
          <t>VÄSTMANLANDS LÄN</t>
        </is>
      </c>
      <c r="E2226" t="inlineStr">
        <is>
          <t>VÄSTERÅS</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56294-2025</t>
        </is>
      </c>
      <c r="B2227" s="1" t="n">
        <v>45974</v>
      </c>
      <c r="C2227" s="1" t="n">
        <v>45998</v>
      </c>
      <c r="D2227" t="inlineStr">
        <is>
          <t>VÄSTMANLANDS LÄN</t>
        </is>
      </c>
      <c r="E2227" t="inlineStr">
        <is>
          <t>KÖPING</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57399-2025</t>
        </is>
      </c>
      <c r="B2228" s="1" t="n">
        <v>45980.43300925926</v>
      </c>
      <c r="C2228" s="1" t="n">
        <v>45998</v>
      </c>
      <c r="D2228" t="inlineStr">
        <is>
          <t>VÄSTMANLANDS LÄN</t>
        </is>
      </c>
      <c r="E2228" t="inlineStr">
        <is>
          <t>SKINNSKATTEBERG</t>
        </is>
      </c>
      <c r="F2228" t="inlineStr">
        <is>
          <t>Sveaskog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48997-2025</t>
        </is>
      </c>
      <c r="B2229" s="1" t="n">
        <v>45937.58998842593</v>
      </c>
      <c r="C2229" s="1" t="n">
        <v>45998</v>
      </c>
      <c r="D2229" t="inlineStr">
        <is>
          <t>VÄSTMANLANDS LÄN</t>
        </is>
      </c>
      <c r="E2229" t="inlineStr">
        <is>
          <t>NORBERG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24907-2025</t>
        </is>
      </c>
      <c r="B2230" s="1" t="n">
        <v>45799</v>
      </c>
      <c r="C2230" s="1" t="n">
        <v>45998</v>
      </c>
      <c r="D2230" t="inlineStr">
        <is>
          <t>VÄSTMANLANDS LÄN</t>
        </is>
      </c>
      <c r="E2230" t="inlineStr">
        <is>
          <t>SALA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24910-2025</t>
        </is>
      </c>
      <c r="B2231" s="1" t="n">
        <v>45799.53775462963</v>
      </c>
      <c r="C2231" s="1" t="n">
        <v>45998</v>
      </c>
      <c r="D2231" t="inlineStr">
        <is>
          <t>VÄSTMANLANDS LÄN</t>
        </is>
      </c>
      <c r="E2231" t="inlineStr">
        <is>
          <t>SALA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49013-2025</t>
        </is>
      </c>
      <c r="B2232" s="1" t="n">
        <v>45937.61035879629</v>
      </c>
      <c r="C2232" s="1" t="n">
        <v>45998</v>
      </c>
      <c r="D2232" t="inlineStr">
        <is>
          <t>VÄSTMANLANDS LÄN</t>
        </is>
      </c>
      <c r="E2232" t="inlineStr">
        <is>
          <t>SKINNSKATTEBERG</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49016-2025</t>
        </is>
      </c>
      <c r="B2233" s="1" t="n">
        <v>45937.61167824074</v>
      </c>
      <c r="C2233" s="1" t="n">
        <v>45998</v>
      </c>
      <c r="D2233" t="inlineStr">
        <is>
          <t>VÄSTMANLANDS LÄN</t>
        </is>
      </c>
      <c r="E2233" t="inlineStr">
        <is>
          <t>SKINNSKATTEBERG</t>
        </is>
      </c>
      <c r="F2233" t="inlineStr">
        <is>
          <t>Sveaskog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40228-2024</t>
        </is>
      </c>
      <c r="B2234" s="1" t="n">
        <v>45554.60052083333</v>
      </c>
      <c r="C2234" s="1" t="n">
        <v>45998</v>
      </c>
      <c r="D2234" t="inlineStr">
        <is>
          <t>VÄSTMANLANDS LÄN</t>
        </is>
      </c>
      <c r="E2234" t="inlineStr">
        <is>
          <t>NORBERG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48828-2025</t>
        </is>
      </c>
      <c r="B2235" s="1" t="n">
        <v>45937.38329861111</v>
      </c>
      <c r="C2235" s="1" t="n">
        <v>45998</v>
      </c>
      <c r="D2235" t="inlineStr">
        <is>
          <t>VÄSTMANLANDS LÄN</t>
        </is>
      </c>
      <c r="E2235" t="inlineStr">
        <is>
          <t>KÖPING</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48910-2025</t>
        </is>
      </c>
      <c r="B2236" s="1" t="n">
        <v>45937.48649305556</v>
      </c>
      <c r="C2236" s="1" t="n">
        <v>45998</v>
      </c>
      <c r="D2236" t="inlineStr">
        <is>
          <t>VÄSTMANLANDS LÄN</t>
        </is>
      </c>
      <c r="E2236" t="inlineStr">
        <is>
          <t>SALA</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25568-2025</t>
        </is>
      </c>
      <c r="B2237" s="1" t="n">
        <v>45803.46421296296</v>
      </c>
      <c r="C2237" s="1" t="n">
        <v>45998</v>
      </c>
      <c r="D2237" t="inlineStr">
        <is>
          <t>VÄSTMANLANDS LÄN</t>
        </is>
      </c>
      <c r="E2237" t="inlineStr">
        <is>
          <t>VÄSTERÅS</t>
        </is>
      </c>
      <c r="F2237" t="inlineStr">
        <is>
          <t>Allmännings- och besparingsskogar</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44174-2025</t>
        </is>
      </c>
      <c r="B2238" s="1" t="n">
        <v>45915.60364583333</v>
      </c>
      <c r="C2238" s="1" t="n">
        <v>45998</v>
      </c>
      <c r="D2238" t="inlineStr">
        <is>
          <t>VÄSTMANLANDS LÄN</t>
        </is>
      </c>
      <c r="E2238" t="inlineStr">
        <is>
          <t>SKINNSKATTEBERG</t>
        </is>
      </c>
      <c r="F2238" t="inlineStr">
        <is>
          <t>Sveaskog</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44175-2025</t>
        </is>
      </c>
      <c r="B2239" s="1" t="n">
        <v>45915.60597222222</v>
      </c>
      <c r="C2239" s="1" t="n">
        <v>45998</v>
      </c>
      <c r="D2239" t="inlineStr">
        <is>
          <t>VÄSTMANLANDS LÄN</t>
        </is>
      </c>
      <c r="E2239" t="inlineStr">
        <is>
          <t>SKINNSKATTEBERG</t>
        </is>
      </c>
      <c r="F2239" t="inlineStr">
        <is>
          <t>Sveaskog</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25543-2025</t>
        </is>
      </c>
      <c r="B2240" s="1" t="n">
        <v>45803.43010416667</v>
      </c>
      <c r="C2240" s="1" t="n">
        <v>45998</v>
      </c>
      <c r="D2240" t="inlineStr">
        <is>
          <t>VÄSTMANLANDS LÄN</t>
        </is>
      </c>
      <c r="E2240" t="inlineStr">
        <is>
          <t>KÖPING</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48962-2025</t>
        </is>
      </c>
      <c r="B2241" s="1" t="n">
        <v>45937.55361111111</v>
      </c>
      <c r="C2241" s="1" t="n">
        <v>45998</v>
      </c>
      <c r="D2241" t="inlineStr">
        <is>
          <t>VÄSTMANLANDS LÄN</t>
        </is>
      </c>
      <c r="E2241" t="inlineStr">
        <is>
          <t>KÖPING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56301-2025</t>
        </is>
      </c>
      <c r="B2242" s="1" t="n">
        <v>45974</v>
      </c>
      <c r="C2242" s="1" t="n">
        <v>45998</v>
      </c>
      <c r="D2242" t="inlineStr">
        <is>
          <t>VÄSTMANLANDS LÄN</t>
        </is>
      </c>
      <c r="E2242" t="inlineStr">
        <is>
          <t>KÖPING</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10909-2024</t>
        </is>
      </c>
      <c r="B2243" s="1" t="n">
        <v>45370</v>
      </c>
      <c r="C2243" s="1" t="n">
        <v>45998</v>
      </c>
      <c r="D2243" t="inlineStr">
        <is>
          <t>VÄSTMANLANDS LÄN</t>
        </is>
      </c>
      <c r="E2243" t="inlineStr">
        <is>
          <t>SALA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44486-2025</t>
        </is>
      </c>
      <c r="B2244" s="1" t="n">
        <v>45916.65517361111</v>
      </c>
      <c r="C2244" s="1" t="n">
        <v>45998</v>
      </c>
      <c r="D2244" t="inlineStr">
        <is>
          <t>VÄSTMANLANDS LÄN</t>
        </is>
      </c>
      <c r="E2244" t="inlineStr">
        <is>
          <t>SALA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54118-2023</t>
        </is>
      </c>
      <c r="B2245" s="1" t="n">
        <v>45232</v>
      </c>
      <c r="C2245" s="1" t="n">
        <v>45998</v>
      </c>
      <c r="D2245" t="inlineStr">
        <is>
          <t>VÄSTMANLANDS LÄN</t>
        </is>
      </c>
      <c r="E2245" t="inlineStr">
        <is>
          <t>SALA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53132-2025</t>
        </is>
      </c>
      <c r="B2246" s="1" t="n">
        <v>45958.46645833334</v>
      </c>
      <c r="C2246" s="1" t="n">
        <v>45998</v>
      </c>
      <c r="D2246" t="inlineStr">
        <is>
          <t>VÄSTMANLANDS LÄN</t>
        </is>
      </c>
      <c r="E2246" t="inlineStr">
        <is>
          <t>SKINNSKATTEBERG</t>
        </is>
      </c>
      <c r="F2246" t="inlineStr">
        <is>
          <t>Sveaskog</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41581-2025</t>
        </is>
      </c>
      <c r="B2247" s="1" t="n">
        <v>45901.62226851852</v>
      </c>
      <c r="C2247" s="1" t="n">
        <v>45998</v>
      </c>
      <c r="D2247" t="inlineStr">
        <is>
          <t>VÄSTMANLANDS LÄN</t>
        </is>
      </c>
      <c r="E2247" t="inlineStr">
        <is>
          <t>SKINNSKATTEBERG</t>
        </is>
      </c>
      <c r="F2247" t="inlineStr">
        <is>
          <t>Sveaskog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25846-2025</t>
        </is>
      </c>
      <c r="B2248" s="1" t="n">
        <v>45804.46195601852</v>
      </c>
      <c r="C2248" s="1" t="n">
        <v>45998</v>
      </c>
      <c r="D2248" t="inlineStr">
        <is>
          <t>VÄSTMANLANDS LÄN</t>
        </is>
      </c>
      <c r="E2248" t="inlineStr">
        <is>
          <t>SKINNSKATTEBERG</t>
        </is>
      </c>
      <c r="F2248" t="inlineStr">
        <is>
          <t>Sveaskog</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57318-2025</t>
        </is>
      </c>
      <c r="B2249" s="1" t="n">
        <v>45980.01403935185</v>
      </c>
      <c r="C2249" s="1" t="n">
        <v>45998</v>
      </c>
      <c r="D2249" t="inlineStr">
        <is>
          <t>VÄSTMANLANDS LÄN</t>
        </is>
      </c>
      <c r="E2249" t="inlineStr">
        <is>
          <t>KÖPING</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57414-2025</t>
        </is>
      </c>
      <c r="B2250" s="1" t="n">
        <v>45980.45003472222</v>
      </c>
      <c r="C2250" s="1" t="n">
        <v>45998</v>
      </c>
      <c r="D2250" t="inlineStr">
        <is>
          <t>VÄSTMANLANDS LÄN</t>
        </is>
      </c>
      <c r="E2250" t="inlineStr">
        <is>
          <t>SALA</t>
        </is>
      </c>
      <c r="F2250" t="inlineStr">
        <is>
          <t>Bergvik skog öst AB</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44171-2025</t>
        </is>
      </c>
      <c r="B2251" s="1" t="n">
        <v>45915.60108796296</v>
      </c>
      <c r="C2251" s="1" t="n">
        <v>45998</v>
      </c>
      <c r="D2251" t="inlineStr">
        <is>
          <t>VÄSTMANLANDS LÄN</t>
        </is>
      </c>
      <c r="E2251" t="inlineStr">
        <is>
          <t>KÖPING</t>
        </is>
      </c>
      <c r="F2251" t="inlineStr">
        <is>
          <t>Sveaskog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57415-2025</t>
        </is>
      </c>
      <c r="B2252" s="1" t="n">
        <v>45980.45099537037</v>
      </c>
      <c r="C2252" s="1" t="n">
        <v>45998</v>
      </c>
      <c r="D2252" t="inlineStr">
        <is>
          <t>VÄSTMANLANDS LÄN</t>
        </is>
      </c>
      <c r="E2252" t="inlineStr">
        <is>
          <t>SALA</t>
        </is>
      </c>
      <c r="F2252" t="inlineStr">
        <is>
          <t>Bergvik skog öst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44524-2025</t>
        </is>
      </c>
      <c r="B2253" s="1" t="n">
        <v>45916.72920138889</v>
      </c>
      <c r="C2253" s="1" t="n">
        <v>45998</v>
      </c>
      <c r="D2253" t="inlineStr">
        <is>
          <t>VÄSTMANLANDS LÄN</t>
        </is>
      </c>
      <c r="E2253" t="inlineStr">
        <is>
          <t>SALA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26044-2025</t>
        </is>
      </c>
      <c r="B2254" s="1" t="n">
        <v>45804.70619212963</v>
      </c>
      <c r="C2254" s="1" t="n">
        <v>45998</v>
      </c>
      <c r="D2254" t="inlineStr">
        <is>
          <t>VÄSTMANLANDS LÄN</t>
        </is>
      </c>
      <c r="E2254" t="inlineStr">
        <is>
          <t>ARBOGA</t>
        </is>
      </c>
      <c r="G2254" t="n">
        <v>31.3</v>
      </c>
      <c r="H2254" t="n">
        <v>0</v>
      </c>
      <c r="I2254" t="n">
        <v>0</v>
      </c>
      <c r="J2254" t="n">
        <v>0</v>
      </c>
      <c r="K2254" t="n">
        <v>0</v>
      </c>
      <c r="L2254" t="n">
        <v>0</v>
      </c>
      <c r="M2254" t="n">
        <v>0</v>
      </c>
      <c r="N2254" t="n">
        <v>0</v>
      </c>
      <c r="O2254" t="n">
        <v>0</v>
      </c>
      <c r="P2254" t="n">
        <v>0</v>
      </c>
      <c r="Q2254" t="n">
        <v>0</v>
      </c>
      <c r="R2254" s="2" t="inlineStr"/>
    </row>
    <row r="2255" ht="15" customHeight="1">
      <c r="A2255" t="inlineStr">
        <is>
          <t>A 52951-2025</t>
        </is>
      </c>
      <c r="B2255" s="1" t="n">
        <v>45957.6533449074</v>
      </c>
      <c r="C2255" s="1" t="n">
        <v>45998</v>
      </c>
      <c r="D2255" t="inlineStr">
        <is>
          <t>VÄSTMANLANDS LÄN</t>
        </is>
      </c>
      <c r="E2255" t="inlineStr">
        <is>
          <t>SKINNSKATTEBERG</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49640-2025</t>
        </is>
      </c>
      <c r="B2256" s="1" t="n">
        <v>45939.61459490741</v>
      </c>
      <c r="C2256" s="1" t="n">
        <v>45998</v>
      </c>
      <c r="D2256" t="inlineStr">
        <is>
          <t>VÄSTMANLANDS LÄN</t>
        </is>
      </c>
      <c r="E2256" t="inlineStr">
        <is>
          <t>SALA</t>
        </is>
      </c>
      <c r="F2256" t="inlineStr">
        <is>
          <t>Kommuner</t>
        </is>
      </c>
      <c r="G2256" t="n">
        <v>18.8</v>
      </c>
      <c r="H2256" t="n">
        <v>0</v>
      </c>
      <c r="I2256" t="n">
        <v>0</v>
      </c>
      <c r="J2256" t="n">
        <v>0</v>
      </c>
      <c r="K2256" t="n">
        <v>0</v>
      </c>
      <c r="L2256" t="n">
        <v>0</v>
      </c>
      <c r="M2256" t="n">
        <v>0</v>
      </c>
      <c r="N2256" t="n">
        <v>0</v>
      </c>
      <c r="O2256" t="n">
        <v>0</v>
      </c>
      <c r="P2256" t="n">
        <v>0</v>
      </c>
      <c r="Q2256" t="n">
        <v>0</v>
      </c>
      <c r="R2256" s="2" t="inlineStr"/>
    </row>
    <row r="2257" ht="15" customHeight="1">
      <c r="A2257" t="inlineStr">
        <is>
          <t>A 25845-2025</t>
        </is>
      </c>
      <c r="B2257" s="1" t="n">
        <v>45804</v>
      </c>
      <c r="C2257" s="1" t="n">
        <v>45998</v>
      </c>
      <c r="D2257" t="inlineStr">
        <is>
          <t>VÄSTMANLANDS LÄN</t>
        </is>
      </c>
      <c r="E2257" t="inlineStr">
        <is>
          <t>SKINNSKATTEBERG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44188-2025</t>
        </is>
      </c>
      <c r="B2258" s="1" t="n">
        <v>45915.61349537037</v>
      </c>
      <c r="C2258" s="1" t="n">
        <v>45998</v>
      </c>
      <c r="D2258" t="inlineStr">
        <is>
          <t>VÄSTMANLANDS LÄN</t>
        </is>
      </c>
      <c r="E2258" t="inlineStr">
        <is>
          <t>SKINNSKATTEBERG</t>
        </is>
      </c>
      <c r="F2258" t="inlineStr">
        <is>
          <t>Sveaskog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25972-2025</t>
        </is>
      </c>
      <c r="B2259" s="1" t="n">
        <v>45804.6315625</v>
      </c>
      <c r="C2259" s="1" t="n">
        <v>45998</v>
      </c>
      <c r="D2259" t="inlineStr">
        <is>
          <t>VÄSTMANLANDS LÄN</t>
        </is>
      </c>
      <c r="E2259" t="inlineStr">
        <is>
          <t>FAGERSTA</t>
        </is>
      </c>
      <c r="F2259" t="inlineStr">
        <is>
          <t>Sveaskog</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52728-2025</t>
        </is>
      </c>
      <c r="B2260" s="1" t="n">
        <v>45957.35716435185</v>
      </c>
      <c r="C2260" s="1" t="n">
        <v>45998</v>
      </c>
      <c r="D2260" t="inlineStr">
        <is>
          <t>VÄSTMANLANDS LÄN</t>
        </is>
      </c>
      <c r="E2260" t="inlineStr">
        <is>
          <t>SKINNSKATTEBERG</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58111-2025</t>
        </is>
      </c>
      <c r="B2261" s="1" t="n">
        <v>45982.59920138889</v>
      </c>
      <c r="C2261" s="1" t="n">
        <v>45998</v>
      </c>
      <c r="D2261" t="inlineStr">
        <is>
          <t>VÄSTMANLANDS LÄN</t>
        </is>
      </c>
      <c r="E2261" t="inlineStr">
        <is>
          <t>HALLSTAHAMMAR</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26165-2025</t>
        </is>
      </c>
      <c r="B2262" s="1" t="n">
        <v>45805.45321759259</v>
      </c>
      <c r="C2262" s="1" t="n">
        <v>45998</v>
      </c>
      <c r="D2262" t="inlineStr">
        <is>
          <t>VÄSTMANLANDS LÄN</t>
        </is>
      </c>
      <c r="E2262" t="inlineStr">
        <is>
          <t>FAGERSTA</t>
        </is>
      </c>
      <c r="F2262" t="inlineStr">
        <is>
          <t>Sveaskog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35462-2024</t>
        </is>
      </c>
      <c r="B2263" s="1" t="n">
        <v>45531</v>
      </c>
      <c r="C2263" s="1" t="n">
        <v>45998</v>
      </c>
      <c r="D2263" t="inlineStr">
        <is>
          <t>VÄSTMANLANDS LÄN</t>
        </is>
      </c>
      <c r="E2263" t="inlineStr">
        <is>
          <t>SALA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43122-2025</t>
        </is>
      </c>
      <c r="B2264" s="1" t="n">
        <v>45909</v>
      </c>
      <c r="C2264" s="1" t="n">
        <v>45998</v>
      </c>
      <c r="D2264" t="inlineStr">
        <is>
          <t>VÄSTMANLANDS LÄN</t>
        </is>
      </c>
      <c r="E2264" t="inlineStr">
        <is>
          <t>SALA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26163-2025</t>
        </is>
      </c>
      <c r="B2265" s="1" t="n">
        <v>45805.45002314815</v>
      </c>
      <c r="C2265" s="1" t="n">
        <v>45998</v>
      </c>
      <c r="D2265" t="inlineStr">
        <is>
          <t>VÄSTMANLANDS LÄN</t>
        </is>
      </c>
      <c r="E2265" t="inlineStr">
        <is>
          <t>FAGERSTA</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57693-2025</t>
        </is>
      </c>
      <c r="B2266" s="1" t="n">
        <v>45981.45151620371</v>
      </c>
      <c r="C2266" s="1" t="n">
        <v>45998</v>
      </c>
      <c r="D2266" t="inlineStr">
        <is>
          <t>VÄSTMANLANDS LÄN</t>
        </is>
      </c>
      <c r="E2266" t="inlineStr">
        <is>
          <t>KÖPING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58109-2025</t>
        </is>
      </c>
      <c r="B2267" s="1" t="n">
        <v>45982.59765046297</v>
      </c>
      <c r="C2267" s="1" t="n">
        <v>45998</v>
      </c>
      <c r="D2267" t="inlineStr">
        <is>
          <t>VÄSTMANLANDS LÄN</t>
        </is>
      </c>
      <c r="E2267" t="inlineStr">
        <is>
          <t>HALLSTAHAMMAR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15046-2025</t>
        </is>
      </c>
      <c r="B2268" s="1" t="n">
        <v>45743</v>
      </c>
      <c r="C2268" s="1" t="n">
        <v>45998</v>
      </c>
      <c r="D2268" t="inlineStr">
        <is>
          <t>VÄSTMANLANDS LÄN</t>
        </is>
      </c>
      <c r="E2268" t="inlineStr">
        <is>
          <t>VÄSTERÅS</t>
        </is>
      </c>
      <c r="G2268" t="n">
        <v>17.7</v>
      </c>
      <c r="H2268" t="n">
        <v>0</v>
      </c>
      <c r="I2268" t="n">
        <v>0</v>
      </c>
      <c r="J2268" t="n">
        <v>0</v>
      </c>
      <c r="K2268" t="n">
        <v>0</v>
      </c>
      <c r="L2268" t="n">
        <v>0</v>
      </c>
      <c r="M2268" t="n">
        <v>0</v>
      </c>
      <c r="N2268" t="n">
        <v>0</v>
      </c>
      <c r="O2268" t="n">
        <v>0</v>
      </c>
      <c r="P2268" t="n">
        <v>0</v>
      </c>
      <c r="Q2268" t="n">
        <v>0</v>
      </c>
      <c r="R2268" s="2" t="inlineStr"/>
    </row>
    <row r="2269" ht="15" customHeight="1">
      <c r="A2269" t="inlineStr">
        <is>
          <t>A 26164-2025</t>
        </is>
      </c>
      <c r="B2269" s="1" t="n">
        <v>45805.45237268518</v>
      </c>
      <c r="C2269" s="1" t="n">
        <v>45998</v>
      </c>
      <c r="D2269" t="inlineStr">
        <is>
          <t>VÄSTMANLANDS LÄN</t>
        </is>
      </c>
      <c r="E2269" t="inlineStr">
        <is>
          <t>FAGERSTA</t>
        </is>
      </c>
      <c r="F2269" t="inlineStr">
        <is>
          <t>Sveaskog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57572-2025</t>
        </is>
      </c>
      <c r="B2270" s="1" t="n">
        <v>45980.82129629629</v>
      </c>
      <c r="C2270" s="1" t="n">
        <v>45998</v>
      </c>
      <c r="D2270" t="inlineStr">
        <is>
          <t>VÄSTMANLANDS LÄN</t>
        </is>
      </c>
      <c r="E2270" t="inlineStr">
        <is>
          <t>KÖPING</t>
        </is>
      </c>
      <c r="F2270" t="inlineStr">
        <is>
          <t>Sveaskog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53725-2025</t>
        </is>
      </c>
      <c r="B2271" s="1" t="n">
        <v>45960.63394675926</v>
      </c>
      <c r="C2271" s="1" t="n">
        <v>45998</v>
      </c>
      <c r="D2271" t="inlineStr">
        <is>
          <t>VÄSTMANLANDS LÄN</t>
        </is>
      </c>
      <c r="E2271" t="inlineStr">
        <is>
          <t>SALA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26839-2025</t>
        </is>
      </c>
      <c r="B2272" s="1" t="n">
        <v>45810.65856481482</v>
      </c>
      <c r="C2272" s="1" t="n">
        <v>45998</v>
      </c>
      <c r="D2272" t="inlineStr">
        <is>
          <t>VÄSTMANLANDS LÄN</t>
        </is>
      </c>
      <c r="E2272" t="inlineStr">
        <is>
          <t>KÖPING</t>
        </is>
      </c>
      <c r="F2272" t="inlineStr">
        <is>
          <t>Sveaskog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26652-2025</t>
        </is>
      </c>
      <c r="B2273" s="1" t="n">
        <v>45810.38774305556</v>
      </c>
      <c r="C2273" s="1" t="n">
        <v>45998</v>
      </c>
      <c r="D2273" t="inlineStr">
        <is>
          <t>VÄSTMANLANDS LÄN</t>
        </is>
      </c>
      <c r="E2273" t="inlineStr">
        <is>
          <t>FAGERSTA</t>
        </is>
      </c>
      <c r="F2273" t="inlineStr">
        <is>
          <t>Bergvik skog väst AB</t>
        </is>
      </c>
      <c r="G2273" t="n">
        <v>22.6</v>
      </c>
      <c r="H2273" t="n">
        <v>0</v>
      </c>
      <c r="I2273" t="n">
        <v>0</v>
      </c>
      <c r="J2273" t="n">
        <v>0</v>
      </c>
      <c r="K2273" t="n">
        <v>0</v>
      </c>
      <c r="L2273" t="n">
        <v>0</v>
      </c>
      <c r="M2273" t="n">
        <v>0</v>
      </c>
      <c r="N2273" t="n">
        <v>0</v>
      </c>
      <c r="O2273" t="n">
        <v>0</v>
      </c>
      <c r="P2273" t="n">
        <v>0</v>
      </c>
      <c r="Q2273" t="n">
        <v>0</v>
      </c>
      <c r="R2273" s="2" t="inlineStr"/>
    </row>
    <row r="2274" ht="15" customHeight="1">
      <c r="A2274" t="inlineStr">
        <is>
          <t>A 58125-2025</t>
        </is>
      </c>
      <c r="B2274" s="1" t="n">
        <v>45982.61506944444</v>
      </c>
      <c r="C2274" s="1" t="n">
        <v>45998</v>
      </c>
      <c r="D2274" t="inlineStr">
        <is>
          <t>VÄSTMANLANDS LÄN</t>
        </is>
      </c>
      <c r="E2274" t="inlineStr">
        <is>
          <t>HALLSTAHAMMAR</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56076-2023</t>
        </is>
      </c>
      <c r="B2275" s="1" t="n">
        <v>45235</v>
      </c>
      <c r="C2275" s="1" t="n">
        <v>45998</v>
      </c>
      <c r="D2275" t="inlineStr">
        <is>
          <t>VÄSTMANLANDS LÄN</t>
        </is>
      </c>
      <c r="E2275" t="inlineStr">
        <is>
          <t>VÄSTERÅS</t>
        </is>
      </c>
      <c r="F2275" t="inlineStr">
        <is>
          <t>Övriga Aktiebolag</t>
        </is>
      </c>
      <c r="G2275" t="n">
        <v>37.8</v>
      </c>
      <c r="H2275" t="n">
        <v>0</v>
      </c>
      <c r="I2275" t="n">
        <v>0</v>
      </c>
      <c r="J2275" t="n">
        <v>0</v>
      </c>
      <c r="K2275" t="n">
        <v>0</v>
      </c>
      <c r="L2275" t="n">
        <v>0</v>
      </c>
      <c r="M2275" t="n">
        <v>0</v>
      </c>
      <c r="N2275" t="n">
        <v>0</v>
      </c>
      <c r="O2275" t="n">
        <v>0</v>
      </c>
      <c r="P2275" t="n">
        <v>0</v>
      </c>
      <c r="Q2275" t="n">
        <v>0</v>
      </c>
      <c r="R2275" s="2" t="inlineStr"/>
    </row>
    <row r="2276" ht="15" customHeight="1">
      <c r="A2276" t="inlineStr">
        <is>
          <t>A 49585-2025</t>
        </is>
      </c>
      <c r="B2276" s="1" t="n">
        <v>45939.5043287037</v>
      </c>
      <c r="C2276" s="1" t="n">
        <v>45998</v>
      </c>
      <c r="D2276" t="inlineStr">
        <is>
          <t>VÄSTMANLANDS LÄN</t>
        </is>
      </c>
      <c r="E2276" t="inlineStr">
        <is>
          <t>SALA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53724-2025</t>
        </is>
      </c>
      <c r="B2277" s="1" t="n">
        <v>45960.63174768518</v>
      </c>
      <c r="C2277" s="1" t="n">
        <v>45998</v>
      </c>
      <c r="D2277" t="inlineStr">
        <is>
          <t>VÄSTMANLANDS LÄN</t>
        </is>
      </c>
      <c r="E2277" t="inlineStr">
        <is>
          <t>SALA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53761-2025</t>
        </is>
      </c>
      <c r="B2278" s="1" t="n">
        <v>45960.67104166667</v>
      </c>
      <c r="C2278" s="1" t="n">
        <v>45998</v>
      </c>
      <c r="D2278" t="inlineStr">
        <is>
          <t>VÄSTMANLANDS LÄN</t>
        </is>
      </c>
      <c r="E2278" t="inlineStr">
        <is>
          <t>SKINNSKATTEBERG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55562-2022</t>
        </is>
      </c>
      <c r="B2279" s="1" t="n">
        <v>44888</v>
      </c>
      <c r="C2279" s="1" t="n">
        <v>45998</v>
      </c>
      <c r="D2279" t="inlineStr">
        <is>
          <t>VÄSTMANLANDS LÄN</t>
        </is>
      </c>
      <c r="E2279" t="inlineStr">
        <is>
          <t>HALLSTAHAMMAR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45015-2025</t>
        </is>
      </c>
      <c r="B2280" s="1" t="n">
        <v>45918.67474537037</v>
      </c>
      <c r="C2280" s="1" t="n">
        <v>45998</v>
      </c>
      <c r="D2280" t="inlineStr">
        <is>
          <t>VÄSTMANLANDS LÄN</t>
        </is>
      </c>
      <c r="E2280" t="inlineStr">
        <is>
          <t>SKINNSKATTEBERG</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57652-2025</t>
        </is>
      </c>
      <c r="B2281" s="1" t="n">
        <v>45981.39396990741</v>
      </c>
      <c r="C2281" s="1" t="n">
        <v>45998</v>
      </c>
      <c r="D2281" t="inlineStr">
        <is>
          <t>VÄSTMANLANDS LÄN</t>
        </is>
      </c>
      <c r="E2281" t="inlineStr">
        <is>
          <t>SKINNSKATTEBERG</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58079-2025</t>
        </is>
      </c>
      <c r="B2282" s="1" t="n">
        <v>45982.55881944444</v>
      </c>
      <c r="C2282" s="1" t="n">
        <v>45998</v>
      </c>
      <c r="D2282" t="inlineStr">
        <is>
          <t>VÄSTMANLANDS LÄN</t>
        </is>
      </c>
      <c r="E2282" t="inlineStr">
        <is>
          <t>KÖPING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26862-2025</t>
        </is>
      </c>
      <c r="B2283" s="1" t="n">
        <v>45810.69605324074</v>
      </c>
      <c r="C2283" s="1" t="n">
        <v>45998</v>
      </c>
      <c r="D2283" t="inlineStr">
        <is>
          <t>VÄSTMANLANDS LÄN</t>
        </is>
      </c>
      <c r="E2283" t="inlineStr">
        <is>
          <t>KÖPING</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50226-2025</t>
        </is>
      </c>
      <c r="B2284" s="1" t="n">
        <v>45943</v>
      </c>
      <c r="C2284" s="1" t="n">
        <v>45998</v>
      </c>
      <c r="D2284" t="inlineStr">
        <is>
          <t>VÄSTMANLANDS LÄN</t>
        </is>
      </c>
      <c r="E2284" t="inlineStr">
        <is>
          <t>FAGERSTA</t>
        </is>
      </c>
      <c r="F2284" t="inlineStr">
        <is>
          <t>Kommuner</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50996-2024</t>
        </is>
      </c>
      <c r="B2285" s="1" t="n">
        <v>45603</v>
      </c>
      <c r="C2285" s="1" t="n">
        <v>45998</v>
      </c>
      <c r="D2285" t="inlineStr">
        <is>
          <t>VÄSTMANLANDS LÄN</t>
        </is>
      </c>
      <c r="E2285" t="inlineStr">
        <is>
          <t>VÄSTERÅS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58282-2025</t>
        </is>
      </c>
      <c r="B2286" s="1" t="n">
        <v>45985.44309027777</v>
      </c>
      <c r="C2286" s="1" t="n">
        <v>45998</v>
      </c>
      <c r="D2286" t="inlineStr">
        <is>
          <t>VÄSTMANLANDS LÄN</t>
        </is>
      </c>
      <c r="E2286" t="inlineStr">
        <is>
          <t>SALA</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44884-2025</t>
        </is>
      </c>
      <c r="B2287" s="1" t="n">
        <v>45918</v>
      </c>
      <c r="C2287" s="1" t="n">
        <v>45998</v>
      </c>
      <c r="D2287" t="inlineStr">
        <is>
          <t>VÄSTMANLANDS LÄN</t>
        </is>
      </c>
      <c r="E2287" t="inlineStr">
        <is>
          <t>NORBERG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58357-2025</t>
        </is>
      </c>
      <c r="B2288" s="1" t="n">
        <v>45985.51518518518</v>
      </c>
      <c r="C2288" s="1" t="n">
        <v>45998</v>
      </c>
      <c r="D2288" t="inlineStr">
        <is>
          <t>VÄSTMANLANDS LÄN</t>
        </is>
      </c>
      <c r="E2288" t="inlineStr">
        <is>
          <t>SALA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58364-2025</t>
        </is>
      </c>
      <c r="B2289" s="1" t="n">
        <v>45985.5228125</v>
      </c>
      <c r="C2289" s="1" t="n">
        <v>45998</v>
      </c>
      <c r="D2289" t="inlineStr">
        <is>
          <t>VÄSTMANLANDS LÄN</t>
        </is>
      </c>
      <c r="E2289" t="inlineStr">
        <is>
          <t>SALA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54470-2025</t>
        </is>
      </c>
      <c r="B2290" s="1" t="n">
        <v>45965.57278935185</v>
      </c>
      <c r="C2290" s="1" t="n">
        <v>45998</v>
      </c>
      <c r="D2290" t="inlineStr">
        <is>
          <t>VÄSTMANLANDS LÄN</t>
        </is>
      </c>
      <c r="E2290" t="inlineStr">
        <is>
          <t>ARBOGA</t>
        </is>
      </c>
      <c r="F2290" t="inlineStr">
        <is>
          <t>Sveaskog</t>
        </is>
      </c>
      <c r="G2290" t="n">
        <v>11.6</v>
      </c>
      <c r="H2290" t="n">
        <v>0</v>
      </c>
      <c r="I2290" t="n">
        <v>0</v>
      </c>
      <c r="J2290" t="n">
        <v>0</v>
      </c>
      <c r="K2290" t="n">
        <v>0</v>
      </c>
      <c r="L2290" t="n">
        <v>0</v>
      </c>
      <c r="M2290" t="n">
        <v>0</v>
      </c>
      <c r="N2290" t="n">
        <v>0</v>
      </c>
      <c r="O2290" t="n">
        <v>0</v>
      </c>
      <c r="P2290" t="n">
        <v>0</v>
      </c>
      <c r="Q2290" t="n">
        <v>0</v>
      </c>
      <c r="R2290" s="2" t="inlineStr"/>
    </row>
    <row r="2291" ht="15" customHeight="1">
      <c r="A2291" t="inlineStr">
        <is>
          <t>A 26847-2025</t>
        </is>
      </c>
      <c r="B2291" s="1" t="n">
        <v>45810.66447916667</v>
      </c>
      <c r="C2291" s="1" t="n">
        <v>45998</v>
      </c>
      <c r="D2291" t="inlineStr">
        <is>
          <t>VÄSTMANLANDS LÄN</t>
        </is>
      </c>
      <c r="E2291" t="inlineStr">
        <is>
          <t>KÖPING</t>
        </is>
      </c>
      <c r="F2291" t="inlineStr">
        <is>
          <t>Sveaskog</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26661-2025</t>
        </is>
      </c>
      <c r="B2292" s="1" t="n">
        <v>45810</v>
      </c>
      <c r="C2292" s="1" t="n">
        <v>45998</v>
      </c>
      <c r="D2292" t="inlineStr">
        <is>
          <t>VÄSTMANLANDS LÄN</t>
        </is>
      </c>
      <c r="E2292" t="inlineStr">
        <is>
          <t>SALA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26845-2025</t>
        </is>
      </c>
      <c r="B2293" s="1" t="n">
        <v>45810.66362268518</v>
      </c>
      <c r="C2293" s="1" t="n">
        <v>45998</v>
      </c>
      <c r="D2293" t="inlineStr">
        <is>
          <t>VÄSTMANLANDS LÄN</t>
        </is>
      </c>
      <c r="E2293" t="inlineStr">
        <is>
          <t>KÖPING</t>
        </is>
      </c>
      <c r="F2293" t="inlineStr">
        <is>
          <t>Sveaskog</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58457-2025</t>
        </is>
      </c>
      <c r="B2294" s="1" t="n">
        <v>45985.63418981482</v>
      </c>
      <c r="C2294" s="1" t="n">
        <v>45998</v>
      </c>
      <c r="D2294" t="inlineStr">
        <is>
          <t>VÄSTMANLANDS LÄN</t>
        </is>
      </c>
      <c r="E2294" t="inlineStr">
        <is>
          <t>NORBERG</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53539-2025</t>
        </is>
      </c>
      <c r="B2295" s="1" t="n">
        <v>45960.37422453704</v>
      </c>
      <c r="C2295" s="1" t="n">
        <v>45998</v>
      </c>
      <c r="D2295" t="inlineStr">
        <is>
          <t>VÄSTMANLANDS LÄN</t>
        </is>
      </c>
      <c r="E2295" t="inlineStr">
        <is>
          <t>SKINNSKATTEBERG</t>
        </is>
      </c>
      <c r="F2295" t="inlineStr">
        <is>
          <t>Sveaskog</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53744-2025</t>
        </is>
      </c>
      <c r="B2296" s="1" t="n">
        <v>45960.64863425926</v>
      </c>
      <c r="C2296" s="1" t="n">
        <v>45998</v>
      </c>
      <c r="D2296" t="inlineStr">
        <is>
          <t>VÄSTMANLANDS LÄN</t>
        </is>
      </c>
      <c r="E2296" t="inlineStr">
        <is>
          <t>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53351-2025</t>
        </is>
      </c>
      <c r="B2297" s="1" t="n">
        <v>45959.44415509259</v>
      </c>
      <c r="C2297" s="1" t="n">
        <v>45998</v>
      </c>
      <c r="D2297" t="inlineStr">
        <is>
          <t>VÄSTMANLANDS LÄN</t>
        </is>
      </c>
      <c r="E2297" t="inlineStr">
        <is>
          <t>KÖPING</t>
        </is>
      </c>
      <c r="F2297" t="inlineStr">
        <is>
          <t>Sveaskog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50128-2025</t>
        </is>
      </c>
      <c r="B2298" s="1" t="n">
        <v>45943.55318287037</v>
      </c>
      <c r="C2298" s="1" t="n">
        <v>45998</v>
      </c>
      <c r="D2298" t="inlineStr">
        <is>
          <t>VÄSTMANLANDS LÄN</t>
        </is>
      </c>
      <c r="E2298" t="inlineStr">
        <is>
          <t>SALA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54032-2025</t>
        </is>
      </c>
      <c r="B2299" s="1" t="n">
        <v>45962.96883101852</v>
      </c>
      <c r="C2299" s="1" t="n">
        <v>45998</v>
      </c>
      <c r="D2299" t="inlineStr">
        <is>
          <t>VÄSTMANLANDS LÄN</t>
        </is>
      </c>
      <c r="E2299" t="inlineStr">
        <is>
          <t>ARBOGA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45116-2025</t>
        </is>
      </c>
      <c r="B2300" s="1" t="n">
        <v>45919.4250925926</v>
      </c>
      <c r="C2300" s="1" t="n">
        <v>45998</v>
      </c>
      <c r="D2300" t="inlineStr">
        <is>
          <t>VÄSTMANLANDS LÄN</t>
        </is>
      </c>
      <c r="E2300" t="inlineStr">
        <is>
          <t>ARBOGA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45119-2025</t>
        </is>
      </c>
      <c r="B2301" s="1" t="n">
        <v>45919.4278125</v>
      </c>
      <c r="C2301" s="1" t="n">
        <v>45998</v>
      </c>
      <c r="D2301" t="inlineStr">
        <is>
          <t>VÄSTMANLANDS LÄN</t>
        </is>
      </c>
      <c r="E2301" t="inlineStr">
        <is>
          <t>SKINNSKATTEBERG</t>
        </is>
      </c>
      <c r="F2301" t="inlineStr">
        <is>
          <t>Sveaskog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45126-2025</t>
        </is>
      </c>
      <c r="B2302" s="1" t="n">
        <v>45919.43328703703</v>
      </c>
      <c r="C2302" s="1" t="n">
        <v>45998</v>
      </c>
      <c r="D2302" t="inlineStr">
        <is>
          <t>VÄSTMANLANDS LÄN</t>
        </is>
      </c>
      <c r="E2302" t="inlineStr">
        <is>
          <t>SKINNSKATTEBERG</t>
        </is>
      </c>
      <c r="F2302" t="inlineStr">
        <is>
          <t>Sveaskog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54143-2025</t>
        </is>
      </c>
      <c r="B2303" s="1" t="n">
        <v>45964.48070601852</v>
      </c>
      <c r="C2303" s="1" t="n">
        <v>45998</v>
      </c>
      <c r="D2303" t="inlineStr">
        <is>
          <t>VÄSTMANLANDS LÄN</t>
        </is>
      </c>
      <c r="E2303" t="inlineStr">
        <is>
          <t>NORBERG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58196-2025</t>
        </is>
      </c>
      <c r="B2304" s="1" t="n">
        <v>45983.87262731481</v>
      </c>
      <c r="C2304" s="1" t="n">
        <v>45998</v>
      </c>
      <c r="D2304" t="inlineStr">
        <is>
          <t>VÄSTMANLANDS LÄN</t>
        </is>
      </c>
      <c r="E2304" t="inlineStr">
        <is>
          <t>ARBOGA</t>
        </is>
      </c>
      <c r="G2304" t="n">
        <v>13.2</v>
      </c>
      <c r="H2304" t="n">
        <v>0</v>
      </c>
      <c r="I2304" t="n">
        <v>0</v>
      </c>
      <c r="J2304" t="n">
        <v>0</v>
      </c>
      <c r="K2304" t="n">
        <v>0</v>
      </c>
      <c r="L2304" t="n">
        <v>0</v>
      </c>
      <c r="M2304" t="n">
        <v>0</v>
      </c>
      <c r="N2304" t="n">
        <v>0</v>
      </c>
      <c r="O2304" t="n">
        <v>0</v>
      </c>
      <c r="P2304" t="n">
        <v>0</v>
      </c>
      <c r="Q2304" t="n">
        <v>0</v>
      </c>
      <c r="R2304" s="2" t="inlineStr"/>
    </row>
    <row r="2305" ht="15" customHeight="1">
      <c r="A2305" t="inlineStr">
        <is>
          <t>A 58206-2025</t>
        </is>
      </c>
      <c r="B2305" s="1" t="n">
        <v>45984.72953703703</v>
      </c>
      <c r="C2305" s="1" t="n">
        <v>45998</v>
      </c>
      <c r="D2305" t="inlineStr">
        <is>
          <t>VÄSTMANLANDS LÄN</t>
        </is>
      </c>
      <c r="E2305" t="inlineStr">
        <is>
          <t>FAGERSTA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27365-2025</t>
        </is>
      </c>
      <c r="B2306" s="1" t="n">
        <v>45812.64355324074</v>
      </c>
      <c r="C2306" s="1" t="n">
        <v>45998</v>
      </c>
      <c r="D2306" t="inlineStr">
        <is>
          <t>VÄSTMANLANDS LÄN</t>
        </is>
      </c>
      <c r="E2306" t="inlineStr">
        <is>
          <t>HALLSTAHAMMAR</t>
        </is>
      </c>
      <c r="G2306" t="n">
        <v>11.9</v>
      </c>
      <c r="H2306" t="n">
        <v>0</v>
      </c>
      <c r="I2306" t="n">
        <v>0</v>
      </c>
      <c r="J2306" t="n">
        <v>0</v>
      </c>
      <c r="K2306" t="n">
        <v>0</v>
      </c>
      <c r="L2306" t="n">
        <v>0</v>
      </c>
      <c r="M2306" t="n">
        <v>0</v>
      </c>
      <c r="N2306" t="n">
        <v>0</v>
      </c>
      <c r="O2306" t="n">
        <v>0</v>
      </c>
      <c r="P2306" t="n">
        <v>0</v>
      </c>
      <c r="Q2306" t="n">
        <v>0</v>
      </c>
      <c r="R2306" s="2" t="inlineStr"/>
    </row>
    <row r="2307" ht="15" customHeight="1">
      <c r="A2307" t="inlineStr">
        <is>
          <t>A 58359-2025</t>
        </is>
      </c>
      <c r="B2307" s="1" t="n">
        <v>45985.51594907408</v>
      </c>
      <c r="C2307" s="1" t="n">
        <v>45998</v>
      </c>
      <c r="D2307" t="inlineStr">
        <is>
          <t>VÄSTMANLANDS LÄN</t>
        </is>
      </c>
      <c r="E2307" t="inlineStr">
        <is>
          <t>SALA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45115-2025</t>
        </is>
      </c>
      <c r="B2308" s="1" t="n">
        <v>45919.42439814815</v>
      </c>
      <c r="C2308" s="1" t="n">
        <v>45998</v>
      </c>
      <c r="D2308" t="inlineStr">
        <is>
          <t>VÄSTMANLANDS LÄN</t>
        </is>
      </c>
      <c r="E2308" t="inlineStr">
        <is>
          <t>SKINNSKATTEBERG</t>
        </is>
      </c>
      <c r="F2308" t="inlineStr">
        <is>
          <t>Sveaskog</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27394-2025</t>
        </is>
      </c>
      <c r="B2309" s="1" t="n">
        <v>45812</v>
      </c>
      <c r="C2309" s="1" t="n">
        <v>45998</v>
      </c>
      <c r="D2309" t="inlineStr">
        <is>
          <t>VÄSTMANLANDS LÄN</t>
        </is>
      </c>
      <c r="E2309" t="inlineStr">
        <is>
          <t>VÄSTERÅS</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45121-2025</t>
        </is>
      </c>
      <c r="B2310" s="1" t="n">
        <v>45919.42916666667</v>
      </c>
      <c r="C2310" s="1" t="n">
        <v>45998</v>
      </c>
      <c r="D2310" t="inlineStr">
        <is>
          <t>VÄSTMANLANDS LÄN</t>
        </is>
      </c>
      <c r="E2310" t="inlineStr">
        <is>
          <t>SKINNSKATTEBERG</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45128-2025</t>
        </is>
      </c>
      <c r="B2311" s="1" t="n">
        <v>45919.43583333334</v>
      </c>
      <c r="C2311" s="1" t="n">
        <v>45998</v>
      </c>
      <c r="D2311" t="inlineStr">
        <is>
          <t>VÄSTMANLANDS LÄN</t>
        </is>
      </c>
      <c r="E2311" t="inlineStr">
        <is>
          <t>ARBOGA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45143-2025</t>
        </is>
      </c>
      <c r="B2312" s="1" t="n">
        <v>45919.46068287037</v>
      </c>
      <c r="C2312" s="1" t="n">
        <v>45998</v>
      </c>
      <c r="D2312" t="inlineStr">
        <is>
          <t>VÄSTMANLANDS LÄN</t>
        </is>
      </c>
      <c r="E2312" t="inlineStr">
        <is>
          <t>ARBOGA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53471-2025</t>
        </is>
      </c>
      <c r="B2313" s="1" t="n">
        <v>45959.71185185185</v>
      </c>
      <c r="C2313" s="1" t="n">
        <v>45998</v>
      </c>
      <c r="D2313" t="inlineStr">
        <is>
          <t>VÄSTMANLANDS LÄN</t>
        </is>
      </c>
      <c r="E2313" t="inlineStr">
        <is>
          <t>SKINNSKATTEBERG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27290-2025</t>
        </is>
      </c>
      <c r="B2314" s="1" t="n">
        <v>45812</v>
      </c>
      <c r="C2314" s="1" t="n">
        <v>45998</v>
      </c>
      <c r="D2314" t="inlineStr">
        <is>
          <t>VÄSTMANLANDS LÄN</t>
        </is>
      </c>
      <c r="E2314" t="inlineStr">
        <is>
          <t>VÄSTERÅS</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45371-2025</t>
        </is>
      </c>
      <c r="B2315" s="1" t="n">
        <v>45922.39001157408</v>
      </c>
      <c r="C2315" s="1" t="n">
        <v>45998</v>
      </c>
      <c r="D2315" t="inlineStr">
        <is>
          <t>VÄSTMANLANDS LÄN</t>
        </is>
      </c>
      <c r="E2315" t="inlineStr">
        <is>
          <t>SALA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54201-2025</t>
        </is>
      </c>
      <c r="B2316" s="1" t="n">
        <v>45964.58055555556</v>
      </c>
      <c r="C2316" s="1" t="n">
        <v>45998</v>
      </c>
      <c r="D2316" t="inlineStr">
        <is>
          <t>VÄSTMANLANDS LÄN</t>
        </is>
      </c>
      <c r="E2316" t="inlineStr">
        <is>
          <t>SALA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27207-2025</t>
        </is>
      </c>
      <c r="B2317" s="1" t="n">
        <v>45812.40445601852</v>
      </c>
      <c r="C2317" s="1" t="n">
        <v>45998</v>
      </c>
      <c r="D2317" t="inlineStr">
        <is>
          <t>VÄSTMANLANDS LÄN</t>
        </is>
      </c>
      <c r="E2317" t="inlineStr">
        <is>
          <t>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58365-2025</t>
        </is>
      </c>
      <c r="B2318" s="1" t="n">
        <v>45985.52288194445</v>
      </c>
      <c r="C2318" s="1" t="n">
        <v>45998</v>
      </c>
      <c r="D2318" t="inlineStr">
        <is>
          <t>VÄSTMANLANDS LÄN</t>
        </is>
      </c>
      <c r="E2318" t="inlineStr">
        <is>
          <t>SALA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50249-2025</t>
        </is>
      </c>
      <c r="B2319" s="1" t="n">
        <v>45944.31508101852</v>
      </c>
      <c r="C2319" s="1" t="n">
        <v>45998</v>
      </c>
      <c r="D2319" t="inlineStr">
        <is>
          <t>VÄSTMANLANDS LÄN</t>
        </is>
      </c>
      <c r="E2319" t="inlineStr">
        <is>
          <t>SALA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45117-2025</t>
        </is>
      </c>
      <c r="B2320" s="1" t="n">
        <v>45919.42525462963</v>
      </c>
      <c r="C2320" s="1" t="n">
        <v>45998</v>
      </c>
      <c r="D2320" t="inlineStr">
        <is>
          <t>VÄSTMANLANDS LÄN</t>
        </is>
      </c>
      <c r="E2320" t="inlineStr">
        <is>
          <t>SKINNSKATTEBERG</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58194-2025</t>
        </is>
      </c>
      <c r="B2321" s="1" t="n">
        <v>45983.86821759259</v>
      </c>
      <c r="C2321" s="1" t="n">
        <v>45998</v>
      </c>
      <c r="D2321" t="inlineStr">
        <is>
          <t>VÄSTMANLANDS LÄN</t>
        </is>
      </c>
      <c r="E2321" t="inlineStr">
        <is>
          <t>ARBOGA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45177-2025</t>
        </is>
      </c>
      <c r="B2322" s="1" t="n">
        <v>45919.52444444445</v>
      </c>
      <c r="C2322" s="1" t="n">
        <v>45998</v>
      </c>
      <c r="D2322" t="inlineStr">
        <is>
          <t>VÄSTMANLANDS LÄN</t>
        </is>
      </c>
      <c r="E2322" t="inlineStr">
        <is>
          <t>SALA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28940-2024</t>
        </is>
      </c>
      <c r="B2323" s="1" t="n">
        <v>45480</v>
      </c>
      <c r="C2323" s="1" t="n">
        <v>45998</v>
      </c>
      <c r="D2323" t="inlineStr">
        <is>
          <t>VÄSTMANLANDS LÄN</t>
        </is>
      </c>
      <c r="E2323" t="inlineStr">
        <is>
          <t>SKINNSKATTEBERG</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58781-2025</t>
        </is>
      </c>
      <c r="B2324" s="1" t="n">
        <v>45986.73283564814</v>
      </c>
      <c r="C2324" s="1" t="n">
        <v>45998</v>
      </c>
      <c r="D2324" t="inlineStr">
        <is>
          <t>VÄSTMANLANDS LÄN</t>
        </is>
      </c>
      <c r="E2324" t="inlineStr">
        <is>
          <t>ARBOGA</t>
        </is>
      </c>
      <c r="F2324" t="inlineStr">
        <is>
          <t>Kyrkan</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45428-2025</t>
        </is>
      </c>
      <c r="B2325" s="1" t="n">
        <v>45922.45440972222</v>
      </c>
      <c r="C2325" s="1" t="n">
        <v>45998</v>
      </c>
      <c r="D2325" t="inlineStr">
        <is>
          <t>VÄSTMANLANDS LÄN</t>
        </is>
      </c>
      <c r="E2325" t="inlineStr">
        <is>
          <t>SKINNSKATTEBERG</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45154-2025</t>
        </is>
      </c>
      <c r="B2326" s="1" t="n">
        <v>45919.47606481481</v>
      </c>
      <c r="C2326" s="1" t="n">
        <v>45998</v>
      </c>
      <c r="D2326" t="inlineStr">
        <is>
          <t>VÄSTMANLANDS LÄN</t>
        </is>
      </c>
      <c r="E2326" t="inlineStr">
        <is>
          <t>ARBOGA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25284-2024</t>
        </is>
      </c>
      <c r="B2327" s="1" t="n">
        <v>45462</v>
      </c>
      <c r="C2327" s="1" t="n">
        <v>45998</v>
      </c>
      <c r="D2327" t="inlineStr">
        <is>
          <t>VÄSTMANLANDS LÄN</t>
        </is>
      </c>
      <c r="E2327" t="inlineStr">
        <is>
          <t>SKINNSKATTEBERG</t>
        </is>
      </c>
      <c r="F2327" t="inlineStr">
        <is>
          <t>Sveaskog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54174-2025</t>
        </is>
      </c>
      <c r="B2328" s="1" t="n">
        <v>45964.53953703704</v>
      </c>
      <c r="C2328" s="1" t="n">
        <v>45998</v>
      </c>
      <c r="D2328" t="inlineStr">
        <is>
          <t>VÄSTMANLANDS LÄN</t>
        </is>
      </c>
      <c r="E2328" t="inlineStr">
        <is>
          <t>NORBERG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54204-2025</t>
        </is>
      </c>
      <c r="B2329" s="1" t="n">
        <v>45964.5841087963</v>
      </c>
      <c r="C2329" s="1" t="n">
        <v>45998</v>
      </c>
      <c r="D2329" t="inlineStr">
        <is>
          <t>VÄSTMANLANDS LÄN</t>
        </is>
      </c>
      <c r="E2329" t="inlineStr">
        <is>
          <t>KÖPING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50119-2025</t>
        </is>
      </c>
      <c r="B2330" s="1" t="n">
        <v>45943.54883101852</v>
      </c>
      <c r="C2330" s="1" t="n">
        <v>45998</v>
      </c>
      <c r="D2330" t="inlineStr">
        <is>
          <t>VÄSTMANLANDS LÄN</t>
        </is>
      </c>
      <c r="E2330" t="inlineStr">
        <is>
          <t>SALA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54157-2025</t>
        </is>
      </c>
      <c r="B2331" s="1" t="n">
        <v>45964.50170138889</v>
      </c>
      <c r="C2331" s="1" t="n">
        <v>45998</v>
      </c>
      <c r="D2331" t="inlineStr">
        <is>
          <t>VÄSTMANLANDS LÄN</t>
        </is>
      </c>
      <c r="E2331" t="inlineStr">
        <is>
          <t>NORBERG</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50059-2025</t>
        </is>
      </c>
      <c r="B2332" s="1" t="n">
        <v>45943.44125</v>
      </c>
      <c r="C2332" s="1" t="n">
        <v>45998</v>
      </c>
      <c r="D2332" t="inlineStr">
        <is>
          <t>VÄSTMANLANDS LÄN</t>
        </is>
      </c>
      <c r="E2332" t="inlineStr">
        <is>
          <t>SALA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5225-2025</t>
        </is>
      </c>
      <c r="B2333" s="1" t="n">
        <v>45691</v>
      </c>
      <c r="C2333" s="1" t="n">
        <v>45998</v>
      </c>
      <c r="D2333" t="inlineStr">
        <is>
          <t>VÄSTMANLANDS LÄN</t>
        </is>
      </c>
      <c r="E2333" t="inlineStr">
        <is>
          <t>KÖPING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27830-2025</t>
        </is>
      </c>
      <c r="B2334" s="1" t="n">
        <v>45817.35802083334</v>
      </c>
      <c r="C2334" s="1" t="n">
        <v>45998</v>
      </c>
      <c r="D2334" t="inlineStr">
        <is>
          <t>VÄSTMANLANDS LÄN</t>
        </is>
      </c>
      <c r="E2334" t="inlineStr">
        <is>
          <t>KÖPING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28193-2025</t>
        </is>
      </c>
      <c r="B2335" s="1" t="n">
        <v>45818.425625</v>
      </c>
      <c r="C2335" s="1" t="n">
        <v>45998</v>
      </c>
      <c r="D2335" t="inlineStr">
        <is>
          <t>VÄSTMANLANDS LÄN</t>
        </is>
      </c>
      <c r="E2335" t="inlineStr">
        <is>
          <t>SALA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27981-2025</t>
        </is>
      </c>
      <c r="B2336" s="1" t="n">
        <v>45817.57471064815</v>
      </c>
      <c r="C2336" s="1" t="n">
        <v>45998</v>
      </c>
      <c r="D2336" t="inlineStr">
        <is>
          <t>VÄSTMANLANDS LÄN</t>
        </is>
      </c>
      <c r="E2336" t="inlineStr">
        <is>
          <t>SALA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28278-2025</t>
        </is>
      </c>
      <c r="B2337" s="1" t="n">
        <v>45818.58454861111</v>
      </c>
      <c r="C2337" s="1" t="n">
        <v>45998</v>
      </c>
      <c r="D2337" t="inlineStr">
        <is>
          <t>VÄSTMANLANDS LÄN</t>
        </is>
      </c>
      <c r="E2337" t="inlineStr">
        <is>
          <t>SALA</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28067-2025</t>
        </is>
      </c>
      <c r="B2338" s="1" t="n">
        <v>45817.67597222222</v>
      </c>
      <c r="C2338" s="1" t="n">
        <v>45998</v>
      </c>
      <c r="D2338" t="inlineStr">
        <is>
          <t>VÄSTMANLANDS LÄN</t>
        </is>
      </c>
      <c r="E2338" t="inlineStr">
        <is>
          <t>ARBOGA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50672-2025</t>
        </is>
      </c>
      <c r="B2339" s="1" t="n">
        <v>45945.72582175926</v>
      </c>
      <c r="C2339" s="1" t="n">
        <v>45998</v>
      </c>
      <c r="D2339" t="inlineStr">
        <is>
          <t>VÄSTMANLANDS LÄN</t>
        </is>
      </c>
      <c r="E2339" t="inlineStr">
        <is>
          <t>SKINNSKATTEBERG</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57327-2025</t>
        </is>
      </c>
      <c r="B2340" s="1" t="n">
        <v>45980</v>
      </c>
      <c r="C2340" s="1" t="n">
        <v>45998</v>
      </c>
      <c r="D2340" t="inlineStr">
        <is>
          <t>VÄSTMANLANDS LÄN</t>
        </is>
      </c>
      <c r="E2340" t="inlineStr">
        <is>
          <t>VÄSTERÅS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15907-2025</t>
        </is>
      </c>
      <c r="B2341" s="1" t="n">
        <v>45749</v>
      </c>
      <c r="C2341" s="1" t="n">
        <v>45998</v>
      </c>
      <c r="D2341" t="inlineStr">
        <is>
          <t>VÄSTMANLANDS LÄN</t>
        </is>
      </c>
      <c r="E2341" t="inlineStr">
        <is>
          <t>VÄSTERÅS</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59142-2025</t>
        </is>
      </c>
      <c r="B2342" s="1" t="n">
        <v>45988.51334490741</v>
      </c>
      <c r="C2342" s="1" t="n">
        <v>45998</v>
      </c>
      <c r="D2342" t="inlineStr">
        <is>
          <t>VÄSTMANLANDS LÄN</t>
        </is>
      </c>
      <c r="E2342" t="inlineStr">
        <is>
          <t>VÄSTERÅS</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54590-2025</t>
        </is>
      </c>
      <c r="B2343" s="1" t="n">
        <v>45965.74199074074</v>
      </c>
      <c r="C2343" s="1" t="n">
        <v>45998</v>
      </c>
      <c r="D2343" t="inlineStr">
        <is>
          <t>VÄSTMANLANDS LÄN</t>
        </is>
      </c>
      <c r="E2343" t="inlineStr">
        <is>
          <t>SALA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54659-2025</t>
        </is>
      </c>
      <c r="B2344" s="1" t="n">
        <v>45966.4027199074</v>
      </c>
      <c r="C2344" s="1" t="n">
        <v>45998</v>
      </c>
      <c r="D2344" t="inlineStr">
        <is>
          <t>VÄSTMANLANDS LÄN</t>
        </is>
      </c>
      <c r="E2344" t="inlineStr">
        <is>
          <t>VÄSTERÅS</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27989-2025</t>
        </is>
      </c>
      <c r="B2345" s="1" t="n">
        <v>45817.58716435185</v>
      </c>
      <c r="C2345" s="1" t="n">
        <v>45998</v>
      </c>
      <c r="D2345" t="inlineStr">
        <is>
          <t>VÄSTMANLANDS LÄN</t>
        </is>
      </c>
      <c r="E2345" t="inlineStr">
        <is>
          <t>SALA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28069-2025</t>
        </is>
      </c>
      <c r="B2346" s="1" t="n">
        <v>45817.67681712963</v>
      </c>
      <c r="C2346" s="1" t="n">
        <v>45998</v>
      </c>
      <c r="D2346" t="inlineStr">
        <is>
          <t>VÄSTMANLANDS LÄN</t>
        </is>
      </c>
      <c r="E2346" t="inlineStr">
        <is>
          <t>ARBOGA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54537-2024</t>
        </is>
      </c>
      <c r="B2347" s="1" t="n">
        <v>45617.60714120371</v>
      </c>
      <c r="C2347" s="1" t="n">
        <v>45998</v>
      </c>
      <c r="D2347" t="inlineStr">
        <is>
          <t>VÄSTMANLANDS LÄN</t>
        </is>
      </c>
      <c r="E2347" t="inlineStr">
        <is>
          <t>VÄSTERÅS</t>
        </is>
      </c>
      <c r="F2347" t="inlineStr">
        <is>
          <t>Sveaskog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28284-2025</t>
        </is>
      </c>
      <c r="B2348" s="1" t="n">
        <v>45818.58893518519</v>
      </c>
      <c r="C2348" s="1" t="n">
        <v>45998</v>
      </c>
      <c r="D2348" t="inlineStr">
        <is>
          <t>VÄSTMANLANDS LÄN</t>
        </is>
      </c>
      <c r="E2348" t="inlineStr">
        <is>
          <t>SALA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58882-2025</t>
        </is>
      </c>
      <c r="B2349" s="1" t="n">
        <v>45987.47481481481</v>
      </c>
      <c r="C2349" s="1" t="n">
        <v>45998</v>
      </c>
      <c r="D2349" t="inlineStr">
        <is>
          <t>VÄSTMANLANDS LÄN</t>
        </is>
      </c>
      <c r="E2349" t="inlineStr">
        <is>
          <t>SKINNSKATTEBERG</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54670-2025</t>
        </is>
      </c>
      <c r="B2350" s="1" t="n">
        <v>45966.40912037037</v>
      </c>
      <c r="C2350" s="1" t="n">
        <v>45998</v>
      </c>
      <c r="D2350" t="inlineStr">
        <is>
          <t>VÄSTMANLANDS LÄN</t>
        </is>
      </c>
      <c r="E2350" t="inlineStr">
        <is>
          <t>NORBERG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54499-2025</t>
        </is>
      </c>
      <c r="B2351" s="1" t="n">
        <v>45965.6058912037</v>
      </c>
      <c r="C2351" s="1" t="n">
        <v>45998</v>
      </c>
      <c r="D2351" t="inlineStr">
        <is>
          <t>VÄSTMANLANDS LÄN</t>
        </is>
      </c>
      <c r="E2351" t="inlineStr">
        <is>
          <t>SKINNSKATTEBERG</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55187-2022</t>
        </is>
      </c>
      <c r="B2352" s="1" t="n">
        <v>44886</v>
      </c>
      <c r="C2352" s="1" t="n">
        <v>45998</v>
      </c>
      <c r="D2352" t="inlineStr">
        <is>
          <t>VÄSTMANLANDS LÄN</t>
        </is>
      </c>
      <c r="E2352" t="inlineStr">
        <is>
          <t>ARBOGA</t>
        </is>
      </c>
      <c r="F2352" t="inlineStr">
        <is>
          <t>Allmännings- och besparingsskogar</t>
        </is>
      </c>
      <c r="G2352" t="n">
        <v>19.4</v>
      </c>
      <c r="H2352" t="n">
        <v>0</v>
      </c>
      <c r="I2352" t="n">
        <v>0</v>
      </c>
      <c r="J2352" t="n">
        <v>0</v>
      </c>
      <c r="K2352" t="n">
        <v>0</v>
      </c>
      <c r="L2352" t="n">
        <v>0</v>
      </c>
      <c r="M2352" t="n">
        <v>0</v>
      </c>
      <c r="N2352" t="n">
        <v>0</v>
      </c>
      <c r="O2352" t="n">
        <v>0</v>
      </c>
      <c r="P2352" t="n">
        <v>0</v>
      </c>
      <c r="Q2352" t="n">
        <v>0</v>
      </c>
      <c r="R2352" s="2" t="inlineStr"/>
    </row>
    <row r="2353" ht="15" customHeight="1">
      <c r="A2353" t="inlineStr">
        <is>
          <t>A 28073-2025</t>
        </is>
      </c>
      <c r="B2353" s="1" t="n">
        <v>45817.67819444444</v>
      </c>
      <c r="C2353" s="1" t="n">
        <v>45998</v>
      </c>
      <c r="D2353" t="inlineStr">
        <is>
          <t>VÄSTMANLANDS LÄN</t>
        </is>
      </c>
      <c r="E2353" t="inlineStr">
        <is>
          <t>KÖPING</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28614-2025</t>
        </is>
      </c>
      <c r="B2354" s="1" t="n">
        <v>45819.60548611111</v>
      </c>
      <c r="C2354" s="1" t="n">
        <v>45998</v>
      </c>
      <c r="D2354" t="inlineStr">
        <is>
          <t>VÄSTMANLANDS LÄN</t>
        </is>
      </c>
      <c r="E2354" t="inlineStr">
        <is>
          <t>SKINNSKATTEBERG</t>
        </is>
      </c>
      <c r="F2354" t="inlineStr">
        <is>
          <t>Sveaskog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28632-2025</t>
        </is>
      </c>
      <c r="B2355" s="1" t="n">
        <v>45819.62344907408</v>
      </c>
      <c r="C2355" s="1" t="n">
        <v>45998</v>
      </c>
      <c r="D2355" t="inlineStr">
        <is>
          <t>VÄSTMANLANDS LÄN</t>
        </is>
      </c>
      <c r="E2355" t="inlineStr">
        <is>
          <t>SALA</t>
        </is>
      </c>
      <c r="F2355" t="inlineStr">
        <is>
          <t>Sveaskog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28605-2025</t>
        </is>
      </c>
      <c r="B2356" s="1" t="n">
        <v>45819.60143518518</v>
      </c>
      <c r="C2356" s="1" t="n">
        <v>45998</v>
      </c>
      <c r="D2356" t="inlineStr">
        <is>
          <t>VÄSTMANLANDS LÄN</t>
        </is>
      </c>
      <c r="E2356" t="inlineStr">
        <is>
          <t>SKINNSKATTEBERG</t>
        </is>
      </c>
      <c r="F2356" t="inlineStr">
        <is>
          <t>Sveaskog</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45914-2025</t>
        </is>
      </c>
      <c r="B2357" s="1" t="n">
        <v>45923.82582175926</v>
      </c>
      <c r="C2357" s="1" t="n">
        <v>45998</v>
      </c>
      <c r="D2357" t="inlineStr">
        <is>
          <t>VÄSTMANLANDS LÄN</t>
        </is>
      </c>
      <c r="E2357" t="inlineStr">
        <is>
          <t>SALA</t>
        </is>
      </c>
      <c r="F2357" t="inlineStr">
        <is>
          <t>Kommuner</t>
        </is>
      </c>
      <c r="G2357" t="n">
        <v>18.2</v>
      </c>
      <c r="H2357" t="n">
        <v>0</v>
      </c>
      <c r="I2357" t="n">
        <v>0</v>
      </c>
      <c r="J2357" t="n">
        <v>0</v>
      </c>
      <c r="K2357" t="n">
        <v>0</v>
      </c>
      <c r="L2357" t="n">
        <v>0</v>
      </c>
      <c r="M2357" t="n">
        <v>0</v>
      </c>
      <c r="N2357" t="n">
        <v>0</v>
      </c>
      <c r="O2357" t="n">
        <v>0</v>
      </c>
      <c r="P2357" t="n">
        <v>0</v>
      </c>
      <c r="Q2357" t="n">
        <v>0</v>
      </c>
      <c r="R2357" s="2" t="inlineStr"/>
    </row>
    <row r="2358" ht="15" customHeight="1">
      <c r="A2358" t="inlineStr">
        <is>
          <t>A 28873-2025</t>
        </is>
      </c>
      <c r="B2358" s="1" t="n">
        <v>45820.61237268519</v>
      </c>
      <c r="C2358" s="1" t="n">
        <v>45998</v>
      </c>
      <c r="D2358" t="inlineStr">
        <is>
          <t>VÄSTMANLANDS LÄN</t>
        </is>
      </c>
      <c r="E2358" t="inlineStr">
        <is>
          <t>SKINNSKATTEBERG</t>
        </is>
      </c>
      <c r="F2358" t="inlineStr">
        <is>
          <t>Sveaskog</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45909-2025</t>
        </is>
      </c>
      <c r="B2359" s="1" t="n">
        <v>45923.75078703704</v>
      </c>
      <c r="C2359" s="1" t="n">
        <v>45998</v>
      </c>
      <c r="D2359" t="inlineStr">
        <is>
          <t>VÄSTMANLANDS LÄN</t>
        </is>
      </c>
      <c r="E2359" t="inlineStr">
        <is>
          <t>SALA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28443-2025</t>
        </is>
      </c>
      <c r="B2360" s="1" t="n">
        <v>45819.39668981481</v>
      </c>
      <c r="C2360" s="1" t="n">
        <v>45998</v>
      </c>
      <c r="D2360" t="inlineStr">
        <is>
          <t>VÄSTMANLANDS LÄN</t>
        </is>
      </c>
      <c r="E2360" t="inlineStr">
        <is>
          <t>VÄSTERÅS</t>
        </is>
      </c>
      <c r="F2360" t="inlineStr">
        <is>
          <t>Allmännings- och besparingsskogar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28608-2025</t>
        </is>
      </c>
      <c r="B2361" s="1" t="n">
        <v>45819.60267361111</v>
      </c>
      <c r="C2361" s="1" t="n">
        <v>45998</v>
      </c>
      <c r="D2361" t="inlineStr">
        <is>
          <t>VÄSTMANLANDS LÄN</t>
        </is>
      </c>
      <c r="E2361" t="inlineStr">
        <is>
          <t>SKINNSKATTEBERG</t>
        </is>
      </c>
      <c r="F2361" t="inlineStr">
        <is>
          <t>Sveaskog</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28613-2025</t>
        </is>
      </c>
      <c r="B2362" s="1" t="n">
        <v>45819.60489583333</v>
      </c>
      <c r="C2362" s="1" t="n">
        <v>45998</v>
      </c>
      <c r="D2362" t="inlineStr">
        <is>
          <t>VÄSTMANLANDS LÄN</t>
        </is>
      </c>
      <c r="E2362" t="inlineStr">
        <is>
          <t>SKINNSKATTEBERG</t>
        </is>
      </c>
      <c r="F2362" t="inlineStr">
        <is>
          <t>Sveaskog</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28628-2025</t>
        </is>
      </c>
      <c r="B2363" s="1" t="n">
        <v>45819.62158564815</v>
      </c>
      <c r="C2363" s="1" t="n">
        <v>45998</v>
      </c>
      <c r="D2363" t="inlineStr">
        <is>
          <t>VÄSTMANLANDS LÄN</t>
        </is>
      </c>
      <c r="E2363" t="inlineStr">
        <is>
          <t>SALA</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54344-2025</t>
        </is>
      </c>
      <c r="B2364" s="1" t="n">
        <v>45965.36462962963</v>
      </c>
      <c r="C2364" s="1" t="n">
        <v>45998</v>
      </c>
      <c r="D2364" t="inlineStr">
        <is>
          <t>VÄSTMANLANDS LÄN</t>
        </is>
      </c>
      <c r="E2364" t="inlineStr">
        <is>
          <t>SALA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28630-2025</t>
        </is>
      </c>
      <c r="B2365" s="1" t="n">
        <v>45819.62274305556</v>
      </c>
      <c r="C2365" s="1" t="n">
        <v>45998</v>
      </c>
      <c r="D2365" t="inlineStr">
        <is>
          <t>VÄSTMANLANDS LÄN</t>
        </is>
      </c>
      <c r="E2365" t="inlineStr">
        <is>
          <t>SALA</t>
        </is>
      </c>
      <c r="F2365" t="inlineStr">
        <is>
          <t>Sveaskog</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50564-2025</t>
        </is>
      </c>
      <c r="B2366" s="1" t="n">
        <v>45945.55349537037</v>
      </c>
      <c r="C2366" s="1" t="n">
        <v>45998</v>
      </c>
      <c r="D2366" t="inlineStr">
        <is>
          <t>VÄSTMANLANDS LÄN</t>
        </is>
      </c>
      <c r="E2366" t="inlineStr">
        <is>
          <t>VÄSTERÅS</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54730-2025</t>
        </is>
      </c>
      <c r="B2367" s="1" t="n">
        <v>45966.55922453704</v>
      </c>
      <c r="C2367" s="1" t="n">
        <v>45998</v>
      </c>
      <c r="D2367" t="inlineStr">
        <is>
          <t>VÄSTMANLANDS LÄN</t>
        </is>
      </c>
      <c r="E2367" t="inlineStr">
        <is>
          <t>KÖPING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28831-2025</t>
        </is>
      </c>
      <c r="B2368" s="1" t="n">
        <v>45820.55424768518</v>
      </c>
      <c r="C2368" s="1" t="n">
        <v>45998</v>
      </c>
      <c r="D2368" t="inlineStr">
        <is>
          <t>VÄSTMANLANDS LÄN</t>
        </is>
      </c>
      <c r="E2368" t="inlineStr">
        <is>
          <t>SKINNSKATTEBERG</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28837-2025</t>
        </is>
      </c>
      <c r="B2369" s="1" t="n">
        <v>45820.56243055555</v>
      </c>
      <c r="C2369" s="1" t="n">
        <v>45998</v>
      </c>
      <c r="D2369" t="inlineStr">
        <is>
          <t>VÄSTMANLANDS LÄN</t>
        </is>
      </c>
      <c r="E2369" t="inlineStr">
        <is>
          <t>SALA</t>
        </is>
      </c>
      <c r="F2369" t="inlineStr">
        <is>
          <t>Sveaskog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28849-2025</t>
        </is>
      </c>
      <c r="B2370" s="1" t="n">
        <v>45820</v>
      </c>
      <c r="C2370" s="1" t="n">
        <v>45998</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28603-2025</t>
        </is>
      </c>
      <c r="B2371" s="1" t="n">
        <v>45819.59966435185</v>
      </c>
      <c r="C2371" s="1" t="n">
        <v>45998</v>
      </c>
      <c r="D2371" t="inlineStr">
        <is>
          <t>VÄSTMANLANDS LÄN</t>
        </is>
      </c>
      <c r="E2371" t="inlineStr">
        <is>
          <t>SKINNSKATTEBERG</t>
        </is>
      </c>
      <c r="F2371" t="inlineStr">
        <is>
          <t>Sveaskog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28606-2025</t>
        </is>
      </c>
      <c r="B2372" s="1" t="n">
        <v>45819.60196759259</v>
      </c>
      <c r="C2372" s="1" t="n">
        <v>45998</v>
      </c>
      <c r="D2372" t="inlineStr">
        <is>
          <t>VÄSTMANLANDS LÄN</t>
        </is>
      </c>
      <c r="E2372" t="inlineStr">
        <is>
          <t>SKINNSKATTEBERG</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28610-2025</t>
        </is>
      </c>
      <c r="B2373" s="1" t="n">
        <v>45819.6034375</v>
      </c>
      <c r="C2373" s="1" t="n">
        <v>45998</v>
      </c>
      <c r="D2373" t="inlineStr">
        <is>
          <t>VÄSTMANLANDS LÄN</t>
        </is>
      </c>
      <c r="E2373" t="inlineStr">
        <is>
          <t>SKINNSKATTEBERG</t>
        </is>
      </c>
      <c r="F2373" t="inlineStr">
        <is>
          <t>Sveaskog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28872-2025</t>
        </is>
      </c>
      <c r="B2374" s="1" t="n">
        <v>45820.61172453704</v>
      </c>
      <c r="C2374" s="1" t="n">
        <v>45998</v>
      </c>
      <c r="D2374" t="inlineStr">
        <is>
          <t>VÄSTMANLANDS LÄN</t>
        </is>
      </c>
      <c r="E2374" t="inlineStr">
        <is>
          <t>KÖPING</t>
        </is>
      </c>
      <c r="F2374" t="inlineStr">
        <is>
          <t>Sveaskog</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55760-2025</t>
        </is>
      </c>
      <c r="B2375" s="1" t="n">
        <v>45972</v>
      </c>
      <c r="C2375" s="1" t="n">
        <v>45998</v>
      </c>
      <c r="D2375" t="inlineStr">
        <is>
          <t>VÄSTMANLANDS LÄN</t>
        </is>
      </c>
      <c r="E2375" t="inlineStr">
        <is>
          <t>SALA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28498-2025</t>
        </is>
      </c>
      <c r="B2376" s="1" t="n">
        <v>45819.47072916666</v>
      </c>
      <c r="C2376" s="1" t="n">
        <v>45998</v>
      </c>
      <c r="D2376" t="inlineStr">
        <is>
          <t>VÄSTMANLANDS LÄN</t>
        </is>
      </c>
      <c r="E2376" t="inlineStr">
        <is>
          <t>KÖPING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50565-2025</t>
        </is>
      </c>
      <c r="B2377" s="1" t="n">
        <v>45945.55697916666</v>
      </c>
      <c r="C2377" s="1" t="n">
        <v>45998</v>
      </c>
      <c r="D2377" t="inlineStr">
        <is>
          <t>VÄSTMANLANDS LÄN</t>
        </is>
      </c>
      <c r="E2377" t="inlineStr">
        <is>
          <t>VÄSTERÅS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29072-2025</t>
        </is>
      </c>
      <c r="B2378" s="1" t="n">
        <v>45821.51378472222</v>
      </c>
      <c r="C2378" s="1" t="n">
        <v>45998</v>
      </c>
      <c r="D2378" t="inlineStr">
        <is>
          <t>VÄSTMANLANDS LÄN</t>
        </is>
      </c>
      <c r="E2378" t="inlineStr">
        <is>
          <t>FAGERSTA</t>
        </is>
      </c>
      <c r="F2378" t="inlineStr">
        <is>
          <t>Sveaskog</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29074-2025</t>
        </is>
      </c>
      <c r="B2379" s="1" t="n">
        <v>45821.51690972222</v>
      </c>
      <c r="C2379" s="1" t="n">
        <v>45998</v>
      </c>
      <c r="D2379" t="inlineStr">
        <is>
          <t>VÄSTMANLANDS LÄN</t>
        </is>
      </c>
      <c r="E2379" t="inlineStr">
        <is>
          <t>FAGERSTA</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29075-2025</t>
        </is>
      </c>
      <c r="B2380" s="1" t="n">
        <v>45821.51886574074</v>
      </c>
      <c r="C2380" s="1" t="n">
        <v>45998</v>
      </c>
      <c r="D2380" t="inlineStr">
        <is>
          <t>VÄSTMANLANDS LÄN</t>
        </is>
      </c>
      <c r="E2380" t="inlineStr">
        <is>
          <t>FAGERSTA</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29070-2025</t>
        </is>
      </c>
      <c r="B2381" s="1" t="n">
        <v>45821.51143518519</v>
      </c>
      <c r="C2381" s="1" t="n">
        <v>45998</v>
      </c>
      <c r="D2381" t="inlineStr">
        <is>
          <t>VÄSTMANLANDS LÄN</t>
        </is>
      </c>
      <c r="E2381" t="inlineStr">
        <is>
          <t>SKINNSKATTEBERG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29073-2025</t>
        </is>
      </c>
      <c r="B2382" s="1" t="n">
        <v>45821.51579861111</v>
      </c>
      <c r="C2382" s="1" t="n">
        <v>45998</v>
      </c>
      <c r="D2382" t="inlineStr">
        <is>
          <t>VÄSTMANLANDS LÄN</t>
        </is>
      </c>
      <c r="E2382" t="inlineStr">
        <is>
          <t>FAGERSTA</t>
        </is>
      </c>
      <c r="F2382" t="inlineStr">
        <is>
          <t>Sveaskog</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46597-2025</t>
        </is>
      </c>
      <c r="B2383" s="1" t="n">
        <v>45926.40113425926</v>
      </c>
      <c r="C2383" s="1" t="n">
        <v>45998</v>
      </c>
      <c r="D2383" t="inlineStr">
        <is>
          <t>VÄSTMANLANDS LÄN</t>
        </is>
      </c>
      <c r="E2383" t="inlineStr">
        <is>
          <t>SALA</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29069-2025</t>
        </is>
      </c>
      <c r="B2384" s="1" t="n">
        <v>45821.50982638889</v>
      </c>
      <c r="C2384" s="1" t="n">
        <v>45998</v>
      </c>
      <c r="D2384" t="inlineStr">
        <is>
          <t>VÄSTMANLANDS LÄN</t>
        </is>
      </c>
      <c r="E2384" t="inlineStr">
        <is>
          <t>SKINNSKATTEBERG</t>
        </is>
      </c>
      <c r="F2384" t="inlineStr">
        <is>
          <t>Sveaskog</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29085-2025</t>
        </is>
      </c>
      <c r="B2385" s="1" t="n">
        <v>45821</v>
      </c>
      <c r="C2385" s="1" t="n">
        <v>45998</v>
      </c>
      <c r="D2385" t="inlineStr">
        <is>
          <t>VÄSTMANLANDS LÄN</t>
        </is>
      </c>
      <c r="E2385" t="inlineStr">
        <is>
          <t>SALA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51307-2025</t>
        </is>
      </c>
      <c r="B2386" s="1" t="n">
        <v>45950.36666666667</v>
      </c>
      <c r="C2386" s="1" t="n">
        <v>45998</v>
      </c>
      <c r="D2386" t="inlineStr">
        <is>
          <t>VÄSTMANLANDS LÄN</t>
        </is>
      </c>
      <c r="E2386" t="inlineStr">
        <is>
          <t>VÄSTERÅS</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46309-2025</t>
        </is>
      </c>
      <c r="B2387" s="1" t="n">
        <v>45925.43568287037</v>
      </c>
      <c r="C2387" s="1" t="n">
        <v>45998</v>
      </c>
      <c r="D2387" t="inlineStr">
        <is>
          <t>VÄSTMANLANDS LÄN</t>
        </is>
      </c>
      <c r="E2387" t="inlineStr">
        <is>
          <t>FAGERSTA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46346-2025</t>
        </is>
      </c>
      <c r="B2388" s="1" t="n">
        <v>45925.47679398148</v>
      </c>
      <c r="C2388" s="1" t="n">
        <v>45998</v>
      </c>
      <c r="D2388" t="inlineStr">
        <is>
          <t>VÄSTMANLANDS LÄN</t>
        </is>
      </c>
      <c r="E2388" t="inlineStr">
        <is>
          <t>FAGERSTA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55114-2025</t>
        </is>
      </c>
      <c r="B2389" s="1" t="n">
        <v>45968.38443287037</v>
      </c>
      <c r="C2389" s="1" t="n">
        <v>45998</v>
      </c>
      <c r="D2389" t="inlineStr">
        <is>
          <t>VÄSTMANLANDS LÄN</t>
        </is>
      </c>
      <c r="E2389" t="inlineStr">
        <is>
          <t>KÖPING</t>
        </is>
      </c>
      <c r="G2389" t="n">
        <v>15.5</v>
      </c>
      <c r="H2389" t="n">
        <v>0</v>
      </c>
      <c r="I2389" t="n">
        <v>0</v>
      </c>
      <c r="J2389" t="n">
        <v>0</v>
      </c>
      <c r="K2389" t="n">
        <v>0</v>
      </c>
      <c r="L2389" t="n">
        <v>0</v>
      </c>
      <c r="M2389" t="n">
        <v>0</v>
      </c>
      <c r="N2389" t="n">
        <v>0</v>
      </c>
      <c r="O2389" t="n">
        <v>0</v>
      </c>
      <c r="P2389" t="n">
        <v>0</v>
      </c>
      <c r="Q2389" t="n">
        <v>0</v>
      </c>
      <c r="R2389" s="2" t="inlineStr"/>
    </row>
    <row r="2390" ht="15" customHeight="1">
      <c r="A2390" t="inlineStr">
        <is>
          <t>A 55005-2025</t>
        </is>
      </c>
      <c r="B2390" s="1" t="n">
        <v>45967.61164351852</v>
      </c>
      <c r="C2390" s="1" t="n">
        <v>45998</v>
      </c>
      <c r="D2390" t="inlineStr">
        <is>
          <t>VÄSTMANLANDS LÄN</t>
        </is>
      </c>
      <c r="E2390" t="inlineStr">
        <is>
          <t>SKINNSKATTEBERG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51028-2025</t>
        </is>
      </c>
      <c r="B2391" s="1" t="n">
        <v>45947</v>
      </c>
      <c r="C2391" s="1" t="n">
        <v>45998</v>
      </c>
      <c r="D2391" t="inlineStr">
        <is>
          <t>VÄSTMANLANDS LÄN</t>
        </is>
      </c>
      <c r="E2391" t="inlineStr">
        <is>
          <t>SKINNSKATTEBERG</t>
        </is>
      </c>
      <c r="F2391" t="inlineStr">
        <is>
          <t>Sveaskog</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54912-2025</t>
        </is>
      </c>
      <c r="B2392" s="1" t="n">
        <v>45967.38167824074</v>
      </c>
      <c r="C2392" s="1" t="n">
        <v>45998</v>
      </c>
      <c r="D2392" t="inlineStr">
        <is>
          <t>VÄSTMANLANDS LÄN</t>
        </is>
      </c>
      <c r="E2392" t="inlineStr">
        <is>
          <t>FAGERSTA</t>
        </is>
      </c>
      <c r="F2392" t="inlineStr">
        <is>
          <t>Kommuner</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29348-2025</t>
        </is>
      </c>
      <c r="B2393" s="1" t="n">
        <v>45824.51702546296</v>
      </c>
      <c r="C2393" s="1" t="n">
        <v>45998</v>
      </c>
      <c r="D2393" t="inlineStr">
        <is>
          <t>VÄSTMANLANDS LÄN</t>
        </is>
      </c>
      <c r="E2393" t="inlineStr">
        <is>
          <t>FAGERSTA</t>
        </is>
      </c>
      <c r="F2393" t="inlineStr">
        <is>
          <t>Sveaskog</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59724-2025</t>
        </is>
      </c>
      <c r="B2394" s="1" t="n">
        <v>45992.55136574074</v>
      </c>
      <c r="C2394" s="1" t="n">
        <v>45998</v>
      </c>
      <c r="D2394" t="inlineStr">
        <is>
          <t>VÄSTMANLANDS LÄN</t>
        </is>
      </c>
      <c r="E2394" t="inlineStr">
        <is>
          <t>KÖPING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51023-2025</t>
        </is>
      </c>
      <c r="B2395" s="1" t="n">
        <v>45947.39391203703</v>
      </c>
      <c r="C2395" s="1" t="n">
        <v>45998</v>
      </c>
      <c r="D2395" t="inlineStr">
        <is>
          <t>VÄSTMANLANDS LÄN</t>
        </is>
      </c>
      <c r="E2395" t="inlineStr">
        <is>
          <t>SKINNSKATTEBERG</t>
        </is>
      </c>
      <c r="F2395" t="inlineStr">
        <is>
          <t>Sveaskog</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51025-2025</t>
        </is>
      </c>
      <c r="B2396" s="1" t="n">
        <v>45947.39518518518</v>
      </c>
      <c r="C2396" s="1" t="n">
        <v>45998</v>
      </c>
      <c r="D2396" t="inlineStr">
        <is>
          <t>VÄSTMANLANDS LÄN</t>
        </is>
      </c>
      <c r="E2396" t="inlineStr">
        <is>
          <t>SKINNSKATTEBERG</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51200-2025</t>
        </is>
      </c>
      <c r="B2397" s="1" t="n">
        <v>45947.63462962963</v>
      </c>
      <c r="C2397" s="1" t="n">
        <v>45998</v>
      </c>
      <c r="D2397" t="inlineStr">
        <is>
          <t>VÄSTMANLANDS LÄN</t>
        </is>
      </c>
      <c r="E2397" t="inlineStr">
        <is>
          <t>VÄSTERÅS</t>
        </is>
      </c>
      <c r="F2397" t="inlineStr">
        <is>
          <t>Övriga statliga verk och myndigheter</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46281-2025</t>
        </is>
      </c>
      <c r="B2398" s="1" t="n">
        <v>45925.37690972222</v>
      </c>
      <c r="C2398" s="1" t="n">
        <v>45998</v>
      </c>
      <c r="D2398" t="inlineStr">
        <is>
          <t>VÄSTMANLANDS LÄN</t>
        </is>
      </c>
      <c r="E2398" t="inlineStr">
        <is>
          <t>SKINNSKATTEBERG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59817-2025</t>
        </is>
      </c>
      <c r="B2399" s="1" t="n">
        <v>45992.63711805556</v>
      </c>
      <c r="C2399" s="1" t="n">
        <v>45998</v>
      </c>
      <c r="D2399" t="inlineStr">
        <is>
          <t>VÄSTMANLANDS LÄN</t>
        </is>
      </c>
      <c r="E2399" t="inlineStr">
        <is>
          <t>SALA</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60541-2024</t>
        </is>
      </c>
      <c r="B2400" s="1" t="n">
        <v>45643</v>
      </c>
      <c r="C2400" s="1" t="n">
        <v>45998</v>
      </c>
      <c r="D2400" t="inlineStr">
        <is>
          <t>VÄSTMANLANDS LÄN</t>
        </is>
      </c>
      <c r="E2400" t="inlineStr">
        <is>
          <t>SALA</t>
        </is>
      </c>
      <c r="G2400" t="n">
        <v>10.6</v>
      </c>
      <c r="H2400" t="n">
        <v>0</v>
      </c>
      <c r="I2400" t="n">
        <v>0</v>
      </c>
      <c r="J2400" t="n">
        <v>0</v>
      </c>
      <c r="K2400" t="n">
        <v>0</v>
      </c>
      <c r="L2400" t="n">
        <v>0</v>
      </c>
      <c r="M2400" t="n">
        <v>0</v>
      </c>
      <c r="N2400" t="n">
        <v>0</v>
      </c>
      <c r="O2400" t="n">
        <v>0</v>
      </c>
      <c r="P2400" t="n">
        <v>0</v>
      </c>
      <c r="Q2400" t="n">
        <v>0</v>
      </c>
      <c r="R2400" s="2" t="inlineStr"/>
    </row>
    <row r="2401" ht="15" customHeight="1">
      <c r="A2401" t="inlineStr">
        <is>
          <t>A 54893-2025</t>
        </is>
      </c>
      <c r="B2401" s="1" t="n">
        <v>45967.36383101852</v>
      </c>
      <c r="C2401" s="1" t="n">
        <v>45998</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1040-2025</t>
        </is>
      </c>
      <c r="B2402" s="1" t="n">
        <v>45666.54564814815</v>
      </c>
      <c r="C2402" s="1" t="n">
        <v>45998</v>
      </c>
      <c r="D2402" t="inlineStr">
        <is>
          <t>VÄSTMANLANDS LÄN</t>
        </is>
      </c>
      <c r="E2402" t="inlineStr">
        <is>
          <t>KUNGSÖR</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29346-2025</t>
        </is>
      </c>
      <c r="B2403" s="1" t="n">
        <v>45824.51021990741</v>
      </c>
      <c r="C2403" s="1" t="n">
        <v>45998</v>
      </c>
      <c r="D2403" t="inlineStr">
        <is>
          <t>VÄSTMANLANDS LÄN</t>
        </is>
      </c>
      <c r="E2403" t="inlineStr">
        <is>
          <t>KÖPING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29826-2025</t>
        </is>
      </c>
      <c r="B2404" s="1" t="n">
        <v>45825.85761574074</v>
      </c>
      <c r="C2404" s="1" t="n">
        <v>45998</v>
      </c>
      <c r="D2404" t="inlineStr">
        <is>
          <t>VÄSTMANLANDS LÄN</t>
        </is>
      </c>
      <c r="E2404" t="inlineStr">
        <is>
          <t>SALA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51026-2025</t>
        </is>
      </c>
      <c r="B2405" s="1" t="n">
        <v>45947</v>
      </c>
      <c r="C2405" s="1" t="n">
        <v>45998</v>
      </c>
      <c r="D2405" t="inlineStr">
        <is>
          <t>VÄSTMANLANDS LÄN</t>
        </is>
      </c>
      <c r="E2405" t="inlineStr">
        <is>
          <t>SKINNSKATTEBERG</t>
        </is>
      </c>
      <c r="F2405" t="inlineStr">
        <is>
          <t>Sveaskog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29876-2025</t>
        </is>
      </c>
      <c r="B2406" s="1" t="n">
        <v>45826.36166666666</v>
      </c>
      <c r="C2406" s="1" t="n">
        <v>45998</v>
      </c>
      <c r="D2406" t="inlineStr">
        <is>
          <t>VÄSTMANLANDS LÄN</t>
        </is>
      </c>
      <c r="E2406" t="inlineStr">
        <is>
          <t>SKINNSKATTEBERG</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51467-2025</t>
        </is>
      </c>
      <c r="B2407" s="1" t="n">
        <v>45950.6121875</v>
      </c>
      <c r="C2407" s="1" t="n">
        <v>45998</v>
      </c>
      <c r="D2407" t="inlineStr">
        <is>
          <t>VÄSTMANLANDS LÄN</t>
        </is>
      </c>
      <c r="E2407" t="inlineStr">
        <is>
          <t>NORBERG</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46359-2025</t>
        </is>
      </c>
      <c r="B2408" s="1" t="n">
        <v>45925.49538194444</v>
      </c>
      <c r="C2408" s="1" t="n">
        <v>45998</v>
      </c>
      <c r="D2408" t="inlineStr">
        <is>
          <t>VÄSTMANLANDS LÄN</t>
        </is>
      </c>
      <c r="E2408" t="inlineStr">
        <is>
          <t>FAGERSTA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59711-2025</t>
        </is>
      </c>
      <c r="B2409" s="1" t="n">
        <v>45992.5246412037</v>
      </c>
      <c r="C2409" s="1" t="n">
        <v>45998</v>
      </c>
      <c r="D2409" t="inlineStr">
        <is>
          <t>VÄSTMANLANDS LÄN</t>
        </is>
      </c>
      <c r="E2409" t="inlineStr">
        <is>
          <t>SKINNSKATTEBERG</t>
        </is>
      </c>
      <c r="F2409" t="inlineStr">
        <is>
          <t>Sveaskog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51247-2025</t>
        </is>
      </c>
      <c r="B2410" s="1" t="n">
        <v>45947.86487268518</v>
      </c>
      <c r="C2410" s="1" t="n">
        <v>45998</v>
      </c>
      <c r="D2410" t="inlineStr">
        <is>
          <t>VÄSTMANLANDS LÄN</t>
        </is>
      </c>
      <c r="E2410" t="inlineStr">
        <is>
          <t>SALA</t>
        </is>
      </c>
      <c r="G2410" t="n">
        <v>10.4</v>
      </c>
      <c r="H2410" t="n">
        <v>0</v>
      </c>
      <c r="I2410" t="n">
        <v>0</v>
      </c>
      <c r="J2410" t="n">
        <v>0</v>
      </c>
      <c r="K2410" t="n">
        <v>0</v>
      </c>
      <c r="L2410" t="n">
        <v>0</v>
      </c>
      <c r="M2410" t="n">
        <v>0</v>
      </c>
      <c r="N2410" t="n">
        <v>0</v>
      </c>
      <c r="O2410" t="n">
        <v>0</v>
      </c>
      <c r="P2410" t="n">
        <v>0</v>
      </c>
      <c r="Q2410" t="n">
        <v>0</v>
      </c>
      <c r="R2410" s="2" t="inlineStr"/>
    </row>
    <row r="2411" ht="15" customHeight="1">
      <c r="A2411" t="inlineStr">
        <is>
          <t>A 59385-2025</t>
        </is>
      </c>
      <c r="B2411" s="1" t="n">
        <v>45989.45746527778</v>
      </c>
      <c r="C2411" s="1" t="n">
        <v>45998</v>
      </c>
      <c r="D2411" t="inlineStr">
        <is>
          <t>VÄSTMANLANDS LÄN</t>
        </is>
      </c>
      <c r="E2411" t="inlineStr">
        <is>
          <t>SALA</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29808-2025</t>
        </is>
      </c>
      <c r="B2412" s="1" t="n">
        <v>45825.74498842593</v>
      </c>
      <c r="C2412" s="1" t="n">
        <v>45998</v>
      </c>
      <c r="D2412" t="inlineStr">
        <is>
          <t>VÄSTMANLANDS LÄN</t>
        </is>
      </c>
      <c r="E2412" t="inlineStr">
        <is>
          <t>SKINNSKATTEBERG</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29810-2025</t>
        </is>
      </c>
      <c r="B2413" s="1" t="n">
        <v>45825.76006944444</v>
      </c>
      <c r="C2413" s="1" t="n">
        <v>45998</v>
      </c>
      <c r="D2413" t="inlineStr">
        <is>
          <t>VÄSTMANLANDS LÄN</t>
        </is>
      </c>
      <c r="E2413" t="inlineStr">
        <is>
          <t>SKINNSKATTEBERG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59527-2025</t>
        </is>
      </c>
      <c r="B2414" s="1" t="n">
        <v>45989</v>
      </c>
      <c r="C2414" s="1" t="n">
        <v>45998</v>
      </c>
      <c r="D2414" t="inlineStr">
        <is>
          <t>VÄSTMANLANDS LÄN</t>
        </is>
      </c>
      <c r="E2414" t="inlineStr">
        <is>
          <t>NORBERG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29691-2025</t>
        </is>
      </c>
      <c r="B2415" s="1" t="n">
        <v>45825.53645833334</v>
      </c>
      <c r="C2415" s="1" t="n">
        <v>45998</v>
      </c>
      <c r="D2415" t="inlineStr">
        <is>
          <t>VÄSTMANLANDS LÄN</t>
        </is>
      </c>
      <c r="E2415" t="inlineStr">
        <is>
          <t>SALA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29725-2025</t>
        </is>
      </c>
      <c r="B2416" s="1" t="n">
        <v>45825.57805555555</v>
      </c>
      <c r="C2416" s="1" t="n">
        <v>45998</v>
      </c>
      <c r="D2416" t="inlineStr">
        <is>
          <t>VÄSTMANLANDS LÄN</t>
        </is>
      </c>
      <c r="E2416" t="inlineStr">
        <is>
          <t>FAGERSTA</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29871-2025</t>
        </is>
      </c>
      <c r="B2417" s="1" t="n">
        <v>45826.35914351852</v>
      </c>
      <c r="C2417" s="1" t="n">
        <v>45998</v>
      </c>
      <c r="D2417" t="inlineStr">
        <is>
          <t>VÄSTMANLANDS LÄN</t>
        </is>
      </c>
      <c r="E2417" t="inlineStr">
        <is>
          <t>SKINNSKATTEBERG</t>
        </is>
      </c>
      <c r="F2417" t="inlineStr">
        <is>
          <t>Sveaskog</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29620-2025</t>
        </is>
      </c>
      <c r="B2418" s="1" t="n">
        <v>45825.43447916667</v>
      </c>
      <c r="C2418" s="1" t="n">
        <v>45998</v>
      </c>
      <c r="D2418" t="inlineStr">
        <is>
          <t>VÄSTMANLANDS LÄN</t>
        </is>
      </c>
      <c r="E2418" t="inlineStr">
        <is>
          <t>NORBERG</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30436-2025</t>
        </is>
      </c>
      <c r="B2419" s="1" t="n">
        <v>45827.639375</v>
      </c>
      <c r="C2419" s="1" t="n">
        <v>45998</v>
      </c>
      <c r="D2419" t="inlineStr">
        <is>
          <t>VÄSTMANLANDS LÄN</t>
        </is>
      </c>
      <c r="E2419" t="inlineStr">
        <is>
          <t>SKINNSKATTEBERG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30439-2025</t>
        </is>
      </c>
      <c r="B2420" s="1" t="n">
        <v>45827</v>
      </c>
      <c r="C2420" s="1" t="n">
        <v>45998</v>
      </c>
      <c r="D2420" t="inlineStr">
        <is>
          <t>VÄSTMANLANDS LÄN</t>
        </is>
      </c>
      <c r="E2420" t="inlineStr">
        <is>
          <t>SKINNSKATTEBERG</t>
        </is>
      </c>
      <c r="F2420" t="inlineStr">
        <is>
          <t>Sveaskog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30204-2025</t>
        </is>
      </c>
      <c r="B2421" s="1" t="n">
        <v>45827.36146990741</v>
      </c>
      <c r="C2421" s="1" t="n">
        <v>45998</v>
      </c>
      <c r="D2421" t="inlineStr">
        <is>
          <t>VÄSTMANLANDS LÄN</t>
        </is>
      </c>
      <c r="E2421" t="inlineStr">
        <is>
          <t>NORBERG</t>
        </is>
      </c>
      <c r="F2421" t="inlineStr">
        <is>
          <t>Övriga Aktiebolag</t>
        </is>
      </c>
      <c r="G2421" t="n">
        <v>8.300000000000001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55007-2025</t>
        </is>
      </c>
      <c r="B2422" s="1" t="n">
        <v>45967.6133449074</v>
      </c>
      <c r="C2422" s="1" t="n">
        <v>45998</v>
      </c>
      <c r="D2422" t="inlineStr">
        <is>
          <t>VÄSTMANLANDS LÄN</t>
        </is>
      </c>
      <c r="E2422" t="inlineStr">
        <is>
          <t>SKINNSKATTEBERG</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30197-2025</t>
        </is>
      </c>
      <c r="B2423" s="1" t="n">
        <v>45827.35523148148</v>
      </c>
      <c r="C2423" s="1" t="n">
        <v>45998</v>
      </c>
      <c r="D2423" t="inlineStr">
        <is>
          <t>VÄSTMANLANDS LÄN</t>
        </is>
      </c>
      <c r="E2423" t="inlineStr">
        <is>
          <t>NORBERG</t>
        </is>
      </c>
      <c r="F2423" t="inlineStr">
        <is>
          <t>Övriga Aktiebolag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46799-2025</t>
        </is>
      </c>
      <c r="B2424" s="1" t="n">
        <v>45926.65934027778</v>
      </c>
      <c r="C2424" s="1" t="n">
        <v>45998</v>
      </c>
      <c r="D2424" t="inlineStr">
        <is>
          <t>VÄSTMANLANDS LÄN</t>
        </is>
      </c>
      <c r="E2424" t="inlineStr">
        <is>
          <t>VÄSTERÅS</t>
        </is>
      </c>
      <c r="F2424" t="inlineStr">
        <is>
          <t>Övriga statliga verk och myndigheter</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55002-2025</t>
        </is>
      </c>
      <c r="B2425" s="1" t="n">
        <v>45967.60951388889</v>
      </c>
      <c r="C2425" s="1" t="n">
        <v>45998</v>
      </c>
      <c r="D2425" t="inlineStr">
        <is>
          <t>VÄSTMANLANDS LÄN</t>
        </is>
      </c>
      <c r="E2425" t="inlineStr">
        <is>
          <t>SKINNSKATTEBERG</t>
        </is>
      </c>
      <c r="F2425" t="inlineStr">
        <is>
          <t>Sveaskog</t>
        </is>
      </c>
      <c r="G2425" t="n">
        <v>8.699999999999999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30180-2025</t>
        </is>
      </c>
      <c r="B2426" s="1" t="n">
        <v>45827.34599537037</v>
      </c>
      <c r="C2426" s="1" t="n">
        <v>45998</v>
      </c>
      <c r="D2426" t="inlineStr">
        <is>
          <t>VÄSTMANLANDS LÄN</t>
        </is>
      </c>
      <c r="E2426" t="inlineStr">
        <is>
          <t>NORBERG</t>
        </is>
      </c>
      <c r="F2426" t="inlineStr">
        <is>
          <t>Bergvik skog väst AB</t>
        </is>
      </c>
      <c r="G2426" t="n">
        <v>23.8</v>
      </c>
      <c r="H2426" t="n">
        <v>0</v>
      </c>
      <c r="I2426" t="n">
        <v>0</v>
      </c>
      <c r="J2426" t="n">
        <v>0</v>
      </c>
      <c r="K2426" t="n">
        <v>0</v>
      </c>
      <c r="L2426" t="n">
        <v>0</v>
      </c>
      <c r="M2426" t="n">
        <v>0</v>
      </c>
      <c r="N2426" t="n">
        <v>0</v>
      </c>
      <c r="O2426" t="n">
        <v>0</v>
      </c>
      <c r="P2426" t="n">
        <v>0</v>
      </c>
      <c r="Q2426" t="n">
        <v>0</v>
      </c>
      <c r="R2426" s="2" t="inlineStr"/>
    </row>
    <row r="2427" ht="15" customHeight="1">
      <c r="A2427" t="inlineStr">
        <is>
          <t>A 30219-2025</t>
        </is>
      </c>
      <c r="B2427" s="1" t="n">
        <v>45827.37133101852</v>
      </c>
      <c r="C2427" s="1" t="n">
        <v>45998</v>
      </c>
      <c r="D2427" t="inlineStr">
        <is>
          <t>VÄSTMANLANDS LÄN</t>
        </is>
      </c>
      <c r="E2427" t="inlineStr">
        <is>
          <t>NORBERG</t>
        </is>
      </c>
      <c r="F2427" t="inlineStr">
        <is>
          <t>Övriga Aktiebolag</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37414-2021</t>
        </is>
      </c>
      <c r="B2428" s="1" t="n">
        <v>44398</v>
      </c>
      <c r="C2428" s="1" t="n">
        <v>45998</v>
      </c>
      <c r="D2428" t="inlineStr">
        <is>
          <t>VÄSTMANLANDS LÄN</t>
        </is>
      </c>
      <c r="E2428" t="inlineStr">
        <is>
          <t>ARBOGA</t>
        </is>
      </c>
      <c r="F2428" t="inlineStr">
        <is>
          <t>Kyrkan</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30379-2025</t>
        </is>
      </c>
      <c r="B2429" s="1" t="n">
        <v>45827.56777777777</v>
      </c>
      <c r="C2429" s="1" t="n">
        <v>45998</v>
      </c>
      <c r="D2429" t="inlineStr">
        <is>
          <t>VÄSTMANLANDS LÄN</t>
        </is>
      </c>
      <c r="E2429" t="inlineStr">
        <is>
          <t>SKINNSKATTEBERG</t>
        </is>
      </c>
      <c r="F2429" t="inlineStr">
        <is>
          <t>Sveaskog</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30136-2025</t>
        </is>
      </c>
      <c r="B2430" s="1" t="n">
        <v>45826.87413194445</v>
      </c>
      <c r="C2430" s="1" t="n">
        <v>45998</v>
      </c>
      <c r="D2430" t="inlineStr">
        <is>
          <t>VÄSTMANLANDS LÄN</t>
        </is>
      </c>
      <c r="E2430" t="inlineStr">
        <is>
          <t>KÖPING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30161-2025</t>
        </is>
      </c>
      <c r="B2431" s="1" t="n">
        <v>45827.32541666667</v>
      </c>
      <c r="C2431" s="1" t="n">
        <v>45998</v>
      </c>
      <c r="D2431" t="inlineStr">
        <is>
          <t>VÄSTMANLANDS LÄN</t>
        </is>
      </c>
      <c r="E2431" t="inlineStr">
        <is>
          <t>SKINNSKATTEBERG</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59390-2025</t>
        </is>
      </c>
      <c r="B2432" s="1" t="n">
        <v>45989.4640162037</v>
      </c>
      <c r="C2432" s="1" t="n">
        <v>45998</v>
      </c>
      <c r="D2432" t="inlineStr">
        <is>
          <t>VÄSTMANLANDS LÄN</t>
        </is>
      </c>
      <c r="E2432" t="inlineStr">
        <is>
          <t>SALA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59710-2025</t>
        </is>
      </c>
      <c r="B2433" s="1" t="n">
        <v>45992.52398148148</v>
      </c>
      <c r="C2433" s="1" t="n">
        <v>45998</v>
      </c>
      <c r="D2433" t="inlineStr">
        <is>
          <t>VÄSTMANLANDS LÄN</t>
        </is>
      </c>
      <c r="E2433" t="inlineStr">
        <is>
          <t>SKINNSKATTEBERG</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30211-2025</t>
        </is>
      </c>
      <c r="B2434" s="1" t="n">
        <v>45827.36601851852</v>
      </c>
      <c r="C2434" s="1" t="n">
        <v>45998</v>
      </c>
      <c r="D2434" t="inlineStr">
        <is>
          <t>VÄSTMANLANDS LÄN</t>
        </is>
      </c>
      <c r="E2434" t="inlineStr">
        <is>
          <t>NORBERG</t>
        </is>
      </c>
      <c r="F2434" t="inlineStr">
        <is>
          <t>Övriga Aktiebolag</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30190-2025</t>
        </is>
      </c>
      <c r="B2435" s="1" t="n">
        <v>45827.34989583334</v>
      </c>
      <c r="C2435" s="1" t="n">
        <v>45998</v>
      </c>
      <c r="D2435" t="inlineStr">
        <is>
          <t>VÄSTMANLANDS LÄN</t>
        </is>
      </c>
      <c r="E2435" t="inlineStr">
        <is>
          <t>NORBERG</t>
        </is>
      </c>
      <c r="F2435" t="inlineStr">
        <is>
          <t>Övriga Aktiebolag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59926-2025</t>
        </is>
      </c>
      <c r="B2436" s="1" t="n">
        <v>45993.39221064815</v>
      </c>
      <c r="C2436" s="1" t="n">
        <v>45998</v>
      </c>
      <c r="D2436" t="inlineStr">
        <is>
          <t>VÄSTMANLANDS LÄN</t>
        </is>
      </c>
      <c r="E2436" t="inlineStr">
        <is>
          <t>SALA</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60241-2025</t>
        </is>
      </c>
      <c r="B2437" s="1" t="n">
        <v>45994.58454861111</v>
      </c>
      <c r="C2437" s="1" t="n">
        <v>45998</v>
      </c>
      <c r="D2437" t="inlineStr">
        <is>
          <t>VÄSTMANLANDS LÄN</t>
        </is>
      </c>
      <c r="E2437" t="inlineStr">
        <is>
          <t>SALA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51626-2025</t>
        </is>
      </c>
      <c r="B2438" s="1" t="n">
        <v>45951.41769675926</v>
      </c>
      <c r="C2438" s="1" t="n">
        <v>45998</v>
      </c>
      <c r="D2438" t="inlineStr">
        <is>
          <t>VÄSTMANLANDS LÄN</t>
        </is>
      </c>
      <c r="E2438" t="inlineStr">
        <is>
          <t>SALA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51690-2025</t>
        </is>
      </c>
      <c r="B2439" s="1" t="n">
        <v>45951.53462962963</v>
      </c>
      <c r="C2439" s="1" t="n">
        <v>45998</v>
      </c>
      <c r="D2439" t="inlineStr">
        <is>
          <t>VÄSTMANLANDS LÄN</t>
        </is>
      </c>
      <c r="E2439" t="inlineStr">
        <is>
          <t>SALA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60335-2025</t>
        </is>
      </c>
      <c r="B2440" s="1" t="n">
        <v>45994.78494212963</v>
      </c>
      <c r="C2440" s="1" t="n">
        <v>45998</v>
      </c>
      <c r="D2440" t="inlineStr">
        <is>
          <t>VÄSTMANLANDS LÄN</t>
        </is>
      </c>
      <c r="E2440" t="inlineStr">
        <is>
          <t>NORBERG</t>
        </is>
      </c>
      <c r="F2440" t="inlineStr">
        <is>
          <t>Kommuner</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30874-2025</t>
        </is>
      </c>
      <c r="B2441" s="1" t="n">
        <v>45832.34430555555</v>
      </c>
      <c r="C2441" s="1" t="n">
        <v>45998</v>
      </c>
      <c r="D2441" t="inlineStr">
        <is>
          <t>VÄSTMANLANDS LÄN</t>
        </is>
      </c>
      <c r="E2441" t="inlineStr">
        <is>
          <t>SALA</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30885-2025</t>
        </is>
      </c>
      <c r="B2442" s="1" t="n">
        <v>45832.34569444445</v>
      </c>
      <c r="C2442" s="1" t="n">
        <v>45998</v>
      </c>
      <c r="D2442" t="inlineStr">
        <is>
          <t>VÄSTMANLANDS LÄN</t>
        </is>
      </c>
      <c r="E2442" t="inlineStr">
        <is>
          <t>SKINNSKATTEBERG</t>
        </is>
      </c>
      <c r="F2442" t="inlineStr">
        <is>
          <t>Sveaskog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60017-2025</t>
        </is>
      </c>
      <c r="B2443" s="1" t="n">
        <v>45993.59998842593</v>
      </c>
      <c r="C2443" s="1" t="n">
        <v>45998</v>
      </c>
      <c r="D2443" t="inlineStr">
        <is>
          <t>VÄSTMANLANDS LÄN</t>
        </is>
      </c>
      <c r="E2443" t="inlineStr">
        <is>
          <t>SALA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54536-2024</t>
        </is>
      </c>
      <c r="B2444" s="1" t="n">
        <v>45617.6058449074</v>
      </c>
      <c r="C2444" s="1" t="n">
        <v>45998</v>
      </c>
      <c r="D2444" t="inlineStr">
        <is>
          <t>VÄSTMANLANDS LÄN</t>
        </is>
      </c>
      <c r="E2444" t="inlineStr">
        <is>
          <t>VÄSTERÅS</t>
        </is>
      </c>
      <c r="F2444" t="inlineStr">
        <is>
          <t>Sveaskog</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30899-2025</t>
        </is>
      </c>
      <c r="B2445" s="1" t="n">
        <v>45832.35767361111</v>
      </c>
      <c r="C2445" s="1" t="n">
        <v>45998</v>
      </c>
      <c r="D2445" t="inlineStr">
        <is>
          <t>VÄSTMANLANDS LÄN</t>
        </is>
      </c>
      <c r="E2445" t="inlineStr">
        <is>
          <t>SALA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52027-2025</t>
        </is>
      </c>
      <c r="B2446" s="1" t="n">
        <v>45952</v>
      </c>
      <c r="C2446" s="1" t="n">
        <v>45998</v>
      </c>
      <c r="D2446" t="inlineStr">
        <is>
          <t>VÄSTMANLANDS LÄN</t>
        </is>
      </c>
      <c r="E2446" t="inlineStr">
        <is>
          <t>VÄSTERÅS</t>
        </is>
      </c>
      <c r="F2446" t="inlineStr">
        <is>
          <t>Övriga statliga verk och myndigheter</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51989-2025</t>
        </is>
      </c>
      <c r="B2447" s="1" t="n">
        <v>45952.57976851852</v>
      </c>
      <c r="C2447" s="1" t="n">
        <v>45998</v>
      </c>
      <c r="D2447" t="inlineStr">
        <is>
          <t>VÄSTMANLANDS LÄN</t>
        </is>
      </c>
      <c r="E2447" t="inlineStr">
        <is>
          <t>ARBOGA</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30866-2025</t>
        </is>
      </c>
      <c r="B2448" s="1" t="n">
        <v>45832.3246875</v>
      </c>
      <c r="C2448" s="1" t="n">
        <v>45998</v>
      </c>
      <c r="D2448" t="inlineStr">
        <is>
          <t>VÄSTMANLANDS LÄN</t>
        </is>
      </c>
      <c r="E2448" t="inlineStr">
        <is>
          <t>SALA</t>
        </is>
      </c>
      <c r="G2448" t="n">
        <v>14.3</v>
      </c>
      <c r="H2448" t="n">
        <v>0</v>
      </c>
      <c r="I2448" t="n">
        <v>0</v>
      </c>
      <c r="J2448" t="n">
        <v>0</v>
      </c>
      <c r="K2448" t="n">
        <v>0</v>
      </c>
      <c r="L2448" t="n">
        <v>0</v>
      </c>
      <c r="M2448" t="n">
        <v>0</v>
      </c>
      <c r="N2448" t="n">
        <v>0</v>
      </c>
      <c r="O2448" t="n">
        <v>0</v>
      </c>
      <c r="P2448" t="n">
        <v>0</v>
      </c>
      <c r="Q2448" t="n">
        <v>0</v>
      </c>
      <c r="R2448" s="2" t="inlineStr"/>
    </row>
    <row r="2449" ht="15" customHeight="1">
      <c r="A2449" t="inlineStr">
        <is>
          <t>A 51809-2025</t>
        </is>
      </c>
      <c r="B2449" s="1" t="n">
        <v>45951.80116898148</v>
      </c>
      <c r="C2449" s="1" t="n">
        <v>45998</v>
      </c>
      <c r="D2449" t="inlineStr">
        <is>
          <t>VÄSTMANLANDS LÄN</t>
        </is>
      </c>
      <c r="E2449" t="inlineStr">
        <is>
          <t>SALA</t>
        </is>
      </c>
      <c r="F2449" t="inlineStr">
        <is>
          <t>Kommuner</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59870-2025</t>
        </is>
      </c>
      <c r="B2450" s="1" t="n">
        <v>45992.92226851852</v>
      </c>
      <c r="C2450" s="1" t="n">
        <v>45998</v>
      </c>
      <c r="D2450" t="inlineStr">
        <is>
          <t>VÄSTMANLANDS LÄN</t>
        </is>
      </c>
      <c r="E2450" t="inlineStr">
        <is>
          <t>SALA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30873-2025</t>
        </is>
      </c>
      <c r="B2451" s="1" t="n">
        <v>45832.34391203704</v>
      </c>
      <c r="C2451" s="1" t="n">
        <v>45998</v>
      </c>
      <c r="D2451" t="inlineStr">
        <is>
          <t>VÄSTMANLANDS LÄN</t>
        </is>
      </c>
      <c r="E2451" t="inlineStr">
        <is>
          <t>SKINNSKATTEBERG</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60254-2025</t>
        </is>
      </c>
      <c r="B2452" s="1" t="n">
        <v>45994.60146990741</v>
      </c>
      <c r="C2452" s="1" t="n">
        <v>45998</v>
      </c>
      <c r="D2452" t="inlineStr">
        <is>
          <t>VÄSTMANLANDS LÄN</t>
        </is>
      </c>
      <c r="E2452" t="inlineStr">
        <is>
          <t>SALA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31065-2025</t>
        </is>
      </c>
      <c r="B2453" s="1" t="n">
        <v>45832.57571759259</v>
      </c>
      <c r="C2453" s="1" t="n">
        <v>45998</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31071-2025</t>
        </is>
      </c>
      <c r="B2454" s="1" t="n">
        <v>45832.57935185185</v>
      </c>
      <c r="C2454" s="1" t="n">
        <v>45998</v>
      </c>
      <c r="D2454" t="inlineStr">
        <is>
          <t>VÄSTMANLANDS LÄN</t>
        </is>
      </c>
      <c r="E2454" t="inlineStr">
        <is>
          <t>KÖPING</t>
        </is>
      </c>
      <c r="F2454" t="inlineStr">
        <is>
          <t>Sveaskog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31011-2025</t>
        </is>
      </c>
      <c r="B2455" s="1" t="n">
        <v>45832.50582175926</v>
      </c>
      <c r="C2455" s="1" t="n">
        <v>45998</v>
      </c>
      <c r="D2455" t="inlineStr">
        <is>
          <t>VÄSTMANLANDS LÄN</t>
        </is>
      </c>
      <c r="E2455" t="inlineStr">
        <is>
          <t>SKINNSKATTEBERG</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31068-2025</t>
        </is>
      </c>
      <c r="B2456" s="1" t="n">
        <v>45832.57855324074</v>
      </c>
      <c r="C2456" s="1" t="n">
        <v>45998</v>
      </c>
      <c r="D2456" t="inlineStr">
        <is>
          <t>VÄSTMANLANDS LÄN</t>
        </is>
      </c>
      <c r="E2456" t="inlineStr">
        <is>
          <t>KÖPING</t>
        </is>
      </c>
      <c r="F2456" t="inlineStr">
        <is>
          <t>Sveaskog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31033-2025</t>
        </is>
      </c>
      <c r="B2457" s="1" t="n">
        <v>45832.54032407407</v>
      </c>
      <c r="C2457" s="1" t="n">
        <v>45998</v>
      </c>
      <c r="D2457" t="inlineStr">
        <is>
          <t>VÄSTMANLANDS LÄN</t>
        </is>
      </c>
      <c r="E2457" t="inlineStr">
        <is>
          <t>NORBERG</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31612-2025</t>
        </is>
      </c>
      <c r="B2458" s="1" t="n">
        <v>45833.80056712963</v>
      </c>
      <c r="C2458" s="1" t="n">
        <v>45998</v>
      </c>
      <c r="D2458" t="inlineStr">
        <is>
          <t>VÄSTMANLANDS LÄN</t>
        </is>
      </c>
      <c r="E2458" t="inlineStr">
        <is>
          <t>SALA</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59399-2025</t>
        </is>
      </c>
      <c r="B2459" s="1" t="n">
        <v>45989</v>
      </c>
      <c r="C2459" s="1" t="n">
        <v>45998</v>
      </c>
      <c r="D2459" t="inlineStr">
        <is>
          <t>VÄSTMANLANDS LÄN</t>
        </is>
      </c>
      <c r="E2459" t="inlineStr">
        <is>
          <t>SURAHAMMAR</t>
        </is>
      </c>
      <c r="F2459" t="inlineStr">
        <is>
          <t>Kommuner</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60072-2025</t>
        </is>
      </c>
      <c r="B2460" s="1" t="n">
        <v>45993.67482638889</v>
      </c>
      <c r="C2460" s="1" t="n">
        <v>45998</v>
      </c>
      <c r="D2460" t="inlineStr">
        <is>
          <t>VÄSTMANLANDS LÄN</t>
        </is>
      </c>
      <c r="E2460" t="inlineStr">
        <is>
          <t>KÖPING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31587-2025</t>
        </is>
      </c>
      <c r="B2461" s="1" t="n">
        <v>45833</v>
      </c>
      <c r="C2461" s="1" t="n">
        <v>45998</v>
      </c>
      <c r="D2461" t="inlineStr">
        <is>
          <t>VÄSTMANLANDS LÄN</t>
        </is>
      </c>
      <c r="E2461" t="inlineStr">
        <is>
          <t>VÄSTERÅS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56541-2025</t>
        </is>
      </c>
      <c r="B2462" s="1" t="n">
        <v>45975</v>
      </c>
      <c r="C2462" s="1" t="n">
        <v>45998</v>
      </c>
      <c r="D2462" t="inlineStr">
        <is>
          <t>VÄSTMANLANDS LÄN</t>
        </is>
      </c>
      <c r="E2462" t="inlineStr">
        <is>
          <t>SURAHAMMAR</t>
        </is>
      </c>
      <c r="F2462" t="inlineStr">
        <is>
          <t>Sveaskog</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31748-2025</t>
        </is>
      </c>
      <c r="B2463" s="1" t="n">
        <v>45834</v>
      </c>
      <c r="C2463" s="1" t="n">
        <v>45998</v>
      </c>
      <c r="D2463" t="inlineStr">
        <is>
          <t>VÄSTMANLANDS LÄN</t>
        </is>
      </c>
      <c r="E2463" t="inlineStr">
        <is>
          <t>SALA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31288-2025</t>
        </is>
      </c>
      <c r="B2464" s="1" t="n">
        <v>45833</v>
      </c>
      <c r="C2464" s="1" t="n">
        <v>45998</v>
      </c>
      <c r="D2464" t="inlineStr">
        <is>
          <t>VÄSTMANLANDS LÄN</t>
        </is>
      </c>
      <c r="E2464" t="inlineStr">
        <is>
          <t>SALA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60258-2025</t>
        </is>
      </c>
      <c r="B2465" s="1" t="n">
        <v>45994.6064699074</v>
      </c>
      <c r="C2465" s="1" t="n">
        <v>45998</v>
      </c>
      <c r="D2465" t="inlineStr">
        <is>
          <t>VÄSTMANLANDS LÄN</t>
        </is>
      </c>
      <c r="E2465" t="inlineStr">
        <is>
          <t>SALA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51803-2025</t>
        </is>
      </c>
      <c r="B2466" s="1" t="n">
        <v>45951.76818287037</v>
      </c>
      <c r="C2466" s="1" t="n">
        <v>45998</v>
      </c>
      <c r="D2466" t="inlineStr">
        <is>
          <t>VÄSTMANLANDS LÄN</t>
        </is>
      </c>
      <c r="E2466" t="inlineStr">
        <is>
          <t>SALA</t>
        </is>
      </c>
      <c r="F2466" t="inlineStr">
        <is>
          <t>Kommuner</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51805-2025</t>
        </is>
      </c>
      <c r="B2467" s="1" t="n">
        <v>45951.78359953704</v>
      </c>
      <c r="C2467" s="1" t="n">
        <v>45998</v>
      </c>
      <c r="D2467" t="inlineStr">
        <is>
          <t>VÄSTMANLANDS LÄN</t>
        </is>
      </c>
      <c r="E2467" t="inlineStr">
        <is>
          <t>SALA</t>
        </is>
      </c>
      <c r="F2467" t="inlineStr">
        <is>
          <t>Kommuner</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31234-2025</t>
        </is>
      </c>
      <c r="B2468" s="1" t="n">
        <v>45832.83354166667</v>
      </c>
      <c r="C2468" s="1" t="n">
        <v>45998</v>
      </c>
      <c r="D2468" t="inlineStr">
        <is>
          <t>VÄSTMANLANDS LÄN</t>
        </is>
      </c>
      <c r="E2468" t="inlineStr">
        <is>
          <t>SKINNSKATTEBERG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60339-2025</t>
        </is>
      </c>
      <c r="B2469" s="1" t="n">
        <v>45994.81884259259</v>
      </c>
      <c r="C2469" s="1" t="n">
        <v>45998</v>
      </c>
      <c r="D2469" t="inlineStr">
        <is>
          <t>VÄSTMANLANDS LÄN</t>
        </is>
      </c>
      <c r="E2469" t="inlineStr">
        <is>
          <t>NORBERG</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60259-2025</t>
        </is>
      </c>
      <c r="B2470" s="1" t="n">
        <v>45994.60913194445</v>
      </c>
      <c r="C2470" s="1" t="n">
        <v>45998</v>
      </c>
      <c r="D2470" t="inlineStr">
        <is>
          <t>VÄSTMANLANDS LÄN</t>
        </is>
      </c>
      <c r="E2470" t="inlineStr">
        <is>
          <t>SALA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31582-2025</t>
        </is>
      </c>
      <c r="B2471" s="1" t="n">
        <v>45833.68644675926</v>
      </c>
      <c r="C2471" s="1" t="n">
        <v>45998</v>
      </c>
      <c r="D2471" t="inlineStr">
        <is>
          <t>VÄSTMANLANDS LÄN</t>
        </is>
      </c>
      <c r="E2471" t="inlineStr">
        <is>
          <t>KÖPING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52018-2025</t>
        </is>
      </c>
      <c r="B2472" s="1" t="n">
        <v>45952</v>
      </c>
      <c r="C2472" s="1" t="n">
        <v>45998</v>
      </c>
      <c r="D2472" t="inlineStr">
        <is>
          <t>VÄSTMANLANDS LÄN</t>
        </is>
      </c>
      <c r="E2472" t="inlineStr">
        <is>
          <t>SKINNSKATTEBERG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60246-2025</t>
        </is>
      </c>
      <c r="B2473" s="1" t="n">
        <v>45994.58931712963</v>
      </c>
      <c r="C2473" s="1" t="n">
        <v>45998</v>
      </c>
      <c r="D2473" t="inlineStr">
        <is>
          <t>VÄSTMANLANDS LÄN</t>
        </is>
      </c>
      <c r="E2473" t="inlineStr">
        <is>
          <t>SALA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31771-2025</t>
        </is>
      </c>
      <c r="B2474" s="1" t="n">
        <v>45834.50910879629</v>
      </c>
      <c r="C2474" s="1" t="n">
        <v>45998</v>
      </c>
      <c r="D2474" t="inlineStr">
        <is>
          <t>VÄSTMANLANDS LÄN</t>
        </is>
      </c>
      <c r="E2474" t="inlineStr">
        <is>
          <t>SALA</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51804-2025</t>
        </is>
      </c>
      <c r="B2475" s="1" t="n">
        <v>45951.77697916667</v>
      </c>
      <c r="C2475" s="1" t="n">
        <v>45998</v>
      </c>
      <c r="D2475" t="inlineStr">
        <is>
          <t>VÄSTMANLANDS LÄN</t>
        </is>
      </c>
      <c r="E2475" t="inlineStr">
        <is>
          <t>SALA</t>
        </is>
      </c>
      <c r="F2475" t="inlineStr">
        <is>
          <t>Kommuner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51808-2025</t>
        </is>
      </c>
      <c r="B2476" s="1" t="n">
        <v>45951.79302083333</v>
      </c>
      <c r="C2476" s="1" t="n">
        <v>45998</v>
      </c>
      <c r="D2476" t="inlineStr">
        <is>
          <t>VÄSTMANLANDS LÄN</t>
        </is>
      </c>
      <c r="E2476" t="inlineStr">
        <is>
          <t>SALA</t>
        </is>
      </c>
      <c r="F2476" t="inlineStr">
        <is>
          <t>Kommuner</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51836-2025</t>
        </is>
      </c>
      <c r="B2477" s="1" t="n">
        <v>45952.33346064815</v>
      </c>
      <c r="C2477" s="1" t="n">
        <v>45998</v>
      </c>
      <c r="D2477" t="inlineStr">
        <is>
          <t>VÄSTMANLANDS LÄN</t>
        </is>
      </c>
      <c r="E2477" t="inlineStr">
        <is>
          <t>FAGERSTA</t>
        </is>
      </c>
      <c r="F2477" t="inlineStr">
        <is>
          <t>Kommuner</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31496-2025</t>
        </is>
      </c>
      <c r="B2478" s="1" t="n">
        <v>45833</v>
      </c>
      <c r="C2478" s="1" t="n">
        <v>45998</v>
      </c>
      <c r="D2478" t="inlineStr">
        <is>
          <t>VÄSTMANLANDS LÄN</t>
        </is>
      </c>
      <c r="E2478" t="inlineStr">
        <is>
          <t>KÖPING</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31839-2025</t>
        </is>
      </c>
      <c r="B2479" s="1" t="n">
        <v>45834</v>
      </c>
      <c r="C2479" s="1" t="n">
        <v>45998</v>
      </c>
      <c r="D2479" t="inlineStr">
        <is>
          <t>VÄSTMANLANDS LÄN</t>
        </is>
      </c>
      <c r="E2479" t="inlineStr">
        <is>
          <t>KÖPING</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51764-2025</t>
        </is>
      </c>
      <c r="B2480" s="1" t="n">
        <v>45951.63636574074</v>
      </c>
      <c r="C2480" s="1" t="n">
        <v>45998</v>
      </c>
      <c r="D2480" t="inlineStr">
        <is>
          <t>VÄSTMANLANDS LÄN</t>
        </is>
      </c>
      <c r="E2480" t="inlineStr">
        <is>
          <t>SALA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31554-2025</t>
        </is>
      </c>
      <c r="B2481" s="1" t="n">
        <v>45833</v>
      </c>
      <c r="C2481" s="1" t="n">
        <v>45998</v>
      </c>
      <c r="D2481" t="inlineStr">
        <is>
          <t>VÄSTMANLANDS LÄN</t>
        </is>
      </c>
      <c r="E2481" t="inlineStr">
        <is>
          <t>SALA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31762-2025</t>
        </is>
      </c>
      <c r="B2482" s="1" t="n">
        <v>45834.49288194445</v>
      </c>
      <c r="C2482" s="1" t="n">
        <v>45998</v>
      </c>
      <c r="D2482" t="inlineStr">
        <is>
          <t>VÄSTMANLANDS LÄN</t>
        </is>
      </c>
      <c r="E2482" t="inlineStr">
        <is>
          <t>SALA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31775-2025</t>
        </is>
      </c>
      <c r="B2483" s="1" t="n">
        <v>45834.51887731482</v>
      </c>
      <c r="C2483" s="1" t="n">
        <v>45998</v>
      </c>
      <c r="D2483" t="inlineStr">
        <is>
          <t>VÄSTMANLANDS LÄN</t>
        </is>
      </c>
      <c r="E2483" t="inlineStr">
        <is>
          <t>FAGERSTA</t>
        </is>
      </c>
      <c r="F2483" t="inlineStr">
        <is>
          <t>Sveaskog</t>
        </is>
      </c>
      <c r="G2483" t="n">
        <v>11.4</v>
      </c>
      <c r="H2483" t="n">
        <v>0</v>
      </c>
      <c r="I2483" t="n">
        <v>0</v>
      </c>
      <c r="J2483" t="n">
        <v>0</v>
      </c>
      <c r="K2483" t="n">
        <v>0</v>
      </c>
      <c r="L2483" t="n">
        <v>0</v>
      </c>
      <c r="M2483" t="n">
        <v>0</v>
      </c>
      <c r="N2483" t="n">
        <v>0</v>
      </c>
      <c r="O2483" t="n">
        <v>0</v>
      </c>
      <c r="P2483" t="n">
        <v>0</v>
      </c>
      <c r="Q2483" t="n">
        <v>0</v>
      </c>
      <c r="R2483" s="2" t="inlineStr"/>
    </row>
    <row r="2484" ht="15" customHeight="1">
      <c r="A2484" t="inlineStr">
        <is>
          <t>A 51864-2025</t>
        </is>
      </c>
      <c r="B2484" s="1" t="n">
        <v>45952.37326388889</v>
      </c>
      <c r="C2484" s="1" t="n">
        <v>45998</v>
      </c>
      <c r="D2484" t="inlineStr">
        <is>
          <t>VÄSTMANLANDS LÄN</t>
        </is>
      </c>
      <c r="E2484" t="inlineStr">
        <is>
          <t>NORBERG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31608-2025</t>
        </is>
      </c>
      <c r="B2485" s="1" t="n">
        <v>45833</v>
      </c>
      <c r="C2485" s="1" t="n">
        <v>45998</v>
      </c>
      <c r="D2485" t="inlineStr">
        <is>
          <t>VÄSTMANLANDS LÄN</t>
        </is>
      </c>
      <c r="E2485" t="inlineStr">
        <is>
          <t>SALA</t>
        </is>
      </c>
      <c r="G2485" t="n">
        <v>6.1</v>
      </c>
      <c r="H2485" t="n">
        <v>0</v>
      </c>
      <c r="I2485" t="n">
        <v>0</v>
      </c>
      <c r="J2485" t="n">
        <v>0</v>
      </c>
      <c r="K2485" t="n">
        <v>0</v>
      </c>
      <c r="L2485" t="n">
        <v>0</v>
      </c>
      <c r="M2485" t="n">
        <v>0</v>
      </c>
      <c r="N2485" t="n">
        <v>0</v>
      </c>
      <c r="O2485" t="n">
        <v>0</v>
      </c>
      <c r="P2485" t="n">
        <v>0</v>
      </c>
      <c r="Q2485" t="n">
        <v>0</v>
      </c>
      <c r="R2485" s="2" t="inlineStr"/>
    </row>
    <row r="2486" ht="15" customHeight="1">
      <c r="A2486" t="inlineStr">
        <is>
          <t>A 31610-2025</t>
        </is>
      </c>
      <c r="B2486" s="1" t="n">
        <v>45833.78650462963</v>
      </c>
      <c r="C2486" s="1" t="n">
        <v>45998</v>
      </c>
      <c r="D2486" t="inlineStr">
        <is>
          <t>VÄSTMANLANDS LÄN</t>
        </is>
      </c>
      <c r="E2486" t="inlineStr">
        <is>
          <t>SALA</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51782-2025</t>
        </is>
      </c>
      <c r="B2487" s="1" t="n">
        <v>45951.66190972222</v>
      </c>
      <c r="C2487" s="1" t="n">
        <v>45998</v>
      </c>
      <c r="D2487" t="inlineStr">
        <is>
          <t>VÄSTMANLANDS LÄN</t>
        </is>
      </c>
      <c r="E2487" t="inlineStr">
        <is>
          <t>FAGERSTA</t>
        </is>
      </c>
      <c r="F2487" t="inlineStr">
        <is>
          <t>Kommuner</t>
        </is>
      </c>
      <c r="G2487" t="n">
        <v>17.7</v>
      </c>
      <c r="H2487" t="n">
        <v>0</v>
      </c>
      <c r="I2487" t="n">
        <v>0</v>
      </c>
      <c r="J2487" t="n">
        <v>0</v>
      </c>
      <c r="K2487" t="n">
        <v>0</v>
      </c>
      <c r="L2487" t="n">
        <v>0</v>
      </c>
      <c r="M2487" t="n">
        <v>0</v>
      </c>
      <c r="N2487" t="n">
        <v>0</v>
      </c>
      <c r="O2487" t="n">
        <v>0</v>
      </c>
      <c r="P2487" t="n">
        <v>0</v>
      </c>
      <c r="Q2487" t="n">
        <v>0</v>
      </c>
      <c r="R2487" s="2" t="inlineStr"/>
    </row>
    <row r="2488" ht="15" customHeight="1">
      <c r="A2488" t="inlineStr">
        <is>
          <t>A 31296-2025</t>
        </is>
      </c>
      <c r="B2488" s="1" t="n">
        <v>45833.36765046296</v>
      </c>
      <c r="C2488" s="1" t="n">
        <v>45998</v>
      </c>
      <c r="D2488" t="inlineStr">
        <is>
          <t>VÄSTMANLANDS LÄN</t>
        </is>
      </c>
      <c r="E2488" t="inlineStr">
        <is>
          <t>SALA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31830-2025</t>
        </is>
      </c>
      <c r="B2489" s="1" t="n">
        <v>45834.5888425926</v>
      </c>
      <c r="C2489" s="1" t="n">
        <v>45998</v>
      </c>
      <c r="D2489" t="inlineStr">
        <is>
          <t>VÄSTMANLANDS LÄN</t>
        </is>
      </c>
      <c r="E2489" t="inlineStr">
        <is>
          <t>KÖPING</t>
        </is>
      </c>
      <c r="F2489" t="inlineStr">
        <is>
          <t>Sveaskog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31776-2025</t>
        </is>
      </c>
      <c r="B2490" s="1" t="n">
        <v>45834.51931712963</v>
      </c>
      <c r="C2490" s="1" t="n">
        <v>45998</v>
      </c>
      <c r="D2490" t="inlineStr">
        <is>
          <t>VÄSTMANLANDS LÄN</t>
        </is>
      </c>
      <c r="E2490" t="inlineStr">
        <is>
          <t>FAGERSTA</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31569-2025</t>
        </is>
      </c>
      <c r="B2491" s="1" t="n">
        <v>45833.66190972222</v>
      </c>
      <c r="C2491" s="1" t="n">
        <v>45998</v>
      </c>
      <c r="D2491" t="inlineStr">
        <is>
          <t>VÄSTMANLANDS LÄN</t>
        </is>
      </c>
      <c r="E2491" t="inlineStr">
        <is>
          <t>VÄSTERÅS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31573-2025</t>
        </is>
      </c>
      <c r="B2492" s="1" t="n">
        <v>45833</v>
      </c>
      <c r="C2492" s="1" t="n">
        <v>45998</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31738-2025</t>
        </is>
      </c>
      <c r="B2493" s="1" t="n">
        <v>45834</v>
      </c>
      <c r="C2493" s="1" t="n">
        <v>45998</v>
      </c>
      <c r="D2493" t="inlineStr">
        <is>
          <t>VÄSTMANLANDS LÄN</t>
        </is>
      </c>
      <c r="E2493" t="inlineStr">
        <is>
          <t>KÖPING</t>
        </is>
      </c>
      <c r="G2493" t="n">
        <v>11.2</v>
      </c>
      <c r="H2493" t="n">
        <v>0</v>
      </c>
      <c r="I2493" t="n">
        <v>0</v>
      </c>
      <c r="J2493" t="n">
        <v>0</v>
      </c>
      <c r="K2493" t="n">
        <v>0</v>
      </c>
      <c r="L2493" t="n">
        <v>0</v>
      </c>
      <c r="M2493" t="n">
        <v>0</v>
      </c>
      <c r="N2493" t="n">
        <v>0</v>
      </c>
      <c r="O2493" t="n">
        <v>0</v>
      </c>
      <c r="P2493" t="n">
        <v>0</v>
      </c>
      <c r="Q2493" t="n">
        <v>0</v>
      </c>
      <c r="R2493" s="2" t="inlineStr"/>
    </row>
    <row r="2494" ht="15" customHeight="1">
      <c r="A2494" t="inlineStr">
        <is>
          <t>A 31768-2025</t>
        </is>
      </c>
      <c r="B2494" s="1" t="n">
        <v>45834.50034722222</v>
      </c>
      <c r="C2494" s="1" t="n">
        <v>45998</v>
      </c>
      <c r="D2494" t="inlineStr">
        <is>
          <t>VÄSTMANLANDS LÄN</t>
        </is>
      </c>
      <c r="E2494" t="inlineStr">
        <is>
          <t>FAGERSTA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60629-2025</t>
        </is>
      </c>
      <c r="B2495" s="1" t="n">
        <v>45996.41972222222</v>
      </c>
      <c r="C2495" s="1" t="n">
        <v>45998</v>
      </c>
      <c r="D2495" t="inlineStr">
        <is>
          <t>VÄSTMANLANDS LÄN</t>
        </is>
      </c>
      <c r="E2495" t="inlineStr">
        <is>
          <t>SALA</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32201-2025</t>
        </is>
      </c>
      <c r="B2496" s="1" t="n">
        <v>45835</v>
      </c>
      <c r="C2496" s="1" t="n">
        <v>45998</v>
      </c>
      <c r="D2496" t="inlineStr">
        <is>
          <t>VÄSTMANLANDS LÄN</t>
        </is>
      </c>
      <c r="E2496" t="inlineStr">
        <is>
          <t>SALA</t>
        </is>
      </c>
      <c r="F2496" t="inlineStr">
        <is>
          <t>Bergvik skog öst AB</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32205-2025</t>
        </is>
      </c>
      <c r="B2497" s="1" t="n">
        <v>45835</v>
      </c>
      <c r="C2497" s="1" t="n">
        <v>45998</v>
      </c>
      <c r="D2497" t="inlineStr">
        <is>
          <t>VÄSTMANLANDS LÄN</t>
        </is>
      </c>
      <c r="E2497" t="inlineStr">
        <is>
          <t>SALA</t>
        </is>
      </c>
      <c r="F2497" t="inlineStr">
        <is>
          <t>Bergvik skog öst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32210-2025</t>
        </is>
      </c>
      <c r="B2498" s="1" t="n">
        <v>45835</v>
      </c>
      <c r="C2498" s="1" t="n">
        <v>45998</v>
      </c>
      <c r="D2498" t="inlineStr">
        <is>
          <t>VÄSTMANLANDS LÄN</t>
        </is>
      </c>
      <c r="E2498" t="inlineStr">
        <is>
          <t>SALA</t>
        </is>
      </c>
      <c r="F2498" t="inlineStr">
        <is>
          <t>Bergvik skog öst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32004-2025</t>
        </is>
      </c>
      <c r="B2499" s="1" t="n">
        <v>45835</v>
      </c>
      <c r="C2499" s="1" t="n">
        <v>45998</v>
      </c>
      <c r="D2499" t="inlineStr">
        <is>
          <t>VÄSTMANLANDS LÄN</t>
        </is>
      </c>
      <c r="E2499" t="inlineStr">
        <is>
          <t>FAGERSTA</t>
        </is>
      </c>
      <c r="F2499" t="inlineStr">
        <is>
          <t>Sveaskog</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32286-2025</t>
        </is>
      </c>
      <c r="B2500" s="1" t="n">
        <v>45835</v>
      </c>
      <c r="C2500" s="1" t="n">
        <v>45998</v>
      </c>
      <c r="D2500" t="inlineStr">
        <is>
          <t>VÄSTMANLANDS LÄN</t>
        </is>
      </c>
      <c r="E2500" t="inlineStr">
        <is>
          <t>SALA</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52263-2025</t>
        </is>
      </c>
      <c r="B2501" s="1" t="n">
        <v>45953.52658564815</v>
      </c>
      <c r="C2501" s="1" t="n">
        <v>45998</v>
      </c>
      <c r="D2501" t="inlineStr">
        <is>
          <t>VÄSTMANLANDS LÄN</t>
        </is>
      </c>
      <c r="E2501" t="inlineStr">
        <is>
          <t>VÄSTERÅS</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52268-2025</t>
        </is>
      </c>
      <c r="B2502" s="1" t="n">
        <v>45953.5362037037</v>
      </c>
      <c r="C2502" s="1" t="n">
        <v>45998</v>
      </c>
      <c r="D2502" t="inlineStr">
        <is>
          <t>VÄSTMANLANDS LÄN</t>
        </is>
      </c>
      <c r="E2502" t="inlineStr">
        <is>
          <t>VÄSTERÅS</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52272-2025</t>
        </is>
      </c>
      <c r="B2503" s="1" t="n">
        <v>45953.54679398148</v>
      </c>
      <c r="C2503" s="1" t="n">
        <v>45998</v>
      </c>
      <c r="D2503" t="inlineStr">
        <is>
          <t>VÄSTMANLANDS LÄN</t>
        </is>
      </c>
      <c r="E2503" t="inlineStr">
        <is>
          <t>VÄSTERÅS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57014-2025</t>
        </is>
      </c>
      <c r="B2504" s="1" t="n">
        <v>45978</v>
      </c>
      <c r="C2504" s="1" t="n">
        <v>45998</v>
      </c>
      <c r="D2504" t="inlineStr">
        <is>
          <t>VÄSTMANLANDS LÄN</t>
        </is>
      </c>
      <c r="E2504" t="inlineStr">
        <is>
          <t>SALA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32001-2025</t>
        </is>
      </c>
      <c r="B2505" s="1" t="n">
        <v>45835.37936342593</v>
      </c>
      <c r="C2505" s="1" t="n">
        <v>45998</v>
      </c>
      <c r="D2505" t="inlineStr">
        <is>
          <t>VÄSTMANLANDS LÄN</t>
        </is>
      </c>
      <c r="E2505" t="inlineStr">
        <is>
          <t>FAGERSTA</t>
        </is>
      </c>
      <c r="F2505" t="inlineStr">
        <is>
          <t>Sveaskog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32207-2025</t>
        </is>
      </c>
      <c r="B2506" s="1" t="n">
        <v>45835</v>
      </c>
      <c r="C2506" s="1" t="n">
        <v>45998</v>
      </c>
      <c r="D2506" t="inlineStr">
        <is>
          <t>VÄSTMANLANDS LÄN</t>
        </is>
      </c>
      <c r="E2506" t="inlineStr">
        <is>
          <t>SALA</t>
        </is>
      </c>
      <c r="F2506" t="inlineStr">
        <is>
          <t>Bergvik skog öst AB</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52270-2025</t>
        </is>
      </c>
      <c r="B2507" s="1" t="n">
        <v>45953.53826388889</v>
      </c>
      <c r="C2507" s="1" t="n">
        <v>45998</v>
      </c>
      <c r="D2507" t="inlineStr">
        <is>
          <t>VÄSTMANLANDS LÄN</t>
        </is>
      </c>
      <c r="E2507" t="inlineStr">
        <is>
          <t>VÄSTERÅS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32440-2025</t>
        </is>
      </c>
      <c r="B2508" s="1" t="n">
        <v>45838</v>
      </c>
      <c r="C2508" s="1" t="n">
        <v>45998</v>
      </c>
      <c r="D2508" t="inlineStr">
        <is>
          <t>VÄSTMANLANDS LÄN</t>
        </is>
      </c>
      <c r="E2508" t="inlineStr">
        <is>
          <t>ARBOGA</t>
        </is>
      </c>
      <c r="F2508" t="inlineStr">
        <is>
          <t>Allmännings- och besparingsskogar</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60374-2025</t>
        </is>
      </c>
      <c r="B2509" s="1" t="n">
        <v>45995.36177083333</v>
      </c>
      <c r="C2509" s="1" t="n">
        <v>45998</v>
      </c>
      <c r="D2509" t="inlineStr">
        <is>
          <t>VÄSTMANLANDS LÄN</t>
        </is>
      </c>
      <c r="E2509" t="inlineStr">
        <is>
          <t>FAGERSTA</t>
        </is>
      </c>
      <c r="F2509" t="inlineStr">
        <is>
          <t>Kommuner</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33238-2025</t>
        </is>
      </c>
      <c r="B2510" s="1" t="n">
        <v>45840.64806712963</v>
      </c>
      <c r="C2510" s="1" t="n">
        <v>45998</v>
      </c>
      <c r="D2510" t="inlineStr">
        <is>
          <t>VÄSTMANLANDS LÄN</t>
        </is>
      </c>
      <c r="E2510" t="inlineStr">
        <is>
          <t>FAGERSTA</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33232-2025</t>
        </is>
      </c>
      <c r="B2511" s="1" t="n">
        <v>45840</v>
      </c>
      <c r="C2511" s="1" t="n">
        <v>45998</v>
      </c>
      <c r="D2511" t="inlineStr">
        <is>
          <t>VÄSTMANLANDS LÄN</t>
        </is>
      </c>
      <c r="E2511" t="inlineStr">
        <is>
          <t>FAGERSTA</t>
        </is>
      </c>
      <c r="F2511" t="inlineStr">
        <is>
          <t>Sveaskog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32902-2025</t>
        </is>
      </c>
      <c r="B2512" s="1" t="n">
        <v>45839</v>
      </c>
      <c r="C2512" s="1" t="n">
        <v>45998</v>
      </c>
      <c r="D2512" t="inlineStr">
        <is>
          <t>VÄSTMANLANDS LÄN</t>
        </is>
      </c>
      <c r="E2512" t="inlineStr">
        <is>
          <t>SALA</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33035-2025</t>
        </is>
      </c>
      <c r="B2513" s="1" t="n">
        <v>45840</v>
      </c>
      <c r="C2513" s="1" t="n">
        <v>45998</v>
      </c>
      <c r="D2513" t="inlineStr">
        <is>
          <t>VÄSTMANLANDS LÄN</t>
        </is>
      </c>
      <c r="E2513" t="inlineStr">
        <is>
          <t>KUNGSÖR</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60344-2025</t>
        </is>
      </c>
      <c r="B2514" s="1" t="n">
        <v>45994.93306712963</v>
      </c>
      <c r="C2514" s="1" t="n">
        <v>45998</v>
      </c>
      <c r="D2514" t="inlineStr">
        <is>
          <t>VÄSTMANLANDS LÄN</t>
        </is>
      </c>
      <c r="E2514" t="inlineStr">
        <is>
          <t>NORBERG</t>
        </is>
      </c>
      <c r="F2514" t="inlineStr">
        <is>
          <t>Kommuner</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31580-2025</t>
        </is>
      </c>
      <c r="B2515" s="1" t="n">
        <v>45833</v>
      </c>
      <c r="C2515" s="1" t="n">
        <v>45998</v>
      </c>
      <c r="D2515" t="inlineStr">
        <is>
          <t>VÄSTMANLANDS LÄN</t>
        </is>
      </c>
      <c r="E2515" t="inlineStr">
        <is>
          <t>KÖPING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32834-2025</t>
        </is>
      </c>
      <c r="B2516" s="1" t="n">
        <v>45839.55408564815</v>
      </c>
      <c r="C2516" s="1" t="n">
        <v>45998</v>
      </c>
      <c r="D2516" t="inlineStr">
        <is>
          <t>VÄSTMANLANDS LÄN</t>
        </is>
      </c>
      <c r="E2516" t="inlineStr">
        <is>
          <t>VÄSTERÅS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32767-2025</t>
        </is>
      </c>
      <c r="B2517" s="1" t="n">
        <v>45839</v>
      </c>
      <c r="C2517" s="1" t="n">
        <v>45998</v>
      </c>
      <c r="D2517" t="inlineStr">
        <is>
          <t>VÄSTMANLANDS LÄN</t>
        </is>
      </c>
      <c r="E2517" t="inlineStr">
        <is>
          <t>NORBERG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16042-2024</t>
        </is>
      </c>
      <c r="B2518" s="1" t="n">
        <v>45405</v>
      </c>
      <c r="C2518" s="1" t="n">
        <v>45998</v>
      </c>
      <c r="D2518" t="inlineStr">
        <is>
          <t>VÄSTMANLANDS LÄN</t>
        </is>
      </c>
      <c r="E2518" t="inlineStr">
        <is>
          <t>NORBERG</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33022-2025</t>
        </is>
      </c>
      <c r="B2519" s="1" t="n">
        <v>45840</v>
      </c>
      <c r="C2519" s="1" t="n">
        <v>45998</v>
      </c>
      <c r="D2519" t="inlineStr">
        <is>
          <t>VÄSTMANLANDS LÄN</t>
        </is>
      </c>
      <c r="E2519" t="inlineStr">
        <is>
          <t>KUNGSÖR</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33034-2025</t>
        </is>
      </c>
      <c r="B2520" s="1" t="n">
        <v>45840</v>
      </c>
      <c r="C2520" s="1" t="n">
        <v>45998</v>
      </c>
      <c r="D2520" t="inlineStr">
        <is>
          <t>VÄSTMANLANDS LÄN</t>
        </is>
      </c>
      <c r="E2520" t="inlineStr">
        <is>
          <t>KUNGSÖR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9247-2024</t>
        </is>
      </c>
      <c r="B2521" s="1" t="n">
        <v>45358.58592592592</v>
      </c>
      <c r="C2521" s="1" t="n">
        <v>45998</v>
      </c>
      <c r="D2521" t="inlineStr">
        <is>
          <t>VÄSTMANLANDS LÄN</t>
        </is>
      </c>
      <c r="E2521" t="inlineStr">
        <is>
          <t>ARBOGA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33236-2025</t>
        </is>
      </c>
      <c r="B2522" s="1" t="n">
        <v>45840.64615740741</v>
      </c>
      <c r="C2522" s="1" t="n">
        <v>45998</v>
      </c>
      <c r="D2522" t="inlineStr">
        <is>
          <t>VÄSTMANLANDS LÄN</t>
        </is>
      </c>
      <c r="E2522" t="inlineStr">
        <is>
          <t>FAGERSTA</t>
        </is>
      </c>
      <c r="F2522" t="inlineStr">
        <is>
          <t>Sveaskog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32805-2025</t>
        </is>
      </c>
      <c r="B2523" s="1" t="n">
        <v>45839</v>
      </c>
      <c r="C2523" s="1" t="n">
        <v>45998</v>
      </c>
      <c r="D2523" t="inlineStr">
        <is>
          <t>VÄSTMANLANDS LÄN</t>
        </is>
      </c>
      <c r="E2523" t="inlineStr">
        <is>
          <t>FAGERSTA</t>
        </is>
      </c>
      <c r="F2523" t="inlineStr">
        <is>
          <t>Sveaskog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4508-2021</t>
        </is>
      </c>
      <c r="B2524" s="1" t="n">
        <v>44224</v>
      </c>
      <c r="C2524" s="1" t="n">
        <v>45998</v>
      </c>
      <c r="D2524" t="inlineStr">
        <is>
          <t>VÄSTMANLANDS LÄN</t>
        </is>
      </c>
      <c r="E2524" t="inlineStr">
        <is>
          <t>KÖPING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33491-2025</t>
        </is>
      </c>
      <c r="B2525" s="1" t="n">
        <v>45841</v>
      </c>
      <c r="C2525" s="1" t="n">
        <v>45998</v>
      </c>
      <c r="D2525" t="inlineStr">
        <is>
          <t>VÄSTMANLANDS LÄN</t>
        </is>
      </c>
      <c r="E2525" t="inlineStr">
        <is>
          <t>KÖPING</t>
        </is>
      </c>
      <c r="F2525" t="inlineStr">
        <is>
          <t>Sveaskog</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36393-2023</t>
        </is>
      </c>
      <c r="B2526" s="1" t="n">
        <v>45152</v>
      </c>
      <c r="C2526" s="1" t="n">
        <v>45998</v>
      </c>
      <c r="D2526" t="inlineStr">
        <is>
          <t>VÄSTMANLANDS LÄN</t>
        </is>
      </c>
      <c r="E2526" t="inlineStr">
        <is>
          <t>SALA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36409-2023</t>
        </is>
      </c>
      <c r="B2527" s="1" t="n">
        <v>45152.56538194444</v>
      </c>
      <c r="C2527" s="1" t="n">
        <v>45998</v>
      </c>
      <c r="D2527" t="inlineStr">
        <is>
          <t>VÄSTMANLANDS LÄN</t>
        </is>
      </c>
      <c r="E2527" t="inlineStr">
        <is>
          <t>KÖPING</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6943-2023</t>
        </is>
      </c>
      <c r="B2528" s="1" t="n">
        <v>44967</v>
      </c>
      <c r="C2528" s="1" t="n">
        <v>45998</v>
      </c>
      <c r="D2528" t="inlineStr">
        <is>
          <t>VÄSTMANLANDS LÄN</t>
        </is>
      </c>
      <c r="E2528" t="inlineStr">
        <is>
          <t>SKINNSKATTEBERG</t>
        </is>
      </c>
      <c r="F2528" t="inlineStr">
        <is>
          <t>Sveaskog</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55457-2022</t>
        </is>
      </c>
      <c r="B2529" s="1" t="n">
        <v>44887</v>
      </c>
      <c r="C2529" s="1" t="n">
        <v>45998</v>
      </c>
      <c r="D2529" t="inlineStr">
        <is>
          <t>VÄSTMANLANDS LÄN</t>
        </is>
      </c>
      <c r="E2529" t="inlineStr">
        <is>
          <t>ARBOGA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45790-2023</t>
        </is>
      </c>
      <c r="B2530" s="1" t="n">
        <v>45195.45958333334</v>
      </c>
      <c r="C2530" s="1" t="n">
        <v>45998</v>
      </c>
      <c r="D2530" t="inlineStr">
        <is>
          <t>VÄSTMANLANDS LÄN</t>
        </is>
      </c>
      <c r="E2530" t="inlineStr">
        <is>
          <t>SALA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1290-2023</t>
        </is>
      </c>
      <c r="B2531" s="1" t="n">
        <v>44936.47363425926</v>
      </c>
      <c r="C2531" s="1" t="n">
        <v>45998</v>
      </c>
      <c r="D2531" t="inlineStr">
        <is>
          <t>VÄSTMANLANDS LÄN</t>
        </is>
      </c>
      <c r="E2531" t="inlineStr">
        <is>
          <t>KÖPING</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56949-2023</t>
        </is>
      </c>
      <c r="B2532" s="1" t="n">
        <v>45244.61589120371</v>
      </c>
      <c r="C2532" s="1" t="n">
        <v>45998</v>
      </c>
      <c r="D2532" t="inlineStr">
        <is>
          <t>VÄSTMANLANDS LÄN</t>
        </is>
      </c>
      <c r="E2532" t="inlineStr">
        <is>
          <t>SALA</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13119-2022</t>
        </is>
      </c>
      <c r="B2533" s="1" t="n">
        <v>44643</v>
      </c>
      <c r="C2533" s="1" t="n">
        <v>45998</v>
      </c>
      <c r="D2533" t="inlineStr">
        <is>
          <t>VÄSTMANLANDS LÄN</t>
        </is>
      </c>
      <c r="E2533" t="inlineStr">
        <is>
          <t>SURAHAMMAR</t>
        </is>
      </c>
      <c r="F2533" t="inlineStr">
        <is>
          <t>Bergvik skog väst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33799-2025</t>
        </is>
      </c>
      <c r="B2534" s="1" t="n">
        <v>45842.44056712963</v>
      </c>
      <c r="C2534" s="1" t="n">
        <v>45998</v>
      </c>
      <c r="D2534" t="inlineStr">
        <is>
          <t>VÄSTMANLANDS LÄN</t>
        </is>
      </c>
      <c r="E2534" t="inlineStr">
        <is>
          <t>HALLSTAHAMMAR</t>
        </is>
      </c>
      <c r="F2534" t="inlineStr">
        <is>
          <t>Allmännings- och besparingsskogar</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33865-2025</t>
        </is>
      </c>
      <c r="B2535" s="1" t="n">
        <v>45842.533125</v>
      </c>
      <c r="C2535" s="1" t="n">
        <v>45998</v>
      </c>
      <c r="D2535" t="inlineStr">
        <is>
          <t>VÄSTMANLANDS LÄN</t>
        </is>
      </c>
      <c r="E2535" t="inlineStr">
        <is>
          <t>FAGERSTA</t>
        </is>
      </c>
      <c r="F2535" t="inlineStr">
        <is>
          <t>Sveaskog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33503-2025</t>
        </is>
      </c>
      <c r="B2536" s="1" t="n">
        <v>45841</v>
      </c>
      <c r="C2536" s="1" t="n">
        <v>45998</v>
      </c>
      <c r="D2536" t="inlineStr">
        <is>
          <t>VÄSTMANLANDS LÄN</t>
        </is>
      </c>
      <c r="E2536" t="inlineStr">
        <is>
          <t>KÖPING</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33508-2025</t>
        </is>
      </c>
      <c r="B2537" s="1" t="n">
        <v>45841</v>
      </c>
      <c r="C2537" s="1" t="n">
        <v>45998</v>
      </c>
      <c r="D2537" t="inlineStr">
        <is>
          <t>VÄSTMANLANDS LÄN</t>
        </is>
      </c>
      <c r="E2537" t="inlineStr">
        <is>
          <t>KÖPING</t>
        </is>
      </c>
      <c r="F2537" t="inlineStr">
        <is>
          <t>Sveaskog</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19782-2023</t>
        </is>
      </c>
      <c r="B2538" s="1" t="n">
        <v>45050</v>
      </c>
      <c r="C2538" s="1" t="n">
        <v>45998</v>
      </c>
      <c r="D2538" t="inlineStr">
        <is>
          <t>VÄSTMANLANDS LÄN</t>
        </is>
      </c>
      <c r="E2538" t="inlineStr">
        <is>
          <t>SURAHAMMAR</t>
        </is>
      </c>
      <c r="F2538" t="inlineStr">
        <is>
          <t>Bergvik skog väst AB</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8264-2023</t>
        </is>
      </c>
      <c r="B2539" s="1" t="n">
        <v>44974.62284722222</v>
      </c>
      <c r="C2539" s="1" t="n">
        <v>45998</v>
      </c>
      <c r="D2539" t="inlineStr">
        <is>
          <t>VÄSTMANLANDS LÄN</t>
        </is>
      </c>
      <c r="E2539" t="inlineStr">
        <is>
          <t>FAGERSTA</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33499-2025</t>
        </is>
      </c>
      <c r="B2540" s="1" t="n">
        <v>45841</v>
      </c>
      <c r="C2540" s="1" t="n">
        <v>45998</v>
      </c>
      <c r="D2540" t="inlineStr">
        <is>
          <t>VÄSTMANLANDS LÄN</t>
        </is>
      </c>
      <c r="E2540" t="inlineStr">
        <is>
          <t>KÖPING</t>
        </is>
      </c>
      <c r="F2540" t="inlineStr">
        <is>
          <t>Sveaskog</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37200-2023</t>
        </is>
      </c>
      <c r="B2541" s="1" t="n">
        <v>45155.67111111111</v>
      </c>
      <c r="C2541" s="1" t="n">
        <v>45998</v>
      </c>
      <c r="D2541" t="inlineStr">
        <is>
          <t>VÄSTMANLANDS LÄN</t>
        </is>
      </c>
      <c r="E2541" t="inlineStr">
        <is>
          <t>NORBERG</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58987-2023</t>
        </is>
      </c>
      <c r="B2542" s="1" t="n">
        <v>45252.6237962963</v>
      </c>
      <c r="C2542" s="1" t="n">
        <v>45998</v>
      </c>
      <c r="D2542" t="inlineStr">
        <is>
          <t>VÄSTMANLANDS LÄN</t>
        </is>
      </c>
      <c r="E2542" t="inlineStr">
        <is>
          <t>SKINNSKATTEBERG</t>
        </is>
      </c>
      <c r="F2542" t="inlineStr">
        <is>
          <t>Sveaskog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47141-2024</t>
        </is>
      </c>
      <c r="B2543" s="1" t="n">
        <v>45586.58811342593</v>
      </c>
      <c r="C2543" s="1" t="n">
        <v>45998</v>
      </c>
      <c r="D2543" t="inlineStr">
        <is>
          <t>VÄSTMANLANDS LÄN</t>
        </is>
      </c>
      <c r="E2543" t="inlineStr">
        <is>
          <t>SKINNSKATTEBERG</t>
        </is>
      </c>
      <c r="F2543" t="inlineStr">
        <is>
          <t>Sveaskog</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40214-2023</t>
        </is>
      </c>
      <c r="B2544" s="1" t="n">
        <v>45169.45173611111</v>
      </c>
      <c r="C2544" s="1" t="n">
        <v>45998</v>
      </c>
      <c r="D2544" t="inlineStr">
        <is>
          <t>VÄSTMANLANDS LÄN</t>
        </is>
      </c>
      <c r="E2544" t="inlineStr">
        <is>
          <t>SALA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33505-2025</t>
        </is>
      </c>
      <c r="B2545" s="1" t="n">
        <v>45841</v>
      </c>
      <c r="C2545" s="1" t="n">
        <v>45998</v>
      </c>
      <c r="D2545" t="inlineStr">
        <is>
          <t>VÄSTMANLANDS LÄN</t>
        </is>
      </c>
      <c r="E2545" t="inlineStr">
        <is>
          <t>KÖPING</t>
        </is>
      </c>
      <c r="F2545" t="inlineStr">
        <is>
          <t>Sveaskog</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34069-2025</t>
        </is>
      </c>
      <c r="B2546" s="1" t="n">
        <v>45845.43560185185</v>
      </c>
      <c r="C2546" s="1" t="n">
        <v>45998</v>
      </c>
      <c r="D2546" t="inlineStr">
        <is>
          <t>VÄSTMANLANDS LÄN</t>
        </is>
      </c>
      <c r="E2546" t="inlineStr">
        <is>
          <t>SALA</t>
        </is>
      </c>
      <c r="G2546" t="n">
        <v>0.5</v>
      </c>
      <c r="H2546" t="n">
        <v>0</v>
      </c>
      <c r="I2546" t="n">
        <v>0</v>
      </c>
      <c r="J2546" t="n">
        <v>0</v>
      </c>
      <c r="K2546" t="n">
        <v>0</v>
      </c>
      <c r="L2546" t="n">
        <v>0</v>
      </c>
      <c r="M2546" t="n">
        <v>0</v>
      </c>
      <c r="N2546" t="n">
        <v>0</v>
      </c>
      <c r="O2546" t="n">
        <v>0</v>
      </c>
      <c r="P2546" t="n">
        <v>0</v>
      </c>
      <c r="Q2546" t="n">
        <v>0</v>
      </c>
      <c r="R2546" s="2" t="inlineStr"/>
      <c r="U2546">
        <f>HYPERLINK("https://klasma.github.io/Logging_1981/knärot/A 34069-2025 karta knärot.png", "A 34069-2025")</f>
        <v/>
      </c>
      <c r="V2546">
        <f>HYPERLINK("https://klasma.github.io/Logging_1981/klagomål/A 34069-2025 FSC-klagomål.docx", "A 34069-2025")</f>
        <v/>
      </c>
      <c r="W2546">
        <f>HYPERLINK("https://klasma.github.io/Logging_1981/klagomålsmail/A 34069-2025 FSC-klagomål mail.docx", "A 34069-2025")</f>
        <v/>
      </c>
      <c r="X2546">
        <f>HYPERLINK("https://klasma.github.io/Logging_1981/tillsyn/A 34069-2025 tillsynsbegäran.docx", "A 34069-2025")</f>
        <v/>
      </c>
      <c r="Y2546">
        <f>HYPERLINK("https://klasma.github.io/Logging_1981/tillsynsmail/A 34069-2025 tillsynsbegäran mail.docx", "A 34069-2025")</f>
        <v/>
      </c>
    </row>
    <row r="2547" ht="15" customHeight="1">
      <c r="A2547" t="inlineStr">
        <is>
          <t>A 46870-2024</t>
        </is>
      </c>
      <c r="B2547" s="1" t="n">
        <v>45583.63666666667</v>
      </c>
      <c r="C2547" s="1" t="n">
        <v>45998</v>
      </c>
      <c r="D2547" t="inlineStr">
        <is>
          <t>VÄSTMANLANDS LÄN</t>
        </is>
      </c>
      <c r="E2547" t="inlineStr">
        <is>
          <t>SKINNSKATTEBERG</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34584-2025</t>
        </is>
      </c>
      <c r="B2548" s="1" t="n">
        <v>45846</v>
      </c>
      <c r="C2548" s="1" t="n">
        <v>45998</v>
      </c>
      <c r="D2548" t="inlineStr">
        <is>
          <t>VÄSTMANLANDS LÄN</t>
        </is>
      </c>
      <c r="E2548" t="inlineStr">
        <is>
          <t>SURAHAMMAR</t>
        </is>
      </c>
      <c r="F2548" t="inlineStr">
        <is>
          <t>Bergvik skog väst AB</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35016-2024</t>
        </is>
      </c>
      <c r="B2549" s="1" t="n">
        <v>45527.59115740741</v>
      </c>
      <c r="C2549" s="1" t="n">
        <v>45998</v>
      </c>
      <c r="D2549" t="inlineStr">
        <is>
          <t>VÄSTMANLANDS LÄN</t>
        </is>
      </c>
      <c r="E2549" t="inlineStr">
        <is>
          <t>SALA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15735-2024</t>
        </is>
      </c>
      <c r="B2550" s="1" t="n">
        <v>45404</v>
      </c>
      <c r="C2550" s="1" t="n">
        <v>45998</v>
      </c>
      <c r="D2550" t="inlineStr">
        <is>
          <t>VÄSTMANLANDS LÄN</t>
        </is>
      </c>
      <c r="E2550" t="inlineStr">
        <is>
          <t>KÖPING</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37612-2024</t>
        </is>
      </c>
      <c r="B2551" s="1" t="n">
        <v>45541</v>
      </c>
      <c r="C2551" s="1" t="n">
        <v>45998</v>
      </c>
      <c r="D2551" t="inlineStr">
        <is>
          <t>VÄSTMANLANDS LÄN</t>
        </is>
      </c>
      <c r="E2551" t="inlineStr">
        <is>
          <t>SALA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37615-2024</t>
        </is>
      </c>
      <c r="B2552" s="1" t="n">
        <v>45541.50673611111</v>
      </c>
      <c r="C2552" s="1" t="n">
        <v>45998</v>
      </c>
      <c r="D2552" t="inlineStr">
        <is>
          <t>VÄSTMANLANDS LÄN</t>
        </is>
      </c>
      <c r="E2552" t="inlineStr">
        <is>
          <t>SALA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5728-2022</t>
        </is>
      </c>
      <c r="B2553" s="1" t="n">
        <v>44596.42082175926</v>
      </c>
      <c r="C2553" s="1" t="n">
        <v>45998</v>
      </c>
      <c r="D2553" t="inlineStr">
        <is>
          <t>VÄSTMANLANDS LÄN</t>
        </is>
      </c>
      <c r="E2553" t="inlineStr">
        <is>
          <t>SALA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54864-2021</t>
        </is>
      </c>
      <c r="B2554" s="1" t="n">
        <v>44473</v>
      </c>
      <c r="C2554" s="1" t="n">
        <v>45998</v>
      </c>
      <c r="D2554" t="inlineStr">
        <is>
          <t>VÄSTMANLANDS LÄN</t>
        </is>
      </c>
      <c r="E2554" t="inlineStr">
        <is>
          <t>NORBERG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34374-2025</t>
        </is>
      </c>
      <c r="B2555" s="1" t="n">
        <v>45846</v>
      </c>
      <c r="C2555" s="1" t="n">
        <v>45998</v>
      </c>
      <c r="D2555" t="inlineStr">
        <is>
          <t>VÄSTMANLANDS LÄN</t>
        </is>
      </c>
      <c r="E2555" t="inlineStr">
        <is>
          <t>FAGERSTA</t>
        </is>
      </c>
      <c r="F2555" t="inlineStr">
        <is>
          <t>Sveaskog</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7744-2023</t>
        </is>
      </c>
      <c r="B2556" s="1" t="n">
        <v>44973</v>
      </c>
      <c r="C2556" s="1" t="n">
        <v>45998</v>
      </c>
      <c r="D2556" t="inlineStr">
        <is>
          <t>VÄSTMANLANDS LÄN</t>
        </is>
      </c>
      <c r="E2556" t="inlineStr">
        <is>
          <t>NORBERG</t>
        </is>
      </c>
      <c r="F2556" t="inlineStr">
        <is>
          <t>Övriga Aktiebolag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14626-2023</t>
        </is>
      </c>
      <c r="B2557" s="1" t="n">
        <v>45012</v>
      </c>
      <c r="C2557" s="1" t="n">
        <v>45998</v>
      </c>
      <c r="D2557" t="inlineStr">
        <is>
          <t>VÄSTMANLANDS LÄN</t>
        </is>
      </c>
      <c r="E2557" t="inlineStr">
        <is>
          <t>SURAHAMMAR</t>
        </is>
      </c>
      <c r="F2557" t="inlineStr">
        <is>
          <t>Bergvik skog väst AB</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7681-2021</t>
        </is>
      </c>
      <c r="B2558" s="1" t="n">
        <v>44242</v>
      </c>
      <c r="C2558" s="1" t="n">
        <v>45998</v>
      </c>
      <c r="D2558" t="inlineStr">
        <is>
          <t>VÄSTMANLANDS LÄN</t>
        </is>
      </c>
      <c r="E2558" t="inlineStr">
        <is>
          <t>SALA</t>
        </is>
      </c>
      <c r="F2558" t="inlineStr">
        <is>
          <t>Sveaskog</t>
        </is>
      </c>
      <c r="G2558" t="n">
        <v>16.1</v>
      </c>
      <c r="H2558" t="n">
        <v>0</v>
      </c>
      <c r="I2558" t="n">
        <v>0</v>
      </c>
      <c r="J2558" t="n">
        <v>0</v>
      </c>
      <c r="K2558" t="n">
        <v>0</v>
      </c>
      <c r="L2558" t="n">
        <v>0</v>
      </c>
      <c r="M2558" t="n">
        <v>0</v>
      </c>
      <c r="N2558" t="n">
        <v>0</v>
      </c>
      <c r="O2558" t="n">
        <v>0</v>
      </c>
      <c r="P2558" t="n">
        <v>0</v>
      </c>
      <c r="Q2558" t="n">
        <v>0</v>
      </c>
      <c r="R2558" s="2" t="inlineStr"/>
    </row>
    <row r="2559" ht="15" customHeight="1">
      <c r="A2559" t="inlineStr">
        <is>
          <t>A 8218-2023</t>
        </is>
      </c>
      <c r="B2559" s="1" t="n">
        <v>44974.56199074074</v>
      </c>
      <c r="C2559" s="1" t="n">
        <v>45998</v>
      </c>
      <c r="D2559" t="inlineStr">
        <is>
          <t>VÄSTMANLANDS LÄN</t>
        </is>
      </c>
      <c r="E2559" t="inlineStr">
        <is>
          <t>SKINNSKATTEBERG</t>
        </is>
      </c>
      <c r="F2559" t="inlineStr">
        <is>
          <t>Kyrkan</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42659-2021</t>
        </is>
      </c>
      <c r="B2560" s="1" t="n">
        <v>44428</v>
      </c>
      <c r="C2560" s="1" t="n">
        <v>45998</v>
      </c>
      <c r="D2560" t="inlineStr">
        <is>
          <t>VÄSTMANLANDS LÄN</t>
        </is>
      </c>
      <c r="E2560" t="inlineStr">
        <is>
          <t>VÄSTERÅS</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17808-2023</t>
        </is>
      </c>
      <c r="B2561" s="1" t="n">
        <v>45037</v>
      </c>
      <c r="C2561" s="1" t="n">
        <v>45998</v>
      </c>
      <c r="D2561" t="inlineStr">
        <is>
          <t>VÄSTMANLANDS LÄN</t>
        </is>
      </c>
      <c r="E2561" t="inlineStr">
        <is>
          <t>VÄSTERÅS</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16544-2025</t>
        </is>
      </c>
      <c r="B2562" s="1" t="n">
        <v>45751.67940972222</v>
      </c>
      <c r="C2562" s="1" t="n">
        <v>45998</v>
      </c>
      <c r="D2562" t="inlineStr">
        <is>
          <t>VÄSTMANLANDS LÄN</t>
        </is>
      </c>
      <c r="E2562" t="inlineStr">
        <is>
          <t>FAGERSTA</t>
        </is>
      </c>
      <c r="F2562" t="inlineStr">
        <is>
          <t>Sveaskog</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16565-2025</t>
        </is>
      </c>
      <c r="B2563" s="1" t="n">
        <v>45752.38246527778</v>
      </c>
      <c r="C2563" s="1" t="n">
        <v>45998</v>
      </c>
      <c r="D2563" t="inlineStr">
        <is>
          <t>VÄSTMANLANDS LÄN</t>
        </is>
      </c>
      <c r="E2563" t="inlineStr">
        <is>
          <t>NORBERG</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3909-2021</t>
        </is>
      </c>
      <c r="B2564" s="1" t="n">
        <v>44217</v>
      </c>
      <c r="C2564" s="1" t="n">
        <v>45998</v>
      </c>
      <c r="D2564" t="inlineStr">
        <is>
          <t>VÄSTMANLANDS LÄN</t>
        </is>
      </c>
      <c r="E2564" t="inlineStr">
        <is>
          <t>VÄSTERÅS</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19751-2022</t>
        </is>
      </c>
      <c r="B2565" s="1" t="n">
        <v>44694</v>
      </c>
      <c r="C2565" s="1" t="n">
        <v>45998</v>
      </c>
      <c r="D2565" t="inlineStr">
        <is>
          <t>VÄSTMANLANDS LÄN</t>
        </is>
      </c>
      <c r="E2565" t="inlineStr">
        <is>
          <t>SALA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32851-2024</t>
        </is>
      </c>
      <c r="B2566" s="1" t="n">
        <v>45516.63484953704</v>
      </c>
      <c r="C2566" s="1" t="n">
        <v>45998</v>
      </c>
      <c r="D2566" t="inlineStr">
        <is>
          <t>VÄSTMANLANDS LÄN</t>
        </is>
      </c>
      <c r="E2566" t="inlineStr">
        <is>
          <t>VÄSTERÅS</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55720-2022</t>
        </is>
      </c>
      <c r="B2567" s="1" t="n">
        <v>44888.57140046296</v>
      </c>
      <c r="C2567" s="1" t="n">
        <v>45998</v>
      </c>
      <c r="D2567" t="inlineStr">
        <is>
          <t>VÄSTMANLANDS LÄN</t>
        </is>
      </c>
      <c r="E2567" t="inlineStr">
        <is>
          <t>KÖPING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9490-2024</t>
        </is>
      </c>
      <c r="B2568" s="1" t="n">
        <v>45359.58559027778</v>
      </c>
      <c r="C2568" s="1" t="n">
        <v>45998</v>
      </c>
      <c r="D2568" t="inlineStr">
        <is>
          <t>VÄSTMANLANDS LÄN</t>
        </is>
      </c>
      <c r="E2568" t="inlineStr">
        <is>
          <t>SKINNSKATTEBERG</t>
        </is>
      </c>
      <c r="F2568" t="inlineStr">
        <is>
          <t>Sveaskog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68824-2020</t>
        </is>
      </c>
      <c r="B2569" s="1" t="n">
        <v>44186</v>
      </c>
      <c r="C2569" s="1" t="n">
        <v>45998</v>
      </c>
      <c r="D2569" t="inlineStr">
        <is>
          <t>VÄSTMANLANDS LÄN</t>
        </is>
      </c>
      <c r="E2569" t="inlineStr">
        <is>
          <t>SKINNSKATTEBERG</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22482-2023</t>
        </is>
      </c>
      <c r="B2570" s="1" t="n">
        <v>45071</v>
      </c>
      <c r="C2570" s="1" t="n">
        <v>45998</v>
      </c>
      <c r="D2570" t="inlineStr">
        <is>
          <t>VÄSTMANLANDS LÄN</t>
        </is>
      </c>
      <c r="E2570" t="inlineStr">
        <is>
          <t>FAGERSTA</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22485-2023</t>
        </is>
      </c>
      <c r="B2571" s="1" t="n">
        <v>45071</v>
      </c>
      <c r="C2571" s="1" t="n">
        <v>45998</v>
      </c>
      <c r="D2571" t="inlineStr">
        <is>
          <t>VÄSTMANLANDS LÄN</t>
        </is>
      </c>
      <c r="E2571" t="inlineStr">
        <is>
          <t>FAGERSTA</t>
        </is>
      </c>
      <c r="F2571" t="inlineStr">
        <is>
          <t>Sveaskog</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15744-2025</t>
        </is>
      </c>
      <c r="B2572" s="1" t="n">
        <v>45748</v>
      </c>
      <c r="C2572" s="1" t="n">
        <v>45998</v>
      </c>
      <c r="D2572" t="inlineStr">
        <is>
          <t>VÄSTMANLANDS LÄN</t>
        </is>
      </c>
      <c r="E2572" t="inlineStr">
        <is>
          <t>SALA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34720-2025</t>
        </is>
      </c>
      <c r="B2573" s="1" t="n">
        <v>45848.53237268519</v>
      </c>
      <c r="C2573" s="1" t="n">
        <v>45998</v>
      </c>
      <c r="D2573" t="inlineStr">
        <is>
          <t>VÄSTMANLANDS LÄN</t>
        </is>
      </c>
      <c r="E2573" t="inlineStr">
        <is>
          <t>SKINNSKATTEBERG</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28425-2025</t>
        </is>
      </c>
      <c r="B2574" s="1" t="n">
        <v>45819.37296296296</v>
      </c>
      <c r="C2574" s="1" t="n">
        <v>45998</v>
      </c>
      <c r="D2574" t="inlineStr">
        <is>
          <t>VÄSTMANLANDS LÄN</t>
        </is>
      </c>
      <c r="E2574" t="inlineStr">
        <is>
          <t>FAGERSTA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46683-2024</t>
        </is>
      </c>
      <c r="B2575" s="1" t="n">
        <v>45583</v>
      </c>
      <c r="C2575" s="1" t="n">
        <v>45998</v>
      </c>
      <c r="D2575" t="inlineStr">
        <is>
          <t>VÄSTMANLANDS LÄN</t>
        </is>
      </c>
      <c r="E2575" t="inlineStr">
        <is>
          <t>NORBERG</t>
        </is>
      </c>
      <c r="F2575" t="inlineStr">
        <is>
          <t>Sveaskog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21157-2025</t>
        </is>
      </c>
      <c r="B2576" s="1" t="n">
        <v>45779</v>
      </c>
      <c r="C2576" s="1" t="n">
        <v>45998</v>
      </c>
      <c r="D2576" t="inlineStr">
        <is>
          <t>VÄSTMANLANDS LÄN</t>
        </is>
      </c>
      <c r="E2576" t="inlineStr">
        <is>
          <t>KÖPING</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40174-2024</t>
        </is>
      </c>
      <c r="B2577" s="1" t="n">
        <v>45554.55488425926</v>
      </c>
      <c r="C2577" s="1" t="n">
        <v>45998</v>
      </c>
      <c r="D2577" t="inlineStr">
        <is>
          <t>VÄSTMANLANDS LÄN</t>
        </is>
      </c>
      <c r="E2577" t="inlineStr">
        <is>
          <t>SKINNSKATTEBERG</t>
        </is>
      </c>
      <c r="F2577" t="inlineStr">
        <is>
          <t>Sveaskog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53833-2022</t>
        </is>
      </c>
      <c r="B2578" s="1" t="n">
        <v>44880</v>
      </c>
      <c r="C2578" s="1" t="n">
        <v>45998</v>
      </c>
      <c r="D2578" t="inlineStr">
        <is>
          <t>VÄSTMANLANDS LÄN</t>
        </is>
      </c>
      <c r="E2578" t="inlineStr">
        <is>
          <t>VÄSTERÅS</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53836-2022</t>
        </is>
      </c>
      <c r="B2579" s="1" t="n">
        <v>44880</v>
      </c>
      <c r="C2579" s="1" t="n">
        <v>45998</v>
      </c>
      <c r="D2579" t="inlineStr">
        <is>
          <t>VÄSTMANLANDS LÄN</t>
        </is>
      </c>
      <c r="E2579" t="inlineStr">
        <is>
          <t>VÄSTERÅS</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3683-2023</t>
        </is>
      </c>
      <c r="B2580" s="1" t="n">
        <v>44950</v>
      </c>
      <c r="C2580" s="1" t="n">
        <v>45998</v>
      </c>
      <c r="D2580" t="inlineStr">
        <is>
          <t>VÄSTMANLANDS LÄN</t>
        </is>
      </c>
      <c r="E2580" t="inlineStr">
        <is>
          <t>KUNGSÖR</t>
        </is>
      </c>
      <c r="F2580" t="inlineStr">
        <is>
          <t>Allmännings- och besparingsskogar</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12612-2023</t>
        </is>
      </c>
      <c r="B2581" s="1" t="n">
        <v>44999</v>
      </c>
      <c r="C2581" s="1" t="n">
        <v>45998</v>
      </c>
      <c r="D2581" t="inlineStr">
        <is>
          <t>VÄSTMANLANDS LÄN</t>
        </is>
      </c>
      <c r="E2581" t="inlineStr">
        <is>
          <t>VÄSTERÅS</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31361-2025</t>
        </is>
      </c>
      <c r="B2582" s="1" t="n">
        <v>45833.43606481481</v>
      </c>
      <c r="C2582" s="1" t="n">
        <v>45998</v>
      </c>
      <c r="D2582" t="inlineStr">
        <is>
          <t>VÄSTMANLANDS LÄN</t>
        </is>
      </c>
      <c r="E2582" t="inlineStr">
        <is>
          <t>VÄSTERÅS</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53996-2021</t>
        </is>
      </c>
      <c r="B2583" s="1" t="n">
        <v>44470</v>
      </c>
      <c r="C2583" s="1" t="n">
        <v>45998</v>
      </c>
      <c r="D2583" t="inlineStr">
        <is>
          <t>VÄSTMANLANDS LÄN</t>
        </is>
      </c>
      <c r="E2583" t="inlineStr">
        <is>
          <t>KÖPING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8553-2023</t>
        </is>
      </c>
      <c r="B2584" s="1" t="n">
        <v>44977</v>
      </c>
      <c r="C2584" s="1" t="n">
        <v>45998</v>
      </c>
      <c r="D2584" t="inlineStr">
        <is>
          <t>VÄSTMANLANDS LÄN</t>
        </is>
      </c>
      <c r="E2584" t="inlineStr">
        <is>
          <t>SURAHAMMAR</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8541-2023</t>
        </is>
      </c>
      <c r="B2585" s="1" t="n">
        <v>44977.60398148148</v>
      </c>
      <c r="C2585" s="1" t="n">
        <v>45998</v>
      </c>
      <c r="D2585" t="inlineStr">
        <is>
          <t>VÄSTMANLANDS LÄN</t>
        </is>
      </c>
      <c r="E2585" t="inlineStr">
        <is>
          <t>VÄSTERÅS</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11-2021</t>
        </is>
      </c>
      <c r="B2586" s="1" t="n">
        <v>44197</v>
      </c>
      <c r="C2586" s="1" t="n">
        <v>45998</v>
      </c>
      <c r="D2586" t="inlineStr">
        <is>
          <t>VÄSTMANLANDS LÄN</t>
        </is>
      </c>
      <c r="E2586" t="inlineStr">
        <is>
          <t>ARBOGA</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55835-2021</t>
        </is>
      </c>
      <c r="B2587" s="1" t="n">
        <v>44476.62849537037</v>
      </c>
      <c r="C2587" s="1" t="n">
        <v>45998</v>
      </c>
      <c r="D2587" t="inlineStr">
        <is>
          <t>VÄSTMANLANDS LÄN</t>
        </is>
      </c>
      <c r="E2587" t="inlineStr">
        <is>
          <t>KÖPING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35204-2025</t>
        </is>
      </c>
      <c r="B2588" s="1" t="n">
        <v>45853.41648148148</v>
      </c>
      <c r="C2588" s="1" t="n">
        <v>45998</v>
      </c>
      <c r="D2588" t="inlineStr">
        <is>
          <t>VÄSTMANLANDS LÄN</t>
        </is>
      </c>
      <c r="E2588" t="inlineStr">
        <is>
          <t>SKINNSKATTEBERG</t>
        </is>
      </c>
      <c r="F2588" t="inlineStr">
        <is>
          <t>Sveaskog</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9152-2021</t>
        </is>
      </c>
      <c r="B2589" s="1" t="n">
        <v>44249</v>
      </c>
      <c r="C2589" s="1" t="n">
        <v>45998</v>
      </c>
      <c r="D2589" t="inlineStr">
        <is>
          <t>VÄSTMANLANDS LÄN</t>
        </is>
      </c>
      <c r="E2589" t="inlineStr">
        <is>
          <t>VÄSTERÅS</t>
        </is>
      </c>
      <c r="F2589" t="inlineStr">
        <is>
          <t>Kyrkan</t>
        </is>
      </c>
      <c r="G2589" t="n">
        <v>14.8</v>
      </c>
      <c r="H2589" t="n">
        <v>0</v>
      </c>
      <c r="I2589" t="n">
        <v>0</v>
      </c>
      <c r="J2589" t="n">
        <v>0</v>
      </c>
      <c r="K2589" t="n">
        <v>0</v>
      </c>
      <c r="L2589" t="n">
        <v>0</v>
      </c>
      <c r="M2589" t="n">
        <v>0</v>
      </c>
      <c r="N2589" t="n">
        <v>0</v>
      </c>
      <c r="O2589" t="n">
        <v>0</v>
      </c>
      <c r="P2589" t="n">
        <v>0</v>
      </c>
      <c r="Q2589" t="n">
        <v>0</v>
      </c>
      <c r="R2589" s="2" t="inlineStr"/>
    </row>
    <row r="2590" ht="15" customHeight="1">
      <c r="A2590" t="inlineStr">
        <is>
          <t>A 32910-2025</t>
        </is>
      </c>
      <c r="B2590" s="1" t="n">
        <v>45839</v>
      </c>
      <c r="C2590" s="1" t="n">
        <v>45998</v>
      </c>
      <c r="D2590" t="inlineStr">
        <is>
          <t>VÄSTMANLANDS LÄN</t>
        </is>
      </c>
      <c r="E2590" t="inlineStr">
        <is>
          <t>SURAHAMMAR</t>
        </is>
      </c>
      <c r="F2590" t="inlineStr">
        <is>
          <t>Kommuner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6312-2025</t>
        </is>
      </c>
      <c r="B2591" s="1" t="n">
        <v>45698</v>
      </c>
      <c r="C2591" s="1" t="n">
        <v>45998</v>
      </c>
      <c r="D2591" t="inlineStr">
        <is>
          <t>VÄSTMANLANDS LÄN</t>
        </is>
      </c>
      <c r="E2591" t="inlineStr">
        <is>
          <t>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22978-2022</t>
        </is>
      </c>
      <c r="B2592" s="1" t="n">
        <v>44717.72328703704</v>
      </c>
      <c r="C2592" s="1" t="n">
        <v>45998</v>
      </c>
      <c r="D2592" t="inlineStr">
        <is>
          <t>VÄSTMANLANDS LÄN</t>
        </is>
      </c>
      <c r="E2592" t="inlineStr">
        <is>
          <t>VÄSTERÅS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54296-2023</t>
        </is>
      </c>
      <c r="B2593" s="1" t="n">
        <v>45232</v>
      </c>
      <c r="C2593" s="1" t="n">
        <v>45998</v>
      </c>
      <c r="D2593" t="inlineStr">
        <is>
          <t>VÄSTMANLANDS LÄN</t>
        </is>
      </c>
      <c r="E2593" t="inlineStr">
        <is>
          <t>SKINNSKATTEBERG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35205-2025</t>
        </is>
      </c>
      <c r="B2594" s="1" t="n">
        <v>45853</v>
      </c>
      <c r="C2594" s="1" t="n">
        <v>45998</v>
      </c>
      <c r="D2594" t="inlineStr">
        <is>
          <t>VÄSTMANLANDS LÄN</t>
        </is>
      </c>
      <c r="E2594" t="inlineStr">
        <is>
          <t>SKINNSKATTEBERG</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37342-2023</t>
        </is>
      </c>
      <c r="B2595" s="1" t="n">
        <v>45156.45701388889</v>
      </c>
      <c r="C2595" s="1" t="n">
        <v>45998</v>
      </c>
      <c r="D2595" t="inlineStr">
        <is>
          <t>VÄSTMANLANDS LÄN</t>
        </is>
      </c>
      <c r="E2595" t="inlineStr">
        <is>
          <t>SKINNSKATTEBERG</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35201-2025</t>
        </is>
      </c>
      <c r="B2596" s="1" t="n">
        <v>45853.39233796296</v>
      </c>
      <c r="C2596" s="1" t="n">
        <v>45998</v>
      </c>
      <c r="D2596" t="inlineStr">
        <is>
          <t>VÄSTMANLANDS LÄN</t>
        </is>
      </c>
      <c r="E2596" t="inlineStr">
        <is>
          <t>ARBOGA</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23791-2022</t>
        </is>
      </c>
      <c r="B2597" s="1" t="n">
        <v>44722</v>
      </c>
      <c r="C2597" s="1" t="n">
        <v>45998</v>
      </c>
      <c r="D2597" t="inlineStr">
        <is>
          <t>VÄSTMANLANDS LÄN</t>
        </is>
      </c>
      <c r="E2597" t="inlineStr">
        <is>
          <t>KÖPING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55035-2023</t>
        </is>
      </c>
      <c r="B2598" s="1" t="n">
        <v>45229</v>
      </c>
      <c r="C2598" s="1" t="n">
        <v>45998</v>
      </c>
      <c r="D2598" t="inlineStr">
        <is>
          <t>VÄSTMANLANDS LÄN</t>
        </is>
      </c>
      <c r="E2598" t="inlineStr">
        <is>
          <t>SALA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14800-2024</t>
        </is>
      </c>
      <c r="B2599" s="1" t="n">
        <v>45397</v>
      </c>
      <c r="C2599" s="1" t="n">
        <v>45998</v>
      </c>
      <c r="D2599" t="inlineStr">
        <is>
          <t>VÄSTMANLANDS LÄN</t>
        </is>
      </c>
      <c r="E2599" t="inlineStr">
        <is>
          <t>VÄSTERÅS</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32916-2025</t>
        </is>
      </c>
      <c r="B2600" s="1" t="n">
        <v>45839</v>
      </c>
      <c r="C2600" s="1" t="n">
        <v>45998</v>
      </c>
      <c r="D2600" t="inlineStr">
        <is>
          <t>VÄSTMANLANDS LÄN</t>
        </is>
      </c>
      <c r="E2600" t="inlineStr">
        <is>
          <t>SURAHAMMAR</t>
        </is>
      </c>
      <c r="F2600" t="inlineStr">
        <is>
          <t>Kommuner</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14159-2025</t>
        </is>
      </c>
      <c r="B2601" s="1" t="n">
        <v>45740.50429398148</v>
      </c>
      <c r="C2601" s="1" t="n">
        <v>45998</v>
      </c>
      <c r="D2601" t="inlineStr">
        <is>
          <t>VÄSTMANLANDS LÄN</t>
        </is>
      </c>
      <c r="E2601" t="inlineStr">
        <is>
          <t>NORBERG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50007-2021</t>
        </is>
      </c>
      <c r="B2602" s="1" t="n">
        <v>44456</v>
      </c>
      <c r="C2602" s="1" t="n">
        <v>45998</v>
      </c>
      <c r="D2602" t="inlineStr">
        <is>
          <t>VÄSTMANLANDS LÄN</t>
        </is>
      </c>
      <c r="E2602" t="inlineStr">
        <is>
          <t>ARBOGA</t>
        </is>
      </c>
      <c r="F2602" t="inlineStr">
        <is>
          <t>Allmännings- och besparingsskogar</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4736-2021</t>
        </is>
      </c>
      <c r="B2603" s="1" t="n">
        <v>44225</v>
      </c>
      <c r="C2603" s="1" t="n">
        <v>45998</v>
      </c>
      <c r="D2603" t="inlineStr">
        <is>
          <t>VÄSTMANLANDS LÄN</t>
        </is>
      </c>
      <c r="E2603" t="inlineStr">
        <is>
          <t>SALA</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31578-2025</t>
        </is>
      </c>
      <c r="B2604" s="1" t="n">
        <v>45833</v>
      </c>
      <c r="C2604" s="1" t="n">
        <v>45998</v>
      </c>
      <c r="D2604" t="inlineStr">
        <is>
          <t>VÄSTMANLANDS LÄN</t>
        </is>
      </c>
      <c r="E2604" t="inlineStr">
        <is>
          <t>VÄSTERÅS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52570-2024</t>
        </is>
      </c>
      <c r="B2605" s="1" t="n">
        <v>45609</v>
      </c>
      <c r="C2605" s="1" t="n">
        <v>45998</v>
      </c>
      <c r="D2605" t="inlineStr">
        <is>
          <t>VÄSTMANLANDS LÄN</t>
        </is>
      </c>
      <c r="E2605" t="inlineStr">
        <is>
          <t>SKINNSKATTEBERG</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15622-2022</t>
        </is>
      </c>
      <c r="B2606" s="1" t="n">
        <v>44662</v>
      </c>
      <c r="C2606" s="1" t="n">
        <v>45998</v>
      </c>
      <c r="D2606" t="inlineStr">
        <is>
          <t>VÄSTMANLANDS LÄN</t>
        </is>
      </c>
      <c r="E2606" t="inlineStr">
        <is>
          <t>VÄSTERÅS</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52500-2024</t>
        </is>
      </c>
      <c r="B2607" s="1" t="n">
        <v>45609</v>
      </c>
      <c r="C2607" s="1" t="n">
        <v>45998</v>
      </c>
      <c r="D2607" t="inlineStr">
        <is>
          <t>VÄSTMANLANDS LÄN</t>
        </is>
      </c>
      <c r="E2607" t="inlineStr">
        <is>
          <t>SALA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56378-2023</t>
        </is>
      </c>
      <c r="B2608" s="1" t="n">
        <v>45236</v>
      </c>
      <c r="C2608" s="1" t="n">
        <v>45998</v>
      </c>
      <c r="D2608" t="inlineStr">
        <is>
          <t>VÄSTMANLANDS LÄN</t>
        </is>
      </c>
      <c r="E2608" t="inlineStr">
        <is>
          <t>SURAHAMMAR</t>
        </is>
      </c>
      <c r="F2608" t="inlineStr">
        <is>
          <t>Bergvik skog väst AB</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50005-2024</t>
        </is>
      </c>
      <c r="B2609" s="1" t="n">
        <v>45598</v>
      </c>
      <c r="C2609" s="1" t="n">
        <v>45998</v>
      </c>
      <c r="D2609" t="inlineStr">
        <is>
          <t>VÄSTMANLANDS LÄN</t>
        </is>
      </c>
      <c r="E2609" t="inlineStr">
        <is>
          <t>NORBERG</t>
        </is>
      </c>
      <c r="F2609" t="inlineStr">
        <is>
          <t>Sveaskog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15554-2024</t>
        </is>
      </c>
      <c r="B2610" s="1" t="n">
        <v>45401</v>
      </c>
      <c r="C2610" s="1" t="n">
        <v>45998</v>
      </c>
      <c r="D2610" t="inlineStr">
        <is>
          <t>VÄSTMANLANDS LÄN</t>
        </is>
      </c>
      <c r="E2610" t="inlineStr">
        <is>
          <t>KÖPING</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13595-2023</t>
        </is>
      </c>
      <c r="B2611" s="1" t="n">
        <v>45006.57474537037</v>
      </c>
      <c r="C2611" s="1" t="n">
        <v>45998</v>
      </c>
      <c r="D2611" t="inlineStr">
        <is>
          <t>VÄSTMANLANDS LÄN</t>
        </is>
      </c>
      <c r="E2611" t="inlineStr">
        <is>
          <t>ARBOGA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19593-2025</t>
        </is>
      </c>
      <c r="B2612" s="1" t="n">
        <v>45770.57755787037</v>
      </c>
      <c r="C2612" s="1" t="n">
        <v>45998</v>
      </c>
      <c r="D2612" t="inlineStr">
        <is>
          <t>VÄSTMANLANDS LÄN</t>
        </is>
      </c>
      <c r="E2612" t="inlineStr">
        <is>
          <t>KÖPING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7950-2025</t>
        </is>
      </c>
      <c r="B2613" s="1" t="n">
        <v>45707.41799768519</v>
      </c>
      <c r="C2613" s="1" t="n">
        <v>45998</v>
      </c>
      <c r="D2613" t="inlineStr">
        <is>
          <t>VÄSTMANLANDS LÄN</t>
        </is>
      </c>
      <c r="E2613" t="inlineStr">
        <is>
          <t>SALA</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40998-2024</t>
        </is>
      </c>
      <c r="B2614" s="1" t="n">
        <v>45558</v>
      </c>
      <c r="C2614" s="1" t="n">
        <v>45998</v>
      </c>
      <c r="D2614" t="inlineStr">
        <is>
          <t>VÄSTMANLANDS LÄN</t>
        </is>
      </c>
      <c r="E2614" t="inlineStr">
        <is>
          <t>SKINNSKATTEBERG</t>
        </is>
      </c>
      <c r="F2614" t="inlineStr">
        <is>
          <t>Sveaskog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43812-2023</t>
        </is>
      </c>
      <c r="B2615" s="1" t="n">
        <v>45187</v>
      </c>
      <c r="C2615" s="1" t="n">
        <v>45998</v>
      </c>
      <c r="D2615" t="inlineStr">
        <is>
          <t>VÄSTMANLANDS LÄN</t>
        </is>
      </c>
      <c r="E2615" t="inlineStr">
        <is>
          <t>ARBOGA</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23574-2023</t>
        </is>
      </c>
      <c r="B2616" s="1" t="n">
        <v>45077</v>
      </c>
      <c r="C2616" s="1" t="n">
        <v>45998</v>
      </c>
      <c r="D2616" t="inlineStr">
        <is>
          <t>VÄSTMANLANDS LÄN</t>
        </is>
      </c>
      <c r="E2616" t="inlineStr">
        <is>
          <t>KUNGSÖR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10812-2021</t>
        </is>
      </c>
      <c r="B2617" s="1" t="n">
        <v>44259</v>
      </c>
      <c r="C2617" s="1" t="n">
        <v>45998</v>
      </c>
      <c r="D2617" t="inlineStr">
        <is>
          <t>VÄSTMANLANDS LÄN</t>
        </is>
      </c>
      <c r="E2617" t="inlineStr">
        <is>
          <t>SALA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10154-2021</t>
        </is>
      </c>
      <c r="B2618" s="1" t="n">
        <v>44256</v>
      </c>
      <c r="C2618" s="1" t="n">
        <v>45998</v>
      </c>
      <c r="D2618" t="inlineStr">
        <is>
          <t>VÄSTMANLANDS LÄN</t>
        </is>
      </c>
      <c r="E2618" t="inlineStr">
        <is>
          <t>SALA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11660-2023</t>
        </is>
      </c>
      <c r="B2619" s="1" t="n">
        <v>44994</v>
      </c>
      <c r="C2619" s="1" t="n">
        <v>45998</v>
      </c>
      <c r="D2619" t="inlineStr">
        <is>
          <t>VÄSTMANLANDS LÄN</t>
        </is>
      </c>
      <c r="E2619" t="inlineStr">
        <is>
          <t>FAGERSTA</t>
        </is>
      </c>
      <c r="F2619" t="inlineStr">
        <is>
          <t>Kommuner</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11728-2023</t>
        </is>
      </c>
      <c r="B2620" s="1" t="n">
        <v>44993</v>
      </c>
      <c r="C2620" s="1" t="n">
        <v>45998</v>
      </c>
      <c r="D2620" t="inlineStr">
        <is>
          <t>VÄSTMANLANDS LÄN</t>
        </is>
      </c>
      <c r="E2620" t="inlineStr">
        <is>
          <t>SURAHAMMAR</t>
        </is>
      </c>
      <c r="F2620" t="inlineStr">
        <is>
          <t>Bergvik skog väst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16762-2022</t>
        </is>
      </c>
      <c r="B2621" s="1" t="n">
        <v>44673.47876157407</v>
      </c>
      <c r="C2621" s="1" t="n">
        <v>45998</v>
      </c>
      <c r="D2621" t="inlineStr">
        <is>
          <t>VÄSTMANLANDS LÄN</t>
        </is>
      </c>
      <c r="E2621" t="inlineStr">
        <is>
          <t>HALLSTAHAMMAR</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14664-2022</t>
        </is>
      </c>
      <c r="B2622" s="1" t="n">
        <v>44655.78577546297</v>
      </c>
      <c r="C2622" s="1" t="n">
        <v>45998</v>
      </c>
      <c r="D2622" t="inlineStr">
        <is>
          <t>VÄSTMANLANDS LÄN</t>
        </is>
      </c>
      <c r="E2622" t="inlineStr">
        <is>
          <t>KÖPING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6834-2021</t>
        </is>
      </c>
      <c r="B2623" s="1" t="n">
        <v>44236</v>
      </c>
      <c r="C2623" s="1" t="n">
        <v>45998</v>
      </c>
      <c r="D2623" t="inlineStr">
        <is>
          <t>VÄSTMANLANDS LÄN</t>
        </is>
      </c>
      <c r="E2623" t="inlineStr">
        <is>
          <t>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53224-2024</t>
        </is>
      </c>
      <c r="B2624" s="1" t="n">
        <v>45613.46733796296</v>
      </c>
      <c r="C2624" s="1" t="n">
        <v>45998</v>
      </c>
      <c r="D2624" t="inlineStr">
        <is>
          <t>VÄSTMANLANDS LÄN</t>
        </is>
      </c>
      <c r="E2624" t="inlineStr">
        <is>
          <t>NORBERG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55973-2024</t>
        </is>
      </c>
      <c r="B2625" s="1" t="n">
        <v>45623</v>
      </c>
      <c r="C2625" s="1" t="n">
        <v>45998</v>
      </c>
      <c r="D2625" t="inlineStr">
        <is>
          <t>VÄSTMANLANDS LÄN</t>
        </is>
      </c>
      <c r="E2625" t="inlineStr">
        <is>
          <t>VÄSTERÅS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16328-2025</t>
        </is>
      </c>
      <c r="B2626" s="1" t="n">
        <v>45751</v>
      </c>
      <c r="C2626" s="1" t="n">
        <v>45998</v>
      </c>
      <c r="D2626" t="inlineStr">
        <is>
          <t>VÄSTMANLANDS LÄN</t>
        </is>
      </c>
      <c r="E2626" t="inlineStr">
        <is>
          <t>SALA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51793-2024</t>
        </is>
      </c>
      <c r="B2627" s="1" t="n">
        <v>45607.46585648148</v>
      </c>
      <c r="C2627" s="1" t="n">
        <v>45998</v>
      </c>
      <c r="D2627" t="inlineStr">
        <is>
          <t>VÄSTMANLANDS LÄN</t>
        </is>
      </c>
      <c r="E2627" t="inlineStr">
        <is>
          <t>NORBERG</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9907-2024</t>
        </is>
      </c>
      <c r="B2628" s="1" t="n">
        <v>45363</v>
      </c>
      <c r="C2628" s="1" t="n">
        <v>45998</v>
      </c>
      <c r="D2628" t="inlineStr">
        <is>
          <t>VÄSTMANLANDS LÄN</t>
        </is>
      </c>
      <c r="E2628" t="inlineStr">
        <is>
          <t>NORBERG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63851-2021</t>
        </is>
      </c>
      <c r="B2629" s="1" t="n">
        <v>44509</v>
      </c>
      <c r="C2629" s="1" t="n">
        <v>45998</v>
      </c>
      <c r="D2629" t="inlineStr">
        <is>
          <t>VÄSTMANLANDS LÄN</t>
        </is>
      </c>
      <c r="E2629" t="inlineStr">
        <is>
          <t>VÄSTERÅS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31609-2024</t>
        </is>
      </c>
      <c r="B2630" s="1" t="n">
        <v>45506</v>
      </c>
      <c r="C2630" s="1" t="n">
        <v>45998</v>
      </c>
      <c r="D2630" t="inlineStr">
        <is>
          <t>VÄSTMANLANDS LÄN</t>
        </is>
      </c>
      <c r="E2630" t="inlineStr">
        <is>
          <t>SALA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41446-2023</t>
        </is>
      </c>
      <c r="B2631" s="1" t="n">
        <v>45175</v>
      </c>
      <c r="C2631" s="1" t="n">
        <v>45998</v>
      </c>
      <c r="D2631" t="inlineStr">
        <is>
          <t>VÄSTMANLANDS LÄN</t>
        </is>
      </c>
      <c r="E2631" t="inlineStr">
        <is>
          <t>KUNGSÖR</t>
        </is>
      </c>
      <c r="F2631" t="inlineStr">
        <is>
          <t>Allmännings- och besparingsskogar</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59717-2023</t>
        </is>
      </c>
      <c r="B2632" s="1" t="n">
        <v>45257.33018518519</v>
      </c>
      <c r="C2632" s="1" t="n">
        <v>45998</v>
      </c>
      <c r="D2632" t="inlineStr">
        <is>
          <t>VÄSTMANLANDS LÄN</t>
        </is>
      </c>
      <c r="E2632" t="inlineStr">
        <is>
          <t>SKINNSKATTEBERG</t>
        </is>
      </c>
      <c r="F2632" t="inlineStr">
        <is>
          <t>Sveaskog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12125-2023</t>
        </is>
      </c>
      <c r="B2633" s="1" t="n">
        <v>44998</v>
      </c>
      <c r="C2633" s="1" t="n">
        <v>45998</v>
      </c>
      <c r="D2633" t="inlineStr">
        <is>
          <t>VÄSTMANLANDS LÄN</t>
        </is>
      </c>
      <c r="E2633" t="inlineStr">
        <is>
          <t>FAGERSTA</t>
        </is>
      </c>
      <c r="F2633" t="inlineStr">
        <is>
          <t>Övriga Aktiebolag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54439-2024</t>
        </is>
      </c>
      <c r="B2634" s="1" t="n">
        <v>45617.50194444445</v>
      </c>
      <c r="C2634" s="1" t="n">
        <v>45998</v>
      </c>
      <c r="D2634" t="inlineStr">
        <is>
          <t>VÄSTMANLANDS LÄN</t>
        </is>
      </c>
      <c r="E2634" t="inlineStr">
        <is>
          <t>SKINNSKATTEBERG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18366-2025</t>
        </is>
      </c>
      <c r="B2635" s="1" t="n">
        <v>45762</v>
      </c>
      <c r="C2635" s="1" t="n">
        <v>45998</v>
      </c>
      <c r="D2635" t="inlineStr">
        <is>
          <t>VÄSTMANLANDS LÄN</t>
        </is>
      </c>
      <c r="E2635" t="inlineStr">
        <is>
          <t>KÖPING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61388-2023</t>
        </is>
      </c>
      <c r="B2636" s="1" t="n">
        <v>45264</v>
      </c>
      <c r="C2636" s="1" t="n">
        <v>45998</v>
      </c>
      <c r="D2636" t="inlineStr">
        <is>
          <t>VÄSTMANLANDS LÄN</t>
        </is>
      </c>
      <c r="E2636" t="inlineStr">
        <is>
          <t>ARBOGA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15810-2025</t>
        </is>
      </c>
      <c r="B2637" s="1" t="n">
        <v>45748.66413194445</v>
      </c>
      <c r="C2637" s="1" t="n">
        <v>45998</v>
      </c>
      <c r="D2637" t="inlineStr">
        <is>
          <t>VÄSTMANLANDS LÄN</t>
        </is>
      </c>
      <c r="E2637" t="inlineStr">
        <is>
          <t>NORBERG</t>
        </is>
      </c>
      <c r="F2637" t="inlineStr">
        <is>
          <t>Sveaskog</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15184-2025</t>
        </is>
      </c>
      <c r="B2638" s="1" t="n">
        <v>45744.54480324074</v>
      </c>
      <c r="C2638" s="1" t="n">
        <v>45998</v>
      </c>
      <c r="D2638" t="inlineStr">
        <is>
          <t>VÄSTMANLANDS LÄN</t>
        </is>
      </c>
      <c r="E2638" t="inlineStr">
        <is>
          <t>SKINNSKATTEBERG</t>
        </is>
      </c>
      <c r="F2638" t="inlineStr">
        <is>
          <t>Sveaskog</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27891-2023</t>
        </is>
      </c>
      <c r="B2639" s="1" t="n">
        <v>45098.62</v>
      </c>
      <c r="C2639" s="1" t="n">
        <v>45998</v>
      </c>
      <c r="D2639" t="inlineStr">
        <is>
          <t>VÄSTMANLANDS LÄN</t>
        </is>
      </c>
      <c r="E2639" t="inlineStr">
        <is>
          <t>KÖPING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35410-2022</t>
        </is>
      </c>
      <c r="B2640" s="1" t="n">
        <v>44798.62576388889</v>
      </c>
      <c r="C2640" s="1" t="n">
        <v>45998</v>
      </c>
      <c r="D2640" t="inlineStr">
        <is>
          <t>VÄSTMANLANDS LÄN</t>
        </is>
      </c>
      <c r="E2640" t="inlineStr">
        <is>
          <t>SALA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11311-2021</t>
        </is>
      </c>
      <c r="B2641" s="1" t="n">
        <v>44263</v>
      </c>
      <c r="C2641" s="1" t="n">
        <v>45998</v>
      </c>
      <c r="D2641" t="inlineStr">
        <is>
          <t>VÄSTMANLANDS LÄN</t>
        </is>
      </c>
      <c r="E2641" t="inlineStr">
        <is>
          <t>ARBOGA</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52532-2024</t>
        </is>
      </c>
      <c r="B2642" s="1" t="n">
        <v>45609.61686342592</v>
      </c>
      <c r="C2642" s="1" t="n">
        <v>45998</v>
      </c>
      <c r="D2642" t="inlineStr">
        <is>
          <t>VÄSTMANLANDS LÄN</t>
        </is>
      </c>
      <c r="E2642" t="inlineStr">
        <is>
          <t>SKINNSKATTEBERG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54867-2024</t>
        </is>
      </c>
      <c r="B2643" s="1" t="n">
        <v>45618.59675925926</v>
      </c>
      <c r="C2643" s="1" t="n">
        <v>45998</v>
      </c>
      <c r="D2643" t="inlineStr">
        <is>
          <t>VÄSTMANLANDS LÄN</t>
        </is>
      </c>
      <c r="E2643" t="inlineStr">
        <is>
          <t>KÖPING</t>
        </is>
      </c>
      <c r="F2643" t="inlineStr">
        <is>
          <t>Sveaskog</t>
        </is>
      </c>
      <c r="G2643" t="n">
        <v>11.1</v>
      </c>
      <c r="H2643" t="n">
        <v>0</v>
      </c>
      <c r="I2643" t="n">
        <v>0</v>
      </c>
      <c r="J2643" t="n">
        <v>0</v>
      </c>
      <c r="K2643" t="n">
        <v>0</v>
      </c>
      <c r="L2643" t="n">
        <v>0</v>
      </c>
      <c r="M2643" t="n">
        <v>0</v>
      </c>
      <c r="N2643" t="n">
        <v>0</v>
      </c>
      <c r="O2643" t="n">
        <v>0</v>
      </c>
      <c r="P2643" t="n">
        <v>0</v>
      </c>
      <c r="Q2643" t="n">
        <v>0</v>
      </c>
      <c r="R2643" s="2" t="inlineStr"/>
    </row>
    <row r="2644" ht="15" customHeight="1">
      <c r="A2644" t="inlineStr">
        <is>
          <t>A 54869-2024</t>
        </is>
      </c>
      <c r="B2644" s="1" t="n">
        <v>45618.59804398148</v>
      </c>
      <c r="C2644" s="1" t="n">
        <v>45998</v>
      </c>
      <c r="D2644" t="inlineStr">
        <is>
          <t>VÄSTMANLANDS LÄN</t>
        </is>
      </c>
      <c r="E2644" t="inlineStr">
        <is>
          <t>KÖPING</t>
        </is>
      </c>
      <c r="F2644" t="inlineStr">
        <is>
          <t>Sveaskog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59970-2022</t>
        </is>
      </c>
      <c r="B2645" s="1" t="n">
        <v>44909.42104166667</v>
      </c>
      <c r="C2645" s="1" t="n">
        <v>45998</v>
      </c>
      <c r="D2645" t="inlineStr">
        <is>
          <t>VÄSTMANLANDS LÄN</t>
        </is>
      </c>
      <c r="E2645" t="inlineStr">
        <is>
          <t>ARBOGA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59740-2024</t>
        </is>
      </c>
      <c r="B2646" s="1" t="n">
        <v>45639.52766203704</v>
      </c>
      <c r="C2646" s="1" t="n">
        <v>45998</v>
      </c>
      <c r="D2646" t="inlineStr">
        <is>
          <t>VÄSTMANLANDS LÄN</t>
        </is>
      </c>
      <c r="E2646" t="inlineStr">
        <is>
          <t>VÄSTERÅS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5123-2023</t>
        </is>
      </c>
      <c r="B2647" s="1" t="n">
        <v>44958</v>
      </c>
      <c r="C2647" s="1" t="n">
        <v>45998</v>
      </c>
      <c r="D2647" t="inlineStr">
        <is>
          <t>VÄSTMANLANDS LÄN</t>
        </is>
      </c>
      <c r="E2647" t="inlineStr">
        <is>
          <t>VÄSTERÅS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51475-2024</t>
        </is>
      </c>
      <c r="B2648" s="1" t="n">
        <v>45604</v>
      </c>
      <c r="C2648" s="1" t="n">
        <v>45998</v>
      </c>
      <c r="D2648" t="inlineStr">
        <is>
          <t>VÄSTMANLANDS LÄN</t>
        </is>
      </c>
      <c r="E2648" t="inlineStr">
        <is>
          <t>SKINNSKATTEBERG</t>
        </is>
      </c>
      <c r="F2648" t="inlineStr">
        <is>
          <t>Sveaskog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21159-2022</t>
        </is>
      </c>
      <c r="B2649" s="1" t="n">
        <v>44704</v>
      </c>
      <c r="C2649" s="1" t="n">
        <v>45998</v>
      </c>
      <c r="D2649" t="inlineStr">
        <is>
          <t>VÄSTMANLANDS LÄN</t>
        </is>
      </c>
      <c r="E2649" t="inlineStr">
        <is>
          <t>SALA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56945-2024</t>
        </is>
      </c>
      <c r="B2650" s="1" t="n">
        <v>45628.62780092593</v>
      </c>
      <c r="C2650" s="1" t="n">
        <v>45998</v>
      </c>
      <c r="D2650" t="inlineStr">
        <is>
          <t>VÄSTMANLANDS LÄN</t>
        </is>
      </c>
      <c r="E2650" t="inlineStr">
        <is>
          <t>VÄSTERÅS</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56982-2024</t>
        </is>
      </c>
      <c r="B2651" s="1" t="n">
        <v>45628</v>
      </c>
      <c r="C2651" s="1" t="n">
        <v>45998</v>
      </c>
      <c r="D2651" t="inlineStr">
        <is>
          <t>VÄSTMANLANDS LÄN</t>
        </is>
      </c>
      <c r="E2651" t="inlineStr">
        <is>
          <t>ARBOGA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11501-2023</t>
        </is>
      </c>
      <c r="B2652" s="1" t="n">
        <v>44991</v>
      </c>
      <c r="C2652" s="1" t="n">
        <v>45998</v>
      </c>
      <c r="D2652" t="inlineStr">
        <is>
          <t>VÄSTMANLANDS LÄN</t>
        </is>
      </c>
      <c r="E2652" t="inlineStr">
        <is>
          <t>SURAHAMMAR</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31231-2024</t>
        </is>
      </c>
      <c r="B2653" s="1" t="n">
        <v>45503</v>
      </c>
      <c r="C2653" s="1" t="n">
        <v>45998</v>
      </c>
      <c r="D2653" t="inlineStr">
        <is>
          <t>VÄSTMANLANDS LÄN</t>
        </is>
      </c>
      <c r="E2653" t="inlineStr">
        <is>
          <t>FAGERSTA</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16013-2023</t>
        </is>
      </c>
      <c r="B2654" s="1" t="n">
        <v>45026</v>
      </c>
      <c r="C2654" s="1" t="n">
        <v>45998</v>
      </c>
      <c r="D2654" t="inlineStr">
        <is>
          <t>VÄSTMANLANDS LÄN</t>
        </is>
      </c>
      <c r="E2654" t="inlineStr">
        <is>
          <t>SURAHAMMAR</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46659-2024</t>
        </is>
      </c>
      <c r="B2655" s="1" t="n">
        <v>45583.36162037037</v>
      </c>
      <c r="C2655" s="1" t="n">
        <v>45998</v>
      </c>
      <c r="D2655" t="inlineStr">
        <is>
          <t>VÄSTMANLANDS LÄN</t>
        </is>
      </c>
      <c r="E2655" t="inlineStr">
        <is>
          <t>KÖPING</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41292-2021</t>
        </is>
      </c>
      <c r="B2656" s="1" t="n">
        <v>44424</v>
      </c>
      <c r="C2656" s="1" t="n">
        <v>45998</v>
      </c>
      <c r="D2656" t="inlineStr">
        <is>
          <t>VÄSTMANLANDS LÄN</t>
        </is>
      </c>
      <c r="E2656" t="inlineStr">
        <is>
          <t>SALA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60328-2024</t>
        </is>
      </c>
      <c r="B2657" s="1" t="n">
        <v>45643.38416666666</v>
      </c>
      <c r="C2657" s="1" t="n">
        <v>45998</v>
      </c>
      <c r="D2657" t="inlineStr">
        <is>
          <t>VÄSTMANLANDS LÄN</t>
        </is>
      </c>
      <c r="E2657" t="inlineStr">
        <is>
          <t>SALA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59747-2024</t>
        </is>
      </c>
      <c r="B2658" s="1" t="n">
        <v>45639.53532407407</v>
      </c>
      <c r="C2658" s="1" t="n">
        <v>45998</v>
      </c>
      <c r="D2658" t="inlineStr">
        <is>
          <t>VÄSTMANLANDS LÄN</t>
        </is>
      </c>
      <c r="E2658" t="inlineStr">
        <is>
          <t>VÄSTERÅS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20904-2023</t>
        </is>
      </c>
      <c r="B2659" s="1" t="n">
        <v>45060</v>
      </c>
      <c r="C2659" s="1" t="n">
        <v>45998</v>
      </c>
      <c r="D2659" t="inlineStr">
        <is>
          <t>VÄSTMANLANDS LÄN</t>
        </is>
      </c>
      <c r="E2659" t="inlineStr">
        <is>
          <t>SURAHAMMAR</t>
        </is>
      </c>
      <c r="F2659" t="inlineStr">
        <is>
          <t>Sveaskog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6088-2021</t>
        </is>
      </c>
      <c r="B2660" s="1" t="n">
        <v>44232</v>
      </c>
      <c r="C2660" s="1" t="n">
        <v>45998</v>
      </c>
      <c r="D2660" t="inlineStr">
        <is>
          <t>VÄSTMANLANDS LÄN</t>
        </is>
      </c>
      <c r="E2660" t="inlineStr">
        <is>
          <t>SALA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33273-2023</t>
        </is>
      </c>
      <c r="B2661" s="1" t="n">
        <v>45127</v>
      </c>
      <c r="C2661" s="1" t="n">
        <v>45998</v>
      </c>
      <c r="D2661" t="inlineStr">
        <is>
          <t>VÄSTMANLANDS LÄN</t>
        </is>
      </c>
      <c r="E2661" t="inlineStr">
        <is>
          <t>SALA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12650-2023</t>
        </is>
      </c>
      <c r="B2662" s="1" t="n">
        <v>45000.52891203704</v>
      </c>
      <c r="C2662" s="1" t="n">
        <v>45998</v>
      </c>
      <c r="D2662" t="inlineStr">
        <is>
          <t>VÄSTMANLANDS LÄN</t>
        </is>
      </c>
      <c r="E2662" t="inlineStr">
        <is>
          <t>ARBOGA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8703-2024</t>
        </is>
      </c>
      <c r="B2663" s="1" t="n">
        <v>45356.38356481482</v>
      </c>
      <c r="C2663" s="1" t="n">
        <v>45998</v>
      </c>
      <c r="D2663" t="inlineStr">
        <is>
          <t>VÄSTMANLANDS LÄN</t>
        </is>
      </c>
      <c r="E2663" t="inlineStr">
        <is>
          <t>KÖPING</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16035-2023</t>
        </is>
      </c>
      <c r="B2664" s="1" t="n">
        <v>45027.37611111111</v>
      </c>
      <c r="C2664" s="1" t="n">
        <v>45998</v>
      </c>
      <c r="D2664" t="inlineStr">
        <is>
          <t>VÄSTMANLANDS LÄN</t>
        </is>
      </c>
      <c r="E2664" t="inlineStr">
        <is>
          <t>VÄSTERÅS</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16037-2023</t>
        </is>
      </c>
      <c r="B2665" s="1" t="n">
        <v>45027.37814814815</v>
      </c>
      <c r="C2665" s="1" t="n">
        <v>45998</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26519-2024</t>
        </is>
      </c>
      <c r="B2666" s="1" t="n">
        <v>45469.59916666667</v>
      </c>
      <c r="C2666" s="1" t="n">
        <v>45998</v>
      </c>
      <c r="D2666" t="inlineStr">
        <is>
          <t>VÄSTMANLANDS LÄN</t>
        </is>
      </c>
      <c r="E2666" t="inlineStr">
        <is>
          <t>NORBERG</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11494-2023</t>
        </is>
      </c>
      <c r="B2667" s="1" t="n">
        <v>44993</v>
      </c>
      <c r="C2667" s="1" t="n">
        <v>45998</v>
      </c>
      <c r="D2667" t="inlineStr">
        <is>
          <t>VÄSTMANLANDS LÄN</t>
        </is>
      </c>
      <c r="E2667" t="inlineStr">
        <is>
          <t>SKINNSKATTEBERG</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38521-2023</t>
        </is>
      </c>
      <c r="B2668" s="1" t="n">
        <v>45162.55780092593</v>
      </c>
      <c r="C2668" s="1" t="n">
        <v>45998</v>
      </c>
      <c r="D2668" t="inlineStr">
        <is>
          <t>VÄSTMANLANDS LÄN</t>
        </is>
      </c>
      <c r="E2668" t="inlineStr">
        <is>
          <t>SKINNSKATTEBERG</t>
        </is>
      </c>
      <c r="F2668" t="inlineStr">
        <is>
          <t>Sveaskog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30634-2023</t>
        </is>
      </c>
      <c r="B2669" s="1" t="n">
        <v>45112.45543981482</v>
      </c>
      <c r="C2669" s="1" t="n">
        <v>45998</v>
      </c>
      <c r="D2669" t="inlineStr">
        <is>
          <t>VÄSTMANLANDS LÄN</t>
        </is>
      </c>
      <c r="E2669" t="inlineStr">
        <is>
          <t>KUNGSÖR</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61059-2024</t>
        </is>
      </c>
      <c r="B2670" s="1" t="n">
        <v>45645</v>
      </c>
      <c r="C2670" s="1" t="n">
        <v>45998</v>
      </c>
      <c r="D2670" t="inlineStr">
        <is>
          <t>VÄSTMANLANDS LÄN</t>
        </is>
      </c>
      <c r="E2670" t="inlineStr">
        <is>
          <t>VÄSTERÅS</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52696-2024</t>
        </is>
      </c>
      <c r="B2671" s="1" t="n">
        <v>45610</v>
      </c>
      <c r="C2671" s="1" t="n">
        <v>45998</v>
      </c>
      <c r="D2671" t="inlineStr">
        <is>
          <t>VÄSTMANLANDS LÄN</t>
        </is>
      </c>
      <c r="E2671" t="inlineStr">
        <is>
          <t>SKINNSKATTEBERG</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52827-2024</t>
        </is>
      </c>
      <c r="B2672" s="1" t="n">
        <v>45610</v>
      </c>
      <c r="C2672" s="1" t="n">
        <v>45998</v>
      </c>
      <c r="D2672" t="inlineStr">
        <is>
          <t>VÄSTMANLANDS LÄN</t>
        </is>
      </c>
      <c r="E2672" t="inlineStr">
        <is>
          <t>SALA</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53166-2024</t>
        </is>
      </c>
      <c r="B2673" s="1" t="n">
        <v>45611</v>
      </c>
      <c r="C2673" s="1" t="n">
        <v>45998</v>
      </c>
      <c r="D2673" t="inlineStr">
        <is>
          <t>VÄSTMANLANDS LÄN</t>
        </is>
      </c>
      <c r="E2673" t="inlineStr">
        <is>
          <t>SALA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11244-2024</t>
        </is>
      </c>
      <c r="B2674" s="1" t="n">
        <v>45371</v>
      </c>
      <c r="C2674" s="1" t="n">
        <v>45998</v>
      </c>
      <c r="D2674" t="inlineStr">
        <is>
          <t>VÄSTMANLANDS LÄN</t>
        </is>
      </c>
      <c r="E2674" t="inlineStr">
        <is>
          <t>SALA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54441-2024</t>
        </is>
      </c>
      <c r="B2675" s="1" t="n">
        <v>45617.50403935185</v>
      </c>
      <c r="C2675" s="1" t="n">
        <v>45998</v>
      </c>
      <c r="D2675" t="inlineStr">
        <is>
          <t>VÄSTMANLANDS LÄN</t>
        </is>
      </c>
      <c r="E2675" t="inlineStr">
        <is>
          <t>SKINNSKATTEBERG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62654-2022</t>
        </is>
      </c>
      <c r="B2676" s="1" t="n">
        <v>44917</v>
      </c>
      <c r="C2676" s="1" t="n">
        <v>45998</v>
      </c>
      <c r="D2676" t="inlineStr">
        <is>
          <t>VÄSTMANLANDS LÄN</t>
        </is>
      </c>
      <c r="E2676" t="inlineStr">
        <is>
          <t>SALA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6135-2023</t>
        </is>
      </c>
      <c r="B2677" s="1" t="n">
        <v>44964.62628472222</v>
      </c>
      <c r="C2677" s="1" t="n">
        <v>45998</v>
      </c>
      <c r="D2677" t="inlineStr">
        <is>
          <t>VÄSTMANLANDS LÄN</t>
        </is>
      </c>
      <c r="E2677" t="inlineStr">
        <is>
          <t>SALA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42829-2022</t>
        </is>
      </c>
      <c r="B2678" s="1" t="n">
        <v>44832</v>
      </c>
      <c r="C2678" s="1" t="n">
        <v>45998</v>
      </c>
      <c r="D2678" t="inlineStr">
        <is>
          <t>VÄSTMANLANDS LÄN</t>
        </is>
      </c>
      <c r="E2678" t="inlineStr">
        <is>
          <t>SURAHAMMAR</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41219-2022</t>
        </is>
      </c>
      <c r="B2679" s="1" t="n">
        <v>44826.31732638889</v>
      </c>
      <c r="C2679" s="1" t="n">
        <v>45998</v>
      </c>
      <c r="D2679" t="inlineStr">
        <is>
          <t>VÄSTMANLANDS LÄN</t>
        </is>
      </c>
      <c r="E2679" t="inlineStr">
        <is>
          <t>VÄSTERÅS</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53864-2022</t>
        </is>
      </c>
      <c r="B2680" s="1" t="n">
        <v>44880.64016203704</v>
      </c>
      <c r="C2680" s="1" t="n">
        <v>45998</v>
      </c>
      <c r="D2680" t="inlineStr">
        <is>
          <t>VÄSTMANLANDS LÄN</t>
        </is>
      </c>
      <c r="E2680" t="inlineStr">
        <is>
          <t>SALA</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12649-2023</t>
        </is>
      </c>
      <c r="B2681" s="1" t="n">
        <v>44999</v>
      </c>
      <c r="C2681" s="1" t="n">
        <v>45998</v>
      </c>
      <c r="D2681" t="inlineStr">
        <is>
          <t>VÄSTMANLANDS LÄN</t>
        </is>
      </c>
      <c r="E2681" t="inlineStr">
        <is>
          <t>VÄSTERÅS</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27255-2023</t>
        </is>
      </c>
      <c r="B2682" s="1" t="n">
        <v>45096</v>
      </c>
      <c r="C2682" s="1" t="n">
        <v>45998</v>
      </c>
      <c r="D2682" t="inlineStr">
        <is>
          <t>VÄSTMANLANDS LÄN</t>
        </is>
      </c>
      <c r="E2682" t="inlineStr">
        <is>
          <t>SALA</t>
        </is>
      </c>
      <c r="F2682" t="inlineStr">
        <is>
          <t>Sveaskog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26382-2023</t>
        </is>
      </c>
      <c r="B2683" s="1" t="n">
        <v>45092</v>
      </c>
      <c r="C2683" s="1" t="n">
        <v>45998</v>
      </c>
      <c r="D2683" t="inlineStr">
        <is>
          <t>VÄSTMANLANDS LÄN</t>
        </is>
      </c>
      <c r="E2683" t="inlineStr">
        <is>
          <t>KUNGSÖR</t>
        </is>
      </c>
      <c r="F2683" t="inlineStr">
        <is>
          <t>Allmännings- och besparingsskogar</t>
        </is>
      </c>
      <c r="G2683" t="n">
        <v>20.3</v>
      </c>
      <c r="H2683" t="n">
        <v>0</v>
      </c>
      <c r="I2683" t="n">
        <v>0</v>
      </c>
      <c r="J2683" t="n">
        <v>0</v>
      </c>
      <c r="K2683" t="n">
        <v>0</v>
      </c>
      <c r="L2683" t="n">
        <v>0</v>
      </c>
      <c r="M2683" t="n">
        <v>0</v>
      </c>
      <c r="N2683" t="n">
        <v>0</v>
      </c>
      <c r="O2683" t="n">
        <v>0</v>
      </c>
      <c r="P2683" t="n">
        <v>0</v>
      </c>
      <c r="Q2683" t="n">
        <v>0</v>
      </c>
      <c r="R2683" s="2" t="inlineStr"/>
    </row>
    <row r="2684" ht="15" customHeight="1">
      <c r="A2684" t="inlineStr">
        <is>
          <t>A 32275-2024</t>
        </is>
      </c>
      <c r="B2684" s="1" t="n">
        <v>45512</v>
      </c>
      <c r="C2684" s="1" t="n">
        <v>45998</v>
      </c>
      <c r="D2684" t="inlineStr">
        <is>
          <t>VÄSTMANLANDS LÄN</t>
        </is>
      </c>
      <c r="E2684" t="inlineStr">
        <is>
          <t>ARBOGA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36597-2024</t>
        </is>
      </c>
      <c r="B2685" s="1" t="n">
        <v>45537.55677083333</v>
      </c>
      <c r="C2685" s="1" t="n">
        <v>45998</v>
      </c>
      <c r="D2685" t="inlineStr">
        <is>
          <t>VÄSTMANLANDS LÄN</t>
        </is>
      </c>
      <c r="E2685" t="inlineStr">
        <is>
          <t>SKINNSKATTEBERG</t>
        </is>
      </c>
      <c r="F2685" t="inlineStr">
        <is>
          <t>Sveaskog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37752-2023</t>
        </is>
      </c>
      <c r="B2686" s="1" t="n">
        <v>45159</v>
      </c>
      <c r="C2686" s="1" t="n">
        <v>45998</v>
      </c>
      <c r="D2686" t="inlineStr">
        <is>
          <t>VÄSTMANLANDS LÄN</t>
        </is>
      </c>
      <c r="E2686" t="inlineStr">
        <is>
          <t>KÖPING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60034-2024</t>
        </is>
      </c>
      <c r="B2687" s="1" t="n">
        <v>45642.46261574074</v>
      </c>
      <c r="C2687" s="1" t="n">
        <v>45998</v>
      </c>
      <c r="D2687" t="inlineStr">
        <is>
          <t>VÄSTMANLANDS LÄN</t>
        </is>
      </c>
      <c r="E2687" t="inlineStr">
        <is>
          <t>SALA</t>
        </is>
      </c>
      <c r="G2687" t="n">
        <v>8.800000000000001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34967-2023</t>
        </is>
      </c>
      <c r="B2688" s="1" t="n">
        <v>45142</v>
      </c>
      <c r="C2688" s="1" t="n">
        <v>45998</v>
      </c>
      <c r="D2688" t="inlineStr">
        <is>
          <t>VÄSTMANLANDS LÄN</t>
        </is>
      </c>
      <c r="E2688" t="inlineStr">
        <is>
          <t>NORBERG</t>
        </is>
      </c>
      <c r="F2688" t="inlineStr">
        <is>
          <t>Kyrkan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3810-2023</t>
        </is>
      </c>
      <c r="B2689" s="1" t="n">
        <v>44951.60454861111</v>
      </c>
      <c r="C2689" s="1" t="n">
        <v>45998</v>
      </c>
      <c r="D2689" t="inlineStr">
        <is>
          <t>VÄSTMANLANDS LÄN</t>
        </is>
      </c>
      <c r="E2689" t="inlineStr">
        <is>
          <t>SALA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57993-2024</t>
        </is>
      </c>
      <c r="B2690" s="1" t="n">
        <v>45631</v>
      </c>
      <c r="C2690" s="1" t="n">
        <v>45998</v>
      </c>
      <c r="D2690" t="inlineStr">
        <is>
          <t>VÄSTMANLANDS LÄN</t>
        </is>
      </c>
      <c r="E2690" t="inlineStr">
        <is>
          <t>NORBERG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27793-2021</t>
        </is>
      </c>
      <c r="B2691" s="1" t="n">
        <v>44354</v>
      </c>
      <c r="C2691" s="1" t="n">
        <v>45998</v>
      </c>
      <c r="D2691" t="inlineStr">
        <is>
          <t>VÄSTMANLANDS LÄN</t>
        </is>
      </c>
      <c r="E2691" t="inlineStr">
        <is>
          <t>ARBOGA</t>
        </is>
      </c>
      <c r="F2691" t="inlineStr">
        <is>
          <t>Allmännings- och besparingsskogar</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50230-2024</t>
        </is>
      </c>
      <c r="B2692" s="1" t="n">
        <v>45600</v>
      </c>
      <c r="C2692" s="1" t="n">
        <v>45998</v>
      </c>
      <c r="D2692" t="inlineStr">
        <is>
          <t>VÄSTMANLANDS LÄN</t>
        </is>
      </c>
      <c r="E2692" t="inlineStr">
        <is>
          <t>HALLSTAHAMMAR</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13733-2025</t>
        </is>
      </c>
      <c r="B2693" s="1" t="n">
        <v>45737.39099537037</v>
      </c>
      <c r="C2693" s="1" t="n">
        <v>45998</v>
      </c>
      <c r="D2693" t="inlineStr">
        <is>
          <t>VÄSTMANLANDS LÄN</t>
        </is>
      </c>
      <c r="E2693" t="inlineStr">
        <is>
          <t>SKINNSKATTEBERG</t>
        </is>
      </c>
      <c r="F2693" t="inlineStr">
        <is>
          <t>Sveaskog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61006-2024</t>
        </is>
      </c>
      <c r="B2694" s="1" t="n">
        <v>45645</v>
      </c>
      <c r="C2694" s="1" t="n">
        <v>45998</v>
      </c>
      <c r="D2694" t="inlineStr">
        <is>
          <t>VÄSTMANLANDS LÄN</t>
        </is>
      </c>
      <c r="E2694" t="inlineStr">
        <is>
          <t>ARBOGA</t>
        </is>
      </c>
      <c r="F2694" t="inlineStr">
        <is>
          <t>Sveaskog</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947-2025</t>
        </is>
      </c>
      <c r="B2695" s="1" t="n">
        <v>45666</v>
      </c>
      <c r="C2695" s="1" t="n">
        <v>45998</v>
      </c>
      <c r="D2695" t="inlineStr">
        <is>
          <t>VÄSTMANLANDS LÄN</t>
        </is>
      </c>
      <c r="E2695" t="inlineStr">
        <is>
          <t>ARBOGA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52503-2024</t>
        </is>
      </c>
      <c r="B2696" s="1" t="n">
        <v>45609.58806712963</v>
      </c>
      <c r="C2696" s="1" t="n">
        <v>45998</v>
      </c>
      <c r="D2696" t="inlineStr">
        <is>
          <t>VÄSTMANLANDS LÄN</t>
        </is>
      </c>
      <c r="E2696" t="inlineStr">
        <is>
          <t>SALA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2521-2025</t>
        </is>
      </c>
      <c r="B2697" s="1" t="n">
        <v>45674</v>
      </c>
      <c r="C2697" s="1" t="n">
        <v>45998</v>
      </c>
      <c r="D2697" t="inlineStr">
        <is>
          <t>VÄSTMANLANDS LÄN</t>
        </is>
      </c>
      <c r="E2697" t="inlineStr">
        <is>
          <t>SALA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34955-2022</t>
        </is>
      </c>
      <c r="B2698" s="1" t="n">
        <v>44796</v>
      </c>
      <c r="C2698" s="1" t="n">
        <v>45998</v>
      </c>
      <c r="D2698" t="inlineStr">
        <is>
          <t>VÄSTMANLANDS LÄN</t>
        </is>
      </c>
      <c r="E2698" t="inlineStr">
        <is>
          <t>SURAHAMMAR</t>
        </is>
      </c>
      <c r="F2698" t="inlineStr">
        <is>
          <t>Sveaskog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42093-2023</t>
        </is>
      </c>
      <c r="B2699" s="1" t="n">
        <v>45177</v>
      </c>
      <c r="C2699" s="1" t="n">
        <v>45998</v>
      </c>
      <c r="D2699" t="inlineStr">
        <is>
          <t>VÄSTMANLANDS LÄN</t>
        </is>
      </c>
      <c r="E2699" t="inlineStr">
        <is>
          <t>SKINNSKATTEBERG</t>
        </is>
      </c>
      <c r="F2699" t="inlineStr">
        <is>
          <t>Sveaskog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52015-2024</t>
        </is>
      </c>
      <c r="B2700" s="1" t="n">
        <v>45607</v>
      </c>
      <c r="C2700" s="1" t="n">
        <v>45998</v>
      </c>
      <c r="D2700" t="inlineStr">
        <is>
          <t>VÄSTMANLANDS LÄN</t>
        </is>
      </c>
      <c r="E2700" t="inlineStr">
        <is>
          <t>VÄSTERÅS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24777-2022</t>
        </is>
      </c>
      <c r="B2701" s="1" t="n">
        <v>44728.36739583333</v>
      </c>
      <c r="C2701" s="1" t="n">
        <v>45998</v>
      </c>
      <c r="D2701" t="inlineStr">
        <is>
          <t>VÄSTMANLANDS LÄN</t>
        </is>
      </c>
      <c r="E2701" t="inlineStr">
        <is>
          <t>SKINNSKATTEBERG</t>
        </is>
      </c>
      <c r="F2701" t="inlineStr">
        <is>
          <t>Sveaskog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30988-2022</t>
        </is>
      </c>
      <c r="B2702" s="1" t="n">
        <v>44768</v>
      </c>
      <c r="C2702" s="1" t="n">
        <v>45998</v>
      </c>
      <c r="D2702" t="inlineStr">
        <is>
          <t>VÄSTMANLANDS LÄN</t>
        </is>
      </c>
      <c r="E2702" t="inlineStr">
        <is>
          <t>SKINNSKATTEBERG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31000-2022</t>
        </is>
      </c>
      <c r="B2703" s="1" t="n">
        <v>44768</v>
      </c>
      <c r="C2703" s="1" t="n">
        <v>45998</v>
      </c>
      <c r="D2703" t="inlineStr">
        <is>
          <t>VÄSTMANLANDS LÄN</t>
        </is>
      </c>
      <c r="E2703" t="inlineStr">
        <is>
          <t>SALA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3118-2022</t>
        </is>
      </c>
      <c r="B2704" s="1" t="n">
        <v>44582</v>
      </c>
      <c r="C2704" s="1" t="n">
        <v>45998</v>
      </c>
      <c r="D2704" t="inlineStr">
        <is>
          <t>VÄSTMANLANDS LÄN</t>
        </is>
      </c>
      <c r="E2704" t="inlineStr">
        <is>
          <t>VÄSTERÅS</t>
        </is>
      </c>
      <c r="F2704" t="inlineStr">
        <is>
          <t>Övriga Aktiebolag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15329-2023</t>
        </is>
      </c>
      <c r="B2705" s="1" t="n">
        <v>45019</v>
      </c>
      <c r="C2705" s="1" t="n">
        <v>45998</v>
      </c>
      <c r="D2705" t="inlineStr">
        <is>
          <t>VÄSTMANLANDS LÄN</t>
        </is>
      </c>
      <c r="E2705" t="inlineStr">
        <is>
          <t>VÄSTERÅS</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31950-2023</t>
        </is>
      </c>
      <c r="B2706" s="1" t="n">
        <v>45107</v>
      </c>
      <c r="C2706" s="1" t="n">
        <v>45998</v>
      </c>
      <c r="D2706" t="inlineStr">
        <is>
          <t>VÄSTMANLANDS LÄN</t>
        </is>
      </c>
      <c r="E2706" t="inlineStr">
        <is>
          <t>SALA</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40154-2023</t>
        </is>
      </c>
      <c r="B2707" s="1" t="n">
        <v>45169.35931712963</v>
      </c>
      <c r="C2707" s="1" t="n">
        <v>45998</v>
      </c>
      <c r="D2707" t="inlineStr">
        <is>
          <t>VÄSTMANLANDS LÄN</t>
        </is>
      </c>
      <c r="E2707" t="inlineStr">
        <is>
          <t>NORBERG</t>
        </is>
      </c>
      <c r="F2707" t="inlineStr">
        <is>
          <t>Sveaskog</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14057-2025</t>
        </is>
      </c>
      <c r="B2708" s="1" t="n">
        <v>45740.4009375</v>
      </c>
      <c r="C2708" s="1" t="n">
        <v>45998</v>
      </c>
      <c r="D2708" t="inlineStr">
        <is>
          <t>VÄSTMANLANDS LÄN</t>
        </is>
      </c>
      <c r="E2708" t="inlineStr">
        <is>
          <t>ARBOGA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199-2025</t>
        </is>
      </c>
      <c r="B2709" s="1" t="n">
        <v>45659</v>
      </c>
      <c r="C2709" s="1" t="n">
        <v>45998</v>
      </c>
      <c r="D2709" t="inlineStr">
        <is>
          <t>VÄSTMANLANDS LÄN</t>
        </is>
      </c>
      <c r="E2709" t="inlineStr">
        <is>
          <t>KÖPING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16693-2023</t>
        </is>
      </c>
      <c r="B2710" s="1" t="n">
        <v>45028</v>
      </c>
      <c r="C2710" s="1" t="n">
        <v>45998</v>
      </c>
      <c r="D2710" t="inlineStr">
        <is>
          <t>VÄSTMANLANDS LÄN</t>
        </is>
      </c>
      <c r="E2710" t="inlineStr">
        <is>
          <t>SALA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35370-2024</t>
        </is>
      </c>
      <c r="B2711" s="1" t="n">
        <v>45531.35479166666</v>
      </c>
      <c r="C2711" s="1" t="n">
        <v>45998</v>
      </c>
      <c r="D2711" t="inlineStr">
        <is>
          <t>VÄSTMANLANDS LÄN</t>
        </is>
      </c>
      <c r="E2711" t="inlineStr">
        <is>
          <t>SKINNSKATTEBERG</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23182-2022</t>
        </is>
      </c>
      <c r="B2712" s="1" t="n">
        <v>44719.79707175926</v>
      </c>
      <c r="C2712" s="1" t="n">
        <v>45998</v>
      </c>
      <c r="D2712" t="inlineStr">
        <is>
          <t>VÄSTMANLANDS LÄN</t>
        </is>
      </c>
      <c r="E2712" t="inlineStr">
        <is>
          <t>SALA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57371-2022</t>
        </is>
      </c>
      <c r="B2713" s="1" t="n">
        <v>44896.43832175926</v>
      </c>
      <c r="C2713" s="1" t="n">
        <v>45998</v>
      </c>
      <c r="D2713" t="inlineStr">
        <is>
          <t>VÄSTMANLANDS LÄN</t>
        </is>
      </c>
      <c r="E2713" t="inlineStr">
        <is>
          <t>SALA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10820-2025</t>
        </is>
      </c>
      <c r="B2714" s="1" t="n">
        <v>45722.55008101852</v>
      </c>
      <c r="C2714" s="1" t="n">
        <v>45998</v>
      </c>
      <c r="D2714" t="inlineStr">
        <is>
          <t>VÄSTMANLANDS LÄN</t>
        </is>
      </c>
      <c r="E2714" t="inlineStr">
        <is>
          <t>FAGERSTA</t>
        </is>
      </c>
      <c r="F2714" t="inlineStr">
        <is>
          <t>Sveaskog</t>
        </is>
      </c>
      <c r="G2714" t="n">
        <v>11.5</v>
      </c>
      <c r="H2714" t="n">
        <v>0</v>
      </c>
      <c r="I2714" t="n">
        <v>0</v>
      </c>
      <c r="J2714" t="n">
        <v>0</v>
      </c>
      <c r="K2714" t="n">
        <v>0</v>
      </c>
      <c r="L2714" t="n">
        <v>0</v>
      </c>
      <c r="M2714" t="n">
        <v>0</v>
      </c>
      <c r="N2714" t="n">
        <v>0</v>
      </c>
      <c r="O2714" t="n">
        <v>0</v>
      </c>
      <c r="P2714" t="n">
        <v>0</v>
      </c>
      <c r="Q2714" t="n">
        <v>0</v>
      </c>
      <c r="R2714" s="2" t="inlineStr"/>
    </row>
    <row r="2715" ht="15" customHeight="1">
      <c r="A2715" t="inlineStr">
        <is>
          <t>A 28394-2024</t>
        </is>
      </c>
      <c r="B2715" s="1" t="n">
        <v>45477.60447916666</v>
      </c>
      <c r="C2715" s="1" t="n">
        <v>45998</v>
      </c>
      <c r="D2715" t="inlineStr">
        <is>
          <t>VÄSTMANLANDS LÄN</t>
        </is>
      </c>
      <c r="E2715" t="inlineStr">
        <is>
          <t>KÖPING</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5505-2025</t>
        </is>
      </c>
      <c r="B2716" s="1" t="n">
        <v>45693.38986111111</v>
      </c>
      <c r="C2716" s="1" t="n">
        <v>45998</v>
      </c>
      <c r="D2716" t="inlineStr">
        <is>
          <t>VÄSTMANLANDS LÄN</t>
        </is>
      </c>
      <c r="E2716" t="inlineStr">
        <is>
          <t>SKINNSKATTEBERG</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29829-2024</t>
        </is>
      </c>
      <c r="B2717" s="1" t="n">
        <v>45485</v>
      </c>
      <c r="C2717" s="1" t="n">
        <v>45998</v>
      </c>
      <c r="D2717" t="inlineStr">
        <is>
          <t>VÄSTMANLANDS LÄN</t>
        </is>
      </c>
      <c r="E2717" t="inlineStr">
        <is>
          <t>SKINNSKATTEBERG</t>
        </is>
      </c>
      <c r="F2717" t="inlineStr">
        <is>
          <t>Sveaskog</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29831-2024</t>
        </is>
      </c>
      <c r="B2718" s="1" t="n">
        <v>45485.57574074074</v>
      </c>
      <c r="C2718" s="1" t="n">
        <v>45998</v>
      </c>
      <c r="D2718" t="inlineStr">
        <is>
          <t>VÄSTMANLANDS LÄN</t>
        </is>
      </c>
      <c r="E2718" t="inlineStr">
        <is>
          <t>SKINNSKATTEBERG</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14691-2022</t>
        </is>
      </c>
      <c r="B2719" s="1" t="n">
        <v>44655.92976851852</v>
      </c>
      <c r="C2719" s="1" t="n">
        <v>45998</v>
      </c>
      <c r="D2719" t="inlineStr">
        <is>
          <t>VÄSTMANLANDS LÄN</t>
        </is>
      </c>
      <c r="E2719" t="inlineStr">
        <is>
          <t>VÄSTERÅS</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7417-2025</t>
        </is>
      </c>
      <c r="B2720" s="1" t="n">
        <v>45705.37321759259</v>
      </c>
      <c r="C2720" s="1" t="n">
        <v>45998</v>
      </c>
      <c r="D2720" t="inlineStr">
        <is>
          <t>VÄSTMANLANDS LÄN</t>
        </is>
      </c>
      <c r="E2720" t="inlineStr">
        <is>
          <t>NORBERG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7437-2025</t>
        </is>
      </c>
      <c r="B2721" s="1" t="n">
        <v>45705</v>
      </c>
      <c r="C2721" s="1" t="n">
        <v>45998</v>
      </c>
      <c r="D2721" t="inlineStr">
        <is>
          <t>VÄSTMANLANDS LÄN</t>
        </is>
      </c>
      <c r="E2721" t="inlineStr">
        <is>
          <t>VÄSTERÅS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56548-2024</t>
        </is>
      </c>
      <c r="B2722" s="1" t="n">
        <v>45625</v>
      </c>
      <c r="C2722" s="1" t="n">
        <v>45998</v>
      </c>
      <c r="D2722" t="inlineStr">
        <is>
          <t>VÄSTMANLANDS LÄN</t>
        </is>
      </c>
      <c r="E2722" t="inlineStr">
        <is>
          <t>SALA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47086-2022</t>
        </is>
      </c>
      <c r="B2723" s="1" t="n">
        <v>44852</v>
      </c>
      <c r="C2723" s="1" t="n">
        <v>45998</v>
      </c>
      <c r="D2723" t="inlineStr">
        <is>
          <t>VÄSTMANLANDS LÄN</t>
        </is>
      </c>
      <c r="E2723" t="inlineStr">
        <is>
          <t>SALA</t>
        </is>
      </c>
      <c r="G2723" t="n">
        <v>12.5</v>
      </c>
      <c r="H2723" t="n">
        <v>0</v>
      </c>
      <c r="I2723" t="n">
        <v>0</v>
      </c>
      <c r="J2723" t="n">
        <v>0</v>
      </c>
      <c r="K2723" t="n">
        <v>0</v>
      </c>
      <c r="L2723" t="n">
        <v>0</v>
      </c>
      <c r="M2723" t="n">
        <v>0</v>
      </c>
      <c r="N2723" t="n">
        <v>0</v>
      </c>
      <c r="O2723" t="n">
        <v>0</v>
      </c>
      <c r="P2723" t="n">
        <v>0</v>
      </c>
      <c r="Q2723" t="n">
        <v>0</v>
      </c>
      <c r="R2723" s="2" t="inlineStr"/>
    </row>
    <row r="2724" ht="15" customHeight="1">
      <c r="A2724" t="inlineStr">
        <is>
          <t>A 26899-2021</t>
        </is>
      </c>
      <c r="B2724" s="1" t="n">
        <v>44349</v>
      </c>
      <c r="C2724" s="1" t="n">
        <v>45998</v>
      </c>
      <c r="D2724" t="inlineStr">
        <is>
          <t>VÄSTMANLANDS LÄN</t>
        </is>
      </c>
      <c r="E2724" t="inlineStr">
        <is>
          <t>NORBERG</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37798-2021</t>
        </is>
      </c>
      <c r="B2725" s="1" t="n">
        <v>44402</v>
      </c>
      <c r="C2725" s="1" t="n">
        <v>45998</v>
      </c>
      <c r="D2725" t="inlineStr">
        <is>
          <t>VÄSTMANLANDS LÄN</t>
        </is>
      </c>
      <c r="E2725" t="inlineStr">
        <is>
          <t>SURAHAMMAR</t>
        </is>
      </c>
      <c r="F2725" t="inlineStr">
        <is>
          <t>Kommuner</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56345-2023</t>
        </is>
      </c>
      <c r="B2726" s="1" t="n">
        <v>45243</v>
      </c>
      <c r="C2726" s="1" t="n">
        <v>45998</v>
      </c>
      <c r="D2726" t="inlineStr">
        <is>
          <t>VÄSTMANLANDS LÄN</t>
        </is>
      </c>
      <c r="E2726" t="inlineStr">
        <is>
          <t>ARBOGA</t>
        </is>
      </c>
      <c r="F2726" t="inlineStr">
        <is>
          <t>Kommuner</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73797-2021</t>
        </is>
      </c>
      <c r="B2727" s="1" t="n">
        <v>44552.67962962963</v>
      </c>
      <c r="C2727" s="1" t="n">
        <v>45998</v>
      </c>
      <c r="D2727" t="inlineStr">
        <is>
          <t>VÄSTMANLANDS LÄN</t>
        </is>
      </c>
      <c r="E2727" t="inlineStr">
        <is>
          <t>NORBERG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2854-2022</t>
        </is>
      </c>
      <c r="B2728" s="1" t="n">
        <v>44581</v>
      </c>
      <c r="C2728" s="1" t="n">
        <v>45998</v>
      </c>
      <c r="D2728" t="inlineStr">
        <is>
          <t>VÄSTMANLANDS LÄN</t>
        </is>
      </c>
      <c r="E2728" t="inlineStr">
        <is>
          <t>KÖPING</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10349-2021</t>
        </is>
      </c>
      <c r="B2729" s="1" t="n">
        <v>44257</v>
      </c>
      <c r="C2729" s="1" t="n">
        <v>45998</v>
      </c>
      <c r="D2729" t="inlineStr">
        <is>
          <t>VÄSTMANLANDS LÄN</t>
        </is>
      </c>
      <c r="E2729" t="inlineStr">
        <is>
          <t>ARBOGA</t>
        </is>
      </c>
      <c r="F2729" t="inlineStr">
        <is>
          <t>Sveaskog</t>
        </is>
      </c>
      <c r="G2729" t="n">
        <v>10.3</v>
      </c>
      <c r="H2729" t="n">
        <v>0</v>
      </c>
      <c r="I2729" t="n">
        <v>0</v>
      </c>
      <c r="J2729" t="n">
        <v>0</v>
      </c>
      <c r="K2729" t="n">
        <v>0</v>
      </c>
      <c r="L2729" t="n">
        <v>0</v>
      </c>
      <c r="M2729" t="n">
        <v>0</v>
      </c>
      <c r="N2729" t="n">
        <v>0</v>
      </c>
      <c r="O2729" t="n">
        <v>0</v>
      </c>
      <c r="P2729" t="n">
        <v>0</v>
      </c>
      <c r="Q2729" t="n">
        <v>0</v>
      </c>
      <c r="R2729" s="2" t="inlineStr"/>
    </row>
    <row r="2730" ht="15" customHeight="1">
      <c r="A2730" t="inlineStr">
        <is>
          <t>A 31880-2021</t>
        </is>
      </c>
      <c r="B2730" s="1" t="n">
        <v>44370</v>
      </c>
      <c r="C2730" s="1" t="n">
        <v>45998</v>
      </c>
      <c r="D2730" t="inlineStr">
        <is>
          <t>VÄSTMANLANDS LÄN</t>
        </is>
      </c>
      <c r="E2730" t="inlineStr">
        <is>
          <t>VÄSTERÅS</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28278-2024</t>
        </is>
      </c>
      <c r="B2731" s="1" t="n">
        <v>45477</v>
      </c>
      <c r="C2731" s="1" t="n">
        <v>45998</v>
      </c>
      <c r="D2731" t="inlineStr">
        <is>
          <t>VÄSTMANLANDS LÄN</t>
        </is>
      </c>
      <c r="E2731" t="inlineStr">
        <is>
          <t>SKINNSKATTEBERG</t>
        </is>
      </c>
      <c r="F2731" t="inlineStr">
        <is>
          <t>Sveaskog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38785-2021</t>
        </is>
      </c>
      <c r="B2732" s="1" t="n">
        <v>44410</v>
      </c>
      <c r="C2732" s="1" t="n">
        <v>45998</v>
      </c>
      <c r="D2732" t="inlineStr">
        <is>
          <t>VÄSTMANLANDS LÄN</t>
        </is>
      </c>
      <c r="E2732" t="inlineStr">
        <is>
          <t>ARBOGA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26072-2023</t>
        </is>
      </c>
      <c r="B2733" s="1" t="n">
        <v>45091.36854166666</v>
      </c>
      <c r="C2733" s="1" t="n">
        <v>45998</v>
      </c>
      <c r="D2733" t="inlineStr">
        <is>
          <t>VÄSTMANLANDS LÄN</t>
        </is>
      </c>
      <c r="E2733" t="inlineStr">
        <is>
          <t>NORBERG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16647-2025</t>
        </is>
      </c>
      <c r="B2734" s="1" t="n">
        <v>45754.38666666667</v>
      </c>
      <c r="C2734" s="1" t="n">
        <v>45998</v>
      </c>
      <c r="D2734" t="inlineStr">
        <is>
          <t>VÄSTMANLANDS LÄN</t>
        </is>
      </c>
      <c r="E2734" t="inlineStr">
        <is>
          <t>SKINNSKATTEBERG</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7380-2025</t>
        </is>
      </c>
      <c r="B2735" s="1" t="n">
        <v>45705.32150462963</v>
      </c>
      <c r="C2735" s="1" t="n">
        <v>45998</v>
      </c>
      <c r="D2735" t="inlineStr">
        <is>
          <t>VÄSTMANLANDS LÄN</t>
        </is>
      </c>
      <c r="E2735" t="inlineStr">
        <is>
          <t>FAGERSTA</t>
        </is>
      </c>
      <c r="F2735" t="inlineStr">
        <is>
          <t>Bergvik skog väst AB</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33785-2023</t>
        </is>
      </c>
      <c r="B2736" s="1" t="n">
        <v>45131</v>
      </c>
      <c r="C2736" s="1" t="n">
        <v>45998</v>
      </c>
      <c r="D2736" t="inlineStr">
        <is>
          <t>VÄSTMANLANDS LÄN</t>
        </is>
      </c>
      <c r="E2736" t="inlineStr">
        <is>
          <t>FAGERSTA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988-2025</t>
        </is>
      </c>
      <c r="B2737" s="1" t="n">
        <v>45666.44038194444</v>
      </c>
      <c r="C2737" s="1" t="n">
        <v>45998</v>
      </c>
      <c r="D2737" t="inlineStr">
        <is>
          <t>VÄSTMANLANDS LÄN</t>
        </is>
      </c>
      <c r="E2737" t="inlineStr">
        <is>
          <t>SALA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56936-2021</t>
        </is>
      </c>
      <c r="B2738" s="1" t="n">
        <v>44480</v>
      </c>
      <c r="C2738" s="1" t="n">
        <v>45998</v>
      </c>
      <c r="D2738" t="inlineStr">
        <is>
          <t>VÄSTMANLANDS LÄN</t>
        </is>
      </c>
      <c r="E2738" t="inlineStr">
        <is>
          <t>NORBERG</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13676-2022</t>
        </is>
      </c>
      <c r="B2739" s="1" t="n">
        <v>44648.67829861111</v>
      </c>
      <c r="C2739" s="1" t="n">
        <v>45998</v>
      </c>
      <c r="D2739" t="inlineStr">
        <is>
          <t>VÄSTMANLANDS LÄN</t>
        </is>
      </c>
      <c r="E2739" t="inlineStr">
        <is>
          <t>SKINNSKATTEBERG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5032-2025</t>
        </is>
      </c>
      <c r="B2740" s="1" t="n">
        <v>45691</v>
      </c>
      <c r="C2740" s="1" t="n">
        <v>45998</v>
      </c>
      <c r="D2740" t="inlineStr">
        <is>
          <t>VÄSTMANLANDS LÄN</t>
        </is>
      </c>
      <c r="E2740" t="inlineStr">
        <is>
          <t>SALA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30141-2022</t>
        </is>
      </c>
      <c r="B2741" s="1" t="n">
        <v>44757.48153935185</v>
      </c>
      <c r="C2741" s="1" t="n">
        <v>45998</v>
      </c>
      <c r="D2741" t="inlineStr">
        <is>
          <t>VÄSTMANLANDS LÄN</t>
        </is>
      </c>
      <c r="E2741" t="inlineStr">
        <is>
          <t>KÖPING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12950-2023</t>
        </is>
      </c>
      <c r="B2742" s="1" t="n">
        <v>45001</v>
      </c>
      <c r="C2742" s="1" t="n">
        <v>45998</v>
      </c>
      <c r="D2742" t="inlineStr">
        <is>
          <t>VÄSTMANLANDS LÄN</t>
        </is>
      </c>
      <c r="E2742" t="inlineStr">
        <is>
          <t>VÄSTERÅS</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26509-2022</t>
        </is>
      </c>
      <c r="B2743" s="1" t="n">
        <v>44739</v>
      </c>
      <c r="C2743" s="1" t="n">
        <v>45998</v>
      </c>
      <c r="D2743" t="inlineStr">
        <is>
          <t>VÄSTMANLANDS LÄN</t>
        </is>
      </c>
      <c r="E2743" t="inlineStr">
        <is>
          <t>FAGERSTA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40782-2022</t>
        </is>
      </c>
      <c r="B2744" s="1" t="n">
        <v>44824</v>
      </c>
      <c r="C2744" s="1" t="n">
        <v>45998</v>
      </c>
      <c r="D2744" t="inlineStr">
        <is>
          <t>VÄSTMANLANDS LÄN</t>
        </is>
      </c>
      <c r="E2744" t="inlineStr">
        <is>
          <t>VÄSTERÅS</t>
        </is>
      </c>
      <c r="F2744" t="inlineStr">
        <is>
          <t>Sveaskog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15812-2025</t>
        </is>
      </c>
      <c r="B2745" s="1" t="n">
        <v>45748.66613425926</v>
      </c>
      <c r="C2745" s="1" t="n">
        <v>45998</v>
      </c>
      <c r="D2745" t="inlineStr">
        <is>
          <t>VÄSTMANLANDS LÄN</t>
        </is>
      </c>
      <c r="E2745" t="inlineStr">
        <is>
          <t>FAGERSTA</t>
        </is>
      </c>
      <c r="F2745" t="inlineStr">
        <is>
          <t>Sveaskog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744-2025</t>
        </is>
      </c>
      <c r="B2746" s="1" t="n">
        <v>45665</v>
      </c>
      <c r="C2746" s="1" t="n">
        <v>45998</v>
      </c>
      <c r="D2746" t="inlineStr">
        <is>
          <t>VÄSTMANLANDS LÄN</t>
        </is>
      </c>
      <c r="E2746" t="inlineStr">
        <is>
          <t>ARBOGA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66908-2021</t>
        </is>
      </c>
      <c r="B2747" s="1" t="n">
        <v>44522</v>
      </c>
      <c r="C2747" s="1" t="n">
        <v>45998</v>
      </c>
      <c r="D2747" t="inlineStr">
        <is>
          <t>VÄSTMANLANDS LÄN</t>
        </is>
      </c>
      <c r="E2747" t="inlineStr">
        <is>
          <t>SALA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37198-2023</t>
        </is>
      </c>
      <c r="B2748" s="1" t="n">
        <v>45155.66938657407</v>
      </c>
      <c r="C2748" s="1" t="n">
        <v>45998</v>
      </c>
      <c r="D2748" t="inlineStr">
        <is>
          <t>VÄSTMANLANDS LÄN</t>
        </is>
      </c>
      <c r="E2748" t="inlineStr">
        <is>
          <t>NORBERG</t>
        </is>
      </c>
      <c r="F2748" t="inlineStr">
        <is>
          <t>Sveaskog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48205-2023</t>
        </is>
      </c>
      <c r="B2749" s="1" t="n">
        <v>45205</v>
      </c>
      <c r="C2749" s="1" t="n">
        <v>45998</v>
      </c>
      <c r="D2749" t="inlineStr">
        <is>
          <t>VÄSTMANLANDS LÄN</t>
        </is>
      </c>
      <c r="E2749" t="inlineStr">
        <is>
          <t>SURAHAMMAR</t>
        </is>
      </c>
      <c r="F2749" t="inlineStr">
        <is>
          <t>Allmännings- och besparingsskogar</t>
        </is>
      </c>
      <c r="G2749" t="n">
        <v>7.6</v>
      </c>
      <c r="H2749" t="n">
        <v>0</v>
      </c>
      <c r="I2749" t="n">
        <v>0</v>
      </c>
      <c r="J2749" t="n">
        <v>0</v>
      </c>
      <c r="K2749" t="n">
        <v>0</v>
      </c>
      <c r="L2749" t="n">
        <v>0</v>
      </c>
      <c r="M2749" t="n">
        <v>0</v>
      </c>
      <c r="N2749" t="n">
        <v>0</v>
      </c>
      <c r="O2749" t="n">
        <v>0</v>
      </c>
      <c r="P2749" t="n">
        <v>0</v>
      </c>
      <c r="Q2749" t="n">
        <v>0</v>
      </c>
      <c r="R2749" s="2" t="inlineStr"/>
    </row>
    <row r="2750" ht="15" customHeight="1">
      <c r="A2750" t="inlineStr">
        <is>
          <t>A 20151-2023</t>
        </is>
      </c>
      <c r="B2750" s="1" t="n">
        <v>45051</v>
      </c>
      <c r="C2750" s="1" t="n">
        <v>45998</v>
      </c>
      <c r="D2750" t="inlineStr">
        <is>
          <t>VÄSTMANLANDS LÄN</t>
        </is>
      </c>
      <c r="E2750" t="inlineStr">
        <is>
          <t>KÖPING</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38738-2021</t>
        </is>
      </c>
      <c r="B2751" s="1" t="n">
        <v>44410.59598379629</v>
      </c>
      <c r="C2751" s="1" t="n">
        <v>45998</v>
      </c>
      <c r="D2751" t="inlineStr">
        <is>
          <t>VÄSTMANLANDS LÄN</t>
        </is>
      </c>
      <c r="E2751" t="inlineStr">
        <is>
          <t>SKINNSKATTEBERG</t>
        </is>
      </c>
      <c r="F2751" t="inlineStr">
        <is>
          <t>Sveaskog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11696-2025</t>
        </is>
      </c>
      <c r="B2752" s="1" t="n">
        <v>45727</v>
      </c>
      <c r="C2752" s="1" t="n">
        <v>45998</v>
      </c>
      <c r="D2752" t="inlineStr">
        <is>
          <t>VÄSTMANLANDS LÄN</t>
        </is>
      </c>
      <c r="E2752" t="inlineStr">
        <is>
          <t>SALA</t>
        </is>
      </c>
      <c r="F2752" t="inlineStr">
        <is>
          <t>Bergvik skog öst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45797-2022</t>
        </is>
      </c>
      <c r="B2753" s="1" t="n">
        <v>44844</v>
      </c>
      <c r="C2753" s="1" t="n">
        <v>45998</v>
      </c>
      <c r="D2753" t="inlineStr">
        <is>
          <t>VÄSTMANLANDS LÄN</t>
        </is>
      </c>
      <c r="E2753" t="inlineStr">
        <is>
          <t>ARBOGA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29708-2024</t>
        </is>
      </c>
      <c r="B2754" s="1" t="n">
        <v>45485</v>
      </c>
      <c r="C2754" s="1" t="n">
        <v>45998</v>
      </c>
      <c r="D2754" t="inlineStr">
        <is>
          <t>VÄSTMANLANDS LÄN</t>
        </is>
      </c>
      <c r="E2754" t="inlineStr">
        <is>
          <t>SKINNSKATTEBERG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25804-2022</t>
        </is>
      </c>
      <c r="B2755" s="1" t="n">
        <v>44733</v>
      </c>
      <c r="C2755" s="1" t="n">
        <v>45998</v>
      </c>
      <c r="D2755" t="inlineStr">
        <is>
          <t>VÄSTMANLANDS LÄN</t>
        </is>
      </c>
      <c r="E2755" t="inlineStr">
        <is>
          <t>KÖPING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49311-2022</t>
        </is>
      </c>
      <c r="B2756" s="1" t="n">
        <v>44861</v>
      </c>
      <c r="C2756" s="1" t="n">
        <v>45998</v>
      </c>
      <c r="D2756" t="inlineStr">
        <is>
          <t>VÄSTMANLANDS LÄN</t>
        </is>
      </c>
      <c r="E2756" t="inlineStr">
        <is>
          <t>FAGERSTA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7385-2023</t>
        </is>
      </c>
      <c r="B2757" s="1" t="n">
        <v>44971</v>
      </c>
      <c r="C2757" s="1" t="n">
        <v>45998</v>
      </c>
      <c r="D2757" t="inlineStr">
        <is>
          <t>VÄSTMANLANDS LÄN</t>
        </is>
      </c>
      <c r="E2757" t="inlineStr">
        <is>
          <t>FAGERSTA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43509-2021</t>
        </is>
      </c>
      <c r="B2758" s="1" t="n">
        <v>44433</v>
      </c>
      <c r="C2758" s="1" t="n">
        <v>45998</v>
      </c>
      <c r="D2758" t="inlineStr">
        <is>
          <t>VÄSTMANLANDS LÄN</t>
        </is>
      </c>
      <c r="E2758" t="inlineStr">
        <is>
          <t>SALA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18785-2025</t>
        </is>
      </c>
      <c r="B2759" s="1" t="n">
        <v>45764</v>
      </c>
      <c r="C2759" s="1" t="n">
        <v>45998</v>
      </c>
      <c r="D2759" t="inlineStr">
        <is>
          <t>VÄSTMANLANDS LÄN</t>
        </is>
      </c>
      <c r="E2759" t="inlineStr">
        <is>
          <t>KÖPING</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18787-2025</t>
        </is>
      </c>
      <c r="B2760" s="1" t="n">
        <v>45764</v>
      </c>
      <c r="C2760" s="1" t="n">
        <v>45998</v>
      </c>
      <c r="D2760" t="inlineStr">
        <is>
          <t>VÄSTMANLANDS LÄN</t>
        </is>
      </c>
      <c r="E2760" t="inlineStr">
        <is>
          <t>KÖPING</t>
        </is>
      </c>
      <c r="F2760" t="inlineStr">
        <is>
          <t>Sveaskog</t>
        </is>
      </c>
      <c r="G2760" t="n">
        <v>9.699999999999999</v>
      </c>
      <c r="H2760" t="n">
        <v>0</v>
      </c>
      <c r="I2760" t="n">
        <v>0</v>
      </c>
      <c r="J2760" t="n">
        <v>0</v>
      </c>
      <c r="K2760" t="n">
        <v>0</v>
      </c>
      <c r="L2760" t="n">
        <v>0</v>
      </c>
      <c r="M2760" t="n">
        <v>0</v>
      </c>
      <c r="N2760" t="n">
        <v>0</v>
      </c>
      <c r="O2760" t="n">
        <v>0</v>
      </c>
      <c r="P2760" t="n">
        <v>0</v>
      </c>
      <c r="Q2760" t="n">
        <v>0</v>
      </c>
      <c r="R2760" s="2" t="inlineStr"/>
    </row>
    <row r="2761">
      <c r="A2761" t="inlineStr">
        <is>
          <t>A 503-2021</t>
        </is>
      </c>
      <c r="B2761" s="1" t="n">
        <v>44203</v>
      </c>
      <c r="C2761" s="1" t="n">
        <v>45998</v>
      </c>
      <c r="D2761" t="inlineStr">
        <is>
          <t>VÄSTMANLANDS LÄN</t>
        </is>
      </c>
      <c r="E2761" t="inlineStr">
        <is>
          <t>ARBOGA</t>
        </is>
      </c>
      <c r="G2761" t="n">
        <v>14.6</v>
      </c>
      <c r="H2761" t="n">
        <v>0</v>
      </c>
      <c r="I2761" t="n">
        <v>0</v>
      </c>
      <c r="J2761" t="n">
        <v>0</v>
      </c>
      <c r="K2761" t="n">
        <v>0</v>
      </c>
      <c r="L2761" t="n">
        <v>0</v>
      </c>
      <c r="M2761" t="n">
        <v>0</v>
      </c>
      <c r="N2761" t="n">
        <v>0</v>
      </c>
      <c r="O2761" t="n">
        <v>0</v>
      </c>
      <c r="P2761" t="n">
        <v>0</v>
      </c>
      <c r="Q2761" t="n">
        <v>0</v>
      </c>
      <c r="R2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2025-12-07T10:25:31Z</dcterms:created>
  <dcterms:modified xmlns:dcterms="http://purl.org/dc/terms/" xmlns:xsi="http://www.w3.org/2001/XMLSchema-instance" xsi:type="dcterms:W3CDTF">2025-12-07T10:25:34Z</dcterms:modified>
</cp:coreProperties>
</file>