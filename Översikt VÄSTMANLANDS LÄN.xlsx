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45846</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45846</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45846</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45846</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45846</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45846</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45846</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45846</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45846</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45846</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45846</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45846</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45846</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45846</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45846</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45846</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45846</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45846</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45846</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45846</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45846</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45846</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45846</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45846</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45846</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45846</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45846</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45846</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45846</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45846</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45846</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45846</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45846</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45846</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45846</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45846</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45846</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45846</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45846</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45846</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45846</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45846</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45846</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45846</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45846</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45846</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45846</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45846</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45846</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45846</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45846</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45846</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45846</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45846</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45846</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45846</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45846</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45846</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45846</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45846</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45846</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45846</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45846</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45846</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45846</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45846</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45846</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45846</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45846</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45846</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45846</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45846</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45846</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45846</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45846</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45846</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45846</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45846</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45846</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45846</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45846</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45846</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45846</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45846</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45846</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45846</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45846</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45846</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45846</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45846</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45846</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45846</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45846</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45846</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45846</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45846</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45846</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45846</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45846</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45846</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45846</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45846</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45846</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45846</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45846</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45846</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45846</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45846</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45846</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45846</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45846</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45846</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45846</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45846</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45846</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45846</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45846</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45846</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45846</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45846</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45846</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45846</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45846</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45846</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45846</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45846</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45846</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45846</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45846</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45846</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45846</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45846</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45846</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45846</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45846</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45846</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45846</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45846</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45846</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45846</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45846</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45846</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45846</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45846</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45846</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45846</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45846</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45846</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45846</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45846</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45846</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45846</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45846</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45846</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45846</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45846</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45846</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45846</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45846</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45846</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45846</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45846</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45846</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45846</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45846</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45846</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45846</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45846</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45846</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45846</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45846</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45846</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45846</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45846</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45846</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45846</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45846</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45846</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45846</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45846</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45846</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45846</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45846</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45846</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45846</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45846</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45846</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45846</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45846</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45846</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45846</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45846</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45846</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45846</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45846</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45846</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45846</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45846</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45846</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45846</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45846</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45846</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45846</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45846</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45846</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45846</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45846</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45846</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45846</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45846</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45846</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45846</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45846</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45846</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45846</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45846</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45846</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45846</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45846</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45846</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45846</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45846</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45846</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45846</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45846</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45846</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45846</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45846</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45846</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45846</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45846</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45846</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45846</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45846</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45846</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45846</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45846</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45846</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45846</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45846</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45846</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45846</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45846</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45846</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45846</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45846</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45846</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45846</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45846</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45846</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45846</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45846</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45846</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45846</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45846</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45846</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45846</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45846</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45846</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45846</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45846</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45846</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45846</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45846</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45846</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45846</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45846</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45846</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45846</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45846</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45846</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45846</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45846</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45846</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45846</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45846</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45846</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45846</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45846</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45846</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45846</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45846</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45846</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45846</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45846</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45846</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45846</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45846</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45846</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45846</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45846</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45846</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45846</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45846</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45846</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45846</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45846</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45846</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45846</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45846</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45846</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45846</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45846</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45846</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45846</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45846</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45846</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45846</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45846</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45846</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45846</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45846</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45846</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45846</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45846</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45846</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45846</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45846</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45846</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45846</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45846</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45846</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45846</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45846</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45846</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45846</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45846</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45846</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45846</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45846</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45846</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45846</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45846</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45846</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45846</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45846</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45846</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45846</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45846</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45846</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45846</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45846</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45846</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45846</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45846</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45846</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45846</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45846</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45846</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45846</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45846</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45846</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45846</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45846</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45846</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45846</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45846</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45846</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45846</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45846</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45846</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45846</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45846</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45846</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45846</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45846</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45846</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45846</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45846</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45846</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45846</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45846</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45846</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45846</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45846</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45846</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45846</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45846</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45846</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45846</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45846</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45846</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45846</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45846</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45846</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45846</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45846</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45846</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45846</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45846</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45846</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45846</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45846</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45846</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45846</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45846</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45846</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45846</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45846</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45846</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45846</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45846</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45846</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45846</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45846</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45846</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45846</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45846</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45846</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45846</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45846</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45846</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45846</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45846</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45846</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45846</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45846</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45846</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45846</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45846</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45846</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45846</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45846</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45846</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45846</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45846</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45846</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45846</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45846</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45846</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45846</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45846</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45846</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45846</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45846</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45846</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45846</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45846</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45846</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45846</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45846</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45846</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45846</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45846</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45846</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45846</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45846</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45846</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45846</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45846</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45846</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45846</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45846</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45846</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45846</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45846</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45846</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45846</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45846</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45846</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45846</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45846</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45846</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45846</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45846</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45846</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45846</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30986-2025</t>
        </is>
      </c>
      <c r="B480" s="1" t="n">
        <v>45832</v>
      </c>
      <c r="C480" s="1" t="n">
        <v>45846</v>
      </c>
      <c r="D480" t="inlineStr">
        <is>
          <t>VÄSTMANLANDS LÄN</t>
        </is>
      </c>
      <c r="E480" t="inlineStr">
        <is>
          <t>SKINNSKATTEBERG</t>
        </is>
      </c>
      <c r="F480" t="inlineStr">
        <is>
          <t>Sveaskog</t>
        </is>
      </c>
      <c r="G480" t="n">
        <v>6</v>
      </c>
      <c r="H480" t="n">
        <v>0</v>
      </c>
      <c r="I480" t="n">
        <v>1</v>
      </c>
      <c r="J480" t="n">
        <v>0</v>
      </c>
      <c r="K480" t="n">
        <v>0</v>
      </c>
      <c r="L480" t="n">
        <v>0</v>
      </c>
      <c r="M480" t="n">
        <v>0</v>
      </c>
      <c r="N480" t="n">
        <v>0</v>
      </c>
      <c r="O480" t="n">
        <v>0</v>
      </c>
      <c r="P480" t="n">
        <v>0</v>
      </c>
      <c r="Q480" t="n">
        <v>1</v>
      </c>
      <c r="R480" s="2" t="inlineStr">
        <is>
          <t>Toppvaxing</t>
        </is>
      </c>
      <c r="S480">
        <f>HYPERLINK("https://klasma.github.io/Logging_191904/artfynd/A 30986-2025 artfynd.xlsx", "A 30986-2025")</f>
        <v/>
      </c>
      <c r="T480">
        <f>HYPERLINK("https://klasma.github.io/Logging_191904/kartor/A 30986-2025 karta.png", "A 30986-2025")</f>
        <v/>
      </c>
      <c r="V480">
        <f>HYPERLINK("https://klasma.github.io/Logging_191904/klagomål/A 30986-2025 FSC-klagomål.docx", "A 30986-2025")</f>
        <v/>
      </c>
      <c r="W480">
        <f>HYPERLINK("https://klasma.github.io/Logging_191904/klagomålsmail/A 30986-2025 FSC-klagomål mail.docx", "A 30986-2025")</f>
        <v/>
      </c>
      <c r="X480">
        <f>HYPERLINK("https://klasma.github.io/Logging_191904/tillsyn/A 30986-2025 tillsynsbegäran.docx", "A 30986-2025")</f>
        <v/>
      </c>
      <c r="Y480">
        <f>HYPERLINK("https://klasma.github.io/Logging_191904/tillsynsmail/A 30986-2025 tillsynsbegäran mail.docx", "A 30986-2025")</f>
        <v/>
      </c>
    </row>
    <row r="481" ht="15" customHeight="1">
      <c r="A481" t="inlineStr">
        <is>
          <t>A 31006-2025</t>
        </is>
      </c>
      <c r="B481" s="1" t="n">
        <v>45832</v>
      </c>
      <c r="C481" s="1" t="n">
        <v>45846</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31706-2025</t>
        </is>
      </c>
      <c r="B482" s="1" t="n">
        <v>45834</v>
      </c>
      <c r="C482" s="1" t="n">
        <v>45846</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45846</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45846</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45846</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45846</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45846</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45846</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45846</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45846</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45846</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45846</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45846</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45846</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45846</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45846</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45846</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45846</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45846</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45846</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45846</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45846</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45846</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45846</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45846</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45846</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45846</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45846</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45846</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45846</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45846</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45846</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45846</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45846</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45846</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45846</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45846</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45846</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45846</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45846</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45846</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45846</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45846</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45846</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45846</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45846</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45846</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45846</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45846</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45846</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45846</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45846</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45846</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45846</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45846</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45846</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45846</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45846</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45846</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45846</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45846</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45846</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45846</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45846</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45846</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45846</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45846</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45846</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45846</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45846</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45846</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45846</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45846</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45846</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45846</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45846</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45846</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45846</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45846</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45846</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45846</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45846</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45846</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45846</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45846</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45846</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45846</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45846</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45846</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45846</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45846</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45846</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45846</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45846</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45846</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45846</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45846</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45846</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45846</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45846</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45846</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45846</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45846</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45846</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45846</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45846</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45846</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45846</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45846</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45846</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45846</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45846</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45846</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45846</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45846</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45846</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45846</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45846</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45846</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45846</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45846</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45846</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45846</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45846</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45846</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45846</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45846</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45846</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45846</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45846</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45846</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45846</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45846</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45846</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45846</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45846</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45846</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45846</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45846</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45846</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45846</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45846</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45846</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45846</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45846</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45846</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45846</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45846</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45846</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45846</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45846</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45846</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45846</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45846</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45846</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45846</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45846</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45846</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45846</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45846</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45846</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45846</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45846</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45846</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45846</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45846</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45846</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45846</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45846</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45846</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45846</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45846</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45846</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45846</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45846</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45846</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45846</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45846</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45846</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45846</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45846</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45846</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45846</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45846</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45846</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45846</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45846</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45846</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45846</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45846</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45846</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45846</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45846</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45846</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45846</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45846</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45846</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45846</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45846</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45846</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45846</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45846</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45846</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45846</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45846</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45846</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45846</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45846</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45846</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45846</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45846</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45846</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45846</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45846</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45846</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45846</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45846</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45846</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45846</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45846</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45846</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45846</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45846</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45846</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45846</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45846</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45846</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45846</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45846</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45846</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45846</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45846</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45846</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45846</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45846</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45846</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45846</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45846</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45846</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45846</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45846</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45846</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45846</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45846</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45846</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45846</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45846</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45846</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45846</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45846</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45846</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45846</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45846</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45846</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45846</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45846</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45846</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45846</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45846</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45846</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45846</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45846</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45846</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45846</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45846</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45846</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45846</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45846</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45846</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45846</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45846</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45846</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45846</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45846</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45846</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45846</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45846</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45846</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45846</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45846</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45846</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45846</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45846</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45846</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45846</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45846</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45846</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45846</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45846</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45846</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45846</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45846</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45846</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45846</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45846</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45846</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45846</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45846</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45846</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45846</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45846</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45846</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45846</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45846</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45846</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45846</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45846</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45846</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45846</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45846</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45846</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45846</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45846</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45846</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45846</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45846</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45846</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45846</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45846</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45846</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45846</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45846</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45846</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45846</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45846</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45846</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45846</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45846</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45846</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45846</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45846</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45846</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45846</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45846</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45846</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45846</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45846</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45846</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45846</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45846</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45846</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45846</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45846</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45846</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45846</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45846</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45846</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45846</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45846</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45846</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45846</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45846</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45846</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45846</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45846</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45846</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45846</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45846</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45846</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45846</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45846</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45846</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45846</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45846</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45846</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45846</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45846</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45846</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45846</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45846</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45846</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45846</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45846</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45846</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45846</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45846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45846</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45846</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45846</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45846</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45846</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45846</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45846</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45846</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45846</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45846</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45846</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45846</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45846</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45846</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45846</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45846</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45846</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45846</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45846</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45846</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45846</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45846</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45846</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45846</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45846</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45846</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45846</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45846</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45846</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45846</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45846</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45846</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45846</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45846</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45846</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45846</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45846</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45846</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45846</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45846</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45846</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45846</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45846</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45846</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45846</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45846</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45846</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45846</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45846</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45846</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45846</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45846</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45846</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45846</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45846</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45846</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45846</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45846</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45846</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45846</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45846</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45846</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45846</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45846</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45846</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45846</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45846</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45846</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45846</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45846</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45846</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45846</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45846</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45846</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45846</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45846</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45846</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45846</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45846</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45846</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45846</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45846</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45846</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45846</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45846</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45846</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45846</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45846</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45846</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45846</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45846</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45846</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45846</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45846</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45846</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45846</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45846</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45846</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45846</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45846</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45846</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45846</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45846</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45846</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45846</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45846</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45846</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45846</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45846</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45846</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45846</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45846</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45846</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45846</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45846</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45846</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45846</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45846</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45846</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45846</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45846</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45846</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45846</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45846</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45846</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45846</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45846</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45846</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45846</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45846</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45846</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45846</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45846</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45846</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45846</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45846</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45846</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45846</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45846</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45846</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45846</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45846</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45846</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45846</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45846</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45846</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45846</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45846</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45846</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45846</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45846</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45846</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45846</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45846</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45846</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45846</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45846</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45846</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45846</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45846</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45846</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45846</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45846</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45846</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45846</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45846</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45846</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45846</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45846</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45846</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45846</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45846</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45846</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45846</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45846</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45846</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45846</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45846</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45846</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45846</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45846</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45846</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45846</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45846</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45846</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45846</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45846</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45846</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45846</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45846</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45846</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45846</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45846</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45846</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45846</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45846</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45846</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45846</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45846</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45846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45846</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45846</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45846</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45846</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45846</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45846</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45846</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45846</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45846</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45846</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45846</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45846</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45846</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45846</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45846</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45846</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45846</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45846</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45846</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45846</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45846</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45846</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45846</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45846</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45846</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45846</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45846</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45846</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45846</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45846</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45846</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45846</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45846</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45846</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45846</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45846</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45846</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45846</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45846</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45846</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45846</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45846</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45846</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45846</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45846</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45846</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45846</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45846</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45846</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45846</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45846</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45846</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45846</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45846</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45846</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45846</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45846</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45846</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45846</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45846</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45846</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45846</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45846</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45846</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45846</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45846</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45846</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45846</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45846</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45846</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45846</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45846</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45846</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45846</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45846</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45846</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45846</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45846</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45846</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45846</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45846</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45846</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45846</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45846</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45846</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45846</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45846</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45846</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45846</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45846</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45846</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45846</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45846</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45846</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45846</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45846</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45846</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45846</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45846</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45846</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45846</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45846</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45846</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45846</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45846</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45846</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45846</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45846</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45846</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45846</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45846</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45846</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45846</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45846</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45846</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45846</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45846</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45846</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45846</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45846</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45846</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45846</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45846</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45846</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45846</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45846</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45846</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45846</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45846</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45846</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45846</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45846</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45846</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45846</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45846</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45846</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45846</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45846</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45846</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45846</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45846</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45846</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45846</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45846</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45846</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45846</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45846</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45846</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45846</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45846</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45846</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45846</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45846</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45846</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45846</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45846</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45846</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45846</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45846</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45846</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45846</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45846</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45846</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45846</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45846</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45846</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45846</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45846</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45846</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45846</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45846</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45846</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45846</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45846</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45846</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45846</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45846</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45846</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45846</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45846</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45846</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45846</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45846</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45846</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45846</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45846</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45846</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45846</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45846</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45846</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45846</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45846</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45846</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45846</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45846</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45846</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45846</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45846</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45846</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45846</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45846</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45846</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45846</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45846</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45846</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45846</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45846</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45846</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45846</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45846</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45846</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45846</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45846</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45846</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45846</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45846</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45846</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45846</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45846</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45846</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45846</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45846</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45846</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45846</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45846</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45846</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45846</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45846</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45846</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45846</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45846</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45846</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45846</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45846</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45846</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45846</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45846</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45846</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45846</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45846</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45846</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45846</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45846</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45846</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45846</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45846</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45846</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45846</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45846</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45846</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45846</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45846</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45846</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45846</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45846</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45846</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45846</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45846</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45846</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45846</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45846</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45846</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45846</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45846</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45846</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45846</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45846</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45846</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45846</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45846</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45846</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45846</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45846</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45846</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45846</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45846</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45846</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45846</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45846</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45846</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45846</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45846</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45846</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45846</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45846</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45846</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45846</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45846</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45846</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45846</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45846</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45846</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45846</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45846</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45846</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45846</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45846</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45846</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45846</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45846</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45846</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45846</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45846</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45846</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45846</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45846</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45846</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45846</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45846</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45846</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45846</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45846</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45846</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45846</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45846</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45846</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45846</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45846</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45846</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45846</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45846</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45846</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45846</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45846</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45846</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45846</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45846</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45846</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45846</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45846</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45846</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45846</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45846</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45846</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45846</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45846</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45846</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45846</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45846</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45846</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45846</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45846</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45846</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45846</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45846</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45846</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45846</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45846</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45846</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45846</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45846</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45846</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45846</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45846</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45846</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45846</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45846</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45846</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45846</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45846</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45846</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45846</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45846</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45846</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45846</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45846</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45846</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45846</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45846</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45846</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45846</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45846</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45846</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45846</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45846</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45846</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45846</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45846</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45846</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45846</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45846</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45846</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45846</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45846</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45846</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45846</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45846</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45846</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45846</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45846</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45846</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45846</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45846</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45846</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45846</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45846</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45846</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45846</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45846</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45846</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45846</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45846</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45846</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45846</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45846</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45846</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45846</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45846</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45846</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45846</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45846</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45846</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45846</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45846</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45846</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45846</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45846</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45846</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45846</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45846</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45846</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45846</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45846</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45846</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45846</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45846</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45846</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45846</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45846</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45846</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45846</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45846</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45846</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45846</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45846</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45846</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45846</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45846</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45846</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45846</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45846</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45846</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45846</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45846</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45846</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45846</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45846</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45846</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45846</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45846</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45846</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45846</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45846</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45846</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45846</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45846</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45846</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45846</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45846</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45846</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45846</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45846</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45846</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45846</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45846</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45846</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45846</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45846</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45846</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45846</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45846</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45846</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45846</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45846</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45846</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45846</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45846</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45846</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45846</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45846</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45846</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45846</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45846</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45846</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45846</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45846</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45846</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45846</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45846</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45846</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45846</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45846</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45846</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45846</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45846</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45846</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45846</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45846</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45846</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45846</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45846</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45846</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45846</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45846</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45846</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45846</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45846</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45846</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45846</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45846</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45846</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45846</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45846</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45846</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45846</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45846</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45846</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45846</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45846</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45846</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45846</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45846</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45846</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45846</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45846</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45846</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45846</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45846</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45846</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45846</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45846</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45846</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45846</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45846</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45846</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45846</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45846</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45846</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45846</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45846</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45846</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45846</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45846</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45846</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45846</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45846</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45846</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45846</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45846</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45846</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45846</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45846</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45846</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45846</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45846</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45846</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45846</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45846</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45846</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45846</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45846</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45846</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45846</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45846</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45846</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45846</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45846</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45846</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45846</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45846</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45846</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45846</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45846</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45846</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45846</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45846</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45846</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45846</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45846</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45846</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45846</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45846</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45846</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45846</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45846</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45846</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45846</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45846</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45846</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45846</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45846</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45846</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45846</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45846</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45846</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45846</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45846</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45846</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45846</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45846</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45846</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45846</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45846</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45846</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45846</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45846</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45846</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45846</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45846</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45846</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45846</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45846</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45846</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45846</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45846</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45846</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45846</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45846</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45846</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45846</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45846</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45846</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45846</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45846</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45846</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45846</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45846</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45846</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45846</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45846</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45846</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45846</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45846</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45846</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45846</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45846</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45846</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45846</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45846</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45846</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45846</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45846</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45846</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45846</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45846</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45846</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45846</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45846</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45846</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45846</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45846</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45846</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45846</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45846</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45846</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45846</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45846</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45846</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45846</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45846</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45846</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45846</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45846</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45846</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45846</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45846</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45846</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45846</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45846</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45846</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45846</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45846</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45846</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45846</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45846</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45846</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45846</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45846</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45846</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45846</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45846</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45846</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45846</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45846</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45846</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45846</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45846</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45846</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45846</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45846</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45846</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45846</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45846</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45846</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45846</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45846</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45846</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45846</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45846</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45846</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45846</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45846</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45846</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45846</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45846</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45846</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45846</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45846</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45846</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45846</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45846</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45846</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45846</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45846</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45846</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45846</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45846</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45846</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45846</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45846</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45846</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45846</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45846</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45846</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45846</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45846</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45846</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45846</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45846</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45846</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45846</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45846</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45846</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45846</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45846</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45846</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45846</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45846</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45846</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45846</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45846</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45846</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45846</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45846</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45846</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45846</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45846</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45846</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45846</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45846</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45846</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45846</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45846</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45846</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45846</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45846</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45846</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45846</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45846</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45846</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45846</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45846</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45846</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45846</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45846</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45846</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45846</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45846</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45846</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45846</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45846</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45846</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45846</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45846</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45846</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45846</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45846</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45846</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45846</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45846</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45846</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45846</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45846</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45846</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45846</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45846</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45846</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45846</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45846</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45846</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45846</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45846</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45846</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45846</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45846</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45846</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45846</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45846</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45846</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45846</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45846</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45846</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45846</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45846</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45846</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45846</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45846</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45846</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45846</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45846</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45846</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45846</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45846</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45846</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45846</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45846</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45846</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45846</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45846</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45846</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45846</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45846</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45846</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45846</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45846</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45846</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45846</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45846</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45846</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45846</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45846</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45846</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45846</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45846</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45846</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45846</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45846</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45846</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45846</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45846</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45846</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45846</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45846</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45846</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45846</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45846</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45846</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45846</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45846</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45846</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45846</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45846</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45846</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45846</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45846</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45846</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45846</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45846</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45846</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45846</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45846</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45846</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45846</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45846</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45846</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45846</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45846</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45846</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45846</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45846</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45846</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45846</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45846</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45846</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45846</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45846</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45846</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45846</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45846</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45846</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45846</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45846</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45846</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45846</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45846</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45846</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45846</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45846</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45846</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45846</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45846</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45846</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45846</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45846</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45846</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45846</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45846</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45846</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45846</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45846</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45846</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45846</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45846</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45846</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45846</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45846</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45846</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45846</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45846</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45846</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45846</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45846</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45846</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45846</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45846</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45846</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45846</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45846</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45846</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45846</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45846</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45846</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45846</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45846</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45846</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45846</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45846</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45846</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45846</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45846</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45846</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45846</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45846</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45846</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45846</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45846</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45846</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45846</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45846</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45846</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45846</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45846</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45846</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45846</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45846</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45846</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45846</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45846</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45846</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45846</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45846</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45846</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45846</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45846</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45846</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45846</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45846</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45846</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45846</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45846</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45846</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45846</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45846</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45846</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45846</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45846</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45846</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45846</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45846</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45846</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45846</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45846</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45846</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45846</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45846</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45846</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45846</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45846</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45846</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45846</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45846</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45846</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45846</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45846</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45846</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45846</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45846</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45846</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45846</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45846</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45846</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45846</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45846</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45846</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45846</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45846</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45846</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45846</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45846</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45846</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45846</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45846</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45846</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45846</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45846</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45846</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45846</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45846</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45846</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45846</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45846</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45846</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45846</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45846</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45846</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45846</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45846</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45846</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45846</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45846</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45846</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45846</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45846</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45846</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45846</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45846</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45846</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45846</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45846</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45846</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45846</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45846</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45846</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45846</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45846</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45846</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45846</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45846</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45846</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45846</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45846</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45846</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45846</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45846</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45846</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45846</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45846</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45846</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45846</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45846</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45846</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45846</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45846</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45846</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45846</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45846</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45846</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45846</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45846</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45846</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45846</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45846</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45846</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45846</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45846</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45846</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45846</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45846</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45846</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45846</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45846</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45846</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45846</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45846</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45846</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45846</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45846</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45846</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45846</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45846</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45846</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45846</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45846</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45846</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45846</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45846</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45846</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45846</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45846</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45846</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45846</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45846</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45846</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45846</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45846</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45846</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45846</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45846</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45846</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45846</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45846</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45846</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45846</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45846</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45846</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45846</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45846</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45846</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45846</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45846</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45846</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45846</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45846</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45846</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45846</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45846</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45846</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45846</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45846</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45846</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45846</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45846</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45846</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45846</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45846</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45846</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45846</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45846</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45846</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45846</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45846</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45846</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45846</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45846</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45846</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45846</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45846</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45846</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45846</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45846</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45846</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45846</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45846</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45846</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45846</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45846</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45846</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45846</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45846</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45846</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45846</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45846</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45846</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45846</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45846</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45846</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45846</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45846</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45846</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45846</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45846</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45846</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45846</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45846</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45846</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45846</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45846</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45846</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45846</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45846</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45846</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45846</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45846</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45846</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45846</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45846</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45846</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45846</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45846</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45846</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45846</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45846</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45846</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45846</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45846</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45846</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45846</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45846</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45846</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45846</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45846</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45846</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45846</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45846</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45846</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45846</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45846</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45846</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45846</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45846</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45846</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45846</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45846</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45846</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45846</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45846</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45846</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45846</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45846</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45846</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45846</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45846</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45846</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45846</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45846</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45846</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45846</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45846</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45846</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45846</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45846</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45846</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45846</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45846</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45846</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45846</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45846</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45846</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45846</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45846</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45846</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45846</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45846</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45846</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45846</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45846</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45846</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45846</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45846</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45846</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45846</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45846</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45846</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45846</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45846</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45846</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45846</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45846</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45846</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45846</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45846</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45846</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45846</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45846</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45846</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45846</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45846</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45846</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45846</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45846</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45846</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45846</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45846</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45846</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45846</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45846</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45846</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45846</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45846</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45846</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45846</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45846</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45846</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45846</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45846</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45846</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45846</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45846</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45846</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45846</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45846</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45846</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45846</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45846</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45846</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45846</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45846</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45846</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45846</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45846</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45846</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45846</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45846</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45846</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45846</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45846</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45846</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45846</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45846</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45846</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45846</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45846</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45846</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45846</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45846</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45846</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45846</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45846</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45846</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45846</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45846</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45846</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45846</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45846</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45846</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45846</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45846</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45846</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45846</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45846</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45846</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45846</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45846</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45846</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45846</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45846</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45846</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45846</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45846</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45846</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45846</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45846</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45846</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45846</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45846</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45846</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45846</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45846</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45846</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45846</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45846</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45846</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45846</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45846</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45846</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45846</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45846</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45846</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45846</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45846</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45846</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45846</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45846</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45846</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45846</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45846</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45846</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45846</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45846</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45846</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45846</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45846</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45846</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45846</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45846</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45846</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45846</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45846</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45846</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45846</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45846</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45846</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45846</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45846</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45846</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45846</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45846</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45846</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45846</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45846</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45846</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45846</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45846</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45846</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45846</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45846</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45846</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45846</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45846</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45846</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45846</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45846</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45846</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45846</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45846</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45846</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45846</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45846</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45846</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45846</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45846</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45846</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45846</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45846</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45846</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45846</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45846</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45846</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45846</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45846</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45846</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45846</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45846</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45846</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45846</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45846</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45846</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45846</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45846</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45846</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45846</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45846</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45846</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45846</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45846</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45846</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45846</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45846</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45846</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45846</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45846</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45846</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45846</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45846</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45846</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45846</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45846</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45846</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45846</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45846</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45846</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45846</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45846</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45846</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45846</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45846</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45846</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45846</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45846</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45846</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45846</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45846</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45846</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45846</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45846</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45846</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45846</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45846</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45846</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45846</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45846</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45846</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45846</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45846</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45846</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45846</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45846</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45846</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45846</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45846</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45846</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45846</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45846</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45846</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45846</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45846</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45846</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45846</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45846</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45846</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45846</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45846</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45846</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45846</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45846</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45846</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45846</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45846</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45846</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45846</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45846</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45846</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45846</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45846</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45846</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45846</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45846</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45846</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45846</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45846</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45846</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45846</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45846</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45846</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45846</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45846</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45846</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45846</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45846</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45846</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45846</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45846</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45846</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45846</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45846</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45846</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45846</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45846</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45846</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45846</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45846</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45846</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45846</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45846</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45846</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45846</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45846</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45846</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45846</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45846</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45846</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45846</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45846</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45846</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45846</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45846</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45846</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45846</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45846</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45846</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45846</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45846</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45846</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45846</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45846</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45846</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45846</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45846</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45846</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45846</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45846</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45846</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45846</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45846</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45846</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45846</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45846</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45846</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45846</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45846</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45846</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45846</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45846</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45846</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45846</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45846</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45846</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45846</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45846</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45846</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45846</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45846</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45846</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45846</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45846</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45846</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45846</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45846</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45846</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45846</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45846</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45846</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45846</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45846</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45846</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45846</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45846</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45846</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45846</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45846</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45846</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45846</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45846</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45846</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45846</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45846</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45846</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45846</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45846</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45846</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45846</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45846</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45846</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45846</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45846</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45846</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45846</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45846</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45846</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45846</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45846</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45846</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45846</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45846</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45846</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45846</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45846</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45846</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45846</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45846</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45846</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45846</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45846</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45846</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45846</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45846</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45846</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45846</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45846</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45846</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45846</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45846</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45846</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45846</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45846</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45846</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45846</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45846</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45846</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45846</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45846</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45846</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45846</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45846</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45846</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45846</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45846</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45846</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45846</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45846</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45846</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45846</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45846</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45846</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45846</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45846</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45846</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45846</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45846</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45846</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45846</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45846</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45846</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45846</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45846</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45846</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45846</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45846</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45846</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45846</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45846</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45846</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45846</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45846</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45846</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45846</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45846</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45846</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45846</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45846</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45846</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45846</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45846</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45846</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45846</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45846</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45846</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45846</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45846</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45846</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45846</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45846</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45846</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45846</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45846</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45846</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45846</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45846</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45846</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45846</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45846</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45846</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45846</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45846</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45846</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45846</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45846</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45846</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45846</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45846</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45846</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45846</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45846</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45846</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45846</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45846</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45846</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45846</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45846</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45846</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45846</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45846</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45846</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45846</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45846</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45846</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45846</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45846</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45846</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45846</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45846</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45846</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45846</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45846</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45846</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45846</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45846</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45846</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45846</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45846</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45846</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45846</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45846</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45846</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45846</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45846</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45846</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45846</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45846</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45846</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45846</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45846</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45846</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45846</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45846</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45846</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45846</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45846</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45846</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45846</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45846</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45846</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45846</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45846</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45846</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45846</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45846</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45846</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45846</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45846</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45846</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45846</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45846</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45846</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45846</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45846</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45846</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45846</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45846</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45846</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45846</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45846</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45846</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45846</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45846</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45846</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45846</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45846</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45846</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45846</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45846</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45846</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45846</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45846</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45846</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45846</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45846</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45846</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45846</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45846</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45846</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45846</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45846</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45846</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45846</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45846</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45846</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45846</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45846</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45846</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45846</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45846</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45846</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45846</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45846</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45846</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45846</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45846</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45846</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45846</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45846</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45846</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45846</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45846</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45846</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45846</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45846</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45846</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45846</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45846</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45846</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45846</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45846</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45846</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45846</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45846</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45846</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45846</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45846</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45846</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45846</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45846</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45846</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45846</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45846</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45846</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45846</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45846</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45846</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45846</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45846</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45846</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45846</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45846</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45846</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45846</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45846</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45846</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45846</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45846</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45846</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45846</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45846</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45846</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45846</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45846</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45846</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45846</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45846</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45846</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45846</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45846</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45846</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45846</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45846</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45846</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45846</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45846</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45846</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45846</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45846</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45846</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45846</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45846</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45846</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45846</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45846</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45846</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45846</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45846</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45846</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45846</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45846</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45846</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45846</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45846</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45846</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45846</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45846</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45846</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45846</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45846</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45846</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45846</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45846</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45846</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45846</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45846</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45846</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45846</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45846</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45846</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45846</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45846</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45846</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45846</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45846</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45846</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45846</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45846</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45846</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45846</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45846</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45846</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45846</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45846</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45846</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45846</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45846</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45846</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45846</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45846</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45846</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45846</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45846</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45846</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45846</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45846</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45846</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45846</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45846</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45846</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45846</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45846</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45846</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45846</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45846</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45846</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45846</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45846</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45846</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45846</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45846</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45846</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45846</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45846</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45846</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45846</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45846</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45846</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45846</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45846</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45846</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45846</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45846</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45846</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45846</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45846</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45846</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45846</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45846</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45846</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45846</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45846</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45846</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45846</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45846</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45846</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45846</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45846</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45846</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45846</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45846</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45846</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45846</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45846</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45846</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45846</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45846</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45846</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45846</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45846</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45846</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45846</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45846</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45846</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45846</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45846</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45846</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45846</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45846</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45846</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45846</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45846</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45846</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45846</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45846</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45846</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45846</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45846</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45846</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45846</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45846</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45846</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45846</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45846</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45846</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45846</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45846</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45846</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45846</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45846</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45846</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45846</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45846</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45846</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45846</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45846</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45846</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45846</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45846</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45846</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45846</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45846</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45846</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45846</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45846</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45846</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45846</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45846</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45846</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45846</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45846</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45846</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45846</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45846</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45846</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45846</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45846</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45846</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45846</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45846</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45846</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45846</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45846</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45846</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45846</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45846</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45846</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45846</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45846</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45846</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45846</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45846</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45846</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45846</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45846</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45846</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45846</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45846</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45846</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45846</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45846</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45846</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45846</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45846</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45846</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45846</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45846</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45846</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45846</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45846</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45846</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45846</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45846</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45846</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45846</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45846</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45846</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45846</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45846</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45846</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45846</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45846</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45846</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45846</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45846</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45846</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45846</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45846</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45846</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45846</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45846</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45846</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45846</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45846</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45846</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45846</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45846</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45846</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45846</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45846</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45846</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45846</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45846</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45846</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45846</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45846</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45846</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45846</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45846</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45846</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45846</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45846</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45846</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45846</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45846</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45846</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45846</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45846</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45846</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45846</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45846</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45846</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45846</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45846</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45846</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45846</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45846</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45846</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45846</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45846</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45846</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45846</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45846</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45846</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45846</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45846</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45846</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45846</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45846</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45846</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45846</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45846</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45846</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45846</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45846</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45846</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45846</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45846</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45846</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45846</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45846</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45846</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45846</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45846</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45846</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45846</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45846</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45846</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45846</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45846</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45846</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45846</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45846</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45846</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45846</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45846</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45846</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45846</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45846</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45846</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45846</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45846</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45846</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45846</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45846</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45846</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45846</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45846</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45846</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45846</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45846</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45846</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45846</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45846</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45846</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45846</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45846</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45846</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45846</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45846</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45846</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45846</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45846</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45846</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45846</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45846</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45846</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45846</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45846</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45846</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45846</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45846</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45846</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45846</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45846</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45846</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45846</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45846</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45846</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45846</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45846</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45846</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45846</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45846</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45846</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45846</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45846</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45846</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45846</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45846</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45846</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45846</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45846</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45846</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45846</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45846</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45846</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45846</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45846</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45846</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45846</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45846</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45846</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45846</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45846</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45846</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45846</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45846</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45846</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45846</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45846</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45846</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45846</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45846</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45846</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45846</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45846</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45846</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45846</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45846</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45846</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45846</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45846</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45846</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45846</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45846</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45846</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45846</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45846</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45846</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45846</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45846</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45846</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45846</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45846</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45846</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45846</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45846</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45846</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45846</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45846</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45846</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45846</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45846</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45846</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45846</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45846</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45846</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45846</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45846</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45846</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45846</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45846</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45846</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45846</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45846</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45846</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45846</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45846</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45846</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45846</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45846</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45846</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45846</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45846</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45846</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45846</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45846</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45846</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45846</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45846</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45846</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45846</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45846</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45846</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45846</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45846</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45846</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45846</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45846</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45846</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45846</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45846</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45846</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45846</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45846</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45846</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45846</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45846</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45846</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45846</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45846</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45846</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45846</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45846</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45846</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45846</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45846</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45846</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45846</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45846</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45846</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45846</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45846</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45846</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45846</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45846</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45846</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45846</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45846</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45846</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45846</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45846</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45846</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45846</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45846</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45846</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45846</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45846</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45846</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45846</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45846</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45846</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45846</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45846</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45846</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45846</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45846</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45846</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45846</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45846</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45846</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45846</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45846</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45846</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45846</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45846</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45846</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45846</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45846</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45846</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45846</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45846</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45846</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45846</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45846</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45846</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45846</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45846</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45846</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45846</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45846</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45846</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45846</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45846</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45846</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45846</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45846</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45846</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45846</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45846</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45846</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45846</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45846</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45846</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45846</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45846</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45846</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45846</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45846</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45846</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45846</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45846</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45846</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45846</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45846</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45846</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45846</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45846</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45846</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45846</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45846</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45846</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45846</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45846</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45846</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45846</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45846</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45846</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45846</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45846</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45846</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45846</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45846</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45846</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45846</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45846</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45846</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45846</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45846</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45846</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45846</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45846</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45846</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45846</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45846</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45846</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45846</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45846</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45846</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45846</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45846</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45846</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45846</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45846</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45846</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45846</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45846</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45846</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45846</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45846</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45846</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45846</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45846</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45846</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45846</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45846</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45846</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45846</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45846</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45846</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45846</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45846</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45846</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45846</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45846</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45846</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45846</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45846</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45846</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45846</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45846</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45846</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45846</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45846</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45846</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45846</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45846</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45846</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45846</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45846</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45846</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45846</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45846</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45846</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45846</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45846</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45846</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45846</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45846</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45846</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45846</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45846</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45846</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45846</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45846</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45846</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45846</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45846</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45846</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45846</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45846</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45846</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45846</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45846</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45846</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45846</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45846</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45846</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45846</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45846</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45846</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45846</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45846</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45846</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45846</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45846</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45846</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45846</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45846</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45846</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45846</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45846</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45846</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45846</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45846</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45846</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45846</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45846</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45846</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45846</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45846</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45846</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45846</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45846</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45846</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45846</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45846</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45846</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45846</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45846</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45846</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45846</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45846</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45846</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45846</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45846</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45846</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45846</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45846</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45846</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45846</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45846</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45846</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45846</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45846</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45846</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45846</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45846</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45846</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45846</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45846</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45846</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45846</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45846</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45846</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45846</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45846</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45846</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45846</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45846</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45846</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45846</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45846</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45846</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45846</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45846</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45846</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45846</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45846</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45846</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45846</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45846</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45846</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45846</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45846</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45846</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45846</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45846</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45846</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45846</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45846</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45846</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45846</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45846</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45846</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45846</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45846</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45846</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45846</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45846</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45846</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45846</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45846</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45846</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45846</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45846</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45846</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45846</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45846</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45846</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45846</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45846</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45846</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45846</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45846</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45846</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45846</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45846</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45846</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45846</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45846</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45846</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45846</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45846</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45846</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45846</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45846</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45846</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45846</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45846</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45846</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45846</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45846</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45846</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45846</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45846</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45846</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45846</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45846</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45846</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45846</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45846</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45846</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45846</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45846</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45846</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45846</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45846</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45846</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45846</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45846</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45846</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45846</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45846</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45846</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45846</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45846</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45846</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45846</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45846</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45846</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45846</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45846</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45846</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45846</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45846</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45846</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45846</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45846</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45846</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45846</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45846</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45846</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45846</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45846</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45846</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45846</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45846</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45846</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45846</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45846</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45846</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45846</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45846</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45846</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45846</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45846</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45846</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45846</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45846</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45846</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45846</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45846</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45846</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45846</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45846</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45846</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45846</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45846</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45846</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45846</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45846</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45846</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45846</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45846</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45846</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45846</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45846</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45846</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45846</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45846</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45846</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45846</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45846</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45846</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45846</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45846</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45846</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45846</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45846</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45846</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45846</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45846</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45846</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45846</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45846</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45846</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45846</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45846</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45846</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45846</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45846</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45846</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45846</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45846</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45846</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45846</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45846</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45846</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45846</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45846</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45846</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45846</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45846</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45846</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45846</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45846</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45846</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45846</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45846</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45846</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45846</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45846</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45846</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45846</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45846</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45846</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45846</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45846</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45846</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45846</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45846</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45846</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45846</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45846</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45846</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45846</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45846</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45846</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45846</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45846</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45846</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45846</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45846</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45846</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45846</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45846</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45846</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45846</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45846</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45846</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45846</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45846</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45846</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45846</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45846</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45846</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45846</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45846</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45846</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45846</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45846</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45846</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45846</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45846</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45846</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45846</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45846</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45846</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45846</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45846</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45846</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45846</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45846</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45846</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45846</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45846</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45846</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45846</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45846</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45846</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45846</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45846</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45846</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45846</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45846</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45846</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45846</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45846</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45846</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45846</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45846</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45846</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45846</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45846</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45846</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45846</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45846</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45846</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45846</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45846</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45846</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45846</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45846</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45846</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45846</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45846</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45846</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45846</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45846</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45846</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45846</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45846</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45846</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45846</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45846</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45846</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45846</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45846</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45846</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45846</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45846</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45846</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45846</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45846</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45846</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45846</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45846</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45846</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45846</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45846</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45846</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45846</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45846</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45846</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45846</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45846</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45846</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45846</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45846</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45846</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45846</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45846</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45846</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45846</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45846</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45846</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45846</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45846</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45846</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45846</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45846</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45846</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45846</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45846</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45846</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45846</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45846</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45846</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45846</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45846</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45846</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45846</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45846</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45846</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45846</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45846</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45846</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45846</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45846</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45846</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45846</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45846</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45846</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45846</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45846</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45846</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45846</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45846</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45846</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45846</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45846</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45846</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45846</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45846</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45846</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45846</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45846</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45846</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45846</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45846</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45846</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45846</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45846</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45846</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45846</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45846</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45846</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45846</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45846</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45846</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45846</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45846</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45846</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45846</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45846</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45846</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45846</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45846</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45846</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45846</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45846</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45846</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45846</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45846</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45846</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45846</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45846</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45846</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45846</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45846</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45846</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45846</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45846</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45846</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45846</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45846</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45846</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45846</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45846</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45846</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45846</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45846</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45846</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45846</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45846</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45846</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45846</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45846</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45846</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45846</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45846</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45846</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45846</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45846</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45846</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45846</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45846</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45846</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45846</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45846</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45846</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45846</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45846</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45846</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45846</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45846</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45846</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45846</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45846</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45846</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45846</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45846</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45846</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45846</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45846</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45846</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45846</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45846</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45846</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45846</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45846</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45846</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45846</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45846</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45846</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45846</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45846</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45846</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45846</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45846</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45846</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45846</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45846</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45846</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45846</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45846</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45846</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45846</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45846</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45846</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45846</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45846</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45846</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45846</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45846</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45846</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45846</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45846</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45846</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45846</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45846</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45846</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45846</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45846</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45846</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45846</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45846</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45846</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45846</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45846</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45846</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45846</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45846</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45846</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45846</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45846</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45846</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45846</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45846</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45846</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45846</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45846</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45846</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45846</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45846</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45846</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45846</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45846</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45846</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45846</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45846</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45846</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45846</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45846</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45846</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45846</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45846</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45846</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45846</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45846</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45846</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45846</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45846</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45846</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45846</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45846</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45846</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45846</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45846</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45846</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45846</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45846</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45846</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45846</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45846</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45846</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45846</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45846</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45846</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45846</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45846</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45846</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45846</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45846</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45846</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45846</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45846</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45846</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45846</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45846</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45846</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45846</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45846</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45846</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45846</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45846</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45846</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45846</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45846</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45846</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45846</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45846</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45846</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45846</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45846</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45846</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45846</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45846</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45846</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45846</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45846</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45846</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45846</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45846</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45846</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45846</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45846</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45846</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45846</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45846</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45846</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45846</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45846</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45846</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45846</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45846</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45846</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45846</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45846</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45846</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45846</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45846</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45846</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45846</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45846</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45846</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45846</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45846</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45846</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45846</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45846</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45846</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45846</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45846</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45846</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45846</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45846</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45846</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45846</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45846</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45846</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45846</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45846</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45846</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45846</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45846</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45846</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45846</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45846</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45846</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45846</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45846</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45846</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45846</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45846</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45846</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45846</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45846</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45846</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45846</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45846</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45846</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45846</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45846</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45846</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45846</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45846</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45846</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45846</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45846</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45846</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45846</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45846</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45846</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45846</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45846</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45846</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45846</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45846</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45846</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45846</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45846</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45846</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45846</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45846</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45846</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45846</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45846</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45846</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45846</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45846</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45846</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45846</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45846</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45846</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45846</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45846</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45846</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45846</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45846</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45846</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45846</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45846</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45846</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45846</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45846</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45846</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45846</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45846</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45846</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45846</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45846</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45846</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45846</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45846</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45846</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45846</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45846</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45846</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45846</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45846</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45846</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45846</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45846</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45846</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45846</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45846</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45846</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45846</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45846</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45846</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45846</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45846</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45846</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45846</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45846</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45846</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45846</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45846</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45846</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45846</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45846</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45846</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45846</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45846</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45846</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45846</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45846</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45846</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45846</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45846</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45846</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45846</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45846</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45846</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45846</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45846</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45846</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45846</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45846</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45846</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45846</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45846</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45846</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45846</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45846</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45846</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45846</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45846</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45846</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45846</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45846</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45846</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45846</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45846</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45846</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45846</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45846</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45846</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45846</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45846</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45846</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45846</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45846</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45846</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45846</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45846</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45846</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45846</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45846</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45846</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45846</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45846</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45846</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45846</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45846</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45846</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45846</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45846</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45846</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45846</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45846</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45846</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45846</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45846</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45846</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45846</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45846</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45846</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45846</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45846</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45846</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45846</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45846</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45846</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45846</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45846</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45846</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45846</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45846</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45846</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45846</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45846</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45846</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45846</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45846</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45846</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45846</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45846</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45846</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45846</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45846</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45846</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45846</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45846</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45846</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45846</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45846</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45846</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45846</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45846</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45846</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45846</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45846</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45846</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45846</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45846</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45846</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45846</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45846</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45846</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45846</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45846</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45846</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45846</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45846</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45846</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45846</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45846</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45846</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45846</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45846</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45846</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45846</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45846</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45846</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45846</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45846</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45846</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45846</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45846</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45846</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45846</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45846</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45846</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45846</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45846</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45846</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45846</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45846</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45846</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45846</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45846</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45846</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45846</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45846</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45846</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45846</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45846</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45846</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45846</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45846</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45846</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45846</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45846</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45846</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45846</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45846</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45846</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45846</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45846</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45846</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45846</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45846</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45846</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45846</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45846</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45846</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45846</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45846</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45846</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45846</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45846</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45846</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45846</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45846</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45846</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45846</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45846</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45846</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45846</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45846</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45846</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45846</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45846</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45846</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45846</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45846</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45846</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45846</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45846</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45846</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45846</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45846</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45846</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45846</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45846</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45846</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45846</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45846</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45846</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45846</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45846</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45846</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45846</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45846</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45846</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45846</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45846</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45846</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45846</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45846</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45846</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45846</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45846</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45846</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45846</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45846</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45846</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45846</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45846</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45846</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45846</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45846</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45846</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45846</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45846</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45846</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45846</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45846</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45846</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45846</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45846</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45846</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45846</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45846</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45846</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45846</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45846</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45846</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45846</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45846</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45846</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45846</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45846</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45846</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45846</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45846</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45846</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45846</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45846</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45846</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45846</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45846</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45846</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45846</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45846</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45846</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45846</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45846</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45846</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45846</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45846</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45846</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45846</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45846</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45846</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45846</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45846</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45846</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45846</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45846</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45846</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45846</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45846</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45846</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45846</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45846</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45846</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45846</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45846</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45846</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45846</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45846</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45846</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45846</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45846</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45846</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45846</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45846</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45846</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45846</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45846</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45846</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45846</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45846</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45846</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45846</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45846</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45846</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45846</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45846</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45846</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45846</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45846</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45846</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45846</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45846</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45846</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45846</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45846</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45846</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45846</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45846</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45846</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45846</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45846</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45846</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45846</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45846</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45846</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45846</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45846</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45846</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45846</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45846</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45846</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45846</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45846</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45846</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45846</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45846</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45846</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45846</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45846</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45846</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45846</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45846</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45846</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45846</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45846</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45846</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45846</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45846</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45846</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45846</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45846</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45846</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45846</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45846</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45846</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45846</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45846</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45846</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45846</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45846</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45846</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45846</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45846</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45846</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45846</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45846</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45846</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45846</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45846</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45846</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45846</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45846</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45846</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45846</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45846</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45846</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45846</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45846</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45846</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45846</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45846</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45846</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45846</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45846</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45846</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45846</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45846</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45846</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45846</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45846</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45846</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45846</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45846</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45846</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45846</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45846</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45846</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45846</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45846</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45846</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45846</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45846</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45846</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45846</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45846</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45846</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45846</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45846</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45846</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45846</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45846</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45846</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45846</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45846</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45846</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45846</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45846</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45846</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45846</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45846</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45846</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45846</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45846</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45846</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45846</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45846</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45846</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45846</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45846</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45846</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45846</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45846</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45846</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45846</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45846</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45846</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45846</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45846</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45846</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45846</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45846</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45846</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45846</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45846</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45846</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45846</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45846</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45846</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45846</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45846</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45846</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45846</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45846</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45846</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45846</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45846</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45846</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45846</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45846</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45846</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45846</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45846</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45846</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45846</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45846</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45846</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45846</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45846</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45846</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45846</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45846</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45846</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45846</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45846</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45846</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45846</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45846</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45846</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45846</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45846</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45846</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45846</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45846</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45846</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45846</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45846</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45846</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45846</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45846</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45846</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45846</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45846</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45846</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45846</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45846</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45846</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45846</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45846</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45846</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45846</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45846</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45846</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45846</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45846</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45846</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45846</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45846</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45846</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45846</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45846</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45846</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45846</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45846</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45846</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45846</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45846</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45846</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45846</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45846</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45846</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45846</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45846</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45846</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45846</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45846</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45846</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45846</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45846</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45846</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45846</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45846</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45846</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45846</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45846</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45846</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45846</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45846</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45846</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45846</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45846</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45846</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45846</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45846</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45846</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45846</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45846</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45846</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45846</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45846</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45846</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45846</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45846</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45846</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45846</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45846</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45846</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45846</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45846</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45846</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45846</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45846</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45846</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45846</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45846</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45846</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45846</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45846</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45846</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45846</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45846</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45846</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45846</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45846</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45846</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45846</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45846</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45846</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45846</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45846</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45846</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45846</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45846</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45846</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45846</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45846</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45846</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45846</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45846</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45846</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45846</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45846</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45846</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45846</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45846</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45846</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45846</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45846</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45846</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45846</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45846</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45846</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45846</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45846</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45846</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45846</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45846</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45846</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45846</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45846</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45846</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45846</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45846</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45846</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45846</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45846</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45846</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45846</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45846</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45846</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45846</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45846</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45846</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45846</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45846</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45846</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45846</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45846</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45846</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45846</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45846</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45846</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45846</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45846</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45846</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45846</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45846</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45846</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45846</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45846</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45846</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45846</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45846</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45846</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45846</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45846</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45846</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45846</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45846</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45846</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45846</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45846</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45846</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45846</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45846</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45846</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45846</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45846</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45846</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45846</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45846</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45846</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45846</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45846</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45846</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45846</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45846</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45846</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45846</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45846</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45846</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45846</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45846</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45846</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45846</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45846</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45846</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45846</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45846</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45846</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45846</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45846</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45846</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45846</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45846</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45846</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45846</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45846</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45846</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45846</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45846</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45846</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45846</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45846</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45846</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45846</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45846</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45846</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45846</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45846</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45846</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45846</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45846</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45846</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45846</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45846</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45846</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45846</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45846</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45846</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45846</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45846</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45846</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45846</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45846</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45846</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45846</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45846</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45846</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45846</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45846</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45846</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45846</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45846</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45846</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45846</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45846</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45846</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45846</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45846</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45846</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45846</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45846</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45846</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45846</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45846</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45846</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45846</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45846</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45846</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45846</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45846</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45846</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45846</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45846</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45846</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45846</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45846</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45846</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45846</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45846</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45846</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45846</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45846</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45846</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45846</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45846</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45846</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45846</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45846</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45846</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45846</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45846</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45846</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45846</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45846</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45846</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45846</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45846</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45846</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45846</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45846</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45846</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45846</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45846</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45846</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45846</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45846</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45846</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45846</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45846</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45846</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45846</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45846</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45846</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45846</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45846</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45846</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45846</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45846</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45846</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45846</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45846</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45846</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45846</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45846</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45846</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45846</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45846</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45846</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45846</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45846</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45846</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45846</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45846</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45846</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45846</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45846</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45846</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45846</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45846</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45846</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45846</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45846</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45846</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45846</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45846</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45846</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45846</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45846</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45846</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45846</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45846</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45846</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45846</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45846</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45846</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45846</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45846</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45846</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45846</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45846</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45846</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45846</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45846</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45846</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45846</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45846</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45846</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45846</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45846</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45846</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45846</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45846</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45846</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45846</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45846</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45846</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45846</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45846</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45846</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45846</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45846</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45846</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45846</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45846</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45846</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45846</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45846</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45846</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45846</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45846</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45846</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45846</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45846</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45846</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45846</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45846</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45846</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45846</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45846</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45846</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45846</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45846</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45846</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45846</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45846</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45846</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45846</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45846</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45846</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45846</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45846</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45846</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45846</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45846</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45846</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45846</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45846</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45846</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45846</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45846</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45846</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45846</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45846</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45846</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45846</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45846</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45846</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45846</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45846</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45846</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45846</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45846</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45846</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45846</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45846</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45846</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45846</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45846</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45846</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45846</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45846</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45846</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45846</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45846</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45846</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45846</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45846</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45846</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45846</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45846</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45846</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45846</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45846</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45846</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45846</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45846</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45846</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45846</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45846</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45846</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45846</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45846</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45846</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45846</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45846</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45846</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45846</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45846</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45846</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45846</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45846</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45846</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45846</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45846</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45846</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45846</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45846</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45846</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45846</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45846</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45846</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45846</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45846</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45846</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45846</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45846</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45846</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45846</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45846</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45846</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45846</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45846</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45846</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45846</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45846</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45846</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45846</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45846</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45846</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45846</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45846</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45846</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45846</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45846</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45846</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45846</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45846</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45846</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45846</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45846</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45846</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45846</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45846</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45846</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45846</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45846</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45846</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45846</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45846</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45846</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45846</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45846</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45846</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45846</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45846</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45846</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45846</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45846</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45846</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45846</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45846</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45846</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45846</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45846</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45846</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45846</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45846</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45846</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45846</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45846</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45846</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45846</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45846</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45846</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45846</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45846</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45846</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45846</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45846</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45846</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45846</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45846</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45846</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45846</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45846</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45846</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45846</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45846</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45846</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45846</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45846</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45846</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45846</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45846</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45846</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45846</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45846</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45846</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45846</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45846</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45846</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45846</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45846</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27981-2025</t>
        </is>
      </c>
      <c r="B5371" s="1" t="n">
        <v>45817</v>
      </c>
      <c r="C5371" s="1" t="n">
        <v>45846</v>
      </c>
      <c r="D5371" t="inlineStr">
        <is>
          <t>VÄSTMANLANDS LÄN</t>
        </is>
      </c>
      <c r="E5371" t="inlineStr">
        <is>
          <t>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28073-2025</t>
        </is>
      </c>
      <c r="B5372" s="1" t="n">
        <v>45817</v>
      </c>
      <c r="C5372" s="1" t="n">
        <v>45846</v>
      </c>
      <c r="D5372" t="inlineStr">
        <is>
          <t>VÄSTMANLANDS LÄN</t>
        </is>
      </c>
      <c r="E5372" t="inlineStr">
        <is>
          <t>KÖPING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27910-2025</t>
        </is>
      </c>
      <c r="B5373" s="1" t="n">
        <v>45817</v>
      </c>
      <c r="C5373" s="1" t="n">
        <v>45846</v>
      </c>
      <c r="D5373" t="inlineStr">
        <is>
          <t>VÄSTMANLANDS LÄN</t>
        </is>
      </c>
      <c r="E5373" t="inlineStr">
        <is>
          <t>NORBERG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27830-2025</t>
        </is>
      </c>
      <c r="B5374" s="1" t="n">
        <v>45817</v>
      </c>
      <c r="C5374" s="1" t="n">
        <v>45846</v>
      </c>
      <c r="D5374" t="inlineStr">
        <is>
          <t>VÄSTMANLANDS LÄN</t>
        </is>
      </c>
      <c r="E5374" t="inlineStr">
        <is>
          <t>KÖPING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27989-2025</t>
        </is>
      </c>
      <c r="B5375" s="1" t="n">
        <v>45817</v>
      </c>
      <c r="C5375" s="1" t="n">
        <v>45846</v>
      </c>
      <c r="D5375" t="inlineStr">
        <is>
          <t>VÄSTMANLANDS LÄN</t>
        </is>
      </c>
      <c r="E5375" t="inlineStr">
        <is>
          <t>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28069-2025</t>
        </is>
      </c>
      <c r="B5376" s="1" t="n">
        <v>45817</v>
      </c>
      <c r="C5376" s="1" t="n">
        <v>45846</v>
      </c>
      <c r="D5376" t="inlineStr">
        <is>
          <t>VÄSTMANLANDS LÄN</t>
        </is>
      </c>
      <c r="E5376" t="inlineStr">
        <is>
          <t>ARBOGA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28067-2025</t>
        </is>
      </c>
      <c r="B5377" s="1" t="n">
        <v>45817</v>
      </c>
      <c r="C5377" s="1" t="n">
        <v>45846</v>
      </c>
      <c r="D5377" t="inlineStr">
        <is>
          <t>VÄSTMANLANDS LÄN</t>
        </is>
      </c>
      <c r="E5377" t="inlineStr">
        <is>
          <t>ARBOGA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27902-2025</t>
        </is>
      </c>
      <c r="B5378" s="1" t="n">
        <v>45817</v>
      </c>
      <c r="C5378" s="1" t="n">
        <v>45846</v>
      </c>
      <c r="D5378" t="inlineStr">
        <is>
          <t>VÄSTMANLANDS LÄN</t>
        </is>
      </c>
      <c r="E5378" t="inlineStr">
        <is>
          <t>NORBERG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27913-2025</t>
        </is>
      </c>
      <c r="B5379" s="1" t="n">
        <v>45817</v>
      </c>
      <c r="C5379" s="1" t="n">
        <v>45846</v>
      </c>
      <c r="D5379" t="inlineStr">
        <is>
          <t>VÄSTMANLANDS LÄN</t>
        </is>
      </c>
      <c r="E5379" t="inlineStr">
        <is>
          <t>NORBERG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45846</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45846</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45846</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28500-2025</t>
        </is>
      </c>
      <c r="B5383" s="1" t="n">
        <v>45819</v>
      </c>
      <c r="C5383" s="1" t="n">
        <v>45846</v>
      </c>
      <c r="D5383" t="inlineStr">
        <is>
          <t>VÄSTMANLANDS LÄN</t>
        </is>
      </c>
      <c r="E5383" t="inlineStr">
        <is>
          <t>KÖPING</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28610-2025</t>
        </is>
      </c>
      <c r="B5384" s="1" t="n">
        <v>45819</v>
      </c>
      <c r="C5384" s="1" t="n">
        <v>45846</v>
      </c>
      <c r="D5384" t="inlineStr">
        <is>
          <t>VÄSTMANLANDS LÄN</t>
        </is>
      </c>
      <c r="E5384" t="inlineStr">
        <is>
          <t>SKINNSKATTEBERG</t>
        </is>
      </c>
      <c r="F5384" t="inlineStr">
        <is>
          <t>Sveaskog</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28613-2025</t>
        </is>
      </c>
      <c r="B5385" s="1" t="n">
        <v>45819</v>
      </c>
      <c r="C5385" s="1" t="n">
        <v>45846</v>
      </c>
      <c r="D5385" t="inlineStr">
        <is>
          <t>VÄSTMANLANDS LÄN</t>
        </is>
      </c>
      <c r="E5385" t="inlineStr">
        <is>
          <t>SKINNSKATTEBERG</t>
        </is>
      </c>
      <c r="F5385" t="inlineStr">
        <is>
          <t>Sveaskog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28614-2025</t>
        </is>
      </c>
      <c r="B5386" s="1" t="n">
        <v>45819</v>
      </c>
      <c r="C5386" s="1" t="n">
        <v>45846</v>
      </c>
      <c r="D5386" t="inlineStr">
        <is>
          <t>VÄSTMANLANDS LÄN</t>
        </is>
      </c>
      <c r="E5386" t="inlineStr">
        <is>
          <t>SKINNSKATTEBERG</t>
        </is>
      </c>
      <c r="F5386" t="inlineStr">
        <is>
          <t>Sveaskog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45846</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28630-2025</t>
        </is>
      </c>
      <c r="B5388" s="1" t="n">
        <v>45819</v>
      </c>
      <c r="C5388" s="1" t="n">
        <v>45846</v>
      </c>
      <c r="D5388" t="inlineStr">
        <is>
          <t>VÄSTMANLANDS LÄN</t>
        </is>
      </c>
      <c r="E5388" t="inlineStr">
        <is>
          <t>SALA</t>
        </is>
      </c>
      <c r="F5388" t="inlineStr">
        <is>
          <t>Sveaskog</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28608-2025</t>
        </is>
      </c>
      <c r="B5389" s="1" t="n">
        <v>45819</v>
      </c>
      <c r="C5389" s="1" t="n">
        <v>45846</v>
      </c>
      <c r="D5389" t="inlineStr">
        <is>
          <t>VÄSTMANLANDS LÄN</t>
        </is>
      </c>
      <c r="E5389" t="inlineStr">
        <is>
          <t>SKINNSKATTEBERG</t>
        </is>
      </c>
      <c r="F5389" t="inlineStr">
        <is>
          <t>Sveaskog</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28425-2025</t>
        </is>
      </c>
      <c r="B5390" s="1" t="n">
        <v>45819</v>
      </c>
      <c r="C5390" s="1" t="n">
        <v>45846</v>
      </c>
      <c r="D5390" t="inlineStr">
        <is>
          <t>VÄSTMANLANDS LÄN</t>
        </is>
      </c>
      <c r="E5390" t="inlineStr">
        <is>
          <t>FAGERSTA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28502-2025</t>
        </is>
      </c>
      <c r="B5391" s="1" t="n">
        <v>45819</v>
      </c>
      <c r="C5391" s="1" t="n">
        <v>45846</v>
      </c>
      <c r="D5391" t="inlineStr">
        <is>
          <t>VÄSTMANLANDS LÄN</t>
        </is>
      </c>
      <c r="E5391" t="inlineStr">
        <is>
          <t>KÖPING</t>
        </is>
      </c>
      <c r="F5391" t="inlineStr">
        <is>
          <t>Sveaskog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28498-2025</t>
        </is>
      </c>
      <c r="B5392" s="1" t="n">
        <v>45819</v>
      </c>
      <c r="C5392" s="1" t="n">
        <v>45846</v>
      </c>
      <c r="D5392" t="inlineStr">
        <is>
          <t>VÄSTMANLANDS LÄN</t>
        </is>
      </c>
      <c r="E5392" t="inlineStr">
        <is>
          <t>KÖPING</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28443-2025</t>
        </is>
      </c>
      <c r="B5393" s="1" t="n">
        <v>45819</v>
      </c>
      <c r="C5393" s="1" t="n">
        <v>45846</v>
      </c>
      <c r="D5393" t="inlineStr">
        <is>
          <t>VÄSTMANLANDS LÄN</t>
        </is>
      </c>
      <c r="E5393" t="inlineStr">
        <is>
          <t>VÄSTERÅS</t>
        </is>
      </c>
      <c r="F5393" t="inlineStr">
        <is>
          <t>Allmännings- och besparingsskogar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28603-2025</t>
        </is>
      </c>
      <c r="B5394" s="1" t="n">
        <v>45819</v>
      </c>
      <c r="C5394" s="1" t="n">
        <v>45846</v>
      </c>
      <c r="D5394" t="inlineStr">
        <is>
          <t>VÄSTMANLANDS LÄN</t>
        </is>
      </c>
      <c r="E5394" t="inlineStr">
        <is>
          <t>SKINNSKATTEBERG</t>
        </is>
      </c>
      <c r="F5394" t="inlineStr">
        <is>
          <t>Sveaskog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28605-2025</t>
        </is>
      </c>
      <c r="B5395" s="1" t="n">
        <v>45819</v>
      </c>
      <c r="C5395" s="1" t="n">
        <v>45846</v>
      </c>
      <c r="D5395" t="inlineStr">
        <is>
          <t>VÄSTMANLANDS LÄN</t>
        </is>
      </c>
      <c r="E5395" t="inlineStr">
        <is>
          <t>SKINNSKATTEBERG</t>
        </is>
      </c>
      <c r="F5395" t="inlineStr">
        <is>
          <t>Sveaskog</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28632-2025</t>
        </is>
      </c>
      <c r="B5396" s="1" t="n">
        <v>45819</v>
      </c>
      <c r="C5396" s="1" t="n">
        <v>45846</v>
      </c>
      <c r="D5396" t="inlineStr">
        <is>
          <t>VÄSTMANLANDS LÄN</t>
        </is>
      </c>
      <c r="E5396" t="inlineStr">
        <is>
          <t>SALA</t>
        </is>
      </c>
      <c r="F5396" t="inlineStr">
        <is>
          <t>Sveaskog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28503-2025</t>
        </is>
      </c>
      <c r="B5397" s="1" t="n">
        <v>45819</v>
      </c>
      <c r="C5397" s="1" t="n">
        <v>45846</v>
      </c>
      <c r="D5397" t="inlineStr">
        <is>
          <t>VÄSTMANLANDS LÄN</t>
        </is>
      </c>
      <c r="E5397" t="inlineStr">
        <is>
          <t>KÖPING</t>
        </is>
      </c>
      <c r="F5397" t="inlineStr">
        <is>
          <t>Sveaskog</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28606-2025</t>
        </is>
      </c>
      <c r="B5398" s="1" t="n">
        <v>45819</v>
      </c>
      <c r="C5398" s="1" t="n">
        <v>45846</v>
      </c>
      <c r="D5398" t="inlineStr">
        <is>
          <t>VÄSTMANLANDS LÄN</t>
        </is>
      </c>
      <c r="E5398" t="inlineStr">
        <is>
          <t>SKINNSKATTEBERG</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45846</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28837-2025</t>
        </is>
      </c>
      <c r="B5400" s="1" t="n">
        <v>45820</v>
      </c>
      <c r="C5400" s="1" t="n">
        <v>45846</v>
      </c>
      <c r="D5400" t="inlineStr">
        <is>
          <t>VÄSTMANLANDS LÄN</t>
        </is>
      </c>
      <c r="E5400" t="inlineStr">
        <is>
          <t>SALA</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28873-2025</t>
        </is>
      </c>
      <c r="B5401" s="1" t="n">
        <v>45820</v>
      </c>
      <c r="C5401" s="1" t="n">
        <v>45846</v>
      </c>
      <c r="D5401" t="inlineStr">
        <is>
          <t>VÄSTMANLANDS LÄN</t>
        </is>
      </c>
      <c r="E5401" t="inlineStr">
        <is>
          <t>SKINNSKATTEBERG</t>
        </is>
      </c>
      <c r="F5401" t="inlineStr">
        <is>
          <t>Sveaskog</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28849-2025</t>
        </is>
      </c>
      <c r="B5402" s="1" t="n">
        <v>45820</v>
      </c>
      <c r="C5402" s="1" t="n">
        <v>45846</v>
      </c>
      <c r="D5402" t="inlineStr">
        <is>
          <t>VÄSTMANLANDS LÄN</t>
        </is>
      </c>
      <c r="E5402" t="inlineStr">
        <is>
          <t>SALA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28831-2025</t>
        </is>
      </c>
      <c r="B5403" s="1" t="n">
        <v>45820</v>
      </c>
      <c r="C5403" s="1" t="n">
        <v>45846</v>
      </c>
      <c r="D5403" t="inlineStr">
        <is>
          <t>VÄSTMANLANDS LÄN</t>
        </is>
      </c>
      <c r="E5403" t="inlineStr">
        <is>
          <t>SKINNSKATTEBERG</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29075-2025</t>
        </is>
      </c>
      <c r="B5404" s="1" t="n">
        <v>45821</v>
      </c>
      <c r="C5404" s="1" t="n">
        <v>45846</v>
      </c>
      <c r="D5404" t="inlineStr">
        <is>
          <t>VÄSTMANLANDS LÄN</t>
        </is>
      </c>
      <c r="E5404" t="inlineStr">
        <is>
          <t>FAGERSTA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29085-2025</t>
        </is>
      </c>
      <c r="B5405" s="1" t="n">
        <v>45821</v>
      </c>
      <c r="C5405" s="1" t="n">
        <v>45846</v>
      </c>
      <c r="D5405" t="inlineStr">
        <is>
          <t>VÄSTMANLANDS LÄN</t>
        </is>
      </c>
      <c r="E5405" t="inlineStr">
        <is>
          <t>SALA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29074-2025</t>
        </is>
      </c>
      <c r="B5406" s="1" t="n">
        <v>45821</v>
      </c>
      <c r="C5406" s="1" t="n">
        <v>45846</v>
      </c>
      <c r="D5406" t="inlineStr">
        <is>
          <t>VÄSTMANLANDS LÄN</t>
        </is>
      </c>
      <c r="E5406" t="inlineStr">
        <is>
          <t>FAGERSTA</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29069-2025</t>
        </is>
      </c>
      <c r="B5407" s="1" t="n">
        <v>45821</v>
      </c>
      <c r="C5407" s="1" t="n">
        <v>45846</v>
      </c>
      <c r="D5407" t="inlineStr">
        <is>
          <t>VÄSTMANLANDS LÄN</t>
        </is>
      </c>
      <c r="E5407" t="inlineStr">
        <is>
          <t>SKINNSKATTEBERG</t>
        </is>
      </c>
      <c r="F5407" t="inlineStr">
        <is>
          <t>Sveaskog</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29070-2025</t>
        </is>
      </c>
      <c r="B5408" s="1" t="n">
        <v>45821</v>
      </c>
      <c r="C5408" s="1" t="n">
        <v>45846</v>
      </c>
      <c r="D5408" t="inlineStr">
        <is>
          <t>VÄSTMANLANDS LÄN</t>
        </is>
      </c>
      <c r="E5408" t="inlineStr">
        <is>
          <t>SKINNSKATTEBERG</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29073-2025</t>
        </is>
      </c>
      <c r="B5409" s="1" t="n">
        <v>45821</v>
      </c>
      <c r="C5409" s="1" t="n">
        <v>45846</v>
      </c>
      <c r="D5409" t="inlineStr">
        <is>
          <t>VÄSTMANLANDS LÄN</t>
        </is>
      </c>
      <c r="E5409" t="inlineStr">
        <is>
          <t>FAGERSTA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29072-2025</t>
        </is>
      </c>
      <c r="B5410" s="1" t="n">
        <v>45821</v>
      </c>
      <c r="C5410" s="1" t="n">
        <v>45846</v>
      </c>
      <c r="D5410" t="inlineStr">
        <is>
          <t>VÄSTMANLANDS LÄN</t>
        </is>
      </c>
      <c r="E5410" t="inlineStr">
        <is>
          <t>FAGERSTA</t>
        </is>
      </c>
      <c r="F5410" t="inlineStr">
        <is>
          <t>Sveaskog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45846</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45846</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29810-2025</t>
        </is>
      </c>
      <c r="B5413" s="1" t="n">
        <v>45825</v>
      </c>
      <c r="C5413" s="1" t="n">
        <v>45846</v>
      </c>
      <c r="D5413" t="inlineStr">
        <is>
          <t>VÄSTMANLANDS LÄN</t>
        </is>
      </c>
      <c r="E5413" t="inlineStr">
        <is>
          <t>SKINNSKATTEBERG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45846</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29691-2025</t>
        </is>
      </c>
      <c r="B5415" s="1" t="n">
        <v>45825</v>
      </c>
      <c r="C5415" s="1" t="n">
        <v>45846</v>
      </c>
      <c r="D5415" t="inlineStr">
        <is>
          <t>VÄSTMANLANDS LÄN</t>
        </is>
      </c>
      <c r="E5415" t="inlineStr">
        <is>
          <t>SALA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45846</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29808-2025</t>
        </is>
      </c>
      <c r="B5417" s="1" t="n">
        <v>45825</v>
      </c>
      <c r="C5417" s="1" t="n">
        <v>45846</v>
      </c>
      <c r="D5417" t="inlineStr">
        <is>
          <t>VÄSTMANLANDS LÄN</t>
        </is>
      </c>
      <c r="E5417" t="inlineStr">
        <is>
          <t>SKINNSKATTEBERG</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29826-2025</t>
        </is>
      </c>
      <c r="B5418" s="1" t="n">
        <v>45825</v>
      </c>
      <c r="C5418" s="1" t="n">
        <v>45846</v>
      </c>
      <c r="D5418" t="inlineStr">
        <is>
          <t>VÄSTMANLANDS LÄN</t>
        </is>
      </c>
      <c r="E5418" t="inlineStr">
        <is>
          <t>SALA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30136-2025</t>
        </is>
      </c>
      <c r="B5419" s="1" t="n">
        <v>45826</v>
      </c>
      <c r="C5419" s="1" t="n">
        <v>45846</v>
      </c>
      <c r="D5419" t="inlineStr">
        <is>
          <t>VÄSTMANLANDS LÄN</t>
        </is>
      </c>
      <c r="E5419" t="inlineStr">
        <is>
          <t>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30139-2025</t>
        </is>
      </c>
      <c r="B5420" s="1" t="n">
        <v>45826</v>
      </c>
      <c r="C5420" s="1" t="n">
        <v>45846</v>
      </c>
      <c r="D5420" t="inlineStr">
        <is>
          <t>VÄSTMANLANDS LÄN</t>
        </is>
      </c>
      <c r="E5420" t="inlineStr">
        <is>
          <t>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29871-2025</t>
        </is>
      </c>
      <c r="B5421" s="1" t="n">
        <v>45826</v>
      </c>
      <c r="C5421" s="1" t="n">
        <v>45846</v>
      </c>
      <c r="D5421" t="inlineStr">
        <is>
          <t>VÄSTMANLANDS LÄN</t>
        </is>
      </c>
      <c r="E5421" t="inlineStr">
        <is>
          <t>SKINNSKATTEBERG</t>
        </is>
      </c>
      <c r="F5421" t="inlineStr">
        <is>
          <t>Sveaskog</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29972-2025</t>
        </is>
      </c>
      <c r="B5422" s="1" t="n">
        <v>45826</v>
      </c>
      <c r="C5422" s="1" t="n">
        <v>45846</v>
      </c>
      <c r="D5422" t="inlineStr">
        <is>
          <t>VÄSTMANLANDS LÄN</t>
        </is>
      </c>
      <c r="E5422" t="inlineStr">
        <is>
          <t>SALA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29876-2025</t>
        </is>
      </c>
      <c r="B5423" s="1" t="n">
        <v>45826</v>
      </c>
      <c r="C5423" s="1" t="n">
        <v>45846</v>
      </c>
      <c r="D5423" t="inlineStr">
        <is>
          <t>VÄSTMANLANDS LÄN</t>
        </is>
      </c>
      <c r="E5423" t="inlineStr">
        <is>
          <t>SKINNSKATTEBERG</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30219-2025</t>
        </is>
      </c>
      <c r="B5424" s="1" t="n">
        <v>45827</v>
      </c>
      <c r="C5424" s="1" t="n">
        <v>45846</v>
      </c>
      <c r="D5424" t="inlineStr">
        <is>
          <t>VÄSTMANLANDS LÄN</t>
        </is>
      </c>
      <c r="E5424" t="inlineStr">
        <is>
          <t>NORBERG</t>
        </is>
      </c>
      <c r="F5424" t="inlineStr">
        <is>
          <t>Övriga Aktiebolag</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30161-2025</t>
        </is>
      </c>
      <c r="B5425" s="1" t="n">
        <v>45827</v>
      </c>
      <c r="C5425" s="1" t="n">
        <v>45846</v>
      </c>
      <c r="D5425" t="inlineStr">
        <is>
          <t>VÄSTMANLANDS LÄN</t>
        </is>
      </c>
      <c r="E5425" t="inlineStr">
        <is>
          <t>SKINNSKATTEBERG</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30204-2025</t>
        </is>
      </c>
      <c r="B5426" s="1" t="n">
        <v>45827</v>
      </c>
      <c r="C5426" s="1" t="n">
        <v>45846</v>
      </c>
      <c r="D5426" t="inlineStr">
        <is>
          <t>VÄSTMANLANDS LÄN</t>
        </is>
      </c>
      <c r="E5426" t="inlineStr">
        <is>
          <t>NORBERG</t>
        </is>
      </c>
      <c r="F5426" t="inlineStr">
        <is>
          <t>Övriga Aktiebolag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30379-2025</t>
        </is>
      </c>
      <c r="B5427" s="1" t="n">
        <v>45827</v>
      </c>
      <c r="C5427" s="1" t="n">
        <v>45846</v>
      </c>
      <c r="D5427" t="inlineStr">
        <is>
          <t>VÄSTMANLANDS LÄN</t>
        </is>
      </c>
      <c r="E5427" t="inlineStr">
        <is>
          <t>SKINNSKATTEBERG</t>
        </is>
      </c>
      <c r="F5427" t="inlineStr">
        <is>
          <t>Sveaskog</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30436-2025</t>
        </is>
      </c>
      <c r="B5428" s="1" t="n">
        <v>45827</v>
      </c>
      <c r="C5428" s="1" t="n">
        <v>45846</v>
      </c>
      <c r="D5428" t="inlineStr">
        <is>
          <t>VÄSTMANLANDS LÄN</t>
        </is>
      </c>
      <c r="E5428" t="inlineStr">
        <is>
          <t>SKINNSKATTEBERG</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30190-2025</t>
        </is>
      </c>
      <c r="B5429" s="1" t="n">
        <v>45827</v>
      </c>
      <c r="C5429" s="1" t="n">
        <v>45846</v>
      </c>
      <c r="D5429" t="inlineStr">
        <is>
          <t>VÄSTMANLANDS LÄN</t>
        </is>
      </c>
      <c r="E5429" t="inlineStr">
        <is>
          <t>NORBERG</t>
        </is>
      </c>
      <c r="F5429" t="inlineStr">
        <is>
          <t>Övriga Aktiebolag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30180-2025</t>
        </is>
      </c>
      <c r="B5430" s="1" t="n">
        <v>45827</v>
      </c>
      <c r="C5430" s="1" t="n">
        <v>45846</v>
      </c>
      <c r="D5430" t="inlineStr">
        <is>
          <t>VÄSTMANLANDS LÄN</t>
        </is>
      </c>
      <c r="E5430" t="inlineStr">
        <is>
          <t>NORBERG</t>
        </is>
      </c>
      <c r="F5430" t="inlineStr">
        <is>
          <t>Bergvik skog väst AB</t>
        </is>
      </c>
      <c r="G5430" t="n">
        <v>23.8</v>
      </c>
      <c r="H5430" t="n">
        <v>0</v>
      </c>
      <c r="I5430" t="n">
        <v>0</v>
      </c>
      <c r="J5430" t="n">
        <v>0</v>
      </c>
      <c r="K5430" t="n">
        <v>0</v>
      </c>
      <c r="L5430" t="n">
        <v>0</v>
      </c>
      <c r="M5430" t="n">
        <v>0</v>
      </c>
      <c r="N5430" t="n">
        <v>0</v>
      </c>
      <c r="O5430" t="n">
        <v>0</v>
      </c>
      <c r="P5430" t="n">
        <v>0</v>
      </c>
      <c r="Q5430" t="n">
        <v>0</v>
      </c>
      <c r="R5430" s="2" t="inlineStr"/>
    </row>
    <row r="5431" ht="15" customHeight="1">
      <c r="A5431" t="inlineStr">
        <is>
          <t>A 30197-2025</t>
        </is>
      </c>
      <c r="B5431" s="1" t="n">
        <v>45827</v>
      </c>
      <c r="C5431" s="1" t="n">
        <v>45846</v>
      </c>
      <c r="D5431" t="inlineStr">
        <is>
          <t>VÄSTMANLANDS LÄN</t>
        </is>
      </c>
      <c r="E5431" t="inlineStr">
        <is>
          <t>NORBERG</t>
        </is>
      </c>
      <c r="F5431" t="inlineStr">
        <is>
          <t>Övriga Aktiebolag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30211-2025</t>
        </is>
      </c>
      <c r="B5432" s="1" t="n">
        <v>45827</v>
      </c>
      <c r="C5432" s="1" t="n">
        <v>45846</v>
      </c>
      <c r="D5432" t="inlineStr">
        <is>
          <t>VÄSTMANLANDS LÄN</t>
        </is>
      </c>
      <c r="E5432" t="inlineStr">
        <is>
          <t>NORBERG</t>
        </is>
      </c>
      <c r="F5432" t="inlineStr">
        <is>
          <t>Övriga Aktiebolag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30439-2025</t>
        </is>
      </c>
      <c r="B5433" s="1" t="n">
        <v>45827</v>
      </c>
      <c r="C5433" s="1" t="n">
        <v>45846</v>
      </c>
      <c r="D5433" t="inlineStr">
        <is>
          <t>VÄSTMANLANDS LÄN</t>
        </is>
      </c>
      <c r="E5433" t="inlineStr">
        <is>
          <t>SKINNSKATTEBERG</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31234-2025</t>
        </is>
      </c>
      <c r="B5434" s="1" t="n">
        <v>45832</v>
      </c>
      <c r="C5434" s="1" t="n">
        <v>45846</v>
      </c>
      <c r="D5434" t="inlineStr">
        <is>
          <t>VÄSTMANLANDS LÄN</t>
        </is>
      </c>
      <c r="E5434" t="inlineStr">
        <is>
          <t>SKINNSKATTEBERG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31106-2025</t>
        </is>
      </c>
      <c r="B5435" s="1" t="n">
        <v>45832</v>
      </c>
      <c r="C5435" s="1" t="n">
        <v>45846</v>
      </c>
      <c r="D5435" t="inlineStr">
        <is>
          <t>VÄSTMANLANDS LÄN</t>
        </is>
      </c>
      <c r="E5435" t="inlineStr">
        <is>
          <t>VÄSTERÅS</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31033-2025</t>
        </is>
      </c>
      <c r="B5436" s="1" t="n">
        <v>45832</v>
      </c>
      <c r="C5436" s="1" t="n">
        <v>45846</v>
      </c>
      <c r="D5436" t="inlineStr">
        <is>
          <t>VÄSTMANLANDS LÄN</t>
        </is>
      </c>
      <c r="E5436" t="inlineStr">
        <is>
          <t>NORBERG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31065-2025</t>
        </is>
      </c>
      <c r="B5437" s="1" t="n">
        <v>45832</v>
      </c>
      <c r="C5437" s="1" t="n">
        <v>45846</v>
      </c>
      <c r="D5437" t="inlineStr">
        <is>
          <t>VÄSTMANLANDS LÄN</t>
        </is>
      </c>
      <c r="E5437" t="inlineStr">
        <is>
          <t>SALA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31068-2025</t>
        </is>
      </c>
      <c r="B5438" s="1" t="n">
        <v>45832</v>
      </c>
      <c r="C5438" s="1" t="n">
        <v>45846</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45846</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30873-2025</t>
        </is>
      </c>
      <c r="B5440" s="1" t="n">
        <v>45832</v>
      </c>
      <c r="C5440" s="1" t="n">
        <v>45846</v>
      </c>
      <c r="D5440" t="inlineStr">
        <is>
          <t>VÄSTMANLANDS LÄN</t>
        </is>
      </c>
      <c r="E5440" t="inlineStr">
        <is>
          <t>SKINNSKATTEBERG</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30874-2025</t>
        </is>
      </c>
      <c r="B5441" s="1" t="n">
        <v>45832</v>
      </c>
      <c r="C5441" s="1" t="n">
        <v>45846</v>
      </c>
      <c r="D5441" t="inlineStr">
        <is>
          <t>VÄSTMANLANDS LÄN</t>
        </is>
      </c>
      <c r="E5441" t="inlineStr">
        <is>
          <t>SALA</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30866-2025</t>
        </is>
      </c>
      <c r="B5442" s="1" t="n">
        <v>45832</v>
      </c>
      <c r="C5442" s="1" t="n">
        <v>45846</v>
      </c>
      <c r="D5442" t="inlineStr">
        <is>
          <t>VÄSTMANLANDS LÄN</t>
        </is>
      </c>
      <c r="E5442" t="inlineStr">
        <is>
          <t>SALA</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31011-2025</t>
        </is>
      </c>
      <c r="B5443" s="1" t="n">
        <v>45832</v>
      </c>
      <c r="C5443" s="1" t="n">
        <v>45846</v>
      </c>
      <c r="D5443" t="inlineStr">
        <is>
          <t>VÄSTMANLANDS LÄN</t>
        </is>
      </c>
      <c r="E5443" t="inlineStr">
        <is>
          <t>SKINNSKATTEBERG</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30899-2025</t>
        </is>
      </c>
      <c r="B5444" s="1" t="n">
        <v>45832</v>
      </c>
      <c r="C5444" s="1" t="n">
        <v>45846</v>
      </c>
      <c r="D5444" t="inlineStr">
        <is>
          <t>VÄSTMANLANDS LÄN</t>
        </is>
      </c>
      <c r="E5444" t="inlineStr">
        <is>
          <t>SALA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30885-2025</t>
        </is>
      </c>
      <c r="B5445" s="1" t="n">
        <v>45832</v>
      </c>
      <c r="C5445" s="1" t="n">
        <v>45846</v>
      </c>
      <c r="D5445" t="inlineStr">
        <is>
          <t>VÄSTMANLANDS LÄN</t>
        </is>
      </c>
      <c r="E5445" t="inlineStr">
        <is>
          <t>SKINNSKATTEBERG</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31242-2025</t>
        </is>
      </c>
      <c r="B5446" s="1" t="n">
        <v>45832</v>
      </c>
      <c r="C5446" s="1" t="n">
        <v>45846</v>
      </c>
      <c r="D5446" t="inlineStr">
        <is>
          <t>VÄSTMANLANDS LÄN</t>
        </is>
      </c>
      <c r="E5446" t="inlineStr">
        <is>
          <t>KÖPING</t>
        </is>
      </c>
      <c r="F5446" t="inlineStr">
        <is>
          <t>Allmännings- och besparingsskogar</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31296-2025</t>
        </is>
      </c>
      <c r="B5447" s="1" t="n">
        <v>45833</v>
      </c>
      <c r="C5447" s="1" t="n">
        <v>45846</v>
      </c>
      <c r="D5447" t="inlineStr">
        <is>
          <t>VÄSTMANLANDS LÄN</t>
        </is>
      </c>
      <c r="E5447" t="inlineStr">
        <is>
          <t>SALA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31361-2025</t>
        </is>
      </c>
      <c r="B5448" s="1" t="n">
        <v>45833</v>
      </c>
      <c r="C5448" s="1" t="n">
        <v>45846</v>
      </c>
      <c r="D5448" t="inlineStr">
        <is>
          <t>VÄSTMANLANDS LÄN</t>
        </is>
      </c>
      <c r="E5448" t="inlineStr">
        <is>
          <t>VÄSTERÅS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31573-2025</t>
        </is>
      </c>
      <c r="B5449" s="1" t="n">
        <v>45833</v>
      </c>
      <c r="C5449" s="1" t="n">
        <v>45846</v>
      </c>
      <c r="D5449" t="inlineStr">
        <is>
          <t>VÄSTMANLANDS LÄN</t>
        </is>
      </c>
      <c r="E5449" t="inlineStr">
        <is>
          <t>SALA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31578-2025</t>
        </is>
      </c>
      <c r="B5450" s="1" t="n">
        <v>45833</v>
      </c>
      <c r="C5450" s="1" t="n">
        <v>45846</v>
      </c>
      <c r="D5450" t="inlineStr">
        <is>
          <t>VÄSTMANLANDS LÄN</t>
        </is>
      </c>
      <c r="E5450" t="inlineStr">
        <is>
          <t>VÄSTERÅS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31587-2025</t>
        </is>
      </c>
      <c r="B5451" s="1" t="n">
        <v>45833</v>
      </c>
      <c r="C5451" s="1" t="n">
        <v>45846</v>
      </c>
      <c r="D5451" t="inlineStr">
        <is>
          <t>VÄSTMANLANDS LÄN</t>
        </is>
      </c>
      <c r="E5451" t="inlineStr">
        <is>
          <t>VÄSTERÅS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31569-2025</t>
        </is>
      </c>
      <c r="B5452" s="1" t="n">
        <v>45833</v>
      </c>
      <c r="C5452" s="1" t="n">
        <v>45846</v>
      </c>
      <c r="D5452" t="inlineStr">
        <is>
          <t>VÄSTMANLANDS LÄN</t>
        </is>
      </c>
      <c r="E5452" t="inlineStr">
        <is>
          <t>VÄSTERÅS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31580-2025</t>
        </is>
      </c>
      <c r="B5453" s="1" t="n">
        <v>45833</v>
      </c>
      <c r="C5453" s="1" t="n">
        <v>45846</v>
      </c>
      <c r="D5453" t="inlineStr">
        <is>
          <t>VÄSTMANLANDS LÄN</t>
        </is>
      </c>
      <c r="E5453" t="inlineStr">
        <is>
          <t>KÖPING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31582-2025</t>
        </is>
      </c>
      <c r="B5454" s="1" t="n">
        <v>45833</v>
      </c>
      <c r="C5454" s="1" t="n">
        <v>45846</v>
      </c>
      <c r="D5454" t="inlineStr">
        <is>
          <t>VÄSTMANLANDS LÄN</t>
        </is>
      </c>
      <c r="E5454" t="inlineStr">
        <is>
          <t>KÖPING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31554-2025</t>
        </is>
      </c>
      <c r="B5455" s="1" t="n">
        <v>45833</v>
      </c>
      <c r="C5455" s="1" t="n">
        <v>45846</v>
      </c>
      <c r="D5455" t="inlineStr">
        <is>
          <t>VÄSTMANLANDS LÄN</t>
        </is>
      </c>
      <c r="E5455" t="inlineStr">
        <is>
          <t>SALA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31608-2025</t>
        </is>
      </c>
      <c r="B5456" s="1" t="n">
        <v>45833</v>
      </c>
      <c r="C5456" s="1" t="n">
        <v>45846</v>
      </c>
      <c r="D5456" t="inlineStr">
        <is>
          <t>VÄSTMANLANDS LÄN</t>
        </is>
      </c>
      <c r="E5456" t="inlineStr">
        <is>
          <t>SALA</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31610-2025</t>
        </is>
      </c>
      <c r="B5457" s="1" t="n">
        <v>45833</v>
      </c>
      <c r="C5457" s="1" t="n">
        <v>45846</v>
      </c>
      <c r="D5457" t="inlineStr">
        <is>
          <t>VÄSTMANLANDS LÄN</t>
        </is>
      </c>
      <c r="E5457" t="inlineStr">
        <is>
          <t>SALA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31612-2025</t>
        </is>
      </c>
      <c r="B5458" s="1" t="n">
        <v>45833</v>
      </c>
      <c r="C5458" s="1" t="n">
        <v>45846</v>
      </c>
      <c r="D5458" t="inlineStr">
        <is>
          <t>VÄSTMANLANDS LÄN</t>
        </is>
      </c>
      <c r="E5458" t="inlineStr">
        <is>
          <t>SALA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31496-2025</t>
        </is>
      </c>
      <c r="B5459" s="1" t="n">
        <v>45833</v>
      </c>
      <c r="C5459" s="1" t="n">
        <v>45846</v>
      </c>
      <c r="D5459" t="inlineStr">
        <is>
          <t>VÄSTMANLANDS LÄN</t>
        </is>
      </c>
      <c r="E5459" t="inlineStr">
        <is>
          <t>KÖPING</t>
        </is>
      </c>
      <c r="G5459" t="n">
        <v>7.3</v>
      </c>
      <c r="H5459" t="n">
        <v>0</v>
      </c>
      <c r="I5459" t="n">
        <v>0</v>
      </c>
      <c r="J5459" t="n">
        <v>0</v>
      </c>
      <c r="K5459" t="n">
        <v>0</v>
      </c>
      <c r="L5459" t="n">
        <v>0</v>
      </c>
      <c r="M5459" t="n">
        <v>0</v>
      </c>
      <c r="N5459" t="n">
        <v>0</v>
      </c>
      <c r="O5459" t="n">
        <v>0</v>
      </c>
      <c r="P5459" t="n">
        <v>0</v>
      </c>
      <c r="Q5459" t="n">
        <v>0</v>
      </c>
      <c r="R5459" s="2" t="inlineStr"/>
    </row>
    <row r="5460" ht="15" customHeight="1">
      <c r="A5460" t="inlineStr">
        <is>
          <t>A 31288-2025</t>
        </is>
      </c>
      <c r="B5460" s="1" t="n">
        <v>45833</v>
      </c>
      <c r="C5460" s="1" t="n">
        <v>45846</v>
      </c>
      <c r="D5460" t="inlineStr">
        <is>
          <t>VÄSTMANLANDS LÄN</t>
        </is>
      </c>
      <c r="E5460" t="inlineStr">
        <is>
          <t>SALA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31863-2025</t>
        </is>
      </c>
      <c r="B5461" s="1" t="n">
        <v>45834</v>
      </c>
      <c r="C5461" s="1" t="n">
        <v>45846</v>
      </c>
      <c r="D5461" t="inlineStr">
        <is>
          <t>VÄSTMANLANDS LÄN</t>
        </is>
      </c>
      <c r="E5461" t="inlineStr">
        <is>
          <t>SALA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31864-2025</t>
        </is>
      </c>
      <c r="B5462" s="1" t="n">
        <v>45834</v>
      </c>
      <c r="C5462" s="1" t="n">
        <v>45846</v>
      </c>
      <c r="D5462" t="inlineStr">
        <is>
          <t>VÄSTMANLANDS LÄN</t>
        </is>
      </c>
      <c r="E5462" t="inlineStr">
        <is>
          <t>SALA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31768-2025</t>
        </is>
      </c>
      <c r="B5463" s="1" t="n">
        <v>45834</v>
      </c>
      <c r="C5463" s="1" t="n">
        <v>45846</v>
      </c>
      <c r="D5463" t="inlineStr">
        <is>
          <t>VÄSTMANLANDS LÄN</t>
        </is>
      </c>
      <c r="E5463" t="inlineStr">
        <is>
          <t>FAGERSTA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31869-2025</t>
        </is>
      </c>
      <c r="B5464" s="1" t="n">
        <v>45834</v>
      </c>
      <c r="C5464" s="1" t="n">
        <v>45846</v>
      </c>
      <c r="D5464" t="inlineStr">
        <is>
          <t>VÄSTMANLANDS LÄN</t>
        </is>
      </c>
      <c r="E5464" t="inlineStr">
        <is>
          <t>SALA</t>
        </is>
      </c>
      <c r="G5464" t="n">
        <v>17.5</v>
      </c>
      <c r="H5464" t="n">
        <v>0</v>
      </c>
      <c r="I5464" t="n">
        <v>0</v>
      </c>
      <c r="J5464" t="n">
        <v>0</v>
      </c>
      <c r="K5464" t="n">
        <v>0</v>
      </c>
      <c r="L5464" t="n">
        <v>0</v>
      </c>
      <c r="M5464" t="n">
        <v>0</v>
      </c>
      <c r="N5464" t="n">
        <v>0</v>
      </c>
      <c r="O5464" t="n">
        <v>0</v>
      </c>
      <c r="P5464" t="n">
        <v>0</v>
      </c>
      <c r="Q5464" t="n">
        <v>0</v>
      </c>
      <c r="R5464" s="2" t="inlineStr"/>
    </row>
    <row r="5465" ht="15" customHeight="1">
      <c r="A5465" t="inlineStr">
        <is>
          <t>A 31748-2025</t>
        </is>
      </c>
      <c r="B5465" s="1" t="n">
        <v>45834</v>
      </c>
      <c r="C5465" s="1" t="n">
        <v>45846</v>
      </c>
      <c r="D5465" t="inlineStr">
        <is>
          <t>VÄSTMANLANDS LÄN</t>
        </is>
      </c>
      <c r="E5465" t="inlineStr">
        <is>
          <t>SALA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31762-2025</t>
        </is>
      </c>
      <c r="B5466" s="1" t="n">
        <v>45834</v>
      </c>
      <c r="C5466" s="1" t="n">
        <v>45846</v>
      </c>
      <c r="D5466" t="inlineStr">
        <is>
          <t>VÄSTMANLANDS LÄN</t>
        </is>
      </c>
      <c r="E5466" t="inlineStr">
        <is>
          <t>SALA</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31839-2025</t>
        </is>
      </c>
      <c r="B5467" s="1" t="n">
        <v>45834</v>
      </c>
      <c r="C5467" s="1" t="n">
        <v>45846</v>
      </c>
      <c r="D5467" t="inlineStr">
        <is>
          <t>VÄSTMANLANDS LÄN</t>
        </is>
      </c>
      <c r="E5467" t="inlineStr">
        <is>
          <t>KÖPING</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31830-2025</t>
        </is>
      </c>
      <c r="B5468" s="1" t="n">
        <v>45834</v>
      </c>
      <c r="C5468" s="1" t="n">
        <v>45846</v>
      </c>
      <c r="D5468" t="inlineStr">
        <is>
          <t>VÄSTMANLANDS LÄN</t>
        </is>
      </c>
      <c r="E5468" t="inlineStr">
        <is>
          <t>KÖPING</t>
        </is>
      </c>
      <c r="F5468" t="inlineStr">
        <is>
          <t>Sveaskog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31887-2025</t>
        </is>
      </c>
      <c r="B5469" s="1" t="n">
        <v>45834</v>
      </c>
      <c r="C5469" s="1" t="n">
        <v>45846</v>
      </c>
      <c r="D5469" t="inlineStr">
        <is>
          <t>VÄSTMANLANDS LÄN</t>
        </is>
      </c>
      <c r="E5469" t="inlineStr">
        <is>
          <t>SALA</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31771-2025</t>
        </is>
      </c>
      <c r="B5470" s="1" t="n">
        <v>45834</v>
      </c>
      <c r="C5470" s="1" t="n">
        <v>45846</v>
      </c>
      <c r="D5470" t="inlineStr">
        <is>
          <t>VÄSTMANLANDS LÄN</t>
        </is>
      </c>
      <c r="E5470" t="inlineStr">
        <is>
          <t>SALA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31775-2025</t>
        </is>
      </c>
      <c r="B5471" s="1" t="n">
        <v>45834</v>
      </c>
      <c r="C5471" s="1" t="n">
        <v>45846</v>
      </c>
      <c r="D5471" t="inlineStr">
        <is>
          <t>VÄSTMANLANDS LÄN</t>
        </is>
      </c>
      <c r="E5471" t="inlineStr">
        <is>
          <t>FAGERSTA</t>
        </is>
      </c>
      <c r="F5471" t="inlineStr">
        <is>
          <t>Sveaskog</t>
        </is>
      </c>
      <c r="G5471" t="n">
        <v>11.4</v>
      </c>
      <c r="H5471" t="n">
        <v>0</v>
      </c>
      <c r="I5471" t="n">
        <v>0</v>
      </c>
      <c r="J5471" t="n">
        <v>0</v>
      </c>
      <c r="K5471" t="n">
        <v>0</v>
      </c>
      <c r="L5471" t="n">
        <v>0</v>
      </c>
      <c r="M5471" t="n">
        <v>0</v>
      </c>
      <c r="N5471" t="n">
        <v>0</v>
      </c>
      <c r="O5471" t="n">
        <v>0</v>
      </c>
      <c r="P5471" t="n">
        <v>0</v>
      </c>
      <c r="Q5471" t="n">
        <v>0</v>
      </c>
      <c r="R5471" s="2" t="inlineStr"/>
    </row>
    <row r="5472" ht="15" customHeight="1">
      <c r="A5472" t="inlineStr">
        <is>
          <t>A 31860-2025</t>
        </is>
      </c>
      <c r="B5472" s="1" t="n">
        <v>45834</v>
      </c>
      <c r="C5472" s="1" t="n">
        <v>45846</v>
      </c>
      <c r="D5472" t="inlineStr">
        <is>
          <t>VÄSTMANLANDS LÄN</t>
        </is>
      </c>
      <c r="E5472" t="inlineStr">
        <is>
          <t>SALA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31738-2025</t>
        </is>
      </c>
      <c r="B5473" s="1" t="n">
        <v>45834</v>
      </c>
      <c r="C5473" s="1" t="n">
        <v>45846</v>
      </c>
      <c r="D5473" t="inlineStr">
        <is>
          <t>VÄSTMANLANDS LÄN</t>
        </is>
      </c>
      <c r="E5473" t="inlineStr">
        <is>
          <t>KÖPING</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31776-2025</t>
        </is>
      </c>
      <c r="B5474" s="1" t="n">
        <v>45834</v>
      </c>
      <c r="C5474" s="1" t="n">
        <v>45846</v>
      </c>
      <c r="D5474" t="inlineStr">
        <is>
          <t>VÄSTMANLANDS LÄN</t>
        </is>
      </c>
      <c r="E5474" t="inlineStr">
        <is>
          <t>FAGERSTA</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45846</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45846</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45846</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32205-2025</t>
        </is>
      </c>
      <c r="B5478" s="1" t="n">
        <v>45835</v>
      </c>
      <c r="C5478" s="1" t="n">
        <v>45846</v>
      </c>
      <c r="D5478" t="inlineStr">
        <is>
          <t>VÄSTMANLANDS LÄN</t>
        </is>
      </c>
      <c r="E5478" t="inlineStr">
        <is>
          <t>SALA</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32201-2025</t>
        </is>
      </c>
      <c r="B5479" s="1" t="n">
        <v>45835</v>
      </c>
      <c r="C5479" s="1" t="n">
        <v>45846</v>
      </c>
      <c r="D5479" t="inlineStr">
        <is>
          <t>VÄSTMANLANDS LÄN</t>
        </is>
      </c>
      <c r="E5479" t="inlineStr">
        <is>
          <t>SALA</t>
        </is>
      </c>
      <c r="F5479" t="inlineStr">
        <is>
          <t>Bergvik skog öst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32004-2025</t>
        </is>
      </c>
      <c r="B5480" s="1" t="n">
        <v>45835</v>
      </c>
      <c r="C5480" s="1" t="n">
        <v>45846</v>
      </c>
      <c r="D5480" t="inlineStr">
        <is>
          <t>VÄSTMANLANDS LÄN</t>
        </is>
      </c>
      <c r="E5480" t="inlineStr">
        <is>
          <t>FAGERSTA</t>
        </is>
      </c>
      <c r="F5480" t="inlineStr">
        <is>
          <t>Sveaskog</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32286-2025</t>
        </is>
      </c>
      <c r="B5481" s="1" t="n">
        <v>45835</v>
      </c>
      <c r="C5481" s="1" t="n">
        <v>45846</v>
      </c>
      <c r="D5481" t="inlineStr">
        <is>
          <t>VÄSTMANLANDS LÄN</t>
        </is>
      </c>
      <c r="E5481" t="inlineStr">
        <is>
          <t>SALA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45846</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32767-2025</t>
        </is>
      </c>
      <c r="B5483" s="1" t="n">
        <v>45839</v>
      </c>
      <c r="C5483" s="1" t="n">
        <v>45846</v>
      </c>
      <c r="D5483" t="inlineStr">
        <is>
          <t>VÄSTMANLANDS LÄN</t>
        </is>
      </c>
      <c r="E5483" t="inlineStr">
        <is>
          <t>NORBERG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32805-2025</t>
        </is>
      </c>
      <c r="B5484" s="1" t="n">
        <v>45839</v>
      </c>
      <c r="C5484" s="1" t="n">
        <v>45846</v>
      </c>
      <c r="D5484" t="inlineStr">
        <is>
          <t>VÄSTMANLANDS LÄN</t>
        </is>
      </c>
      <c r="E5484" t="inlineStr">
        <is>
          <t>FAGERSTA</t>
        </is>
      </c>
      <c r="F5484" t="inlineStr">
        <is>
          <t>Sveaskog</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32902-2025</t>
        </is>
      </c>
      <c r="B5485" s="1" t="n">
        <v>45839</v>
      </c>
      <c r="C5485" s="1" t="n">
        <v>45846</v>
      </c>
      <c r="D5485" t="inlineStr">
        <is>
          <t>VÄSTMANLANDS LÄN</t>
        </is>
      </c>
      <c r="E5485" t="inlineStr">
        <is>
          <t>SALA</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32845-2025</t>
        </is>
      </c>
      <c r="B5486" s="1" t="n">
        <v>45839</v>
      </c>
      <c r="C5486" s="1" t="n">
        <v>45846</v>
      </c>
      <c r="D5486" t="inlineStr">
        <is>
          <t>VÄSTMANLANDS LÄN</t>
        </is>
      </c>
      <c r="E5486" t="inlineStr">
        <is>
          <t>KÖPING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32834-2025</t>
        </is>
      </c>
      <c r="B5487" s="1" t="n">
        <v>45839</v>
      </c>
      <c r="C5487" s="1" t="n">
        <v>45846</v>
      </c>
      <c r="D5487" t="inlineStr">
        <is>
          <t>VÄSTMANLANDS LÄN</t>
        </is>
      </c>
      <c r="E5487" t="inlineStr">
        <is>
          <t>VÄSTERÅS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33236-2025</t>
        </is>
      </c>
      <c r="B5488" s="1" t="n">
        <v>45840</v>
      </c>
      <c r="C5488" s="1" t="n">
        <v>45846</v>
      </c>
      <c r="D5488" t="inlineStr">
        <is>
          <t>VÄSTMANLANDS LÄN</t>
        </is>
      </c>
      <c r="E5488" t="inlineStr">
        <is>
          <t>FAGERSTA</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33035-2025</t>
        </is>
      </c>
      <c r="B5489" s="1" t="n">
        <v>45840</v>
      </c>
      <c r="C5489" s="1" t="n">
        <v>45846</v>
      </c>
      <c r="D5489" t="inlineStr">
        <is>
          <t>VÄSTMANLANDS LÄN</t>
        </is>
      </c>
      <c r="E5489" t="inlineStr">
        <is>
          <t>KUNGSÖR</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33022-2025</t>
        </is>
      </c>
      <c r="B5490" s="1" t="n">
        <v>45840</v>
      </c>
      <c r="C5490" s="1" t="n">
        <v>45846</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33232-2025</t>
        </is>
      </c>
      <c r="B5491" s="1" t="n">
        <v>45840</v>
      </c>
      <c r="C5491" s="1" t="n">
        <v>45846</v>
      </c>
      <c r="D5491" t="inlineStr">
        <is>
          <t>VÄSTMANLANDS LÄN</t>
        </is>
      </c>
      <c r="E5491" t="inlineStr">
        <is>
          <t>FAGERSTA</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33034-2025</t>
        </is>
      </c>
      <c r="B5492" s="1" t="n">
        <v>45840</v>
      </c>
      <c r="C5492" s="1" t="n">
        <v>45846</v>
      </c>
      <c r="D5492" t="inlineStr">
        <is>
          <t>VÄSTMANLANDS LÄN</t>
        </is>
      </c>
      <c r="E5492" t="inlineStr">
        <is>
          <t>KUNGSÖR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33238-2025</t>
        </is>
      </c>
      <c r="B5493" s="1" t="n">
        <v>45840</v>
      </c>
      <c r="C5493" s="1" t="n">
        <v>45846</v>
      </c>
      <c r="D5493" t="inlineStr">
        <is>
          <t>VÄSTMANLANDS LÄN</t>
        </is>
      </c>
      <c r="E5493" t="inlineStr">
        <is>
          <t>FAGERSTA</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33503-2025</t>
        </is>
      </c>
      <c r="B5494" s="1" t="n">
        <v>45841</v>
      </c>
      <c r="C5494" s="1" t="n">
        <v>45846</v>
      </c>
      <c r="D5494" t="inlineStr">
        <is>
          <t>VÄSTMANLANDS LÄN</t>
        </is>
      </c>
      <c r="E5494" t="inlineStr">
        <is>
          <t>KÖPING</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33508-2025</t>
        </is>
      </c>
      <c r="B5495" s="1" t="n">
        <v>45841</v>
      </c>
      <c r="C5495" s="1" t="n">
        <v>45846</v>
      </c>
      <c r="D5495" t="inlineStr">
        <is>
          <t>VÄSTMANLANDS LÄN</t>
        </is>
      </c>
      <c r="E5495" t="inlineStr">
        <is>
          <t>KÖPING</t>
        </is>
      </c>
      <c r="F5495" t="inlineStr">
        <is>
          <t>Sveaskog</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33505-2025</t>
        </is>
      </c>
      <c r="B5496" s="1" t="n">
        <v>45841</v>
      </c>
      <c r="C5496" s="1" t="n">
        <v>45846</v>
      </c>
      <c r="D5496" t="inlineStr">
        <is>
          <t>VÄSTMANLANDS LÄN</t>
        </is>
      </c>
      <c r="E5496" t="inlineStr">
        <is>
          <t>KÖPING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33491-2025</t>
        </is>
      </c>
      <c r="B5497" s="1" t="n">
        <v>45841</v>
      </c>
      <c r="C5497" s="1" t="n">
        <v>45846</v>
      </c>
      <c r="D5497" t="inlineStr">
        <is>
          <t>VÄSTMANLANDS LÄN</t>
        </is>
      </c>
      <c r="E5497" t="inlineStr">
        <is>
          <t>KÖPING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33499-2025</t>
        </is>
      </c>
      <c r="B5498" s="1" t="n">
        <v>45841</v>
      </c>
      <c r="C5498" s="1" t="n">
        <v>45846</v>
      </c>
      <c r="D5498" t="inlineStr">
        <is>
          <t>VÄSTMANLANDS LÄN</t>
        </is>
      </c>
      <c r="E5498" t="inlineStr">
        <is>
          <t>KÖPING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33799-2025</t>
        </is>
      </c>
      <c r="B5499" s="1" t="n">
        <v>45842</v>
      </c>
      <c r="C5499" s="1" t="n">
        <v>45846</v>
      </c>
      <c r="D5499" t="inlineStr">
        <is>
          <t>VÄSTMANLANDS LÄN</t>
        </is>
      </c>
      <c r="E5499" t="inlineStr">
        <is>
          <t>HALLSTAHAMMAR</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45846</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c r="A5501" t="inlineStr">
        <is>
          <t>A 34069-2025</t>
        </is>
      </c>
      <c r="B5501" s="1" t="n">
        <v>45845</v>
      </c>
      <c r="C5501" s="1" t="n">
        <v>45846</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2025-07-08T19:52:48Z</dcterms:created>
  <dcterms:modified xmlns:dcterms="http://purl.org/dc/terms/" xmlns:xsi="http://www.w3.org/2001/XMLSchema-instance" xsi:type="dcterms:W3CDTF">2025-07-08T19:52:53Z</dcterms:modified>
</cp:coreProperties>
</file>