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45657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45657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45657</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45657</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45657</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45657</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45657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45657</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45657</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45657</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45657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45657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45657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45657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45657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45657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45657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45657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45657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45657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45657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45657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45657</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45657</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45657</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45657</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45657</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45657</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45657</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45657</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45657</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45657</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45657</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45657</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45657</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45657</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45657</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45657</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45657</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45657</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45657</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45657</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45657</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45657</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45657</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45657</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45657</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45657</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45657</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45657</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45657</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45657</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45657</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45657</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45657</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45657</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45657</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45657</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45657</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45657</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45657</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45657</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45657</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45657</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45657</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45657</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45657</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45657</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45657</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45657</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45657</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45657</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45657</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45657</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45657</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45657</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45657</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45657</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45657</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45657</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45657</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45657</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45657</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45657</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45657</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45657</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45657</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45657</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45657</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45657</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45657</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45657</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45657</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45657</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45657</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45657</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45657</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45657</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59550-2020</t>
        </is>
      </c>
      <c r="B102" s="1" t="n">
        <v>44148</v>
      </c>
      <c r="C102" s="1" t="n">
        <v>45657</v>
      </c>
      <c r="D102" t="inlineStr">
        <is>
          <t>VÄSTMANLANDS LÄN</t>
        </is>
      </c>
      <c r="E102" t="inlineStr">
        <is>
          <t>SURAHAMMAR</t>
        </is>
      </c>
      <c r="G102" t="n">
        <v>0.8</v>
      </c>
      <c r="H102" t="n">
        <v>1</v>
      </c>
      <c r="I102" t="n">
        <v>1</v>
      </c>
      <c r="J102" t="n">
        <v>1</v>
      </c>
      <c r="K102" t="n">
        <v>0</v>
      </c>
      <c r="L102" t="n">
        <v>0</v>
      </c>
      <c r="M102" t="n">
        <v>0</v>
      </c>
      <c r="N102" t="n">
        <v>0</v>
      </c>
      <c r="O102" t="n">
        <v>1</v>
      </c>
      <c r="P102" t="n">
        <v>0</v>
      </c>
      <c r="Q102" t="n">
        <v>3</v>
      </c>
      <c r="R102" s="2" t="inlineStr">
        <is>
          <t>Ljusskivig lerskivling
Hasselticka
Blåsippa</t>
        </is>
      </c>
      <c r="S102">
        <f>HYPERLINK("https://klasma.github.io/Logging_1907/artfynd/A 59550-2020 artfynd.xlsx", "A 59550-2020")</f>
        <v/>
      </c>
      <c r="T102">
        <f>HYPERLINK("https://klasma.github.io/Logging_1907/kartor/A 59550-2020 karta.png", "A 59550-2020")</f>
        <v/>
      </c>
      <c r="V102">
        <f>HYPERLINK("https://klasma.github.io/Logging_1907/klagomål/A 59550-2020 FSC-klagomål.docx", "A 59550-2020")</f>
        <v/>
      </c>
      <c r="W102">
        <f>HYPERLINK("https://klasma.github.io/Logging_1907/klagomålsmail/A 59550-2020 FSC-klagomål mail.docx", "A 59550-2020")</f>
        <v/>
      </c>
      <c r="X102">
        <f>HYPERLINK("https://klasma.github.io/Logging_1907/tillsyn/A 59550-2020 tillsynsbegäran.docx", "A 59550-2020")</f>
        <v/>
      </c>
      <c r="Y102">
        <f>HYPERLINK("https://klasma.github.io/Logging_1907/tillsynsmail/A 59550-2020 tillsynsbegäran mail.docx", "A 59550-2020")</f>
        <v/>
      </c>
    </row>
    <row r="103" ht="15" customHeight="1">
      <c r="A103" t="inlineStr">
        <is>
          <t>A 25843-2021</t>
        </is>
      </c>
      <c r="B103" s="1" t="n">
        <v>44343</v>
      </c>
      <c r="C103" s="1" t="n">
        <v>45657</v>
      </c>
      <c r="D103" t="inlineStr">
        <is>
          <t>VÄSTMANLANDS LÄN</t>
        </is>
      </c>
      <c r="E103" t="inlineStr">
        <is>
          <t>NORBERG</t>
        </is>
      </c>
      <c r="G103" t="n">
        <v>2.2</v>
      </c>
      <c r="H103" t="n">
        <v>1</v>
      </c>
      <c r="I103" t="n">
        <v>2</v>
      </c>
      <c r="J103" t="n">
        <v>0</v>
      </c>
      <c r="K103" t="n">
        <v>1</v>
      </c>
      <c r="L103" t="n">
        <v>0</v>
      </c>
      <c r="M103" t="n">
        <v>0</v>
      </c>
      <c r="N103" t="n">
        <v>0</v>
      </c>
      <c r="O103" t="n">
        <v>1</v>
      </c>
      <c r="P103" t="n">
        <v>1</v>
      </c>
      <c r="Q103" t="n">
        <v>3</v>
      </c>
      <c r="R103" s="2" t="inlineStr">
        <is>
          <t>Knärot
Bårdlav
Grönpyrola</t>
        </is>
      </c>
      <c r="S103">
        <f>HYPERLINK("https://klasma.github.io/Logging_1962/artfynd/A 25843-2021 artfynd.xlsx", "A 25843-2021")</f>
        <v/>
      </c>
      <c r="T103">
        <f>HYPERLINK("https://klasma.github.io/Logging_1962/kartor/A 25843-2021 karta.png", "A 25843-2021")</f>
        <v/>
      </c>
      <c r="U103">
        <f>HYPERLINK("https://klasma.github.io/Logging_1962/knärot/A 25843-2021 karta knärot.png", "A 25843-2021")</f>
        <v/>
      </c>
      <c r="V103">
        <f>HYPERLINK("https://klasma.github.io/Logging_1962/klagomål/A 25843-2021 FSC-klagomål.docx", "A 25843-2021")</f>
        <v/>
      </c>
      <c r="W103">
        <f>HYPERLINK("https://klasma.github.io/Logging_1962/klagomålsmail/A 25843-2021 FSC-klagomål mail.docx", "A 25843-2021")</f>
        <v/>
      </c>
      <c r="X103">
        <f>HYPERLINK("https://klasma.github.io/Logging_1962/tillsyn/A 25843-2021 tillsynsbegäran.docx", "A 25843-2021")</f>
        <v/>
      </c>
      <c r="Y103">
        <f>HYPERLINK("https://klasma.github.io/Logging_1962/tillsynsmail/A 25843-2021 tillsynsbegäran mail.docx", "A 25843-2021")</f>
        <v/>
      </c>
    </row>
    <row r="104" ht="15" customHeight="1">
      <c r="A104" t="inlineStr">
        <is>
          <t>A 26571-2021</t>
        </is>
      </c>
      <c r="B104" s="1" t="n">
        <v>44348</v>
      </c>
      <c r="C104" s="1" t="n">
        <v>45657</v>
      </c>
      <c r="D104" t="inlineStr">
        <is>
          <t>VÄSTMANLANDS LÄN</t>
        </is>
      </c>
      <c r="E104" t="inlineStr">
        <is>
          <t>SALA</t>
        </is>
      </c>
      <c r="G104" t="n">
        <v>2.1</v>
      </c>
      <c r="H104" t="n">
        <v>0</v>
      </c>
      <c r="I104" t="n">
        <v>1</v>
      </c>
      <c r="J104" t="n">
        <v>2</v>
      </c>
      <c r="K104" t="n">
        <v>0</v>
      </c>
      <c r="L104" t="n">
        <v>0</v>
      </c>
      <c r="M104" t="n">
        <v>0</v>
      </c>
      <c r="N104" t="n">
        <v>0</v>
      </c>
      <c r="O104" t="n">
        <v>2</v>
      </c>
      <c r="P104" t="n">
        <v>0</v>
      </c>
      <c r="Q104" t="n">
        <v>3</v>
      </c>
      <c r="R104" s="2" t="inlineStr">
        <is>
          <t>Skrovlig taggsvamp
Ullticka
Flagellkvastmossa</t>
        </is>
      </c>
      <c r="S104">
        <f>HYPERLINK("https://klasma.github.io/Logging_1981/artfynd/A 26571-2021 artfynd.xlsx", "A 26571-2021")</f>
        <v/>
      </c>
      <c r="T104">
        <f>HYPERLINK("https://klasma.github.io/Logging_1981/kartor/A 26571-2021 karta.png", "A 26571-2021")</f>
        <v/>
      </c>
      <c r="V104">
        <f>HYPERLINK("https://klasma.github.io/Logging_1981/klagomål/A 26571-2021 FSC-klagomål.docx", "A 26571-2021")</f>
        <v/>
      </c>
      <c r="W104">
        <f>HYPERLINK("https://klasma.github.io/Logging_1981/klagomålsmail/A 26571-2021 FSC-klagomål mail.docx", "A 26571-2021")</f>
        <v/>
      </c>
      <c r="X104">
        <f>HYPERLINK("https://klasma.github.io/Logging_1981/tillsyn/A 26571-2021 tillsynsbegäran.docx", "A 26571-2021")</f>
        <v/>
      </c>
      <c r="Y104">
        <f>HYPERLINK("https://klasma.github.io/Logging_1981/tillsynsmail/A 26571-2021 tillsynsbegäran mail.docx", "A 26571-2021")</f>
        <v/>
      </c>
    </row>
    <row r="105" ht="15" customHeight="1">
      <c r="A105" t="inlineStr">
        <is>
          <t>A 38200-2021</t>
        </is>
      </c>
      <c r="B105" s="1" t="n">
        <v>44405</v>
      </c>
      <c r="C105" s="1" t="n">
        <v>45657</v>
      </c>
      <c r="D105" t="inlineStr">
        <is>
          <t>VÄSTMANLANDS LÄN</t>
        </is>
      </c>
      <c r="E105" t="inlineStr">
        <is>
          <t>SURAHAMMAR</t>
        </is>
      </c>
      <c r="F105" t="inlineStr">
        <is>
          <t>Sveaskog</t>
        </is>
      </c>
      <c r="G105" t="n">
        <v>1.5</v>
      </c>
      <c r="H105" t="n">
        <v>1</v>
      </c>
      <c r="I105" t="n">
        <v>0</v>
      </c>
      <c r="J105" t="n">
        <v>1</v>
      </c>
      <c r="K105" t="n">
        <v>1</v>
      </c>
      <c r="L105" t="n">
        <v>0</v>
      </c>
      <c r="M105" t="n">
        <v>0</v>
      </c>
      <c r="N105" t="n">
        <v>0</v>
      </c>
      <c r="O105" t="n">
        <v>2</v>
      </c>
      <c r="P105" t="n">
        <v>1</v>
      </c>
      <c r="Q105" t="n">
        <v>3</v>
      </c>
      <c r="R105" s="2" t="inlineStr">
        <is>
          <t>Vågticka
Svinrot
Kopparödla</t>
        </is>
      </c>
      <c r="S105">
        <f>HYPERLINK("https://klasma.github.io/Logging_1907/artfynd/A 38200-2021 artfynd.xlsx", "A 38200-2021")</f>
        <v/>
      </c>
      <c r="T105">
        <f>HYPERLINK("https://klasma.github.io/Logging_1907/kartor/A 38200-2021 karta.png", "A 38200-2021")</f>
        <v/>
      </c>
      <c r="V105">
        <f>HYPERLINK("https://klasma.github.io/Logging_1907/klagomål/A 38200-2021 FSC-klagomål.docx", "A 38200-2021")</f>
        <v/>
      </c>
      <c r="W105">
        <f>HYPERLINK("https://klasma.github.io/Logging_1907/klagomålsmail/A 38200-2021 FSC-klagomål mail.docx", "A 38200-2021")</f>
        <v/>
      </c>
      <c r="X105">
        <f>HYPERLINK("https://klasma.github.io/Logging_1907/tillsyn/A 38200-2021 tillsynsbegäran.docx", "A 38200-2021")</f>
        <v/>
      </c>
      <c r="Y105">
        <f>HYPERLINK("https://klasma.github.io/Logging_1907/tillsynsmail/A 38200-2021 tillsynsbegäran mail.docx", "A 38200-2021")</f>
        <v/>
      </c>
    </row>
    <row r="106" ht="15" customHeight="1">
      <c r="A106" t="inlineStr">
        <is>
          <t>A 62768-2021</t>
        </is>
      </c>
      <c r="B106" s="1" t="n">
        <v>44504</v>
      </c>
      <c r="C106" s="1" t="n">
        <v>45657</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8552-2022</t>
        </is>
      </c>
      <c r="B107" s="1" t="n">
        <v>44613</v>
      </c>
      <c r="C107" s="1" t="n">
        <v>45657</v>
      </c>
      <c r="D107" t="inlineStr">
        <is>
          <t>VÄSTMANLANDS LÄN</t>
        </is>
      </c>
      <c r="E107" t="inlineStr">
        <is>
          <t>SURAHAMMAR</t>
        </is>
      </c>
      <c r="F107" t="inlineStr">
        <is>
          <t>Bergvik skog väst AB</t>
        </is>
      </c>
      <c r="G107" t="n">
        <v>3.2</v>
      </c>
      <c r="H107" t="n">
        <v>2</v>
      </c>
      <c r="I107" t="n">
        <v>1</v>
      </c>
      <c r="J107" t="n">
        <v>2</v>
      </c>
      <c r="K107" t="n">
        <v>0</v>
      </c>
      <c r="L107" t="n">
        <v>0</v>
      </c>
      <c r="M107" t="n">
        <v>0</v>
      </c>
      <c r="N107" t="n">
        <v>0</v>
      </c>
      <c r="O107" t="n">
        <v>2</v>
      </c>
      <c r="P107" t="n">
        <v>0</v>
      </c>
      <c r="Q107" t="n">
        <v>3</v>
      </c>
      <c r="R107" s="2" t="inlineStr">
        <is>
          <t>Spillkråka
Talltita
Mindre märgborre</t>
        </is>
      </c>
      <c r="S107">
        <f>HYPERLINK("https://klasma.github.io/Logging_1907/artfynd/A 8552-2022 artfynd.xlsx", "A 8552-2022")</f>
        <v/>
      </c>
      <c r="T107">
        <f>HYPERLINK("https://klasma.github.io/Logging_1907/kartor/A 8552-2022 karta.png", "A 8552-2022")</f>
        <v/>
      </c>
      <c r="V107">
        <f>HYPERLINK("https://klasma.github.io/Logging_1907/klagomål/A 8552-2022 FSC-klagomål.docx", "A 8552-2022")</f>
        <v/>
      </c>
      <c r="W107">
        <f>HYPERLINK("https://klasma.github.io/Logging_1907/klagomålsmail/A 8552-2022 FSC-klagomål mail.docx", "A 8552-2022")</f>
        <v/>
      </c>
      <c r="X107">
        <f>HYPERLINK("https://klasma.github.io/Logging_1907/tillsyn/A 8552-2022 tillsynsbegäran.docx", "A 8552-2022")</f>
        <v/>
      </c>
      <c r="Y107">
        <f>HYPERLINK("https://klasma.github.io/Logging_1907/tillsynsmail/A 8552-2022 tillsynsbegäran mail.docx", "A 8552-2022")</f>
        <v/>
      </c>
      <c r="Z107">
        <f>HYPERLINK("https://klasma.github.io/Logging_1907/fåglar/A 8552-2022 prioriterade fågelarter.docx", "A 8552-2022")</f>
        <v/>
      </c>
    </row>
    <row r="108" ht="15" customHeight="1">
      <c r="A108" t="inlineStr">
        <is>
          <t>A 11804-2022</t>
        </is>
      </c>
      <c r="B108" s="1" t="n">
        <v>44634</v>
      </c>
      <c r="C108" s="1" t="n">
        <v>45657</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15991-2022</t>
        </is>
      </c>
      <c r="B109" s="1" t="n">
        <v>44664</v>
      </c>
      <c r="C109" s="1" t="n">
        <v>45657</v>
      </c>
      <c r="D109" t="inlineStr">
        <is>
          <t>VÄSTMANLANDS LÄN</t>
        </is>
      </c>
      <c r="E109" t="inlineStr">
        <is>
          <t>SALA</t>
        </is>
      </c>
      <c r="G109" t="n">
        <v>4.5</v>
      </c>
      <c r="H109" t="n">
        <v>2</v>
      </c>
      <c r="I109" t="n">
        <v>1</v>
      </c>
      <c r="J109" t="n">
        <v>0</v>
      </c>
      <c r="K109" t="n">
        <v>1</v>
      </c>
      <c r="L109" t="n">
        <v>0</v>
      </c>
      <c r="M109" t="n">
        <v>0</v>
      </c>
      <c r="N109" t="n">
        <v>0</v>
      </c>
      <c r="O109" t="n">
        <v>1</v>
      </c>
      <c r="P109" t="n">
        <v>1</v>
      </c>
      <c r="Q109" t="n">
        <v>3</v>
      </c>
      <c r="R109" s="2" t="inlineStr">
        <is>
          <t>Knärot
Blåmossa
Revlummer</t>
        </is>
      </c>
      <c r="S109">
        <f>HYPERLINK("https://klasma.github.io/Logging_1981/artfynd/A 15991-2022 artfynd.xlsx", "A 15991-2022")</f>
        <v/>
      </c>
      <c r="T109">
        <f>HYPERLINK("https://klasma.github.io/Logging_1981/kartor/A 15991-2022 karta.png", "A 15991-2022")</f>
        <v/>
      </c>
      <c r="U109">
        <f>HYPERLINK("https://klasma.github.io/Logging_1981/knärot/A 15991-2022 karta knärot.png", "A 15991-2022")</f>
        <v/>
      </c>
      <c r="V109">
        <f>HYPERLINK("https://klasma.github.io/Logging_1981/klagomål/A 15991-2022 FSC-klagomål.docx", "A 15991-2022")</f>
        <v/>
      </c>
      <c r="W109">
        <f>HYPERLINK("https://klasma.github.io/Logging_1981/klagomålsmail/A 15991-2022 FSC-klagomål mail.docx", "A 15991-2022")</f>
        <v/>
      </c>
      <c r="X109">
        <f>HYPERLINK("https://klasma.github.io/Logging_1981/tillsyn/A 15991-2022 tillsynsbegäran.docx", "A 15991-2022")</f>
        <v/>
      </c>
      <c r="Y109">
        <f>HYPERLINK("https://klasma.github.io/Logging_1981/tillsynsmail/A 15991-2022 tillsynsbegäran mail.docx", "A 15991-2022")</f>
        <v/>
      </c>
    </row>
    <row r="110" ht="15" customHeight="1">
      <c r="A110" t="inlineStr">
        <is>
          <t>A 28438-2022</t>
        </is>
      </c>
      <c r="B110" s="1" t="n">
        <v>44747</v>
      </c>
      <c r="C110" s="1" t="n">
        <v>45657</v>
      </c>
      <c r="D110" t="inlineStr">
        <is>
          <t>VÄSTMANLANDS LÄN</t>
        </is>
      </c>
      <c r="E110" t="inlineStr">
        <is>
          <t>FAGERSTA</t>
        </is>
      </c>
      <c r="F110" t="inlineStr">
        <is>
          <t>Sveaskog</t>
        </is>
      </c>
      <c r="G110" t="n">
        <v>2.6</v>
      </c>
      <c r="H110" t="n">
        <v>0</v>
      </c>
      <c r="I110" t="n">
        <v>1</v>
      </c>
      <c r="J110" t="n">
        <v>2</v>
      </c>
      <c r="K110" t="n">
        <v>0</v>
      </c>
      <c r="L110" t="n">
        <v>0</v>
      </c>
      <c r="M110" t="n">
        <v>0</v>
      </c>
      <c r="N110" t="n">
        <v>0</v>
      </c>
      <c r="O110" t="n">
        <v>2</v>
      </c>
      <c r="P110" t="n">
        <v>0</v>
      </c>
      <c r="Q110" t="n">
        <v>3</v>
      </c>
      <c r="R110" s="2" t="inlineStr">
        <is>
          <t>Tallticka
Vedtrappmossa
Kornknutmossa</t>
        </is>
      </c>
      <c r="S110">
        <f>HYPERLINK("https://klasma.github.io/Logging_1982/artfynd/A 28438-2022 artfynd.xlsx", "A 28438-2022")</f>
        <v/>
      </c>
      <c r="T110">
        <f>HYPERLINK("https://klasma.github.io/Logging_1982/kartor/A 28438-2022 karta.png", "A 28438-2022")</f>
        <v/>
      </c>
      <c r="V110">
        <f>HYPERLINK("https://klasma.github.io/Logging_1982/klagomål/A 28438-2022 FSC-klagomål.docx", "A 28438-2022")</f>
        <v/>
      </c>
      <c r="W110">
        <f>HYPERLINK("https://klasma.github.io/Logging_1982/klagomålsmail/A 28438-2022 FSC-klagomål mail.docx", "A 28438-2022")</f>
        <v/>
      </c>
      <c r="X110">
        <f>HYPERLINK("https://klasma.github.io/Logging_1982/tillsyn/A 28438-2022 tillsynsbegäran.docx", "A 28438-2022")</f>
        <v/>
      </c>
      <c r="Y110">
        <f>HYPERLINK("https://klasma.github.io/Logging_1982/tillsynsmail/A 28438-2022 tillsynsbegäran mail.docx", "A 28438-2022")</f>
        <v/>
      </c>
    </row>
    <row r="111" ht="15" customHeight="1">
      <c r="A111" t="inlineStr">
        <is>
          <t>A 42708-2022</t>
        </is>
      </c>
      <c r="B111" s="1" t="n">
        <v>44832</v>
      </c>
      <c r="C111" s="1" t="n">
        <v>45657</v>
      </c>
      <c r="D111" t="inlineStr">
        <is>
          <t>VÄSTMANLANDS LÄN</t>
        </is>
      </c>
      <c r="E111" t="inlineStr">
        <is>
          <t>SURAHAMMAR</t>
        </is>
      </c>
      <c r="G111" t="n">
        <v>27.2</v>
      </c>
      <c r="H111" t="n">
        <v>3</v>
      </c>
      <c r="I111" t="n">
        <v>0</v>
      </c>
      <c r="J111" t="n">
        <v>2</v>
      </c>
      <c r="K111" t="n">
        <v>0</v>
      </c>
      <c r="L111" t="n">
        <v>0</v>
      </c>
      <c r="M111" t="n">
        <v>0</v>
      </c>
      <c r="N111" t="n">
        <v>0</v>
      </c>
      <c r="O111" t="n">
        <v>2</v>
      </c>
      <c r="P111" t="n">
        <v>0</v>
      </c>
      <c r="Q111" t="n">
        <v>3</v>
      </c>
      <c r="R111" s="2" t="inlineStr">
        <is>
          <t>Entita
Spillkråka
Blåsippa</t>
        </is>
      </c>
      <c r="S111">
        <f>HYPERLINK("https://klasma.github.io/Logging_1907/artfynd/A 42708-2022 artfynd.xlsx", "A 42708-2022")</f>
        <v/>
      </c>
      <c r="T111">
        <f>HYPERLINK("https://klasma.github.io/Logging_1907/kartor/A 42708-2022 karta.png", "A 42708-2022")</f>
        <v/>
      </c>
      <c r="V111">
        <f>HYPERLINK("https://klasma.github.io/Logging_1907/klagomål/A 42708-2022 FSC-klagomål.docx", "A 42708-2022")</f>
        <v/>
      </c>
      <c r="W111">
        <f>HYPERLINK("https://klasma.github.io/Logging_1907/klagomålsmail/A 42708-2022 FSC-klagomål mail.docx", "A 42708-2022")</f>
        <v/>
      </c>
      <c r="X111">
        <f>HYPERLINK("https://klasma.github.io/Logging_1907/tillsyn/A 42708-2022 tillsynsbegäran.docx", "A 42708-2022")</f>
        <v/>
      </c>
      <c r="Y111">
        <f>HYPERLINK("https://klasma.github.io/Logging_1907/tillsynsmail/A 42708-2022 tillsynsbegäran mail.docx", "A 42708-2022")</f>
        <v/>
      </c>
      <c r="Z111">
        <f>HYPERLINK("https://klasma.github.io/Logging_1907/fåglar/A 42708-2022 prioriterade fågelarter.docx", "A 42708-2022")</f>
        <v/>
      </c>
    </row>
    <row r="112" ht="15" customHeight="1">
      <c r="A112" t="inlineStr">
        <is>
          <t>A 42853-2022</t>
        </is>
      </c>
      <c r="B112" s="1" t="n">
        <v>44832</v>
      </c>
      <c r="C112" s="1" t="n">
        <v>45657</v>
      </c>
      <c r="D112" t="inlineStr">
        <is>
          <t>VÄSTMANLANDS LÄN</t>
        </is>
      </c>
      <c r="E112" t="inlineStr">
        <is>
          <t>SURAHAMMAR</t>
        </is>
      </c>
      <c r="G112" t="n">
        <v>7.4</v>
      </c>
      <c r="H112" t="n">
        <v>1</v>
      </c>
      <c r="I112" t="n">
        <v>1</v>
      </c>
      <c r="J112" t="n">
        <v>1</v>
      </c>
      <c r="K112" t="n">
        <v>0</v>
      </c>
      <c r="L112" t="n">
        <v>1</v>
      </c>
      <c r="M112" t="n">
        <v>0</v>
      </c>
      <c r="N112" t="n">
        <v>0</v>
      </c>
      <c r="O112" t="n">
        <v>2</v>
      </c>
      <c r="P112" t="n">
        <v>1</v>
      </c>
      <c r="Q112" t="n">
        <v>3</v>
      </c>
      <c r="R112" s="2" t="inlineStr">
        <is>
          <t>Ask
Kandelabersvamp
Tvåblad</t>
        </is>
      </c>
      <c r="S112">
        <f>HYPERLINK("https://klasma.github.io/Logging_1907/artfynd/A 42853-2022 artfynd.xlsx", "A 42853-2022")</f>
        <v/>
      </c>
      <c r="T112">
        <f>HYPERLINK("https://klasma.github.io/Logging_1907/kartor/A 42853-2022 karta.png", "A 42853-2022")</f>
        <v/>
      </c>
      <c r="V112">
        <f>HYPERLINK("https://klasma.github.io/Logging_1907/klagomål/A 42853-2022 FSC-klagomål.docx", "A 42853-2022")</f>
        <v/>
      </c>
      <c r="W112">
        <f>HYPERLINK("https://klasma.github.io/Logging_1907/klagomålsmail/A 42853-2022 FSC-klagomål mail.docx", "A 42853-2022")</f>
        <v/>
      </c>
      <c r="X112">
        <f>HYPERLINK("https://klasma.github.io/Logging_1907/tillsyn/A 42853-2022 tillsynsbegäran.docx", "A 42853-2022")</f>
        <v/>
      </c>
      <c r="Y112">
        <f>HYPERLINK("https://klasma.github.io/Logging_1907/tillsynsmail/A 42853-2022 tillsynsbegäran mail.docx", "A 42853-2022")</f>
        <v/>
      </c>
    </row>
    <row r="113" ht="15" customHeight="1">
      <c r="A113" t="inlineStr">
        <is>
          <t>A 42860-2022</t>
        </is>
      </c>
      <c r="B113" s="1" t="n">
        <v>44832</v>
      </c>
      <c r="C113" s="1" t="n">
        <v>45657</v>
      </c>
      <c r="D113" t="inlineStr">
        <is>
          <t>VÄSTMANLANDS LÄN</t>
        </is>
      </c>
      <c r="E113" t="inlineStr">
        <is>
          <t>SURAHAMMAR</t>
        </is>
      </c>
      <c r="G113" t="n">
        <v>0.9</v>
      </c>
      <c r="H113" t="n">
        <v>0</v>
      </c>
      <c r="I113" t="n">
        <v>1</v>
      </c>
      <c r="J113" t="n">
        <v>0</v>
      </c>
      <c r="K113" t="n">
        <v>0</v>
      </c>
      <c r="L113" t="n">
        <v>1</v>
      </c>
      <c r="M113" t="n">
        <v>1</v>
      </c>
      <c r="N113" t="n">
        <v>0</v>
      </c>
      <c r="O113" t="n">
        <v>2</v>
      </c>
      <c r="P113" t="n">
        <v>2</v>
      </c>
      <c r="Q113" t="n">
        <v>3</v>
      </c>
      <c r="R113" s="2" t="inlineStr">
        <is>
          <t>Skogsalm
Ask
Scharlakansvårskål agg.</t>
        </is>
      </c>
      <c r="S113">
        <f>HYPERLINK("https://klasma.github.io/Logging_1907/artfynd/A 42860-2022 artfynd.xlsx", "A 42860-2022")</f>
        <v/>
      </c>
      <c r="T113">
        <f>HYPERLINK("https://klasma.github.io/Logging_1907/kartor/A 42860-2022 karta.png", "A 42860-2022")</f>
        <v/>
      </c>
      <c r="V113">
        <f>HYPERLINK("https://klasma.github.io/Logging_1907/klagomål/A 42860-2022 FSC-klagomål.docx", "A 42860-2022")</f>
        <v/>
      </c>
      <c r="W113">
        <f>HYPERLINK("https://klasma.github.io/Logging_1907/klagomålsmail/A 42860-2022 FSC-klagomål mail.docx", "A 42860-2022")</f>
        <v/>
      </c>
      <c r="X113">
        <f>HYPERLINK("https://klasma.github.io/Logging_1907/tillsyn/A 42860-2022 tillsynsbegäran.docx", "A 42860-2022")</f>
        <v/>
      </c>
      <c r="Y113">
        <f>HYPERLINK("https://klasma.github.io/Logging_1907/tillsynsmail/A 42860-2022 tillsynsbegäran mail.docx", "A 42860-2022")</f>
        <v/>
      </c>
    </row>
    <row r="114" ht="15" customHeight="1">
      <c r="A114" t="inlineStr">
        <is>
          <t>A 3012-2023</t>
        </is>
      </c>
      <c r="B114" s="1" t="n">
        <v>44945</v>
      </c>
      <c r="C114" s="1" t="n">
        <v>45657</v>
      </c>
      <c r="D114" t="inlineStr">
        <is>
          <t>VÄSTMANLANDS LÄN</t>
        </is>
      </c>
      <c r="E114" t="inlineStr">
        <is>
          <t>SURAHAMMAR</t>
        </is>
      </c>
      <c r="F114" t="inlineStr">
        <is>
          <t>Sveaskog</t>
        </is>
      </c>
      <c r="G114" t="n">
        <v>5.7</v>
      </c>
      <c r="H114" t="n">
        <v>0</v>
      </c>
      <c r="I114" t="n">
        <v>1</v>
      </c>
      <c r="J114" t="n">
        <v>0</v>
      </c>
      <c r="K114" t="n">
        <v>0</v>
      </c>
      <c r="L114" t="n">
        <v>1</v>
      </c>
      <c r="M114" t="n">
        <v>1</v>
      </c>
      <c r="N114" t="n">
        <v>0</v>
      </c>
      <c r="O114" t="n">
        <v>2</v>
      </c>
      <c r="P114" t="n">
        <v>2</v>
      </c>
      <c r="Q114" t="n">
        <v>3</v>
      </c>
      <c r="R114" s="2" t="inlineStr">
        <is>
          <t>Skogsalm
Ask
Svart trolldruva</t>
        </is>
      </c>
      <c r="S114">
        <f>HYPERLINK("https://klasma.github.io/Logging_1907/artfynd/A 3012-2023 artfynd.xlsx", "A 3012-2023")</f>
        <v/>
      </c>
      <c r="T114">
        <f>HYPERLINK("https://klasma.github.io/Logging_1907/kartor/A 3012-2023 karta.png", "A 3012-2023")</f>
        <v/>
      </c>
      <c r="V114">
        <f>HYPERLINK("https://klasma.github.io/Logging_1907/klagomål/A 3012-2023 FSC-klagomål.docx", "A 3012-2023")</f>
        <v/>
      </c>
      <c r="W114">
        <f>HYPERLINK("https://klasma.github.io/Logging_1907/klagomålsmail/A 3012-2023 FSC-klagomål mail.docx", "A 3012-2023")</f>
        <v/>
      </c>
      <c r="X114">
        <f>HYPERLINK("https://klasma.github.io/Logging_1907/tillsyn/A 3012-2023 tillsynsbegäran.docx", "A 3012-2023")</f>
        <v/>
      </c>
      <c r="Y114">
        <f>HYPERLINK("https://klasma.github.io/Logging_1907/tillsynsmail/A 3012-2023 tillsynsbegäran mail.docx", "A 3012-2023")</f>
        <v/>
      </c>
    </row>
    <row r="115" ht="15" customHeight="1">
      <c r="A115" t="inlineStr">
        <is>
          <t>A 14587-2023</t>
        </is>
      </c>
      <c r="B115" s="1" t="n">
        <v>45013</v>
      </c>
      <c r="C115" s="1" t="n">
        <v>45657</v>
      </c>
      <c r="D115" t="inlineStr">
        <is>
          <t>VÄSTMANLANDS LÄN</t>
        </is>
      </c>
      <c r="E115" t="inlineStr">
        <is>
          <t>SURAHAMMAR</t>
        </is>
      </c>
      <c r="G115" t="n">
        <v>14.8</v>
      </c>
      <c r="H115" t="n">
        <v>1</v>
      </c>
      <c r="I115" t="n">
        <v>1</v>
      </c>
      <c r="J115" t="n">
        <v>1</v>
      </c>
      <c r="K115" t="n">
        <v>0</v>
      </c>
      <c r="L115" t="n">
        <v>0</v>
      </c>
      <c r="M115" t="n">
        <v>0</v>
      </c>
      <c r="N115" t="n">
        <v>0</v>
      </c>
      <c r="O115" t="n">
        <v>1</v>
      </c>
      <c r="P115" t="n">
        <v>0</v>
      </c>
      <c r="Q115" t="n">
        <v>3</v>
      </c>
      <c r="R115" s="2" t="inlineStr">
        <is>
          <t>Skogshare
Vedticka
Mattlummer</t>
        </is>
      </c>
      <c r="S115">
        <f>HYPERLINK("https://klasma.github.io/Logging_1907/artfynd/A 14587-2023 artfynd.xlsx", "A 14587-2023")</f>
        <v/>
      </c>
      <c r="T115">
        <f>HYPERLINK("https://klasma.github.io/Logging_1907/kartor/A 14587-2023 karta.png", "A 14587-2023")</f>
        <v/>
      </c>
      <c r="V115">
        <f>HYPERLINK("https://klasma.github.io/Logging_1907/klagomål/A 14587-2023 FSC-klagomål.docx", "A 14587-2023")</f>
        <v/>
      </c>
      <c r="W115">
        <f>HYPERLINK("https://klasma.github.io/Logging_1907/klagomålsmail/A 14587-2023 FSC-klagomål mail.docx", "A 14587-2023")</f>
        <v/>
      </c>
      <c r="X115">
        <f>HYPERLINK("https://klasma.github.io/Logging_1907/tillsyn/A 14587-2023 tillsynsbegäran.docx", "A 14587-2023")</f>
        <v/>
      </c>
      <c r="Y115">
        <f>HYPERLINK("https://klasma.github.io/Logging_1907/tillsynsmail/A 14587-2023 tillsynsbegäran mail.docx", "A 14587-2023")</f>
        <v/>
      </c>
    </row>
    <row r="116" ht="15" customHeight="1">
      <c r="A116" t="inlineStr">
        <is>
          <t>A 17053-2023</t>
        </is>
      </c>
      <c r="B116" s="1" t="n">
        <v>45034</v>
      </c>
      <c r="C116" s="1" t="n">
        <v>45657</v>
      </c>
      <c r="D116" t="inlineStr">
        <is>
          <t>VÄSTMANLANDS LÄN</t>
        </is>
      </c>
      <c r="E116" t="inlineStr">
        <is>
          <t>NORBERG</t>
        </is>
      </c>
      <c r="F116" t="inlineStr">
        <is>
          <t>Övriga Aktiebolag</t>
        </is>
      </c>
      <c r="G116" t="n">
        <v>16.8</v>
      </c>
      <c r="H116" t="n">
        <v>0</v>
      </c>
      <c r="I116" t="n">
        <v>1</v>
      </c>
      <c r="J116" t="n">
        <v>2</v>
      </c>
      <c r="K116" t="n">
        <v>0</v>
      </c>
      <c r="L116" t="n">
        <v>0</v>
      </c>
      <c r="M116" t="n">
        <v>0</v>
      </c>
      <c r="N116" t="n">
        <v>0</v>
      </c>
      <c r="O116" t="n">
        <v>2</v>
      </c>
      <c r="P116" t="n">
        <v>0</v>
      </c>
      <c r="Q116" t="n">
        <v>3</v>
      </c>
      <c r="R116" s="2" t="inlineStr">
        <is>
          <t>Dofttaggsvamp
Motaggsvamp
Rödgul trumpetsvamp</t>
        </is>
      </c>
      <c r="S116">
        <f>HYPERLINK("https://klasma.github.io/Logging_1962/artfynd/A 17053-2023 artfynd.xlsx", "A 17053-2023")</f>
        <v/>
      </c>
      <c r="T116">
        <f>HYPERLINK("https://klasma.github.io/Logging_1962/kartor/A 17053-2023 karta.png", "A 17053-2023")</f>
        <v/>
      </c>
      <c r="V116">
        <f>HYPERLINK("https://klasma.github.io/Logging_1962/klagomål/A 17053-2023 FSC-klagomål.docx", "A 17053-2023")</f>
        <v/>
      </c>
      <c r="W116">
        <f>HYPERLINK("https://klasma.github.io/Logging_1962/klagomålsmail/A 17053-2023 FSC-klagomål mail.docx", "A 17053-2023")</f>
        <v/>
      </c>
      <c r="X116">
        <f>HYPERLINK("https://klasma.github.io/Logging_1962/tillsyn/A 17053-2023 tillsynsbegäran.docx", "A 17053-2023")</f>
        <v/>
      </c>
      <c r="Y116">
        <f>HYPERLINK("https://klasma.github.io/Logging_1962/tillsynsmail/A 17053-2023 tillsynsbegäran mail.docx", "A 17053-2023")</f>
        <v/>
      </c>
    </row>
    <row r="117" ht="15" customHeight="1">
      <c r="A117" t="inlineStr">
        <is>
          <t>A 24222-2023</t>
        </is>
      </c>
      <c r="B117" s="1" t="n">
        <v>45079</v>
      </c>
      <c r="C117" s="1" t="n">
        <v>45657</v>
      </c>
      <c r="D117" t="inlineStr">
        <is>
          <t>VÄSTMANLANDS LÄN</t>
        </is>
      </c>
      <c r="E117" t="inlineStr">
        <is>
          <t>SURAHAMMAR</t>
        </is>
      </c>
      <c r="F117" t="inlineStr">
        <is>
          <t>Sveaskog</t>
        </is>
      </c>
      <c r="G117" t="n">
        <v>9.699999999999999</v>
      </c>
      <c r="H117" t="n">
        <v>1</v>
      </c>
      <c r="I117" t="n">
        <v>1</v>
      </c>
      <c r="J117" t="n">
        <v>1</v>
      </c>
      <c r="K117" t="n">
        <v>0</v>
      </c>
      <c r="L117" t="n">
        <v>0</v>
      </c>
      <c r="M117" t="n">
        <v>0</v>
      </c>
      <c r="N117" t="n">
        <v>0</v>
      </c>
      <c r="O117" t="n">
        <v>1</v>
      </c>
      <c r="P117" t="n">
        <v>0</v>
      </c>
      <c r="Q117" t="n">
        <v>3</v>
      </c>
      <c r="R117" s="2" t="inlineStr">
        <is>
          <t>Svinrot
Blodticka
Revlummer</t>
        </is>
      </c>
      <c r="S117">
        <f>HYPERLINK("https://klasma.github.io/Logging_1907/artfynd/A 24222-2023 artfynd.xlsx", "A 24222-2023")</f>
        <v/>
      </c>
      <c r="T117">
        <f>HYPERLINK("https://klasma.github.io/Logging_1907/kartor/A 24222-2023 karta.png", "A 24222-2023")</f>
        <v/>
      </c>
      <c r="V117">
        <f>HYPERLINK("https://klasma.github.io/Logging_1907/klagomål/A 24222-2023 FSC-klagomål.docx", "A 24222-2023")</f>
        <v/>
      </c>
      <c r="W117">
        <f>HYPERLINK("https://klasma.github.io/Logging_1907/klagomålsmail/A 24222-2023 FSC-klagomål mail.docx", "A 24222-2023")</f>
        <v/>
      </c>
      <c r="X117">
        <f>HYPERLINK("https://klasma.github.io/Logging_1907/tillsyn/A 24222-2023 tillsynsbegäran.docx", "A 24222-2023")</f>
        <v/>
      </c>
      <c r="Y117">
        <f>HYPERLINK("https://klasma.github.io/Logging_1907/tillsynsmail/A 24222-2023 tillsynsbegäran mail.docx", "A 24222-2023")</f>
        <v/>
      </c>
    </row>
    <row r="118" ht="15" customHeight="1">
      <c r="A118" t="inlineStr">
        <is>
          <t>A 27499-2023</t>
        </is>
      </c>
      <c r="B118" s="1" t="n">
        <v>45097</v>
      </c>
      <c r="C118" s="1" t="n">
        <v>45657</v>
      </c>
      <c r="D118" t="inlineStr">
        <is>
          <t>VÄSTMANLANDS LÄN</t>
        </is>
      </c>
      <c r="E118" t="inlineStr">
        <is>
          <t>SALA</t>
        </is>
      </c>
      <c r="G118" t="n">
        <v>9.5</v>
      </c>
      <c r="H118" t="n">
        <v>1</v>
      </c>
      <c r="I118" t="n">
        <v>1</v>
      </c>
      <c r="J118" t="n">
        <v>2</v>
      </c>
      <c r="K118" t="n">
        <v>0</v>
      </c>
      <c r="L118" t="n">
        <v>0</v>
      </c>
      <c r="M118" t="n">
        <v>0</v>
      </c>
      <c r="N118" t="n">
        <v>0</v>
      </c>
      <c r="O118" t="n">
        <v>2</v>
      </c>
      <c r="P118" t="n">
        <v>0</v>
      </c>
      <c r="Q118" t="n">
        <v>3</v>
      </c>
      <c r="R118" s="2" t="inlineStr">
        <is>
          <t>Motaggsvamp
Rödvingetrast
Dropptaggsvamp</t>
        </is>
      </c>
      <c r="S118">
        <f>HYPERLINK("https://klasma.github.io/Logging_1981/artfynd/A 27499-2023 artfynd.xlsx", "A 27499-2023")</f>
        <v/>
      </c>
      <c r="T118">
        <f>HYPERLINK("https://klasma.github.io/Logging_1981/kartor/A 27499-2023 karta.png", "A 27499-2023")</f>
        <v/>
      </c>
      <c r="V118">
        <f>HYPERLINK("https://klasma.github.io/Logging_1981/klagomål/A 27499-2023 FSC-klagomål.docx", "A 27499-2023")</f>
        <v/>
      </c>
      <c r="W118">
        <f>HYPERLINK("https://klasma.github.io/Logging_1981/klagomålsmail/A 27499-2023 FSC-klagomål mail.docx", "A 27499-2023")</f>
        <v/>
      </c>
      <c r="X118">
        <f>HYPERLINK("https://klasma.github.io/Logging_1981/tillsyn/A 27499-2023 tillsynsbegäran.docx", "A 27499-2023")</f>
        <v/>
      </c>
      <c r="Y118">
        <f>HYPERLINK("https://klasma.github.io/Logging_1981/tillsynsmail/A 27499-2023 tillsynsbegäran mail.docx", "A 27499-2023")</f>
        <v/>
      </c>
      <c r="Z118">
        <f>HYPERLINK("https://klasma.github.io/Logging_1981/fåglar/A 27499-2023 prioriterade fågelarter.docx", "A 27499-2023")</f>
        <v/>
      </c>
    </row>
    <row r="119" ht="15" customHeight="1">
      <c r="A119" t="inlineStr">
        <is>
          <t>A 40231-2023</t>
        </is>
      </c>
      <c r="B119" s="1" t="n">
        <v>45169</v>
      </c>
      <c r="C119" s="1" t="n">
        <v>45657</v>
      </c>
      <c r="D119" t="inlineStr">
        <is>
          <t>VÄSTMANLANDS LÄN</t>
        </is>
      </c>
      <c r="E119" t="inlineStr">
        <is>
          <t>ARBOGA</t>
        </is>
      </c>
      <c r="G119" t="n">
        <v>5.2</v>
      </c>
      <c r="H119" t="n">
        <v>2</v>
      </c>
      <c r="I119" t="n">
        <v>0</v>
      </c>
      <c r="J119" t="n">
        <v>1</v>
      </c>
      <c r="K119" t="n">
        <v>1</v>
      </c>
      <c r="L119" t="n">
        <v>0</v>
      </c>
      <c r="M119" t="n">
        <v>0</v>
      </c>
      <c r="N119" t="n">
        <v>0</v>
      </c>
      <c r="O119" t="n">
        <v>2</v>
      </c>
      <c r="P119" t="n">
        <v>1</v>
      </c>
      <c r="Q119" t="n">
        <v>3</v>
      </c>
      <c r="R119" s="2" t="inlineStr">
        <is>
          <t>Knärot
Motaggsvamp
Blåsippa</t>
        </is>
      </c>
      <c r="S119">
        <f>HYPERLINK("https://klasma.github.io/Logging_1984/artfynd/A 40231-2023 artfynd.xlsx", "A 40231-2023")</f>
        <v/>
      </c>
      <c r="T119">
        <f>HYPERLINK("https://klasma.github.io/Logging_1984/kartor/A 40231-2023 karta.png", "A 40231-2023")</f>
        <v/>
      </c>
      <c r="U119">
        <f>HYPERLINK("https://klasma.github.io/Logging_1984/knärot/A 40231-2023 karta knärot.png", "A 40231-2023")</f>
        <v/>
      </c>
      <c r="V119">
        <f>HYPERLINK("https://klasma.github.io/Logging_1984/klagomål/A 40231-2023 FSC-klagomål.docx", "A 40231-2023")</f>
        <v/>
      </c>
      <c r="W119">
        <f>HYPERLINK("https://klasma.github.io/Logging_1984/klagomålsmail/A 40231-2023 FSC-klagomål mail.docx", "A 40231-2023")</f>
        <v/>
      </c>
      <c r="X119">
        <f>HYPERLINK("https://klasma.github.io/Logging_1984/tillsyn/A 40231-2023 tillsynsbegäran.docx", "A 40231-2023")</f>
        <v/>
      </c>
      <c r="Y119">
        <f>HYPERLINK("https://klasma.github.io/Logging_1984/tillsynsmail/A 40231-2023 tillsynsbegäran mail.docx", "A 40231-2023")</f>
        <v/>
      </c>
    </row>
    <row r="120" ht="15" customHeight="1">
      <c r="A120" t="inlineStr">
        <is>
          <t>A 41262-2023</t>
        </is>
      </c>
      <c r="B120" s="1" t="n">
        <v>45174</v>
      </c>
      <c r="C120" s="1" t="n">
        <v>45657</v>
      </c>
      <c r="D120" t="inlineStr">
        <is>
          <t>VÄSTMANLANDS LÄN</t>
        </is>
      </c>
      <c r="E120" t="inlineStr">
        <is>
          <t>VÄSTERÅS</t>
        </is>
      </c>
      <c r="F120" t="inlineStr">
        <is>
          <t>Kommuner</t>
        </is>
      </c>
      <c r="G120" t="n">
        <v>11.4</v>
      </c>
      <c r="H120" t="n">
        <v>3</v>
      </c>
      <c r="I120" t="n">
        <v>0</v>
      </c>
      <c r="J120" t="n">
        <v>2</v>
      </c>
      <c r="K120" t="n">
        <v>0</v>
      </c>
      <c r="L120" t="n">
        <v>0</v>
      </c>
      <c r="M120" t="n">
        <v>0</v>
      </c>
      <c r="N120" t="n">
        <v>0</v>
      </c>
      <c r="O120" t="n">
        <v>2</v>
      </c>
      <c r="P120" t="n">
        <v>0</v>
      </c>
      <c r="Q120" t="n">
        <v>3</v>
      </c>
      <c r="R120" s="2" t="inlineStr">
        <is>
          <t>Grönsångare
Gulsparv
Vanlig groda</t>
        </is>
      </c>
      <c r="S120">
        <f>HYPERLINK("https://klasma.github.io/Logging_1980/artfynd/A 41262-2023 artfynd.xlsx", "A 41262-2023")</f>
        <v/>
      </c>
      <c r="T120">
        <f>HYPERLINK("https://klasma.github.io/Logging_1980/kartor/A 41262-2023 karta.png", "A 41262-2023")</f>
        <v/>
      </c>
      <c r="V120">
        <f>HYPERLINK("https://klasma.github.io/Logging_1980/klagomål/A 41262-2023 FSC-klagomål.docx", "A 41262-2023")</f>
        <v/>
      </c>
      <c r="W120">
        <f>HYPERLINK("https://klasma.github.io/Logging_1980/klagomålsmail/A 41262-2023 FSC-klagomål mail.docx", "A 41262-2023")</f>
        <v/>
      </c>
      <c r="X120">
        <f>HYPERLINK("https://klasma.github.io/Logging_1980/tillsyn/A 41262-2023 tillsynsbegäran.docx", "A 41262-2023")</f>
        <v/>
      </c>
      <c r="Y120">
        <f>HYPERLINK("https://klasma.github.io/Logging_1980/tillsynsmail/A 41262-2023 tillsynsbegäran mail.docx", "A 41262-2023")</f>
        <v/>
      </c>
      <c r="Z120">
        <f>HYPERLINK("https://klasma.github.io/Logging_1980/fåglar/A 41262-2023 prioriterade fågelarter.docx", "A 41262-2023")</f>
        <v/>
      </c>
    </row>
    <row r="121" ht="15" customHeight="1">
      <c r="A121" t="inlineStr">
        <is>
          <t>A 42039-2023</t>
        </is>
      </c>
      <c r="B121" s="1" t="n">
        <v>45177</v>
      </c>
      <c r="C121" s="1" t="n">
        <v>45657</v>
      </c>
      <c r="D121" t="inlineStr">
        <is>
          <t>VÄSTMANLANDS LÄN</t>
        </is>
      </c>
      <c r="E121" t="inlineStr">
        <is>
          <t>KÖPING</t>
        </is>
      </c>
      <c r="G121" t="n">
        <v>6.6</v>
      </c>
      <c r="H121" t="n">
        <v>1</v>
      </c>
      <c r="I121" t="n">
        <v>1</v>
      </c>
      <c r="J121" t="n">
        <v>1</v>
      </c>
      <c r="K121" t="n">
        <v>1</v>
      </c>
      <c r="L121" t="n">
        <v>0</v>
      </c>
      <c r="M121" t="n">
        <v>0</v>
      </c>
      <c r="N121" t="n">
        <v>0</v>
      </c>
      <c r="O121" t="n">
        <v>2</v>
      </c>
      <c r="P121" t="n">
        <v>1</v>
      </c>
      <c r="Q121" t="n">
        <v>3</v>
      </c>
      <c r="R121" s="2" t="inlineStr">
        <is>
          <t>Knärot
Ullticka
Blomkålssvamp</t>
        </is>
      </c>
      <c r="S121">
        <f>HYPERLINK("https://klasma.github.io/Logging_1983/artfynd/A 42039-2023 artfynd.xlsx", "A 42039-2023")</f>
        <v/>
      </c>
      <c r="T121">
        <f>HYPERLINK("https://klasma.github.io/Logging_1983/kartor/A 42039-2023 karta.png", "A 42039-2023")</f>
        <v/>
      </c>
      <c r="U121">
        <f>HYPERLINK("https://klasma.github.io/Logging_1983/knärot/A 42039-2023 karta knärot.png", "A 42039-2023")</f>
        <v/>
      </c>
      <c r="V121">
        <f>HYPERLINK("https://klasma.github.io/Logging_1983/klagomål/A 42039-2023 FSC-klagomål.docx", "A 42039-2023")</f>
        <v/>
      </c>
      <c r="W121">
        <f>HYPERLINK("https://klasma.github.io/Logging_1983/klagomålsmail/A 42039-2023 FSC-klagomål mail.docx", "A 42039-2023")</f>
        <v/>
      </c>
      <c r="X121">
        <f>HYPERLINK("https://klasma.github.io/Logging_1983/tillsyn/A 42039-2023 tillsynsbegäran.docx", "A 42039-2023")</f>
        <v/>
      </c>
      <c r="Y121">
        <f>HYPERLINK("https://klasma.github.io/Logging_1983/tillsynsmail/A 42039-2023 tillsynsbegäran mail.docx", "A 42039-2023")</f>
        <v/>
      </c>
    </row>
    <row r="122" ht="15" customHeight="1">
      <c r="A122" t="inlineStr">
        <is>
          <t>A 48128-2023</t>
        </is>
      </c>
      <c r="B122" s="1" t="n">
        <v>45205</v>
      </c>
      <c r="C122" s="1" t="n">
        <v>45657</v>
      </c>
      <c r="D122" t="inlineStr">
        <is>
          <t>VÄSTMANLANDS LÄN</t>
        </is>
      </c>
      <c r="E122" t="inlineStr">
        <is>
          <t>SURAHAMMAR</t>
        </is>
      </c>
      <c r="F122" t="inlineStr">
        <is>
          <t>Allmännings- och besparingsskogar</t>
        </is>
      </c>
      <c r="G122" t="n">
        <v>11.8</v>
      </c>
      <c r="H122" t="n">
        <v>0</v>
      </c>
      <c r="I122" t="n">
        <v>2</v>
      </c>
      <c r="J122" t="n">
        <v>1</v>
      </c>
      <c r="K122" t="n">
        <v>0</v>
      </c>
      <c r="L122" t="n">
        <v>0</v>
      </c>
      <c r="M122" t="n">
        <v>0</v>
      </c>
      <c r="N122" t="n">
        <v>0</v>
      </c>
      <c r="O122" t="n">
        <v>1</v>
      </c>
      <c r="P122" t="n">
        <v>0</v>
      </c>
      <c r="Q122" t="n">
        <v>3</v>
      </c>
      <c r="R122" s="2" t="inlineStr">
        <is>
          <t>Svinrot
Blodticka
Vedticka</t>
        </is>
      </c>
      <c r="S122">
        <f>HYPERLINK("https://klasma.github.io/Logging_1907/artfynd/A 48128-2023 artfynd.xlsx", "A 48128-2023")</f>
        <v/>
      </c>
      <c r="T122">
        <f>HYPERLINK("https://klasma.github.io/Logging_1907/kartor/A 48128-2023 karta.png", "A 48128-2023")</f>
        <v/>
      </c>
      <c r="V122">
        <f>HYPERLINK("https://klasma.github.io/Logging_1907/klagomål/A 48128-2023 FSC-klagomål.docx", "A 48128-2023")</f>
        <v/>
      </c>
      <c r="W122">
        <f>HYPERLINK("https://klasma.github.io/Logging_1907/klagomålsmail/A 48128-2023 FSC-klagomål mail.docx", "A 48128-2023")</f>
        <v/>
      </c>
      <c r="X122">
        <f>HYPERLINK("https://klasma.github.io/Logging_1907/tillsyn/A 48128-2023 tillsynsbegäran.docx", "A 48128-2023")</f>
        <v/>
      </c>
      <c r="Y122">
        <f>HYPERLINK("https://klasma.github.io/Logging_1907/tillsynsmail/A 48128-2023 tillsynsbegäran mail.docx", "A 48128-2023")</f>
        <v/>
      </c>
    </row>
    <row r="123" ht="15" customHeight="1">
      <c r="A123" t="inlineStr">
        <is>
          <t>A 48192-2023</t>
        </is>
      </c>
      <c r="B123" s="1" t="n">
        <v>45205</v>
      </c>
      <c r="C123" s="1" t="n">
        <v>45657</v>
      </c>
      <c r="D123" t="inlineStr">
        <is>
          <t>VÄSTMANLANDS LÄN</t>
        </is>
      </c>
      <c r="E123" t="inlineStr">
        <is>
          <t>HALLSTAHAMMAR</t>
        </is>
      </c>
      <c r="F123" t="inlineStr">
        <is>
          <t>Allmännings- och besparingsskogar</t>
        </is>
      </c>
      <c r="G123" t="n">
        <v>28.8</v>
      </c>
      <c r="H123" t="n">
        <v>1</v>
      </c>
      <c r="I123" t="n">
        <v>0</v>
      </c>
      <c r="J123" t="n">
        <v>2</v>
      </c>
      <c r="K123" t="n">
        <v>0</v>
      </c>
      <c r="L123" t="n">
        <v>0</v>
      </c>
      <c r="M123" t="n">
        <v>0</v>
      </c>
      <c r="N123" t="n">
        <v>0</v>
      </c>
      <c r="O123" t="n">
        <v>2</v>
      </c>
      <c r="P123" t="n">
        <v>0</v>
      </c>
      <c r="Q123" t="n">
        <v>3</v>
      </c>
      <c r="R123" s="2" t="inlineStr">
        <is>
          <t>Klofibbla
Veckticka
Nattviol</t>
        </is>
      </c>
      <c r="S123">
        <f>HYPERLINK("https://klasma.github.io/Logging_1961/artfynd/A 48192-2023 artfynd.xlsx", "A 48192-2023")</f>
        <v/>
      </c>
      <c r="T123">
        <f>HYPERLINK("https://klasma.github.io/Logging_1961/kartor/A 48192-2023 karta.png", "A 48192-2023")</f>
        <v/>
      </c>
      <c r="V123">
        <f>HYPERLINK("https://klasma.github.io/Logging_1961/klagomål/A 48192-2023 FSC-klagomål.docx", "A 48192-2023")</f>
        <v/>
      </c>
      <c r="W123">
        <f>HYPERLINK("https://klasma.github.io/Logging_1961/klagomålsmail/A 48192-2023 FSC-klagomål mail.docx", "A 48192-2023")</f>
        <v/>
      </c>
      <c r="X123">
        <f>HYPERLINK("https://klasma.github.io/Logging_1961/tillsyn/A 48192-2023 tillsynsbegäran.docx", "A 48192-2023")</f>
        <v/>
      </c>
      <c r="Y123">
        <f>HYPERLINK("https://klasma.github.io/Logging_1961/tillsynsmail/A 48192-2023 tillsynsbegäran mail.docx", "A 48192-2023")</f>
        <v/>
      </c>
    </row>
    <row r="124" ht="15" customHeight="1">
      <c r="A124" t="inlineStr">
        <is>
          <t>A 49718-2023</t>
        </is>
      </c>
      <c r="B124" s="1" t="n">
        <v>45212</v>
      </c>
      <c r="C124" s="1" t="n">
        <v>45657</v>
      </c>
      <c r="D124" t="inlineStr">
        <is>
          <t>VÄSTMANLANDS LÄN</t>
        </is>
      </c>
      <c r="E124" t="inlineStr">
        <is>
          <t>SURAHAMMAR</t>
        </is>
      </c>
      <c r="G124" t="n">
        <v>3.4</v>
      </c>
      <c r="H124" t="n">
        <v>1</v>
      </c>
      <c r="I124" t="n">
        <v>1</v>
      </c>
      <c r="J124" t="n">
        <v>2</v>
      </c>
      <c r="K124" t="n">
        <v>0</v>
      </c>
      <c r="L124" t="n">
        <v>0</v>
      </c>
      <c r="M124" t="n">
        <v>0</v>
      </c>
      <c r="N124" t="n">
        <v>0</v>
      </c>
      <c r="O124" t="n">
        <v>2</v>
      </c>
      <c r="P124" t="n">
        <v>0</v>
      </c>
      <c r="Q124" t="n">
        <v>3</v>
      </c>
      <c r="R124" s="2" t="inlineStr">
        <is>
          <t>Motaggsvamp
Talltita
Zontaggsvamp</t>
        </is>
      </c>
      <c r="S124">
        <f>HYPERLINK("https://klasma.github.io/Logging_1907/artfynd/A 49718-2023 artfynd.xlsx", "A 49718-2023")</f>
        <v/>
      </c>
      <c r="T124">
        <f>HYPERLINK("https://klasma.github.io/Logging_1907/kartor/A 49718-2023 karta.png", "A 49718-2023")</f>
        <v/>
      </c>
      <c r="V124">
        <f>HYPERLINK("https://klasma.github.io/Logging_1907/klagomål/A 49718-2023 FSC-klagomål.docx", "A 49718-2023")</f>
        <v/>
      </c>
      <c r="W124">
        <f>HYPERLINK("https://klasma.github.io/Logging_1907/klagomålsmail/A 49718-2023 FSC-klagomål mail.docx", "A 49718-2023")</f>
        <v/>
      </c>
      <c r="X124">
        <f>HYPERLINK("https://klasma.github.io/Logging_1907/tillsyn/A 49718-2023 tillsynsbegäran.docx", "A 49718-2023")</f>
        <v/>
      </c>
      <c r="Y124">
        <f>HYPERLINK("https://klasma.github.io/Logging_1907/tillsynsmail/A 49718-2023 tillsynsbegäran mail.docx", "A 49718-2023")</f>
        <v/>
      </c>
      <c r="Z124">
        <f>HYPERLINK("https://klasma.github.io/Logging_1907/fåglar/A 49718-2023 prioriterade fågelarter.docx", "A 49718-2023")</f>
        <v/>
      </c>
    </row>
    <row r="125" ht="15" customHeight="1">
      <c r="A125" t="inlineStr">
        <is>
          <t>A 61897-2023</t>
        </is>
      </c>
      <c r="B125" s="1" t="n">
        <v>45265</v>
      </c>
      <c r="C125" s="1" t="n">
        <v>45657</v>
      </c>
      <c r="D125" t="inlineStr">
        <is>
          <t>VÄSTMANLANDS LÄN</t>
        </is>
      </c>
      <c r="E125" t="inlineStr">
        <is>
          <t>KUNGSÖR</t>
        </is>
      </c>
      <c r="G125" t="n">
        <v>4.3</v>
      </c>
      <c r="H125" t="n">
        <v>2</v>
      </c>
      <c r="I125" t="n">
        <v>1</v>
      </c>
      <c r="J125" t="n">
        <v>1</v>
      </c>
      <c r="K125" t="n">
        <v>0</v>
      </c>
      <c r="L125" t="n">
        <v>0</v>
      </c>
      <c r="M125" t="n">
        <v>0</v>
      </c>
      <c r="N125" t="n">
        <v>0</v>
      </c>
      <c r="O125" t="n">
        <v>1</v>
      </c>
      <c r="P125" t="n">
        <v>0</v>
      </c>
      <c r="Q125" t="n">
        <v>3</v>
      </c>
      <c r="R125" s="2" t="inlineStr">
        <is>
          <t>Spillkråka
Hasselticka
Blåsippa</t>
        </is>
      </c>
      <c r="S125">
        <f>HYPERLINK("https://klasma.github.io/Logging_1960/artfynd/A 61897-2023 artfynd.xlsx", "A 61897-2023")</f>
        <v/>
      </c>
      <c r="T125">
        <f>HYPERLINK("https://klasma.github.io/Logging_1960/kartor/A 61897-2023 karta.png", "A 61897-2023")</f>
        <v/>
      </c>
      <c r="V125">
        <f>HYPERLINK("https://klasma.github.io/Logging_1960/klagomål/A 61897-2023 FSC-klagomål.docx", "A 61897-2023")</f>
        <v/>
      </c>
      <c r="W125">
        <f>HYPERLINK("https://klasma.github.io/Logging_1960/klagomålsmail/A 61897-2023 FSC-klagomål mail.docx", "A 61897-2023")</f>
        <v/>
      </c>
      <c r="X125">
        <f>HYPERLINK("https://klasma.github.io/Logging_1960/tillsyn/A 61897-2023 tillsynsbegäran.docx", "A 61897-2023")</f>
        <v/>
      </c>
      <c r="Y125">
        <f>HYPERLINK("https://klasma.github.io/Logging_1960/tillsynsmail/A 61897-2023 tillsynsbegäran mail.docx", "A 61897-2023")</f>
        <v/>
      </c>
      <c r="Z125">
        <f>HYPERLINK("https://klasma.github.io/Logging_1960/fåglar/A 61897-2023 prioriterade fågelarter.docx", "A 61897-2023")</f>
        <v/>
      </c>
    </row>
    <row r="126" ht="15" customHeight="1">
      <c r="A126" t="inlineStr">
        <is>
          <t>A 62471-2023</t>
        </is>
      </c>
      <c r="B126" s="1" t="n">
        <v>45268</v>
      </c>
      <c r="C126" s="1" t="n">
        <v>45657</v>
      </c>
      <c r="D126" t="inlineStr">
        <is>
          <t>VÄSTMANLANDS LÄN</t>
        </is>
      </c>
      <c r="E126" t="inlineStr">
        <is>
          <t>NORBERG</t>
        </is>
      </c>
      <c r="G126" t="n">
        <v>5.3</v>
      </c>
      <c r="H126" t="n">
        <v>0</v>
      </c>
      <c r="I126" t="n">
        <v>2</v>
      </c>
      <c r="J126" t="n">
        <v>1</v>
      </c>
      <c r="K126" t="n">
        <v>0</v>
      </c>
      <c r="L126" t="n">
        <v>0</v>
      </c>
      <c r="M126" t="n">
        <v>0</v>
      </c>
      <c r="N126" t="n">
        <v>0</v>
      </c>
      <c r="O126" t="n">
        <v>1</v>
      </c>
      <c r="P126" t="n">
        <v>0</v>
      </c>
      <c r="Q126" t="n">
        <v>3</v>
      </c>
      <c r="R126" s="2" t="inlineStr">
        <is>
          <t>Orange taggsvamp
Kryddspindling
Zontaggsvamp</t>
        </is>
      </c>
      <c r="S126">
        <f>HYPERLINK("https://klasma.github.io/Logging_1962/artfynd/A 62471-2023 artfynd.xlsx", "A 62471-2023")</f>
        <v/>
      </c>
      <c r="T126">
        <f>HYPERLINK("https://klasma.github.io/Logging_1962/kartor/A 62471-2023 karta.png", "A 62471-2023")</f>
        <v/>
      </c>
      <c r="V126">
        <f>HYPERLINK("https://klasma.github.io/Logging_1962/klagomål/A 62471-2023 FSC-klagomål.docx", "A 62471-2023")</f>
        <v/>
      </c>
      <c r="W126">
        <f>HYPERLINK("https://klasma.github.io/Logging_1962/klagomålsmail/A 62471-2023 FSC-klagomål mail.docx", "A 62471-2023")</f>
        <v/>
      </c>
      <c r="X126">
        <f>HYPERLINK("https://klasma.github.io/Logging_1962/tillsyn/A 62471-2023 tillsynsbegäran.docx", "A 62471-2023")</f>
        <v/>
      </c>
      <c r="Y126">
        <f>HYPERLINK("https://klasma.github.io/Logging_1962/tillsynsmail/A 62471-2023 tillsynsbegäran mail.docx", "A 62471-2023")</f>
        <v/>
      </c>
    </row>
    <row r="127" ht="15" customHeight="1">
      <c r="A127" t="inlineStr">
        <is>
          <t>A 64735-2023</t>
        </is>
      </c>
      <c r="B127" s="1" t="n">
        <v>45281</v>
      </c>
      <c r="C127" s="1" t="n">
        <v>45657</v>
      </c>
      <c r="D127" t="inlineStr">
        <is>
          <t>VÄSTMANLANDS LÄN</t>
        </is>
      </c>
      <c r="E127" t="inlineStr">
        <is>
          <t>VÄSTERÅS</t>
        </is>
      </c>
      <c r="F127" t="inlineStr">
        <is>
          <t>Övriga Aktiebolag</t>
        </is>
      </c>
      <c r="G127" t="n">
        <v>12.5</v>
      </c>
      <c r="H127" t="n">
        <v>2</v>
      </c>
      <c r="I127" t="n">
        <v>0</v>
      </c>
      <c r="J127" t="n">
        <v>1</v>
      </c>
      <c r="K127" t="n">
        <v>1</v>
      </c>
      <c r="L127" t="n">
        <v>0</v>
      </c>
      <c r="M127" t="n">
        <v>0</v>
      </c>
      <c r="N127" t="n">
        <v>0</v>
      </c>
      <c r="O127" t="n">
        <v>2</v>
      </c>
      <c r="P127" t="n">
        <v>1</v>
      </c>
      <c r="Q127" t="n">
        <v>3</v>
      </c>
      <c r="R127" s="2" t="inlineStr">
        <is>
          <t>Backsippa
Vårstarr
Gullviva</t>
        </is>
      </c>
      <c r="S127">
        <f>HYPERLINK("https://klasma.github.io/Logging_1980/artfynd/A 64735-2023 artfynd.xlsx", "A 64735-2023")</f>
        <v/>
      </c>
      <c r="T127">
        <f>HYPERLINK("https://klasma.github.io/Logging_1980/kartor/A 64735-2023 karta.png", "A 64735-2023")</f>
        <v/>
      </c>
      <c r="V127">
        <f>HYPERLINK("https://klasma.github.io/Logging_1980/klagomål/A 64735-2023 FSC-klagomål.docx", "A 64735-2023")</f>
        <v/>
      </c>
      <c r="W127">
        <f>HYPERLINK("https://klasma.github.io/Logging_1980/klagomålsmail/A 64735-2023 FSC-klagomål mail.docx", "A 64735-2023")</f>
        <v/>
      </c>
      <c r="X127">
        <f>HYPERLINK("https://klasma.github.io/Logging_1980/tillsyn/A 64735-2023 tillsynsbegäran.docx", "A 64735-2023")</f>
        <v/>
      </c>
      <c r="Y127">
        <f>HYPERLINK("https://klasma.github.io/Logging_1980/tillsynsmail/A 64735-2023 tillsynsbegäran mail.docx", "A 64735-2023")</f>
        <v/>
      </c>
    </row>
    <row r="128" ht="15" customHeight="1">
      <c r="A128" t="inlineStr">
        <is>
          <t>A 65024-2023</t>
        </is>
      </c>
      <c r="B128" s="1" t="n">
        <v>45282</v>
      </c>
      <c r="C128" s="1" t="n">
        <v>45657</v>
      </c>
      <c r="D128" t="inlineStr">
        <is>
          <t>VÄSTMANLANDS LÄN</t>
        </is>
      </c>
      <c r="E128" t="inlineStr">
        <is>
          <t>SURAHAMMAR</t>
        </is>
      </c>
      <c r="F128" t="inlineStr">
        <is>
          <t>Bergvik skog väst AB</t>
        </is>
      </c>
      <c r="G128" t="n">
        <v>14.9</v>
      </c>
      <c r="H128" t="n">
        <v>1</v>
      </c>
      <c r="I128" t="n">
        <v>1</v>
      </c>
      <c r="J128" t="n">
        <v>2</v>
      </c>
      <c r="K128" t="n">
        <v>0</v>
      </c>
      <c r="L128" t="n">
        <v>0</v>
      </c>
      <c r="M128" t="n">
        <v>0</v>
      </c>
      <c r="N128" t="n">
        <v>0</v>
      </c>
      <c r="O128" t="n">
        <v>2</v>
      </c>
      <c r="P128" t="n">
        <v>0</v>
      </c>
      <c r="Q128" t="n">
        <v>3</v>
      </c>
      <c r="R128" s="2" t="inlineStr">
        <is>
          <t>Gropticka
Talltita
Blodticka</t>
        </is>
      </c>
      <c r="S128">
        <f>HYPERLINK("https://klasma.github.io/Logging_1907/artfynd/A 65024-2023 artfynd.xlsx", "A 65024-2023")</f>
        <v/>
      </c>
      <c r="T128">
        <f>HYPERLINK("https://klasma.github.io/Logging_1907/kartor/A 65024-2023 karta.png", "A 65024-2023")</f>
        <v/>
      </c>
      <c r="V128">
        <f>HYPERLINK("https://klasma.github.io/Logging_1907/klagomål/A 65024-2023 FSC-klagomål.docx", "A 65024-2023")</f>
        <v/>
      </c>
      <c r="W128">
        <f>HYPERLINK("https://klasma.github.io/Logging_1907/klagomålsmail/A 65024-2023 FSC-klagomål mail.docx", "A 65024-2023")</f>
        <v/>
      </c>
      <c r="X128">
        <f>HYPERLINK("https://klasma.github.io/Logging_1907/tillsyn/A 65024-2023 tillsynsbegäran.docx", "A 65024-2023")</f>
        <v/>
      </c>
      <c r="Y128">
        <f>HYPERLINK("https://klasma.github.io/Logging_1907/tillsynsmail/A 65024-2023 tillsynsbegäran mail.docx", "A 65024-2023")</f>
        <v/>
      </c>
      <c r="Z128">
        <f>HYPERLINK("https://klasma.github.io/Logging_1907/fåglar/A 65024-2023 prioriterade fågelarter.docx", "A 65024-2023")</f>
        <v/>
      </c>
    </row>
    <row r="129" ht="15" customHeight="1">
      <c r="A129" t="inlineStr">
        <is>
          <t>A 3567-2024</t>
        </is>
      </c>
      <c r="B129" s="1" t="n">
        <v>45320</v>
      </c>
      <c r="C129" s="1" t="n">
        <v>45657</v>
      </c>
      <c r="D129" t="inlineStr">
        <is>
          <t>VÄSTMANLANDS LÄN</t>
        </is>
      </c>
      <c r="E129" t="inlineStr">
        <is>
          <t>SALA</t>
        </is>
      </c>
      <c r="F129" t="inlineStr">
        <is>
          <t>Kommuner</t>
        </is>
      </c>
      <c r="G129" t="n">
        <v>4.1</v>
      </c>
      <c r="H129" t="n">
        <v>1</v>
      </c>
      <c r="I129" t="n">
        <v>2</v>
      </c>
      <c r="J129" t="n">
        <v>0</v>
      </c>
      <c r="K129" t="n">
        <v>1</v>
      </c>
      <c r="L129" t="n">
        <v>0</v>
      </c>
      <c r="M129" t="n">
        <v>0</v>
      </c>
      <c r="N129" t="n">
        <v>0</v>
      </c>
      <c r="O129" t="n">
        <v>1</v>
      </c>
      <c r="P129" t="n">
        <v>1</v>
      </c>
      <c r="Q129" t="n">
        <v>3</v>
      </c>
      <c r="R129" s="2" t="inlineStr">
        <is>
          <t>Knärot
Guldlockmossa
Vedticka</t>
        </is>
      </c>
      <c r="S129">
        <f>HYPERLINK("https://klasma.github.io/Logging_1981/artfynd/A 3567-2024 artfynd.xlsx", "A 3567-2024")</f>
        <v/>
      </c>
      <c r="T129">
        <f>HYPERLINK("https://klasma.github.io/Logging_1981/kartor/A 3567-2024 karta.png", "A 3567-2024")</f>
        <v/>
      </c>
      <c r="U129">
        <f>HYPERLINK("https://klasma.github.io/Logging_1981/knärot/A 3567-2024 karta knärot.png", "A 3567-2024")</f>
        <v/>
      </c>
      <c r="V129">
        <f>HYPERLINK("https://klasma.github.io/Logging_1981/klagomål/A 3567-2024 FSC-klagomål.docx", "A 3567-2024")</f>
        <v/>
      </c>
      <c r="W129">
        <f>HYPERLINK("https://klasma.github.io/Logging_1981/klagomålsmail/A 3567-2024 FSC-klagomål mail.docx", "A 3567-2024")</f>
        <v/>
      </c>
      <c r="X129">
        <f>HYPERLINK("https://klasma.github.io/Logging_1981/tillsyn/A 3567-2024 tillsynsbegäran.docx", "A 3567-2024")</f>
        <v/>
      </c>
      <c r="Y129">
        <f>HYPERLINK("https://klasma.github.io/Logging_1981/tillsynsmail/A 3567-2024 tillsynsbegäran mail.docx", "A 3567-2024")</f>
        <v/>
      </c>
    </row>
    <row r="130" ht="15" customHeight="1">
      <c r="A130" t="inlineStr">
        <is>
          <t>A 4264-2024</t>
        </is>
      </c>
      <c r="B130" s="1" t="n">
        <v>45324</v>
      </c>
      <c r="C130" s="1" t="n">
        <v>45657</v>
      </c>
      <c r="D130" t="inlineStr">
        <is>
          <t>VÄSTMANLANDS LÄN</t>
        </is>
      </c>
      <c r="E130" t="inlineStr">
        <is>
          <t>SALA</t>
        </is>
      </c>
      <c r="G130" t="n">
        <v>2.5</v>
      </c>
      <c r="H130" t="n">
        <v>0</v>
      </c>
      <c r="I130" t="n">
        <v>1</v>
      </c>
      <c r="J130" t="n">
        <v>2</v>
      </c>
      <c r="K130" t="n">
        <v>0</v>
      </c>
      <c r="L130" t="n">
        <v>0</v>
      </c>
      <c r="M130" t="n">
        <v>0</v>
      </c>
      <c r="N130" t="n">
        <v>0</v>
      </c>
      <c r="O130" t="n">
        <v>2</v>
      </c>
      <c r="P130" t="n">
        <v>0</v>
      </c>
      <c r="Q130" t="n">
        <v>3</v>
      </c>
      <c r="R130" s="2" t="inlineStr">
        <is>
          <t>Brunpudrad nållav
Vedtrappmossa
Dvärghäxört</t>
        </is>
      </c>
      <c r="S130">
        <f>HYPERLINK("https://klasma.github.io/Logging_1981/artfynd/A 4264-2024 artfynd.xlsx", "A 4264-2024")</f>
        <v/>
      </c>
      <c r="T130">
        <f>HYPERLINK("https://klasma.github.io/Logging_1981/kartor/A 4264-2024 karta.png", "A 4264-2024")</f>
        <v/>
      </c>
      <c r="V130">
        <f>HYPERLINK("https://klasma.github.io/Logging_1981/klagomål/A 4264-2024 FSC-klagomål.docx", "A 4264-2024")</f>
        <v/>
      </c>
      <c r="W130">
        <f>HYPERLINK("https://klasma.github.io/Logging_1981/klagomålsmail/A 4264-2024 FSC-klagomål mail.docx", "A 4264-2024")</f>
        <v/>
      </c>
      <c r="X130">
        <f>HYPERLINK("https://klasma.github.io/Logging_1981/tillsyn/A 4264-2024 tillsynsbegäran.docx", "A 4264-2024")</f>
        <v/>
      </c>
      <c r="Y130">
        <f>HYPERLINK("https://klasma.github.io/Logging_1981/tillsynsmail/A 4264-2024 tillsynsbegäran mail.docx", "A 4264-2024")</f>
        <v/>
      </c>
    </row>
    <row r="131" ht="15" customHeight="1">
      <c r="A131" t="inlineStr">
        <is>
          <t>A 7771-2024</t>
        </is>
      </c>
      <c r="B131" s="1" t="n">
        <v>45349</v>
      </c>
      <c r="C131" s="1" t="n">
        <v>45657</v>
      </c>
      <c r="D131" t="inlineStr">
        <is>
          <t>VÄSTMANLANDS LÄN</t>
        </is>
      </c>
      <c r="E131" t="inlineStr">
        <is>
          <t>KUNGSÖR</t>
        </is>
      </c>
      <c r="G131" t="n">
        <v>4.1</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7771-2024 artfynd.xlsx", "A 7771-2024")</f>
        <v/>
      </c>
      <c r="T131">
        <f>HYPERLINK("https://klasma.github.io/Logging_1960/kartor/A 7771-2024 karta.png", "A 7771-2024")</f>
        <v/>
      </c>
      <c r="V131">
        <f>HYPERLINK("https://klasma.github.io/Logging_1960/klagomål/A 7771-2024 FSC-klagomål.docx", "A 7771-2024")</f>
        <v/>
      </c>
      <c r="W131">
        <f>HYPERLINK("https://klasma.github.io/Logging_1960/klagomålsmail/A 7771-2024 FSC-klagomål mail.docx", "A 7771-2024")</f>
        <v/>
      </c>
      <c r="X131">
        <f>HYPERLINK("https://klasma.github.io/Logging_1960/tillsyn/A 7771-2024 tillsynsbegäran.docx", "A 7771-2024")</f>
        <v/>
      </c>
      <c r="Y131">
        <f>HYPERLINK("https://klasma.github.io/Logging_1960/tillsynsmail/A 7771-2024 tillsynsbegäran mail.docx", "A 7771-2024")</f>
        <v/>
      </c>
      <c r="Z131">
        <f>HYPERLINK("https://klasma.github.io/Logging_1960/fåglar/A 7771-2024 prioriterade fågelarter.docx", "A 7771-2024")</f>
        <v/>
      </c>
    </row>
    <row r="132" ht="15" customHeight="1">
      <c r="A132" t="inlineStr">
        <is>
          <t>A 11504-2024</t>
        </is>
      </c>
      <c r="B132" s="1" t="n">
        <v>45372</v>
      </c>
      <c r="C132" s="1" t="n">
        <v>45657</v>
      </c>
      <c r="D132" t="inlineStr">
        <is>
          <t>VÄSTMANLANDS LÄN</t>
        </is>
      </c>
      <c r="E132" t="inlineStr">
        <is>
          <t>SALA</t>
        </is>
      </c>
      <c r="G132" t="n">
        <v>3.3</v>
      </c>
      <c r="H132" t="n">
        <v>0</v>
      </c>
      <c r="I132" t="n">
        <v>0</v>
      </c>
      <c r="J132" t="n">
        <v>2</v>
      </c>
      <c r="K132" t="n">
        <v>1</v>
      </c>
      <c r="L132" t="n">
        <v>0</v>
      </c>
      <c r="M132" t="n">
        <v>0</v>
      </c>
      <c r="N132" t="n">
        <v>0</v>
      </c>
      <c r="O132" t="n">
        <v>3</v>
      </c>
      <c r="P132" t="n">
        <v>1</v>
      </c>
      <c r="Q132" t="n">
        <v>3</v>
      </c>
      <c r="R132" s="2" t="inlineStr">
        <is>
          <t>Rynkskinn
Stjärntagging
Ullticka</t>
        </is>
      </c>
      <c r="S132">
        <f>HYPERLINK("https://klasma.github.io/Logging_1981/artfynd/A 11504-2024 artfynd.xlsx", "A 11504-2024")</f>
        <v/>
      </c>
      <c r="T132">
        <f>HYPERLINK("https://klasma.github.io/Logging_1981/kartor/A 11504-2024 karta.png", "A 11504-2024")</f>
        <v/>
      </c>
      <c r="V132">
        <f>HYPERLINK("https://klasma.github.io/Logging_1981/klagomål/A 11504-2024 FSC-klagomål.docx", "A 11504-2024")</f>
        <v/>
      </c>
      <c r="W132">
        <f>HYPERLINK("https://klasma.github.io/Logging_1981/klagomålsmail/A 11504-2024 FSC-klagomål mail.docx", "A 11504-2024")</f>
        <v/>
      </c>
      <c r="X132">
        <f>HYPERLINK("https://klasma.github.io/Logging_1981/tillsyn/A 11504-2024 tillsynsbegäran.docx", "A 11504-2024")</f>
        <v/>
      </c>
      <c r="Y132">
        <f>HYPERLINK("https://klasma.github.io/Logging_1981/tillsynsmail/A 11504-2024 tillsynsbegäran mail.docx", "A 11504-2024")</f>
        <v/>
      </c>
    </row>
    <row r="133" ht="15" customHeight="1">
      <c r="A133" t="inlineStr">
        <is>
          <t>A 18515-2024</t>
        </is>
      </c>
      <c r="B133" s="1" t="n">
        <v>45425</v>
      </c>
      <c r="C133" s="1" t="n">
        <v>45657</v>
      </c>
      <c r="D133" t="inlineStr">
        <is>
          <t>VÄSTMANLANDS LÄN</t>
        </is>
      </c>
      <c r="E133" t="inlineStr">
        <is>
          <t>SKINNSKATTEBERG</t>
        </is>
      </c>
      <c r="F133" t="inlineStr">
        <is>
          <t>Sveaskog</t>
        </is>
      </c>
      <c r="G133" t="n">
        <v>21</v>
      </c>
      <c r="H133" t="n">
        <v>3</v>
      </c>
      <c r="I133" t="n">
        <v>1</v>
      </c>
      <c r="J133" t="n">
        <v>0</v>
      </c>
      <c r="K133" t="n">
        <v>0</v>
      </c>
      <c r="L133" t="n">
        <v>0</v>
      </c>
      <c r="M133" t="n">
        <v>0</v>
      </c>
      <c r="N133" t="n">
        <v>0</v>
      </c>
      <c r="O133" t="n">
        <v>0</v>
      </c>
      <c r="P133" t="n">
        <v>0</v>
      </c>
      <c r="Q133" t="n">
        <v>3</v>
      </c>
      <c r="R133" s="2" t="inlineStr">
        <is>
          <t>Plattlummer
Fläcknycklar
Revlummer</t>
        </is>
      </c>
      <c r="S133">
        <f>HYPERLINK("https://klasma.github.io/Logging_1904/artfynd/A 18515-2024 artfynd.xlsx", "A 18515-2024")</f>
        <v/>
      </c>
      <c r="T133">
        <f>HYPERLINK("https://klasma.github.io/Logging_1904/kartor/A 18515-2024 karta.png", "A 18515-2024")</f>
        <v/>
      </c>
      <c r="V133">
        <f>HYPERLINK("https://klasma.github.io/Logging_1904/klagomål/A 18515-2024 FSC-klagomål.docx", "A 18515-2024")</f>
        <v/>
      </c>
      <c r="W133">
        <f>HYPERLINK("https://klasma.github.io/Logging_1904/klagomålsmail/A 18515-2024 FSC-klagomål mail.docx", "A 18515-2024")</f>
        <v/>
      </c>
      <c r="X133">
        <f>HYPERLINK("https://klasma.github.io/Logging_1904/tillsyn/A 18515-2024 tillsynsbegäran.docx", "A 18515-2024")</f>
        <v/>
      </c>
      <c r="Y133">
        <f>HYPERLINK("https://klasma.github.io/Logging_1904/tillsynsmail/A 18515-2024 tillsynsbegäran mail.docx", "A 18515-2024")</f>
        <v/>
      </c>
    </row>
    <row r="134" ht="15" customHeight="1">
      <c r="A134" t="inlineStr">
        <is>
          <t>A 18744-2024</t>
        </is>
      </c>
      <c r="B134" s="1" t="n">
        <v>45426</v>
      </c>
      <c r="C134" s="1" t="n">
        <v>45657</v>
      </c>
      <c r="D134" t="inlineStr">
        <is>
          <t>VÄSTMANLANDS LÄN</t>
        </is>
      </c>
      <c r="E134" t="inlineStr">
        <is>
          <t>SALA</t>
        </is>
      </c>
      <c r="G134" t="n">
        <v>19.1</v>
      </c>
      <c r="H134" t="n">
        <v>2</v>
      </c>
      <c r="I134" t="n">
        <v>1</v>
      </c>
      <c r="J134" t="n">
        <v>0</v>
      </c>
      <c r="K134" t="n">
        <v>1</v>
      </c>
      <c r="L134" t="n">
        <v>0</v>
      </c>
      <c r="M134" t="n">
        <v>0</v>
      </c>
      <c r="N134" t="n">
        <v>0</v>
      </c>
      <c r="O134" t="n">
        <v>1</v>
      </c>
      <c r="P134" t="n">
        <v>1</v>
      </c>
      <c r="Q134" t="n">
        <v>3</v>
      </c>
      <c r="R134" s="2" t="inlineStr">
        <is>
          <t>Knärot
Kattfotslav
Revlummer</t>
        </is>
      </c>
      <c r="S134">
        <f>HYPERLINK("https://klasma.github.io/Logging_1981/artfynd/A 18744-2024 artfynd.xlsx", "A 18744-2024")</f>
        <v/>
      </c>
      <c r="T134">
        <f>HYPERLINK("https://klasma.github.io/Logging_1981/kartor/A 18744-2024 karta.png", "A 18744-2024")</f>
        <v/>
      </c>
      <c r="U134">
        <f>HYPERLINK("https://klasma.github.io/Logging_1981/knärot/A 18744-2024 karta knärot.png", "A 18744-2024")</f>
        <v/>
      </c>
      <c r="V134">
        <f>HYPERLINK("https://klasma.github.io/Logging_1981/klagomål/A 18744-2024 FSC-klagomål.docx", "A 18744-2024")</f>
        <v/>
      </c>
      <c r="W134">
        <f>HYPERLINK("https://klasma.github.io/Logging_1981/klagomålsmail/A 18744-2024 FSC-klagomål mail.docx", "A 18744-2024")</f>
        <v/>
      </c>
      <c r="X134">
        <f>HYPERLINK("https://klasma.github.io/Logging_1981/tillsyn/A 18744-2024 tillsynsbegäran.docx", "A 18744-2024")</f>
        <v/>
      </c>
      <c r="Y134">
        <f>HYPERLINK("https://klasma.github.io/Logging_1981/tillsynsmail/A 18744-2024 tillsynsbegäran mail.docx", "A 18744-2024")</f>
        <v/>
      </c>
    </row>
    <row r="135" ht="15" customHeight="1">
      <c r="A135" t="inlineStr">
        <is>
          <t>A 20391-2024</t>
        </is>
      </c>
      <c r="B135" s="1" t="n">
        <v>45435</v>
      </c>
      <c r="C135" s="1" t="n">
        <v>45657</v>
      </c>
      <c r="D135" t="inlineStr">
        <is>
          <t>VÄSTMANLANDS LÄN</t>
        </is>
      </c>
      <c r="E135" t="inlineStr">
        <is>
          <t>SURAHAMMAR</t>
        </is>
      </c>
      <c r="G135" t="n">
        <v>1.5</v>
      </c>
      <c r="H135" t="n">
        <v>0</v>
      </c>
      <c r="I135" t="n">
        <v>2</v>
      </c>
      <c r="J135" t="n">
        <v>1</v>
      </c>
      <c r="K135" t="n">
        <v>0</v>
      </c>
      <c r="L135" t="n">
        <v>0</v>
      </c>
      <c r="M135" t="n">
        <v>0</v>
      </c>
      <c r="N135" t="n">
        <v>0</v>
      </c>
      <c r="O135" t="n">
        <v>1</v>
      </c>
      <c r="P135" t="n">
        <v>0</v>
      </c>
      <c r="Q135" t="n">
        <v>3</v>
      </c>
      <c r="R135" s="2" t="inlineStr">
        <is>
          <t>Vedtrappmossa
Kattfotslav
Stubbspretmossa</t>
        </is>
      </c>
      <c r="S135">
        <f>HYPERLINK("https://klasma.github.io/Logging_1907/artfynd/A 20391-2024 artfynd.xlsx", "A 20391-2024")</f>
        <v/>
      </c>
      <c r="T135">
        <f>HYPERLINK("https://klasma.github.io/Logging_1907/kartor/A 20391-2024 karta.png", "A 20391-2024")</f>
        <v/>
      </c>
      <c r="V135">
        <f>HYPERLINK("https://klasma.github.io/Logging_1907/klagomål/A 20391-2024 FSC-klagomål.docx", "A 20391-2024")</f>
        <v/>
      </c>
      <c r="W135">
        <f>HYPERLINK("https://klasma.github.io/Logging_1907/klagomålsmail/A 20391-2024 FSC-klagomål mail.docx", "A 20391-2024")</f>
        <v/>
      </c>
      <c r="X135">
        <f>HYPERLINK("https://klasma.github.io/Logging_1907/tillsyn/A 20391-2024 tillsynsbegäran.docx", "A 20391-2024")</f>
        <v/>
      </c>
      <c r="Y135">
        <f>HYPERLINK("https://klasma.github.io/Logging_1907/tillsynsmail/A 20391-2024 tillsynsbegäran mail.docx", "A 20391-2024")</f>
        <v/>
      </c>
    </row>
    <row r="136" ht="15" customHeight="1">
      <c r="A136" t="inlineStr">
        <is>
          <t>A 24561-2024</t>
        </is>
      </c>
      <c r="B136" s="1" t="n">
        <v>45460</v>
      </c>
      <c r="C136" s="1" t="n">
        <v>45657</v>
      </c>
      <c r="D136" t="inlineStr">
        <is>
          <t>VÄSTMANLANDS LÄN</t>
        </is>
      </c>
      <c r="E136" t="inlineStr">
        <is>
          <t>SURAHAMMAR</t>
        </is>
      </c>
      <c r="G136" t="n">
        <v>2.6</v>
      </c>
      <c r="H136" t="n">
        <v>2</v>
      </c>
      <c r="I136" t="n">
        <v>1</v>
      </c>
      <c r="J136" t="n">
        <v>0</v>
      </c>
      <c r="K136" t="n">
        <v>1</v>
      </c>
      <c r="L136" t="n">
        <v>0</v>
      </c>
      <c r="M136" t="n">
        <v>0</v>
      </c>
      <c r="N136" t="n">
        <v>0</v>
      </c>
      <c r="O136" t="n">
        <v>1</v>
      </c>
      <c r="P136" t="n">
        <v>1</v>
      </c>
      <c r="Q136" t="n">
        <v>3</v>
      </c>
      <c r="R136" s="2" t="inlineStr">
        <is>
          <t>Knärot
Grönpyrola
Revlummer</t>
        </is>
      </c>
      <c r="S136">
        <f>HYPERLINK("https://klasma.github.io/Logging_1907/artfynd/A 24561-2024 artfynd.xlsx", "A 24561-2024")</f>
        <v/>
      </c>
      <c r="T136">
        <f>HYPERLINK("https://klasma.github.io/Logging_1907/kartor/A 24561-2024 karta.png", "A 24561-2024")</f>
        <v/>
      </c>
      <c r="U136">
        <f>HYPERLINK("https://klasma.github.io/Logging_1907/knärot/A 24561-2024 karta knärot.png", "A 24561-2024")</f>
        <v/>
      </c>
      <c r="V136">
        <f>HYPERLINK("https://klasma.github.io/Logging_1907/klagomål/A 24561-2024 FSC-klagomål.docx", "A 24561-2024")</f>
        <v/>
      </c>
      <c r="W136">
        <f>HYPERLINK("https://klasma.github.io/Logging_1907/klagomålsmail/A 24561-2024 FSC-klagomål mail.docx", "A 24561-2024")</f>
        <v/>
      </c>
      <c r="X136">
        <f>HYPERLINK("https://klasma.github.io/Logging_1907/tillsyn/A 24561-2024 tillsynsbegäran.docx", "A 24561-2024")</f>
        <v/>
      </c>
      <c r="Y136">
        <f>HYPERLINK("https://klasma.github.io/Logging_1907/tillsynsmail/A 24561-2024 tillsynsbegäran mail.docx", "A 24561-2024")</f>
        <v/>
      </c>
    </row>
    <row r="137" ht="15" customHeight="1">
      <c r="A137" t="inlineStr">
        <is>
          <t>A 24847-2024</t>
        </is>
      </c>
      <c r="B137" s="1" t="n">
        <v>45461</v>
      </c>
      <c r="C137" s="1" t="n">
        <v>45657</v>
      </c>
      <c r="D137" t="inlineStr">
        <is>
          <t>VÄSTMANLANDS LÄN</t>
        </is>
      </c>
      <c r="E137" t="inlineStr">
        <is>
          <t>FAGERSTA</t>
        </is>
      </c>
      <c r="F137" t="inlineStr">
        <is>
          <t>Kommuner</t>
        </is>
      </c>
      <c r="G137" t="n">
        <v>16.3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HYPERLINK("https://klasma.github.io/Logging_1982/artfynd/A 24847-2024 artfynd.xlsx", "A 24847-2024")</f>
        <v/>
      </c>
      <c r="T137">
        <f>HYPERLINK("https://klasma.github.io/Logging_1982/kartor/A 24847-2024 karta.png", "A 24847-2024")</f>
        <v/>
      </c>
      <c r="U137">
        <f>HYPERLINK("https://klasma.github.io/Logging_1982/knärot/A 24847-2024 karta knärot.png", "A 24847-2024")</f>
        <v/>
      </c>
      <c r="V137">
        <f>HYPERLINK("https://klasma.github.io/Logging_1982/klagomål/A 24847-2024 FSC-klagomål.docx", "A 24847-2024")</f>
        <v/>
      </c>
      <c r="W137">
        <f>HYPERLINK("https://klasma.github.io/Logging_1982/klagomålsmail/A 24847-2024 FSC-klagomål mail.docx", "A 24847-2024")</f>
        <v/>
      </c>
      <c r="X137">
        <f>HYPERLINK("https://klasma.github.io/Logging_1982/tillsyn/A 24847-2024 tillsynsbegäran.docx", "A 24847-2024")</f>
        <v/>
      </c>
      <c r="Y137">
        <f>HYPERLINK("https://klasma.github.io/Logging_1982/tillsynsmail/A 24847-2024 tillsynsbegäran mail.docx", "A 24847-2024")</f>
        <v/>
      </c>
    </row>
    <row r="138" ht="15" customHeight="1">
      <c r="A138" t="inlineStr">
        <is>
          <t>A 25672-2024</t>
        </is>
      </c>
      <c r="B138" s="1" t="n">
        <v>45463</v>
      </c>
      <c r="C138" s="1" t="n">
        <v>45657</v>
      </c>
      <c r="D138" t="inlineStr">
        <is>
          <t>VÄSTMANLANDS LÄN</t>
        </is>
      </c>
      <c r="E138" t="inlineStr">
        <is>
          <t>VÄSTERÅS</t>
        </is>
      </c>
      <c r="G138" t="n">
        <v>11.3</v>
      </c>
      <c r="H138" t="n">
        <v>1</v>
      </c>
      <c r="I138" t="n">
        <v>0</v>
      </c>
      <c r="J138" t="n">
        <v>2</v>
      </c>
      <c r="K138" t="n">
        <v>1</v>
      </c>
      <c r="L138" t="n">
        <v>0</v>
      </c>
      <c r="M138" t="n">
        <v>0</v>
      </c>
      <c r="N138" t="n">
        <v>0</v>
      </c>
      <c r="O138" t="n">
        <v>3</v>
      </c>
      <c r="P138" t="n">
        <v>1</v>
      </c>
      <c r="Q138" t="n">
        <v>3</v>
      </c>
      <c r="R138" s="2" t="inlineStr">
        <is>
          <t>Backsippa
Flentimotej
Solvända</t>
        </is>
      </c>
      <c r="S138">
        <f>HYPERLINK("https://klasma.github.io/Logging_1980/artfynd/A 25672-2024 artfynd.xlsx", "A 25672-2024")</f>
        <v/>
      </c>
      <c r="T138">
        <f>HYPERLINK("https://klasma.github.io/Logging_1980/kartor/A 25672-2024 karta.png", "A 25672-2024")</f>
        <v/>
      </c>
      <c r="V138">
        <f>HYPERLINK("https://klasma.github.io/Logging_1980/klagomål/A 25672-2024 FSC-klagomål.docx", "A 25672-2024")</f>
        <v/>
      </c>
      <c r="W138">
        <f>HYPERLINK("https://klasma.github.io/Logging_1980/klagomålsmail/A 25672-2024 FSC-klagomål mail.docx", "A 25672-2024")</f>
        <v/>
      </c>
      <c r="X138">
        <f>HYPERLINK("https://klasma.github.io/Logging_1980/tillsyn/A 25672-2024 tillsynsbegäran.docx", "A 25672-2024")</f>
        <v/>
      </c>
      <c r="Y138">
        <f>HYPERLINK("https://klasma.github.io/Logging_1980/tillsynsmail/A 25672-2024 tillsynsbegäran mail.docx", "A 25672-2024")</f>
        <v/>
      </c>
    </row>
    <row r="139" ht="15" customHeight="1">
      <c r="A139" t="inlineStr">
        <is>
          <t>A 33094-2024</t>
        </is>
      </c>
      <c r="B139" s="1" t="n">
        <v>45517</v>
      </c>
      <c r="C139" s="1" t="n">
        <v>45657</v>
      </c>
      <c r="D139" t="inlineStr">
        <is>
          <t>VÄSTMANLANDS LÄN</t>
        </is>
      </c>
      <c r="E139" t="inlineStr">
        <is>
          <t>SURAHAMMAR</t>
        </is>
      </c>
      <c r="G139" t="n">
        <v>6.3</v>
      </c>
      <c r="H139" t="n">
        <v>1</v>
      </c>
      <c r="I139" t="n">
        <v>0</v>
      </c>
      <c r="J139" t="n">
        <v>2</v>
      </c>
      <c r="K139" t="n">
        <v>0</v>
      </c>
      <c r="L139" t="n">
        <v>0</v>
      </c>
      <c r="M139" t="n">
        <v>0</v>
      </c>
      <c r="N139" t="n">
        <v>0</v>
      </c>
      <c r="O139" t="n">
        <v>2</v>
      </c>
      <c r="P139" t="n">
        <v>0</v>
      </c>
      <c r="Q139" t="n">
        <v>3</v>
      </c>
      <c r="R139" s="2" t="inlineStr">
        <is>
          <t>Svinrot
Vippärt
Revlummer</t>
        </is>
      </c>
      <c r="S139">
        <f>HYPERLINK("https://klasma.github.io/Logging_1907/artfynd/A 33094-2024 artfynd.xlsx", "A 33094-2024")</f>
        <v/>
      </c>
      <c r="T139">
        <f>HYPERLINK("https://klasma.github.io/Logging_1907/kartor/A 33094-2024 karta.png", "A 33094-2024")</f>
        <v/>
      </c>
      <c r="V139">
        <f>HYPERLINK("https://klasma.github.io/Logging_1907/klagomål/A 33094-2024 FSC-klagomål.docx", "A 33094-2024")</f>
        <v/>
      </c>
      <c r="W139">
        <f>HYPERLINK("https://klasma.github.io/Logging_1907/klagomålsmail/A 33094-2024 FSC-klagomål mail.docx", "A 33094-2024")</f>
        <v/>
      </c>
      <c r="X139">
        <f>HYPERLINK("https://klasma.github.io/Logging_1907/tillsyn/A 33094-2024 tillsynsbegäran.docx", "A 33094-2024")</f>
        <v/>
      </c>
      <c r="Y139">
        <f>HYPERLINK("https://klasma.github.io/Logging_1907/tillsynsmail/A 33094-2024 tillsynsbegäran mail.docx", "A 33094-2024")</f>
        <v/>
      </c>
    </row>
    <row r="140" ht="15" customHeight="1">
      <c r="A140" t="inlineStr">
        <is>
          <t>A 34028-2024</t>
        </is>
      </c>
      <c r="B140" s="1" t="n">
        <v>45523</v>
      </c>
      <c r="C140" s="1" t="n">
        <v>45657</v>
      </c>
      <c r="D140" t="inlineStr">
        <is>
          <t>VÄSTMANLANDS LÄN</t>
        </is>
      </c>
      <c r="E140" t="inlineStr">
        <is>
          <t>SURAHAMMAR</t>
        </is>
      </c>
      <c r="F140" t="inlineStr">
        <is>
          <t>Övriga Aktiebolag</t>
        </is>
      </c>
      <c r="G140" t="n">
        <v>16.4</v>
      </c>
      <c r="H140" t="n">
        <v>1</v>
      </c>
      <c r="I140" t="n">
        <v>2</v>
      </c>
      <c r="J140" t="n">
        <v>0</v>
      </c>
      <c r="K140" t="n">
        <v>0</v>
      </c>
      <c r="L140" t="n">
        <v>0</v>
      </c>
      <c r="M140" t="n">
        <v>0</v>
      </c>
      <c r="N140" t="n">
        <v>0</v>
      </c>
      <c r="O140" t="n">
        <v>0</v>
      </c>
      <c r="P140" t="n">
        <v>0</v>
      </c>
      <c r="Q140" t="n">
        <v>3</v>
      </c>
      <c r="R140" s="2" t="inlineStr">
        <is>
          <t>Mindre märgborre
Skarp dropptaggsvamp
Tjäder</t>
        </is>
      </c>
      <c r="S140">
        <f>HYPERLINK("https://klasma.github.io/Logging_1907/artfynd/A 34028-2024 artfynd.xlsx", "A 34028-2024")</f>
        <v/>
      </c>
      <c r="T140">
        <f>HYPERLINK("https://klasma.github.io/Logging_1907/kartor/A 34028-2024 karta.png", "A 34028-2024")</f>
        <v/>
      </c>
      <c r="V140">
        <f>HYPERLINK("https://klasma.github.io/Logging_1907/klagomål/A 34028-2024 FSC-klagomål.docx", "A 34028-2024")</f>
        <v/>
      </c>
      <c r="W140">
        <f>HYPERLINK("https://klasma.github.io/Logging_1907/klagomålsmail/A 34028-2024 FSC-klagomål mail.docx", "A 34028-2024")</f>
        <v/>
      </c>
      <c r="X140">
        <f>HYPERLINK("https://klasma.github.io/Logging_1907/tillsyn/A 34028-2024 tillsynsbegäran.docx", "A 34028-2024")</f>
        <v/>
      </c>
      <c r="Y140">
        <f>HYPERLINK("https://klasma.github.io/Logging_1907/tillsynsmail/A 34028-2024 tillsynsbegäran mail.docx", "A 34028-2024")</f>
        <v/>
      </c>
      <c r="Z140">
        <f>HYPERLINK("https://klasma.github.io/Logging_1907/fåglar/A 34028-2024 prioriterade fågelarter.docx", "A 34028-2024")</f>
        <v/>
      </c>
    </row>
    <row r="141" ht="15" customHeight="1">
      <c r="A141" t="inlineStr">
        <is>
          <t>A 35461-2024</t>
        </is>
      </c>
      <c r="B141" s="1" t="n">
        <v>45531</v>
      </c>
      <c r="C141" s="1" t="n">
        <v>45657</v>
      </c>
      <c r="D141" t="inlineStr">
        <is>
          <t>VÄSTMANLANDS LÄN</t>
        </is>
      </c>
      <c r="E141" t="inlineStr">
        <is>
          <t>SALA</t>
        </is>
      </c>
      <c r="G141" t="n">
        <v>4.4</v>
      </c>
      <c r="H141" t="n">
        <v>2</v>
      </c>
      <c r="I141" t="n">
        <v>1</v>
      </c>
      <c r="J141" t="n">
        <v>2</v>
      </c>
      <c r="K141" t="n">
        <v>0</v>
      </c>
      <c r="L141" t="n">
        <v>0</v>
      </c>
      <c r="M141" t="n">
        <v>0</v>
      </c>
      <c r="N141" t="n">
        <v>0</v>
      </c>
      <c r="O141" t="n">
        <v>2</v>
      </c>
      <c r="P141" t="n">
        <v>0</v>
      </c>
      <c r="Q141" t="n">
        <v>3</v>
      </c>
      <c r="R141" s="2" t="inlineStr">
        <is>
          <t>Duvhök
Talltita
Grönpyrola</t>
        </is>
      </c>
      <c r="S141">
        <f>HYPERLINK("https://klasma.github.io/Logging_1981/artfynd/A 35461-2024 artfynd.xlsx", "A 35461-2024")</f>
        <v/>
      </c>
      <c r="T141">
        <f>HYPERLINK("https://klasma.github.io/Logging_1981/kartor/A 35461-2024 karta.png", "A 35461-2024")</f>
        <v/>
      </c>
      <c r="V141">
        <f>HYPERLINK("https://klasma.github.io/Logging_1981/klagomål/A 35461-2024 FSC-klagomål.docx", "A 35461-2024")</f>
        <v/>
      </c>
      <c r="W141">
        <f>HYPERLINK("https://klasma.github.io/Logging_1981/klagomålsmail/A 35461-2024 FSC-klagomål mail.docx", "A 35461-2024")</f>
        <v/>
      </c>
      <c r="X141">
        <f>HYPERLINK("https://klasma.github.io/Logging_1981/tillsyn/A 35461-2024 tillsynsbegäran.docx", "A 35461-2024")</f>
        <v/>
      </c>
      <c r="Y141">
        <f>HYPERLINK("https://klasma.github.io/Logging_1981/tillsynsmail/A 35461-2024 tillsynsbegäran mail.docx", "A 35461-2024")</f>
        <v/>
      </c>
      <c r="Z141">
        <f>HYPERLINK("https://klasma.github.io/Logging_1981/fåglar/A 35461-2024 prioriterade fågelarter.docx", "A 35461-2024")</f>
        <v/>
      </c>
    </row>
    <row r="142" ht="15" customHeight="1">
      <c r="A142" t="inlineStr">
        <is>
          <t>A 36185-2024</t>
        </is>
      </c>
      <c r="B142" s="1" t="n">
        <v>45534</v>
      </c>
      <c r="C142" s="1" t="n">
        <v>45657</v>
      </c>
      <c r="D142" t="inlineStr">
        <is>
          <t>VÄSTMANLANDS LÄN</t>
        </is>
      </c>
      <c r="E142" t="inlineStr">
        <is>
          <t>ARBOGA</t>
        </is>
      </c>
      <c r="F142" t="inlineStr">
        <is>
          <t>Sveaskog</t>
        </is>
      </c>
      <c r="G142" t="n">
        <v>9.199999999999999</v>
      </c>
      <c r="H142" t="n">
        <v>2</v>
      </c>
      <c r="I142" t="n">
        <v>1</v>
      </c>
      <c r="J142" t="n">
        <v>0</v>
      </c>
      <c r="K142" t="n">
        <v>1</v>
      </c>
      <c r="L142" t="n">
        <v>0</v>
      </c>
      <c r="M142" t="n">
        <v>0</v>
      </c>
      <c r="N142" t="n">
        <v>0</v>
      </c>
      <c r="O142" t="n">
        <v>1</v>
      </c>
      <c r="P142" t="n">
        <v>1</v>
      </c>
      <c r="Q142" t="n">
        <v>3</v>
      </c>
      <c r="R142" s="2" t="inlineStr">
        <is>
          <t>Knärot
Vågbandad barkbock
Fläcknycklar</t>
        </is>
      </c>
      <c r="S142">
        <f>HYPERLINK("https://klasma.github.io/Logging_1984/artfynd/A 36185-2024 artfynd.xlsx", "A 36185-2024")</f>
        <v/>
      </c>
      <c r="T142">
        <f>HYPERLINK("https://klasma.github.io/Logging_1984/kartor/A 36185-2024 karta.png", "A 36185-2024")</f>
        <v/>
      </c>
      <c r="U142">
        <f>HYPERLINK("https://klasma.github.io/Logging_1984/knärot/A 36185-2024 karta knärot.png", "A 36185-2024")</f>
        <v/>
      </c>
      <c r="V142">
        <f>HYPERLINK("https://klasma.github.io/Logging_1984/klagomål/A 36185-2024 FSC-klagomål.docx", "A 36185-2024")</f>
        <v/>
      </c>
      <c r="W142">
        <f>HYPERLINK("https://klasma.github.io/Logging_1984/klagomålsmail/A 36185-2024 FSC-klagomål mail.docx", "A 36185-2024")</f>
        <v/>
      </c>
      <c r="X142">
        <f>HYPERLINK("https://klasma.github.io/Logging_1984/tillsyn/A 36185-2024 tillsynsbegäran.docx", "A 36185-2024")</f>
        <v/>
      </c>
      <c r="Y142">
        <f>HYPERLINK("https://klasma.github.io/Logging_1984/tillsynsmail/A 36185-2024 tillsynsbegäran mail.docx", "A 36185-2024")</f>
        <v/>
      </c>
    </row>
    <row r="143" ht="15" customHeight="1">
      <c r="A143" t="inlineStr">
        <is>
          <t>A 38908-2024</t>
        </is>
      </c>
      <c r="B143" s="1" t="n">
        <v>45547</v>
      </c>
      <c r="C143" s="1" t="n">
        <v>45657</v>
      </c>
      <c r="D143" t="inlineStr">
        <is>
          <t>VÄSTMANLANDS LÄN</t>
        </is>
      </c>
      <c r="E143" t="inlineStr">
        <is>
          <t>KÖPING</t>
        </is>
      </c>
      <c r="G143" t="n">
        <v>6.5</v>
      </c>
      <c r="H143" t="n">
        <v>3</v>
      </c>
      <c r="I143" t="n">
        <v>0</v>
      </c>
      <c r="J143" t="n">
        <v>2</v>
      </c>
      <c r="K143" t="n">
        <v>0</v>
      </c>
      <c r="L143" t="n">
        <v>0</v>
      </c>
      <c r="M143" t="n">
        <v>0</v>
      </c>
      <c r="N143" t="n">
        <v>0</v>
      </c>
      <c r="O143" t="n">
        <v>2</v>
      </c>
      <c r="P143" t="n">
        <v>0</v>
      </c>
      <c r="Q143" t="n">
        <v>3</v>
      </c>
      <c r="R143" s="2" t="inlineStr">
        <is>
          <t>Buskskvätta
Spillkråka
Fiskgjuse</t>
        </is>
      </c>
      <c r="S143">
        <f>HYPERLINK("https://klasma.github.io/Logging_1983/artfynd/A 38908-2024 artfynd.xlsx", "A 38908-2024")</f>
        <v/>
      </c>
      <c r="T143">
        <f>HYPERLINK("https://klasma.github.io/Logging_1983/kartor/A 38908-2024 karta.png", "A 38908-2024")</f>
        <v/>
      </c>
      <c r="V143">
        <f>HYPERLINK("https://klasma.github.io/Logging_1983/klagomål/A 38908-2024 FSC-klagomål.docx", "A 38908-2024")</f>
        <v/>
      </c>
      <c r="W143">
        <f>HYPERLINK("https://klasma.github.io/Logging_1983/klagomålsmail/A 38908-2024 FSC-klagomål mail.docx", "A 38908-2024")</f>
        <v/>
      </c>
      <c r="X143">
        <f>HYPERLINK("https://klasma.github.io/Logging_1983/tillsyn/A 38908-2024 tillsynsbegäran.docx", "A 38908-2024")</f>
        <v/>
      </c>
      <c r="Y143">
        <f>HYPERLINK("https://klasma.github.io/Logging_1983/tillsynsmail/A 38908-2024 tillsynsbegäran mail.docx", "A 38908-2024")</f>
        <v/>
      </c>
      <c r="Z143">
        <f>HYPERLINK("https://klasma.github.io/Logging_1983/fåglar/A 38908-2024 prioriterade fågelarter.docx", "A 38908-2024")</f>
        <v/>
      </c>
    </row>
    <row r="144" ht="15" customHeight="1">
      <c r="A144" t="inlineStr">
        <is>
          <t>A 47475-2024</t>
        </is>
      </c>
      <c r="B144" s="1" t="n">
        <v>45587</v>
      </c>
      <c r="C144" s="1" t="n">
        <v>45657</v>
      </c>
      <c r="D144" t="inlineStr">
        <is>
          <t>VÄSTMANLANDS LÄN</t>
        </is>
      </c>
      <c r="E144" t="inlineStr">
        <is>
          <t>SALA</t>
        </is>
      </c>
      <c r="G144" t="n">
        <v>1.4</v>
      </c>
      <c r="H144" t="n">
        <v>1</v>
      </c>
      <c r="I144" t="n">
        <v>0</v>
      </c>
      <c r="J144" t="n">
        <v>0</v>
      </c>
      <c r="K144" t="n">
        <v>3</v>
      </c>
      <c r="L144" t="n">
        <v>0</v>
      </c>
      <c r="M144" t="n">
        <v>0</v>
      </c>
      <c r="N144" t="n">
        <v>0</v>
      </c>
      <c r="O144" t="n">
        <v>3</v>
      </c>
      <c r="P144" t="n">
        <v>3</v>
      </c>
      <c r="Q144" t="n">
        <v>3</v>
      </c>
      <c r="R144" s="2" t="inlineStr">
        <is>
          <t>Knärot
Luddig stiftdynlav
Rynkskinn</t>
        </is>
      </c>
      <c r="S144">
        <f>HYPERLINK("https://klasma.github.io/Logging_1981/artfynd/A 47475-2024 artfynd.xlsx", "A 47475-2024")</f>
        <v/>
      </c>
      <c r="T144">
        <f>HYPERLINK("https://klasma.github.io/Logging_1981/kartor/A 47475-2024 karta.png", "A 47475-2024")</f>
        <v/>
      </c>
      <c r="U144">
        <f>HYPERLINK("https://klasma.github.io/Logging_1981/knärot/A 47475-2024 karta knärot.png", "A 47475-2024")</f>
        <v/>
      </c>
      <c r="V144">
        <f>HYPERLINK("https://klasma.github.io/Logging_1981/klagomål/A 47475-2024 FSC-klagomål.docx", "A 47475-2024")</f>
        <v/>
      </c>
      <c r="W144">
        <f>HYPERLINK("https://klasma.github.io/Logging_1981/klagomålsmail/A 47475-2024 FSC-klagomål mail.docx", "A 47475-2024")</f>
        <v/>
      </c>
      <c r="X144">
        <f>HYPERLINK("https://klasma.github.io/Logging_1981/tillsyn/A 47475-2024 tillsynsbegäran.docx", "A 47475-2024")</f>
        <v/>
      </c>
      <c r="Y144">
        <f>HYPERLINK("https://klasma.github.io/Logging_1981/tillsynsmail/A 47475-2024 tillsynsbegäran mail.docx", "A 47475-2024")</f>
        <v/>
      </c>
    </row>
    <row r="145" ht="15" customHeight="1">
      <c r="A145" t="inlineStr">
        <is>
          <t>A 53019-2024</t>
        </is>
      </c>
      <c r="B145" s="1" t="n">
        <v>45610</v>
      </c>
      <c r="C145" s="1" t="n">
        <v>45657</v>
      </c>
      <c r="D145" t="inlineStr">
        <is>
          <t>VÄSTMANLANDS LÄN</t>
        </is>
      </c>
      <c r="E145" t="inlineStr">
        <is>
          <t>SALA</t>
        </is>
      </c>
      <c r="G145" t="n">
        <v>1.1</v>
      </c>
      <c r="H145" t="n">
        <v>2</v>
      </c>
      <c r="I145" t="n">
        <v>0</v>
      </c>
      <c r="J145" t="n">
        <v>1</v>
      </c>
      <c r="K145" t="n">
        <v>1</v>
      </c>
      <c r="L145" t="n">
        <v>0</v>
      </c>
      <c r="M145" t="n">
        <v>0</v>
      </c>
      <c r="N145" t="n">
        <v>0</v>
      </c>
      <c r="O145" t="n">
        <v>2</v>
      </c>
      <c r="P145" t="n">
        <v>1</v>
      </c>
      <c r="Q145" t="n">
        <v>3</v>
      </c>
      <c r="R145" s="2" t="inlineStr">
        <is>
          <t>Knärot
Ullticka
Kungsfågel</t>
        </is>
      </c>
      <c r="S145">
        <f>HYPERLINK("https://klasma.github.io/Logging_1981/artfynd/A 53019-2024 artfynd.xlsx", "A 53019-2024")</f>
        <v/>
      </c>
      <c r="T145">
        <f>HYPERLINK("https://klasma.github.io/Logging_1981/kartor/A 53019-2024 karta.png", "A 53019-2024")</f>
        <v/>
      </c>
      <c r="U145">
        <f>HYPERLINK("https://klasma.github.io/Logging_1981/knärot/A 53019-2024 karta knärot.png", "A 53019-2024")</f>
        <v/>
      </c>
      <c r="V145">
        <f>HYPERLINK("https://klasma.github.io/Logging_1981/klagomål/A 53019-2024 FSC-klagomål.docx", "A 53019-2024")</f>
        <v/>
      </c>
      <c r="W145">
        <f>HYPERLINK("https://klasma.github.io/Logging_1981/klagomålsmail/A 53019-2024 FSC-klagomål mail.docx", "A 53019-2024")</f>
        <v/>
      </c>
      <c r="X145">
        <f>HYPERLINK("https://klasma.github.io/Logging_1981/tillsyn/A 53019-2024 tillsynsbegäran.docx", "A 53019-2024")</f>
        <v/>
      </c>
      <c r="Y145">
        <f>HYPERLINK("https://klasma.github.io/Logging_1981/tillsynsmail/A 53019-2024 tillsynsbegäran mail.docx", "A 53019-2024")</f>
        <v/>
      </c>
      <c r="Z145">
        <f>HYPERLINK("https://klasma.github.io/Logging_1981/fåglar/A 53019-2024 prioriterade fågelarter.docx", "A 53019-2024")</f>
        <v/>
      </c>
    </row>
    <row r="146" ht="15" customHeight="1">
      <c r="A146" t="inlineStr">
        <is>
          <t>A 19456-2019</t>
        </is>
      </c>
      <c r="B146" s="1" t="n">
        <v>43565</v>
      </c>
      <c r="C146" s="1" t="n">
        <v>45657</v>
      </c>
      <c r="D146" t="inlineStr">
        <is>
          <t>VÄSTMANLANDS LÄN</t>
        </is>
      </c>
      <c r="E146" t="inlineStr">
        <is>
          <t>VÄSTERÅS</t>
        </is>
      </c>
      <c r="F146" t="inlineStr">
        <is>
          <t>Sveaskog</t>
        </is>
      </c>
      <c r="G146" t="n">
        <v>1</v>
      </c>
      <c r="H146" t="n">
        <v>2</v>
      </c>
      <c r="I146" t="n">
        <v>0</v>
      </c>
      <c r="J146" t="n">
        <v>0</v>
      </c>
      <c r="K146" t="n">
        <v>1</v>
      </c>
      <c r="L146" t="n">
        <v>0</v>
      </c>
      <c r="M146" t="n">
        <v>0</v>
      </c>
      <c r="N146" t="n">
        <v>0</v>
      </c>
      <c r="O146" t="n">
        <v>1</v>
      </c>
      <c r="P146" t="n">
        <v>1</v>
      </c>
      <c r="Q146" t="n">
        <v>2</v>
      </c>
      <c r="R146" s="2" t="inlineStr">
        <is>
          <t>Bombmurkla
Blåsippa</t>
        </is>
      </c>
      <c r="S146">
        <f>HYPERLINK("https://klasma.github.io/Logging_1980/artfynd/A 19456-2019 artfynd.xlsx", "A 19456-2019")</f>
        <v/>
      </c>
      <c r="T146">
        <f>HYPERLINK("https://klasma.github.io/Logging_1980/kartor/A 19456-2019 karta.png", "A 19456-2019")</f>
        <v/>
      </c>
      <c r="V146">
        <f>HYPERLINK("https://klasma.github.io/Logging_1980/klagomål/A 19456-2019 FSC-klagomål.docx", "A 19456-2019")</f>
        <v/>
      </c>
      <c r="W146">
        <f>HYPERLINK("https://klasma.github.io/Logging_1980/klagomålsmail/A 19456-2019 FSC-klagomål mail.docx", "A 19456-2019")</f>
        <v/>
      </c>
      <c r="X146">
        <f>HYPERLINK("https://klasma.github.io/Logging_1980/tillsyn/A 19456-2019 tillsynsbegäran.docx", "A 19456-2019")</f>
        <v/>
      </c>
      <c r="Y146">
        <f>HYPERLINK("https://klasma.github.io/Logging_1980/tillsynsmail/A 19456-2019 tillsynsbegäran mail.docx", "A 19456-2019")</f>
        <v/>
      </c>
    </row>
    <row r="147" ht="15" customHeight="1">
      <c r="A147" t="inlineStr">
        <is>
          <t>A 19955-2019</t>
        </is>
      </c>
      <c r="B147" s="1" t="n">
        <v>43569</v>
      </c>
      <c r="C147" s="1" t="n">
        <v>45657</v>
      </c>
      <c r="D147" t="inlineStr">
        <is>
          <t>VÄSTMANLANDS LÄN</t>
        </is>
      </c>
      <c r="E147" t="inlineStr">
        <is>
          <t>KÖPING</t>
        </is>
      </c>
      <c r="F147" t="inlineStr">
        <is>
          <t>Sveaskog</t>
        </is>
      </c>
      <c r="G147" t="n">
        <v>2</v>
      </c>
      <c r="H147" t="n">
        <v>1</v>
      </c>
      <c r="I147" t="n">
        <v>0</v>
      </c>
      <c r="J147" t="n">
        <v>1</v>
      </c>
      <c r="K147" t="n">
        <v>0</v>
      </c>
      <c r="L147" t="n">
        <v>0</v>
      </c>
      <c r="M147" t="n">
        <v>0</v>
      </c>
      <c r="N147" t="n">
        <v>0</v>
      </c>
      <c r="O147" t="n">
        <v>1</v>
      </c>
      <c r="P147" t="n">
        <v>0</v>
      </c>
      <c r="Q147" t="n">
        <v>2</v>
      </c>
      <c r="R147" s="2" t="inlineStr">
        <is>
          <t>Skogsklocka
Grönvit nattviol</t>
        </is>
      </c>
      <c r="S147">
        <f>HYPERLINK("https://klasma.github.io/Logging_1983/artfynd/A 19955-2019 artfynd.xlsx", "A 19955-2019")</f>
        <v/>
      </c>
      <c r="T147">
        <f>HYPERLINK("https://klasma.github.io/Logging_1983/kartor/A 19955-2019 karta.png", "A 19955-2019")</f>
        <v/>
      </c>
      <c r="V147">
        <f>HYPERLINK("https://klasma.github.io/Logging_1983/klagomål/A 19955-2019 FSC-klagomål.docx", "A 19955-2019")</f>
        <v/>
      </c>
      <c r="W147">
        <f>HYPERLINK("https://klasma.github.io/Logging_1983/klagomålsmail/A 19955-2019 FSC-klagomål mail.docx", "A 19955-2019")</f>
        <v/>
      </c>
      <c r="X147">
        <f>HYPERLINK("https://klasma.github.io/Logging_1983/tillsyn/A 19955-2019 tillsynsbegäran.docx", "A 19955-2019")</f>
        <v/>
      </c>
      <c r="Y147">
        <f>HYPERLINK("https://klasma.github.io/Logging_1983/tillsynsmail/A 19955-2019 tillsynsbegäran mail.docx", "A 19955-2019")</f>
        <v/>
      </c>
    </row>
    <row r="148" ht="15" customHeight="1">
      <c r="A148" t="inlineStr">
        <is>
          <t>A 35213-2019</t>
        </is>
      </c>
      <c r="B148" s="1" t="n">
        <v>43662</v>
      </c>
      <c r="C148" s="1" t="n">
        <v>45657</v>
      </c>
      <c r="D148" t="inlineStr">
        <is>
          <t>VÄSTMANLANDS LÄN</t>
        </is>
      </c>
      <c r="E148" t="inlineStr">
        <is>
          <t>SALA</t>
        </is>
      </c>
      <c r="G148" t="n">
        <v>44.3</v>
      </c>
      <c r="H148" t="n">
        <v>1</v>
      </c>
      <c r="I148" t="n">
        <v>1</v>
      </c>
      <c r="J148" t="n">
        <v>1</v>
      </c>
      <c r="K148" t="n">
        <v>0</v>
      </c>
      <c r="L148" t="n">
        <v>0</v>
      </c>
      <c r="M148" t="n">
        <v>0</v>
      </c>
      <c r="N148" t="n">
        <v>0</v>
      </c>
      <c r="O148" t="n">
        <v>1</v>
      </c>
      <c r="P148" t="n">
        <v>0</v>
      </c>
      <c r="Q148" t="n">
        <v>2</v>
      </c>
      <c r="R148" s="2" t="inlineStr">
        <is>
          <t>Järpe
Mörk husmossa</t>
        </is>
      </c>
      <c r="S148">
        <f>HYPERLINK("https://klasma.github.io/Logging_1981/artfynd/A 35213-2019 artfynd.xlsx", "A 35213-2019")</f>
        <v/>
      </c>
      <c r="T148">
        <f>HYPERLINK("https://klasma.github.io/Logging_1981/kartor/A 35213-2019 karta.png", "A 35213-2019")</f>
        <v/>
      </c>
      <c r="U148">
        <f>HYPERLINK("https://klasma.github.io/Logging_1981/knärot/A 35213-2019 karta knärot.png", "A 35213-2019")</f>
        <v/>
      </c>
      <c r="V148">
        <f>HYPERLINK("https://klasma.github.io/Logging_1981/klagomål/A 35213-2019 FSC-klagomål.docx", "A 35213-2019")</f>
        <v/>
      </c>
      <c r="W148">
        <f>HYPERLINK("https://klasma.github.io/Logging_1981/klagomålsmail/A 35213-2019 FSC-klagomål mail.docx", "A 35213-2019")</f>
        <v/>
      </c>
      <c r="X148">
        <f>HYPERLINK("https://klasma.github.io/Logging_1981/tillsyn/A 35213-2019 tillsynsbegäran.docx", "A 35213-2019")</f>
        <v/>
      </c>
      <c r="Y148">
        <f>HYPERLINK("https://klasma.github.io/Logging_1981/tillsynsmail/A 35213-2019 tillsynsbegäran mail.docx", "A 35213-2019")</f>
        <v/>
      </c>
      <c r="Z148">
        <f>HYPERLINK("https://klasma.github.io/Logging_1981/fåglar/A 35213-2019 prioriterade fågelarter.docx", "A 35213-2019")</f>
        <v/>
      </c>
    </row>
    <row r="149" ht="15" customHeight="1">
      <c r="A149" t="inlineStr">
        <is>
          <t>A 39483-2019</t>
        </is>
      </c>
      <c r="B149" s="1" t="n">
        <v>43691</v>
      </c>
      <c r="C149" s="1" t="n">
        <v>45657</v>
      </c>
      <c r="D149" t="inlineStr">
        <is>
          <t>VÄSTMANLANDS LÄN</t>
        </is>
      </c>
      <c r="E149" t="inlineStr">
        <is>
          <t>SALA</t>
        </is>
      </c>
      <c r="G149" t="n">
        <v>4.6</v>
      </c>
      <c r="H149" t="n">
        <v>2</v>
      </c>
      <c r="I149" t="n">
        <v>0</v>
      </c>
      <c r="J149" t="n">
        <v>1</v>
      </c>
      <c r="K149" t="n">
        <v>0</v>
      </c>
      <c r="L149" t="n">
        <v>0</v>
      </c>
      <c r="M149" t="n">
        <v>0</v>
      </c>
      <c r="N149" t="n">
        <v>0</v>
      </c>
      <c r="O149" t="n">
        <v>1</v>
      </c>
      <c r="P149" t="n">
        <v>0</v>
      </c>
      <c r="Q149" t="n">
        <v>2</v>
      </c>
      <c r="R149" s="2" t="inlineStr">
        <is>
          <t>Nordfladdermus
Vattenfladdermus</t>
        </is>
      </c>
      <c r="S149">
        <f>HYPERLINK("https://klasma.github.io/Logging_1981/artfynd/A 39483-2019 artfynd.xlsx", "A 39483-2019")</f>
        <v/>
      </c>
      <c r="T149">
        <f>HYPERLINK("https://klasma.github.io/Logging_1981/kartor/A 39483-2019 karta.png", "A 39483-2019")</f>
        <v/>
      </c>
      <c r="V149">
        <f>HYPERLINK("https://klasma.github.io/Logging_1981/klagomål/A 39483-2019 FSC-klagomål.docx", "A 39483-2019")</f>
        <v/>
      </c>
      <c r="W149">
        <f>HYPERLINK("https://klasma.github.io/Logging_1981/klagomålsmail/A 39483-2019 FSC-klagomål mail.docx", "A 39483-2019")</f>
        <v/>
      </c>
      <c r="X149">
        <f>HYPERLINK("https://klasma.github.io/Logging_1981/tillsyn/A 39483-2019 tillsynsbegäran.docx", "A 39483-2019")</f>
        <v/>
      </c>
      <c r="Y149">
        <f>HYPERLINK("https://klasma.github.io/Logging_1981/tillsynsmail/A 39483-2019 tillsynsbegäran mail.docx", "A 39483-2019")</f>
        <v/>
      </c>
    </row>
    <row r="150" ht="15" customHeight="1">
      <c r="A150" t="inlineStr">
        <is>
          <t>A 44399-2019</t>
        </is>
      </c>
      <c r="B150" s="1" t="n">
        <v>43711</v>
      </c>
      <c r="C150" s="1" t="n">
        <v>45657</v>
      </c>
      <c r="D150" t="inlineStr">
        <is>
          <t>VÄSTMANLANDS LÄN</t>
        </is>
      </c>
      <c r="E150" t="inlineStr">
        <is>
          <t>FAGERSTA</t>
        </is>
      </c>
      <c r="F150" t="inlineStr">
        <is>
          <t>Kommuner</t>
        </is>
      </c>
      <c r="G150" t="n">
        <v>4.6</v>
      </c>
      <c r="H150" t="n">
        <v>0</v>
      </c>
      <c r="I150" t="n">
        <v>1</v>
      </c>
      <c r="J150" t="n">
        <v>0</v>
      </c>
      <c r="K150" t="n">
        <v>0</v>
      </c>
      <c r="L150" t="n">
        <v>0</v>
      </c>
      <c r="M150" t="n">
        <v>1</v>
      </c>
      <c r="N150" t="n">
        <v>0</v>
      </c>
      <c r="O150" t="n">
        <v>1</v>
      </c>
      <c r="P150" t="n">
        <v>1</v>
      </c>
      <c r="Q150" t="n">
        <v>2</v>
      </c>
      <c r="R150" s="2" t="inlineStr">
        <is>
          <t>Skogsalm
Tibast</t>
        </is>
      </c>
      <c r="S150">
        <f>HYPERLINK("https://klasma.github.io/Logging_1982/artfynd/A 44399-2019 artfynd.xlsx", "A 44399-2019")</f>
        <v/>
      </c>
      <c r="T150">
        <f>HYPERLINK("https://klasma.github.io/Logging_1982/kartor/A 44399-2019 karta.png", "A 44399-2019")</f>
        <v/>
      </c>
      <c r="V150">
        <f>HYPERLINK("https://klasma.github.io/Logging_1982/klagomål/A 44399-2019 FSC-klagomål.docx", "A 44399-2019")</f>
        <v/>
      </c>
      <c r="W150">
        <f>HYPERLINK("https://klasma.github.io/Logging_1982/klagomålsmail/A 44399-2019 FSC-klagomål mail.docx", "A 44399-2019")</f>
        <v/>
      </c>
      <c r="X150">
        <f>HYPERLINK("https://klasma.github.io/Logging_1982/tillsyn/A 44399-2019 tillsynsbegäran.docx", "A 44399-2019")</f>
        <v/>
      </c>
      <c r="Y150">
        <f>HYPERLINK("https://klasma.github.io/Logging_1982/tillsynsmail/A 44399-2019 tillsynsbegäran mail.docx", "A 44399-2019")</f>
        <v/>
      </c>
    </row>
    <row r="151" ht="15" customHeight="1">
      <c r="A151" t="inlineStr">
        <is>
          <t>A 46592-2019</t>
        </is>
      </c>
      <c r="B151" s="1" t="n">
        <v>43719</v>
      </c>
      <c r="C151" s="1" t="n">
        <v>45657</v>
      </c>
      <c r="D151" t="inlineStr">
        <is>
          <t>VÄSTMANLANDS LÄN</t>
        </is>
      </c>
      <c r="E151" t="inlineStr">
        <is>
          <t>SKINNSKATTEBERG</t>
        </is>
      </c>
      <c r="F151" t="inlineStr">
        <is>
          <t>Sveaskog</t>
        </is>
      </c>
      <c r="G151" t="n">
        <v>2</v>
      </c>
      <c r="H151" t="n">
        <v>2</v>
      </c>
      <c r="I151" t="n">
        <v>0</v>
      </c>
      <c r="J151" t="n">
        <v>1</v>
      </c>
      <c r="K151" t="n">
        <v>0</v>
      </c>
      <c r="L151" t="n">
        <v>0</v>
      </c>
      <c r="M151" t="n">
        <v>0</v>
      </c>
      <c r="N151" t="n">
        <v>0</v>
      </c>
      <c r="O151" t="n">
        <v>1</v>
      </c>
      <c r="P151" t="n">
        <v>0</v>
      </c>
      <c r="Q151" t="n">
        <v>2</v>
      </c>
      <c r="R151" s="2" t="inlineStr">
        <is>
          <t>Talltita
Åkergroda</t>
        </is>
      </c>
      <c r="S151">
        <f>HYPERLINK("https://klasma.github.io/Logging_1904/artfynd/A 46592-2019 artfynd.xlsx", "A 46592-2019")</f>
        <v/>
      </c>
      <c r="T151">
        <f>HYPERLINK("https://klasma.github.io/Logging_1904/kartor/A 46592-2019 karta.png", "A 46592-2019")</f>
        <v/>
      </c>
      <c r="V151">
        <f>HYPERLINK("https://klasma.github.io/Logging_1904/klagomål/A 46592-2019 FSC-klagomål.docx", "A 46592-2019")</f>
        <v/>
      </c>
      <c r="W151">
        <f>HYPERLINK("https://klasma.github.io/Logging_1904/klagomålsmail/A 46592-2019 FSC-klagomål mail.docx", "A 46592-2019")</f>
        <v/>
      </c>
      <c r="X151">
        <f>HYPERLINK("https://klasma.github.io/Logging_1904/tillsyn/A 46592-2019 tillsynsbegäran.docx", "A 46592-2019")</f>
        <v/>
      </c>
      <c r="Y151">
        <f>HYPERLINK("https://klasma.github.io/Logging_1904/tillsynsmail/A 46592-2019 tillsynsbegäran mail.docx", "A 46592-2019")</f>
        <v/>
      </c>
      <c r="Z151">
        <f>HYPERLINK("https://klasma.github.io/Logging_1904/fåglar/A 46592-2019 prioriterade fågelarter.docx", "A 46592-2019")</f>
        <v/>
      </c>
    </row>
    <row r="152" ht="15" customHeight="1">
      <c r="A152" t="inlineStr">
        <is>
          <t>A 51396-2019</t>
        </is>
      </c>
      <c r="B152" s="1" t="n">
        <v>43740</v>
      </c>
      <c r="C152" s="1" t="n">
        <v>45657</v>
      </c>
      <c r="D152" t="inlineStr">
        <is>
          <t>VÄSTMANLANDS LÄN</t>
        </is>
      </c>
      <c r="E152" t="inlineStr">
        <is>
          <t>SKINNSKATTEBERG</t>
        </is>
      </c>
      <c r="F152" t="inlineStr">
        <is>
          <t>Sveaskog</t>
        </is>
      </c>
      <c r="G152" t="n">
        <v>5.1</v>
      </c>
      <c r="H152" t="n">
        <v>0</v>
      </c>
      <c r="I152" t="n">
        <v>1</v>
      </c>
      <c r="J152" t="n">
        <v>1</v>
      </c>
      <c r="K152" t="n">
        <v>0</v>
      </c>
      <c r="L152" t="n">
        <v>0</v>
      </c>
      <c r="M152" t="n">
        <v>0</v>
      </c>
      <c r="N152" t="n">
        <v>0</v>
      </c>
      <c r="O152" t="n">
        <v>1</v>
      </c>
      <c r="P152" t="n">
        <v>0</v>
      </c>
      <c r="Q152" t="n">
        <v>2</v>
      </c>
      <c r="R152" s="2" t="inlineStr">
        <is>
          <t>Motaggsvamp
Skarp dropptaggsvamp</t>
        </is>
      </c>
      <c r="S152">
        <f>HYPERLINK("https://klasma.github.io/Logging_1904/artfynd/A 51396-2019 artfynd.xlsx", "A 51396-2019")</f>
        <v/>
      </c>
      <c r="T152">
        <f>HYPERLINK("https://klasma.github.io/Logging_1904/kartor/A 51396-2019 karta.png", "A 51396-2019")</f>
        <v/>
      </c>
      <c r="V152">
        <f>HYPERLINK("https://klasma.github.io/Logging_1904/klagomål/A 51396-2019 FSC-klagomål.docx", "A 51396-2019")</f>
        <v/>
      </c>
      <c r="W152">
        <f>HYPERLINK("https://klasma.github.io/Logging_1904/klagomålsmail/A 51396-2019 FSC-klagomål mail.docx", "A 51396-2019")</f>
        <v/>
      </c>
      <c r="X152">
        <f>HYPERLINK("https://klasma.github.io/Logging_1904/tillsyn/A 51396-2019 tillsynsbegäran.docx", "A 51396-2019")</f>
        <v/>
      </c>
      <c r="Y152">
        <f>HYPERLINK("https://klasma.github.io/Logging_1904/tillsynsmail/A 51396-2019 tillsynsbegäran mail.docx", "A 51396-2019")</f>
        <v/>
      </c>
    </row>
    <row r="153" ht="15" customHeight="1">
      <c r="A153" t="inlineStr">
        <is>
          <t>A 51399-2019</t>
        </is>
      </c>
      <c r="B153" s="1" t="n">
        <v>43740</v>
      </c>
      <c r="C153" s="1" t="n">
        <v>45657</v>
      </c>
      <c r="D153" t="inlineStr">
        <is>
          <t>VÄSTMANLANDS LÄN</t>
        </is>
      </c>
      <c r="E153" t="inlineStr">
        <is>
          <t>SKINNSKATTEBERG</t>
        </is>
      </c>
      <c r="F153" t="inlineStr">
        <is>
          <t>Sveaskog</t>
        </is>
      </c>
      <c r="G153" t="n">
        <v>5.1</v>
      </c>
      <c r="H153" t="n">
        <v>0</v>
      </c>
      <c r="I153" t="n">
        <v>1</v>
      </c>
      <c r="J153" t="n">
        <v>1</v>
      </c>
      <c r="K153" t="n">
        <v>0</v>
      </c>
      <c r="L153" t="n">
        <v>0</v>
      </c>
      <c r="M153" t="n">
        <v>0</v>
      </c>
      <c r="N153" t="n">
        <v>0</v>
      </c>
      <c r="O153" t="n">
        <v>1</v>
      </c>
      <c r="P153" t="n">
        <v>0</v>
      </c>
      <c r="Q153" t="n">
        <v>2</v>
      </c>
      <c r="R153" s="2" t="inlineStr">
        <is>
          <t>Motaggsvamp
Skarp dropptaggsvamp</t>
        </is>
      </c>
      <c r="S153">
        <f>HYPERLINK("https://klasma.github.io/Logging_1904/artfynd/A 51399-2019 artfynd.xlsx", "A 51399-2019")</f>
        <v/>
      </c>
      <c r="T153">
        <f>HYPERLINK("https://klasma.github.io/Logging_1904/kartor/A 51399-2019 karta.png", "A 51399-2019")</f>
        <v/>
      </c>
      <c r="V153">
        <f>HYPERLINK("https://klasma.github.io/Logging_1904/klagomål/A 51399-2019 FSC-klagomål.docx", "A 51399-2019")</f>
        <v/>
      </c>
      <c r="W153">
        <f>HYPERLINK("https://klasma.github.io/Logging_1904/klagomålsmail/A 51399-2019 FSC-klagomål mail.docx", "A 51399-2019")</f>
        <v/>
      </c>
      <c r="X153">
        <f>HYPERLINK("https://klasma.github.io/Logging_1904/tillsyn/A 51399-2019 tillsynsbegäran.docx", "A 51399-2019")</f>
        <v/>
      </c>
      <c r="Y153">
        <f>HYPERLINK("https://klasma.github.io/Logging_1904/tillsynsmail/A 51399-2019 tillsynsbegäran mail.docx", "A 51399-2019")</f>
        <v/>
      </c>
    </row>
    <row r="154" ht="15" customHeight="1">
      <c r="A154" t="inlineStr">
        <is>
          <t>A 56822-2019</t>
        </is>
      </c>
      <c r="B154" s="1" t="n">
        <v>43764</v>
      </c>
      <c r="C154" s="1" t="n">
        <v>45657</v>
      </c>
      <c r="D154" t="inlineStr">
        <is>
          <t>VÄSTMANLANDS LÄN</t>
        </is>
      </c>
      <c r="E154" t="inlineStr">
        <is>
          <t>SKINNSKATTEBERG</t>
        </is>
      </c>
      <c r="F154" t="inlineStr">
        <is>
          <t>Sveaskog</t>
        </is>
      </c>
      <c r="G154" t="n">
        <v>5.2</v>
      </c>
      <c r="H154" t="n">
        <v>0</v>
      </c>
      <c r="I154" t="n">
        <v>2</v>
      </c>
      <c r="J154" t="n">
        <v>0</v>
      </c>
      <c r="K154" t="n">
        <v>0</v>
      </c>
      <c r="L154" t="n">
        <v>0</v>
      </c>
      <c r="M154" t="n">
        <v>0</v>
      </c>
      <c r="N154" t="n">
        <v>0</v>
      </c>
      <c r="O154" t="n">
        <v>0</v>
      </c>
      <c r="P154" t="n">
        <v>0</v>
      </c>
      <c r="Q154" t="n">
        <v>2</v>
      </c>
      <c r="R154" s="2" t="inlineStr">
        <is>
          <t>Mindre märgborre
Vedticka</t>
        </is>
      </c>
      <c r="S154">
        <f>HYPERLINK("https://klasma.github.io/Logging_1904/artfynd/A 56822-2019 artfynd.xlsx", "A 56822-2019")</f>
        <v/>
      </c>
      <c r="T154">
        <f>HYPERLINK("https://klasma.github.io/Logging_1904/kartor/A 56822-2019 karta.png", "A 56822-2019")</f>
        <v/>
      </c>
      <c r="V154">
        <f>HYPERLINK("https://klasma.github.io/Logging_1904/klagomål/A 56822-2019 FSC-klagomål.docx", "A 56822-2019")</f>
        <v/>
      </c>
      <c r="W154">
        <f>HYPERLINK("https://klasma.github.io/Logging_1904/klagomålsmail/A 56822-2019 FSC-klagomål mail.docx", "A 56822-2019")</f>
        <v/>
      </c>
      <c r="X154">
        <f>HYPERLINK("https://klasma.github.io/Logging_1904/tillsyn/A 56822-2019 tillsynsbegäran.docx", "A 56822-2019")</f>
        <v/>
      </c>
      <c r="Y154">
        <f>HYPERLINK("https://klasma.github.io/Logging_1904/tillsynsmail/A 56822-2019 tillsynsbegäran mail.docx", "A 56822-2019")</f>
        <v/>
      </c>
    </row>
    <row r="155" ht="15" customHeight="1">
      <c r="A155" t="inlineStr">
        <is>
          <t>A 56823-2019</t>
        </is>
      </c>
      <c r="B155" s="1" t="n">
        <v>43764</v>
      </c>
      <c r="C155" s="1" t="n">
        <v>45657</v>
      </c>
      <c r="D155" t="inlineStr">
        <is>
          <t>VÄSTMANLANDS LÄN</t>
        </is>
      </c>
      <c r="E155" t="inlineStr">
        <is>
          <t>SKINNSKATTEBERG</t>
        </is>
      </c>
      <c r="F155" t="inlineStr">
        <is>
          <t>Sveaskog</t>
        </is>
      </c>
      <c r="G155" t="n">
        <v>3.3</v>
      </c>
      <c r="H155" t="n">
        <v>0</v>
      </c>
      <c r="I155" t="n">
        <v>1</v>
      </c>
      <c r="J155" t="n">
        <v>0</v>
      </c>
      <c r="K155" t="n">
        <v>1</v>
      </c>
      <c r="L155" t="n">
        <v>0</v>
      </c>
      <c r="M155" t="n">
        <v>0</v>
      </c>
      <c r="N155" t="n">
        <v>0</v>
      </c>
      <c r="O155" t="n">
        <v>1</v>
      </c>
      <c r="P155" t="n">
        <v>1</v>
      </c>
      <c r="Q155" t="n">
        <v>2</v>
      </c>
      <c r="R155" s="2" t="inlineStr">
        <is>
          <t>Tallgångbagge
Mindre märgborre</t>
        </is>
      </c>
      <c r="S155">
        <f>HYPERLINK("https://klasma.github.io/Logging_1904/artfynd/A 56823-2019 artfynd.xlsx", "A 56823-2019")</f>
        <v/>
      </c>
      <c r="T155">
        <f>HYPERLINK("https://klasma.github.io/Logging_1904/kartor/A 56823-2019 karta.png", "A 56823-2019")</f>
        <v/>
      </c>
      <c r="V155">
        <f>HYPERLINK("https://klasma.github.io/Logging_1904/klagomål/A 56823-2019 FSC-klagomål.docx", "A 56823-2019")</f>
        <v/>
      </c>
      <c r="W155">
        <f>HYPERLINK("https://klasma.github.io/Logging_1904/klagomålsmail/A 56823-2019 FSC-klagomål mail.docx", "A 56823-2019")</f>
        <v/>
      </c>
      <c r="X155">
        <f>HYPERLINK("https://klasma.github.io/Logging_1904/tillsyn/A 56823-2019 tillsynsbegäran.docx", "A 56823-2019")</f>
        <v/>
      </c>
      <c r="Y155">
        <f>HYPERLINK("https://klasma.github.io/Logging_1904/tillsynsmail/A 56823-2019 tillsynsbegäran mail.docx", "A 56823-2019")</f>
        <v/>
      </c>
    </row>
    <row r="156" ht="15" customHeight="1">
      <c r="A156" t="inlineStr">
        <is>
          <t>A 59152-2019</t>
        </is>
      </c>
      <c r="B156" s="1" t="n">
        <v>43775</v>
      </c>
      <c r="C156" s="1" t="n">
        <v>45657</v>
      </c>
      <c r="D156" t="inlineStr">
        <is>
          <t>VÄSTMANLANDS LÄN</t>
        </is>
      </c>
      <c r="E156" t="inlineStr">
        <is>
          <t>SALA</t>
        </is>
      </c>
      <c r="F156" t="inlineStr">
        <is>
          <t>Övriga Aktiebolag</t>
        </is>
      </c>
      <c r="G156" t="n">
        <v>4.6</v>
      </c>
      <c r="H156" t="n">
        <v>0</v>
      </c>
      <c r="I156" t="n">
        <v>1</v>
      </c>
      <c r="J156" t="n">
        <v>1</v>
      </c>
      <c r="K156" t="n">
        <v>0</v>
      </c>
      <c r="L156" t="n">
        <v>0</v>
      </c>
      <c r="M156" t="n">
        <v>0</v>
      </c>
      <c r="N156" t="n">
        <v>0</v>
      </c>
      <c r="O156" t="n">
        <v>1</v>
      </c>
      <c r="P156" t="n">
        <v>0</v>
      </c>
      <c r="Q156" t="n">
        <v>2</v>
      </c>
      <c r="R156" s="2" t="inlineStr">
        <is>
          <t>Svart taggsvamp
Vedticka</t>
        </is>
      </c>
      <c r="S156">
        <f>HYPERLINK("https://klasma.github.io/Logging_1981/artfynd/A 59152-2019 artfynd.xlsx", "A 59152-2019")</f>
        <v/>
      </c>
      <c r="T156">
        <f>HYPERLINK("https://klasma.github.io/Logging_1981/kartor/A 59152-2019 karta.png", "A 59152-2019")</f>
        <v/>
      </c>
      <c r="V156">
        <f>HYPERLINK("https://klasma.github.io/Logging_1981/klagomål/A 59152-2019 FSC-klagomål.docx", "A 59152-2019")</f>
        <v/>
      </c>
      <c r="W156">
        <f>HYPERLINK("https://klasma.github.io/Logging_1981/klagomålsmail/A 59152-2019 FSC-klagomål mail.docx", "A 59152-2019")</f>
        <v/>
      </c>
      <c r="X156">
        <f>HYPERLINK("https://klasma.github.io/Logging_1981/tillsyn/A 59152-2019 tillsynsbegäran.docx", "A 59152-2019")</f>
        <v/>
      </c>
      <c r="Y156">
        <f>HYPERLINK("https://klasma.github.io/Logging_1981/tillsynsmail/A 59152-2019 tillsynsbegäran mail.docx", "A 59152-2019")</f>
        <v/>
      </c>
    </row>
    <row r="157" ht="15" customHeight="1">
      <c r="A157" t="inlineStr">
        <is>
          <t>A 62671-2019</t>
        </is>
      </c>
      <c r="B157" s="1" t="n">
        <v>43789</v>
      </c>
      <c r="C157" s="1" t="n">
        <v>45657</v>
      </c>
      <c r="D157" t="inlineStr">
        <is>
          <t>VÄSTMANLANDS LÄN</t>
        </is>
      </c>
      <c r="E157" t="inlineStr">
        <is>
          <t>VÄSTERÅS</t>
        </is>
      </c>
      <c r="G157" t="n">
        <v>3.4</v>
      </c>
      <c r="H157" t="n">
        <v>0</v>
      </c>
      <c r="I157" t="n">
        <v>0</v>
      </c>
      <c r="J157" t="n">
        <v>0</v>
      </c>
      <c r="K157" t="n">
        <v>0</v>
      </c>
      <c r="L157" t="n">
        <v>1</v>
      </c>
      <c r="M157" t="n">
        <v>1</v>
      </c>
      <c r="N157" t="n">
        <v>0</v>
      </c>
      <c r="O157" t="n">
        <v>2</v>
      </c>
      <c r="P157" t="n">
        <v>2</v>
      </c>
      <c r="Q157" t="n">
        <v>2</v>
      </c>
      <c r="R157" s="2" t="inlineStr">
        <is>
          <t>Skogsalm
Ask</t>
        </is>
      </c>
      <c r="S157">
        <f>HYPERLINK("https://klasma.github.io/Logging_1980/artfynd/A 62671-2019 artfynd.xlsx", "A 62671-2019")</f>
        <v/>
      </c>
      <c r="T157">
        <f>HYPERLINK("https://klasma.github.io/Logging_1980/kartor/A 62671-2019 karta.png", "A 62671-2019")</f>
        <v/>
      </c>
      <c r="V157">
        <f>HYPERLINK("https://klasma.github.io/Logging_1980/klagomål/A 62671-2019 FSC-klagomål.docx", "A 62671-2019")</f>
        <v/>
      </c>
      <c r="W157">
        <f>HYPERLINK("https://klasma.github.io/Logging_1980/klagomålsmail/A 62671-2019 FSC-klagomål mail.docx", "A 62671-2019")</f>
        <v/>
      </c>
      <c r="X157">
        <f>HYPERLINK("https://klasma.github.io/Logging_1980/tillsyn/A 62671-2019 tillsynsbegäran.docx", "A 62671-2019")</f>
        <v/>
      </c>
      <c r="Y157">
        <f>HYPERLINK("https://klasma.github.io/Logging_1980/tillsynsmail/A 62671-2019 tillsynsbegäran mail.docx", "A 62671-2019")</f>
        <v/>
      </c>
    </row>
    <row r="158" ht="15" customHeight="1">
      <c r="A158" t="inlineStr">
        <is>
          <t>A 66086-2019</t>
        </is>
      </c>
      <c r="B158" s="1" t="n">
        <v>43807</v>
      </c>
      <c r="C158" s="1" t="n">
        <v>45657</v>
      </c>
      <c r="D158" t="inlineStr">
        <is>
          <t>VÄSTMANLANDS LÄN</t>
        </is>
      </c>
      <c r="E158" t="inlineStr">
        <is>
          <t>NORBERG</t>
        </is>
      </c>
      <c r="G158" t="n">
        <v>16</v>
      </c>
      <c r="H158" t="n">
        <v>1</v>
      </c>
      <c r="I158" t="n">
        <v>1</v>
      </c>
      <c r="J158" t="n">
        <v>0</v>
      </c>
      <c r="K158" t="n">
        <v>1</v>
      </c>
      <c r="L158" t="n">
        <v>0</v>
      </c>
      <c r="M158" t="n">
        <v>0</v>
      </c>
      <c r="N158" t="n">
        <v>0</v>
      </c>
      <c r="O158" t="n">
        <v>1</v>
      </c>
      <c r="P158" t="n">
        <v>1</v>
      </c>
      <c r="Q158" t="n">
        <v>2</v>
      </c>
      <c r="R158" s="2" t="inlineStr">
        <is>
          <t>Knärot
Kambräken</t>
        </is>
      </c>
      <c r="S158">
        <f>HYPERLINK("https://klasma.github.io/Logging_1962/artfynd/A 66086-2019 artfynd.xlsx", "A 66086-2019")</f>
        <v/>
      </c>
      <c r="T158">
        <f>HYPERLINK("https://klasma.github.io/Logging_1962/kartor/A 66086-2019 karta.png", "A 66086-2019")</f>
        <v/>
      </c>
      <c r="U158">
        <f>HYPERLINK("https://klasma.github.io/Logging_1962/knärot/A 66086-2019 karta knärot.png", "A 66086-2019")</f>
        <v/>
      </c>
      <c r="V158">
        <f>HYPERLINK("https://klasma.github.io/Logging_1962/klagomål/A 66086-2019 FSC-klagomål.docx", "A 66086-2019")</f>
        <v/>
      </c>
      <c r="W158">
        <f>HYPERLINK("https://klasma.github.io/Logging_1962/klagomålsmail/A 66086-2019 FSC-klagomål mail.docx", "A 66086-2019")</f>
        <v/>
      </c>
      <c r="X158">
        <f>HYPERLINK("https://klasma.github.io/Logging_1962/tillsyn/A 66086-2019 tillsynsbegäran.docx", "A 66086-2019")</f>
        <v/>
      </c>
      <c r="Y158">
        <f>HYPERLINK("https://klasma.github.io/Logging_1962/tillsynsmail/A 66086-2019 tillsynsbegäran mail.docx", "A 66086-2019")</f>
        <v/>
      </c>
    </row>
    <row r="159" ht="15" customHeight="1">
      <c r="A159" t="inlineStr">
        <is>
          <t>A 67854-2019</t>
        </is>
      </c>
      <c r="B159" s="1" t="n">
        <v>43816</v>
      </c>
      <c r="C159" s="1" t="n">
        <v>45657</v>
      </c>
      <c r="D159" t="inlineStr">
        <is>
          <t>VÄSTMANLANDS LÄN</t>
        </is>
      </c>
      <c r="E159" t="inlineStr">
        <is>
          <t>ARBOGA</t>
        </is>
      </c>
      <c r="G159" t="n">
        <v>10.9</v>
      </c>
      <c r="H159" t="n">
        <v>1</v>
      </c>
      <c r="I159" t="n">
        <v>1</v>
      </c>
      <c r="J159" t="n">
        <v>0</v>
      </c>
      <c r="K159" t="n">
        <v>0</v>
      </c>
      <c r="L159" t="n">
        <v>0</v>
      </c>
      <c r="M159" t="n">
        <v>0</v>
      </c>
      <c r="N159" t="n">
        <v>0</v>
      </c>
      <c r="O159" t="n">
        <v>0</v>
      </c>
      <c r="P159" t="n">
        <v>0</v>
      </c>
      <c r="Q159" t="n">
        <v>2</v>
      </c>
      <c r="R159" s="2" t="inlineStr">
        <is>
          <t>Hässleklocka
Bred kärrtrollslända</t>
        </is>
      </c>
      <c r="S159">
        <f>HYPERLINK("https://klasma.github.io/Logging_1984/artfynd/A 67854-2019 artfynd.xlsx", "A 67854-2019")</f>
        <v/>
      </c>
      <c r="T159">
        <f>HYPERLINK("https://klasma.github.io/Logging_1984/kartor/A 67854-2019 karta.png", "A 67854-2019")</f>
        <v/>
      </c>
      <c r="V159">
        <f>HYPERLINK("https://klasma.github.io/Logging_1984/klagomål/A 67854-2019 FSC-klagomål.docx", "A 67854-2019")</f>
        <v/>
      </c>
      <c r="W159">
        <f>HYPERLINK("https://klasma.github.io/Logging_1984/klagomålsmail/A 67854-2019 FSC-klagomål mail.docx", "A 67854-2019")</f>
        <v/>
      </c>
      <c r="X159">
        <f>HYPERLINK("https://klasma.github.io/Logging_1984/tillsyn/A 67854-2019 tillsynsbegäran.docx", "A 67854-2019")</f>
        <v/>
      </c>
      <c r="Y159">
        <f>HYPERLINK("https://klasma.github.io/Logging_1984/tillsynsmail/A 67854-2019 tillsynsbegäran mail.docx", "A 67854-2019")</f>
        <v/>
      </c>
    </row>
    <row r="160" ht="15" customHeight="1">
      <c r="A160" t="inlineStr">
        <is>
          <t>A 32731-2020</t>
        </is>
      </c>
      <c r="B160" s="1" t="n">
        <v>44019</v>
      </c>
      <c r="C160" s="1" t="n">
        <v>45657</v>
      </c>
      <c r="D160" t="inlineStr">
        <is>
          <t>VÄSTMANLANDS LÄN</t>
        </is>
      </c>
      <c r="E160" t="inlineStr">
        <is>
          <t>VÄSTERÅS</t>
        </is>
      </c>
      <c r="G160" t="n">
        <v>77.8</v>
      </c>
      <c r="H160" t="n">
        <v>2</v>
      </c>
      <c r="I160" t="n">
        <v>0</v>
      </c>
      <c r="J160" t="n">
        <v>2</v>
      </c>
      <c r="K160" t="n">
        <v>0</v>
      </c>
      <c r="L160" t="n">
        <v>0</v>
      </c>
      <c r="M160" t="n">
        <v>0</v>
      </c>
      <c r="N160" t="n">
        <v>0</v>
      </c>
      <c r="O160" t="n">
        <v>2</v>
      </c>
      <c r="P160" t="n">
        <v>0</v>
      </c>
      <c r="Q160" t="n">
        <v>2</v>
      </c>
      <c r="R160" s="2" t="inlineStr">
        <is>
          <t>Spillkråka
Svartvit flugsnappare</t>
        </is>
      </c>
      <c r="S160">
        <f>HYPERLINK("https://klasma.github.io/Logging_1980/artfynd/A 32731-2020 artfynd.xlsx", "A 32731-2020")</f>
        <v/>
      </c>
      <c r="T160">
        <f>HYPERLINK("https://klasma.github.io/Logging_1980/kartor/A 32731-2020 karta.png", "A 32731-2020")</f>
        <v/>
      </c>
      <c r="V160">
        <f>HYPERLINK("https://klasma.github.io/Logging_1980/klagomål/A 32731-2020 FSC-klagomål.docx", "A 32731-2020")</f>
        <v/>
      </c>
      <c r="W160">
        <f>HYPERLINK("https://klasma.github.io/Logging_1980/klagomålsmail/A 32731-2020 FSC-klagomål mail.docx", "A 32731-2020")</f>
        <v/>
      </c>
      <c r="X160">
        <f>HYPERLINK("https://klasma.github.io/Logging_1980/tillsyn/A 32731-2020 tillsynsbegäran.docx", "A 32731-2020")</f>
        <v/>
      </c>
      <c r="Y160">
        <f>HYPERLINK("https://klasma.github.io/Logging_1980/tillsynsmail/A 32731-2020 tillsynsbegäran mail.docx", "A 32731-2020")</f>
        <v/>
      </c>
      <c r="Z160">
        <f>HYPERLINK("https://klasma.github.io/Logging_1980/fåglar/A 32731-2020 prioriterade fågelarter.docx", "A 32731-2020")</f>
        <v/>
      </c>
    </row>
    <row r="161" ht="15" customHeight="1">
      <c r="A161" t="inlineStr">
        <is>
          <t>A 32975-2020</t>
        </is>
      </c>
      <c r="B161" s="1" t="n">
        <v>44020</v>
      </c>
      <c r="C161" s="1" t="n">
        <v>45657</v>
      </c>
      <c r="D161" t="inlineStr">
        <is>
          <t>VÄSTMANLANDS LÄN</t>
        </is>
      </c>
      <c r="E161" t="inlineStr">
        <is>
          <t>SALA</t>
        </is>
      </c>
      <c r="G161" t="n">
        <v>10.1</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32975-2020 artfynd.xlsx", "A 32975-2020")</f>
        <v/>
      </c>
      <c r="T161">
        <f>HYPERLINK("https://klasma.github.io/Logging_1981/kartor/A 32975-2020 karta.png", "A 32975-2020")</f>
        <v/>
      </c>
      <c r="U161">
        <f>HYPERLINK("https://klasma.github.io/Logging_1981/knärot/A 32975-2020 karta knärot.png", "A 32975-2020")</f>
        <v/>
      </c>
      <c r="V161">
        <f>HYPERLINK("https://klasma.github.io/Logging_1981/klagomål/A 32975-2020 FSC-klagomål.docx", "A 32975-2020")</f>
        <v/>
      </c>
      <c r="W161">
        <f>HYPERLINK("https://klasma.github.io/Logging_1981/klagomålsmail/A 32975-2020 FSC-klagomål mail.docx", "A 32975-2020")</f>
        <v/>
      </c>
      <c r="X161">
        <f>HYPERLINK("https://klasma.github.io/Logging_1981/tillsyn/A 32975-2020 tillsynsbegäran.docx", "A 32975-2020")</f>
        <v/>
      </c>
      <c r="Y161">
        <f>HYPERLINK("https://klasma.github.io/Logging_1981/tillsynsmail/A 32975-2020 tillsynsbegäran mail.docx", "A 32975-2020")</f>
        <v/>
      </c>
    </row>
    <row r="162" ht="15" customHeight="1">
      <c r="A162" t="inlineStr">
        <is>
          <t>A 38302-2020</t>
        </is>
      </c>
      <c r="B162" s="1" t="n">
        <v>44060</v>
      </c>
      <c r="C162" s="1" t="n">
        <v>45657</v>
      </c>
      <c r="D162" t="inlineStr">
        <is>
          <t>VÄSTMANLANDS LÄN</t>
        </is>
      </c>
      <c r="E162" t="inlineStr">
        <is>
          <t>VÄSTERÅS</t>
        </is>
      </c>
      <c r="F162" t="inlineStr">
        <is>
          <t>Kommuner</t>
        </is>
      </c>
      <c r="G162" t="n">
        <v>4.4</v>
      </c>
      <c r="H162" t="n">
        <v>1</v>
      </c>
      <c r="I162" t="n">
        <v>1</v>
      </c>
      <c r="J162" t="n">
        <v>0</v>
      </c>
      <c r="K162" t="n">
        <v>0</v>
      </c>
      <c r="L162" t="n">
        <v>0</v>
      </c>
      <c r="M162" t="n">
        <v>0</v>
      </c>
      <c r="N162" t="n">
        <v>0</v>
      </c>
      <c r="O162" t="n">
        <v>0</v>
      </c>
      <c r="P162" t="n">
        <v>0</v>
      </c>
      <c r="Q162" t="n">
        <v>2</v>
      </c>
      <c r="R162" s="2" t="inlineStr">
        <is>
          <t>Grönpyrola
Mattlummer</t>
        </is>
      </c>
      <c r="S162">
        <f>HYPERLINK("https://klasma.github.io/Logging_1980/artfynd/A 38302-2020 artfynd.xlsx", "A 38302-2020")</f>
        <v/>
      </c>
      <c r="T162">
        <f>HYPERLINK("https://klasma.github.io/Logging_1980/kartor/A 38302-2020 karta.png", "A 38302-2020")</f>
        <v/>
      </c>
      <c r="V162">
        <f>HYPERLINK("https://klasma.github.io/Logging_1980/klagomål/A 38302-2020 FSC-klagomål.docx", "A 38302-2020")</f>
        <v/>
      </c>
      <c r="W162">
        <f>HYPERLINK("https://klasma.github.io/Logging_1980/klagomålsmail/A 38302-2020 FSC-klagomål mail.docx", "A 38302-2020")</f>
        <v/>
      </c>
      <c r="X162">
        <f>HYPERLINK("https://klasma.github.io/Logging_1980/tillsyn/A 38302-2020 tillsynsbegäran.docx", "A 38302-2020")</f>
        <v/>
      </c>
      <c r="Y162">
        <f>HYPERLINK("https://klasma.github.io/Logging_1980/tillsynsmail/A 38302-2020 tillsynsbegäran mail.docx", "A 38302-2020")</f>
        <v/>
      </c>
    </row>
    <row r="163" ht="15" customHeight="1">
      <c r="A163" t="inlineStr">
        <is>
          <t>A 43169-2020</t>
        </is>
      </c>
      <c r="B163" s="1" t="n">
        <v>44081</v>
      </c>
      <c r="C163" s="1" t="n">
        <v>45657</v>
      </c>
      <c r="D163" t="inlineStr">
        <is>
          <t>VÄSTMANLANDS LÄN</t>
        </is>
      </c>
      <c r="E163" t="inlineStr">
        <is>
          <t>SURAHAMMAR</t>
        </is>
      </c>
      <c r="F163" t="inlineStr">
        <is>
          <t>Sveaskog</t>
        </is>
      </c>
      <c r="G163" t="n">
        <v>6.4</v>
      </c>
      <c r="H163" t="n">
        <v>0</v>
      </c>
      <c r="I163" t="n">
        <v>0</v>
      </c>
      <c r="J163" t="n">
        <v>1</v>
      </c>
      <c r="K163" t="n">
        <v>1</v>
      </c>
      <c r="L163" t="n">
        <v>0</v>
      </c>
      <c r="M163" t="n">
        <v>0</v>
      </c>
      <c r="N163" t="n">
        <v>0</v>
      </c>
      <c r="O163" t="n">
        <v>2</v>
      </c>
      <c r="P163" t="n">
        <v>1</v>
      </c>
      <c r="Q163" t="n">
        <v>2</v>
      </c>
      <c r="R163" s="2" t="inlineStr">
        <is>
          <t>Hängticka
Kandelabersvamp</t>
        </is>
      </c>
      <c r="S163">
        <f>HYPERLINK("https://klasma.github.io/Logging_1907/artfynd/A 43169-2020 artfynd.xlsx", "A 43169-2020")</f>
        <v/>
      </c>
      <c r="T163">
        <f>HYPERLINK("https://klasma.github.io/Logging_1907/kartor/A 43169-2020 karta.png", "A 43169-2020")</f>
        <v/>
      </c>
      <c r="V163">
        <f>HYPERLINK("https://klasma.github.io/Logging_1907/klagomål/A 43169-2020 FSC-klagomål.docx", "A 43169-2020")</f>
        <v/>
      </c>
      <c r="W163">
        <f>HYPERLINK("https://klasma.github.io/Logging_1907/klagomålsmail/A 43169-2020 FSC-klagomål mail.docx", "A 43169-2020")</f>
        <v/>
      </c>
      <c r="X163">
        <f>HYPERLINK("https://klasma.github.io/Logging_1907/tillsyn/A 43169-2020 tillsynsbegäran.docx", "A 43169-2020")</f>
        <v/>
      </c>
      <c r="Y163">
        <f>HYPERLINK("https://klasma.github.io/Logging_1907/tillsynsmail/A 43169-2020 tillsynsbegäran mail.docx", "A 43169-2020")</f>
        <v/>
      </c>
    </row>
    <row r="164" ht="15" customHeight="1">
      <c r="A164" t="inlineStr">
        <is>
          <t>A 50960-2020</t>
        </is>
      </c>
      <c r="B164" s="1" t="n">
        <v>44111</v>
      </c>
      <c r="C164" s="1" t="n">
        <v>45657</v>
      </c>
      <c r="D164" t="inlineStr">
        <is>
          <t>VÄSTMANLANDS LÄN</t>
        </is>
      </c>
      <c r="E164" t="inlineStr">
        <is>
          <t>SKINNSKATTEBERG</t>
        </is>
      </c>
      <c r="F164" t="inlineStr">
        <is>
          <t>Sveaskog</t>
        </is>
      </c>
      <c r="G164" t="n">
        <v>1.8</v>
      </c>
      <c r="H164" t="n">
        <v>0</v>
      </c>
      <c r="I164" t="n">
        <v>1</v>
      </c>
      <c r="J164" t="n">
        <v>1</v>
      </c>
      <c r="K164" t="n">
        <v>0</v>
      </c>
      <c r="L164" t="n">
        <v>0</v>
      </c>
      <c r="M164" t="n">
        <v>0</v>
      </c>
      <c r="N164" t="n">
        <v>0</v>
      </c>
      <c r="O164" t="n">
        <v>1</v>
      </c>
      <c r="P164" t="n">
        <v>0</v>
      </c>
      <c r="Q164" t="n">
        <v>2</v>
      </c>
      <c r="R164" s="2" t="inlineStr">
        <is>
          <t>Motaggsvamp
Dropptaggsvamp</t>
        </is>
      </c>
      <c r="S164">
        <f>HYPERLINK("https://klasma.github.io/Logging_1904/artfynd/A 50960-2020 artfynd.xlsx", "A 50960-2020")</f>
        <v/>
      </c>
      <c r="T164">
        <f>HYPERLINK("https://klasma.github.io/Logging_1904/kartor/A 50960-2020 karta.png", "A 50960-2020")</f>
        <v/>
      </c>
      <c r="V164">
        <f>HYPERLINK("https://klasma.github.io/Logging_1904/klagomål/A 50960-2020 FSC-klagomål.docx", "A 50960-2020")</f>
        <v/>
      </c>
      <c r="W164">
        <f>HYPERLINK("https://klasma.github.io/Logging_1904/klagomålsmail/A 50960-2020 FSC-klagomål mail.docx", "A 50960-2020")</f>
        <v/>
      </c>
      <c r="X164">
        <f>HYPERLINK("https://klasma.github.io/Logging_1904/tillsyn/A 50960-2020 tillsynsbegäran.docx", "A 50960-2020")</f>
        <v/>
      </c>
      <c r="Y164">
        <f>HYPERLINK("https://klasma.github.io/Logging_1904/tillsynsmail/A 50960-2020 tillsynsbegäran mail.docx", "A 50960-2020")</f>
        <v/>
      </c>
    </row>
    <row r="165" ht="15" customHeight="1">
      <c r="A165" t="inlineStr">
        <is>
          <t>A 54277-2020</t>
        </is>
      </c>
      <c r="B165" s="1" t="n">
        <v>44126</v>
      </c>
      <c r="C165" s="1" t="n">
        <v>45657</v>
      </c>
      <c r="D165" t="inlineStr">
        <is>
          <t>VÄSTMANLANDS LÄN</t>
        </is>
      </c>
      <c r="E165" t="inlineStr">
        <is>
          <t>KÖPING</t>
        </is>
      </c>
      <c r="G165" t="n">
        <v>1.1</v>
      </c>
      <c r="H165" t="n">
        <v>0</v>
      </c>
      <c r="I165" t="n">
        <v>1</v>
      </c>
      <c r="J165" t="n">
        <v>1</v>
      </c>
      <c r="K165" t="n">
        <v>0</v>
      </c>
      <c r="L165" t="n">
        <v>0</v>
      </c>
      <c r="M165" t="n">
        <v>0</v>
      </c>
      <c r="N165" t="n">
        <v>0</v>
      </c>
      <c r="O165" t="n">
        <v>1</v>
      </c>
      <c r="P165" t="n">
        <v>0</v>
      </c>
      <c r="Q165" t="n">
        <v>2</v>
      </c>
      <c r="R165" s="2" t="inlineStr">
        <is>
          <t>Tallticka
Granbarkgnagare</t>
        </is>
      </c>
      <c r="S165">
        <f>HYPERLINK("https://klasma.github.io/Logging_1983/artfynd/A 54277-2020 artfynd.xlsx", "A 54277-2020")</f>
        <v/>
      </c>
      <c r="T165">
        <f>HYPERLINK("https://klasma.github.io/Logging_1983/kartor/A 54277-2020 karta.png", "A 54277-2020")</f>
        <v/>
      </c>
      <c r="V165">
        <f>HYPERLINK("https://klasma.github.io/Logging_1983/klagomål/A 54277-2020 FSC-klagomål.docx", "A 54277-2020")</f>
        <v/>
      </c>
      <c r="W165">
        <f>HYPERLINK("https://klasma.github.io/Logging_1983/klagomålsmail/A 54277-2020 FSC-klagomål mail.docx", "A 54277-2020")</f>
        <v/>
      </c>
      <c r="X165">
        <f>HYPERLINK("https://klasma.github.io/Logging_1983/tillsyn/A 54277-2020 tillsynsbegäran.docx", "A 54277-2020")</f>
        <v/>
      </c>
      <c r="Y165">
        <f>HYPERLINK("https://klasma.github.io/Logging_1983/tillsynsmail/A 54277-2020 tillsynsbegäran mail.docx", "A 54277-2020")</f>
        <v/>
      </c>
    </row>
    <row r="166" ht="15" customHeight="1">
      <c r="A166" t="inlineStr">
        <is>
          <t>A 57412-2020</t>
        </is>
      </c>
      <c r="B166" s="1" t="n">
        <v>44138</v>
      </c>
      <c r="C166" s="1" t="n">
        <v>45657</v>
      </c>
      <c r="D166" t="inlineStr">
        <is>
          <t>VÄSTMANLANDS LÄN</t>
        </is>
      </c>
      <c r="E166" t="inlineStr">
        <is>
          <t>SURAHAMMAR</t>
        </is>
      </c>
      <c r="G166" t="n">
        <v>2.9</v>
      </c>
      <c r="H166" t="n">
        <v>2</v>
      </c>
      <c r="I166" t="n">
        <v>0</v>
      </c>
      <c r="J166" t="n">
        <v>2</v>
      </c>
      <c r="K166" t="n">
        <v>0</v>
      </c>
      <c r="L166" t="n">
        <v>0</v>
      </c>
      <c r="M166" t="n">
        <v>0</v>
      </c>
      <c r="N166" t="n">
        <v>0</v>
      </c>
      <c r="O166" t="n">
        <v>2</v>
      </c>
      <c r="P166" t="n">
        <v>0</v>
      </c>
      <c r="Q166" t="n">
        <v>2</v>
      </c>
      <c r="R166" s="2" t="inlineStr">
        <is>
          <t>Duvhök
Gulsparv</t>
        </is>
      </c>
      <c r="S166">
        <f>HYPERLINK("https://klasma.github.io/Logging_1907/artfynd/A 57412-2020 artfynd.xlsx", "A 57412-2020")</f>
        <v/>
      </c>
      <c r="T166">
        <f>HYPERLINK("https://klasma.github.io/Logging_1907/kartor/A 57412-2020 karta.png", "A 57412-2020")</f>
        <v/>
      </c>
      <c r="V166">
        <f>HYPERLINK("https://klasma.github.io/Logging_1907/klagomål/A 57412-2020 FSC-klagomål.docx", "A 57412-2020")</f>
        <v/>
      </c>
      <c r="W166">
        <f>HYPERLINK("https://klasma.github.io/Logging_1907/klagomålsmail/A 57412-2020 FSC-klagomål mail.docx", "A 57412-2020")</f>
        <v/>
      </c>
      <c r="X166">
        <f>HYPERLINK("https://klasma.github.io/Logging_1907/tillsyn/A 57412-2020 tillsynsbegäran.docx", "A 57412-2020")</f>
        <v/>
      </c>
      <c r="Y166">
        <f>HYPERLINK("https://klasma.github.io/Logging_1907/tillsynsmail/A 57412-2020 tillsynsbegäran mail.docx", "A 57412-2020")</f>
        <v/>
      </c>
      <c r="Z166">
        <f>HYPERLINK("https://klasma.github.io/Logging_1907/fåglar/A 57412-2020 prioriterade fågelarter.docx", "A 57412-2020")</f>
        <v/>
      </c>
    </row>
    <row r="167" ht="15" customHeight="1">
      <c r="A167" t="inlineStr">
        <is>
          <t>A 2313-2021</t>
        </is>
      </c>
      <c r="B167" s="1" t="n">
        <v>44213</v>
      </c>
      <c r="C167" s="1" t="n">
        <v>45657</v>
      </c>
      <c r="D167" t="inlineStr">
        <is>
          <t>VÄSTMANLANDS LÄN</t>
        </is>
      </c>
      <c r="E167" t="inlineStr">
        <is>
          <t>NORBERG</t>
        </is>
      </c>
      <c r="F167" t="inlineStr">
        <is>
          <t>Sveaskog</t>
        </is>
      </c>
      <c r="G167" t="n">
        <v>3.3</v>
      </c>
      <c r="H167" t="n">
        <v>1</v>
      </c>
      <c r="I167" t="n">
        <v>1</v>
      </c>
      <c r="J167" t="n">
        <v>1</v>
      </c>
      <c r="K167" t="n">
        <v>0</v>
      </c>
      <c r="L167" t="n">
        <v>0</v>
      </c>
      <c r="M167" t="n">
        <v>0</v>
      </c>
      <c r="N167" t="n">
        <v>0</v>
      </c>
      <c r="O167" t="n">
        <v>1</v>
      </c>
      <c r="P167" t="n">
        <v>0</v>
      </c>
      <c r="Q167" t="n">
        <v>2</v>
      </c>
      <c r="R167" s="2" t="inlineStr">
        <is>
          <t>Sotnätfjäril
Tvåblad</t>
        </is>
      </c>
      <c r="S167">
        <f>HYPERLINK("https://klasma.github.io/Logging_1962/artfynd/A 2313-2021 artfynd.xlsx", "A 2313-2021")</f>
        <v/>
      </c>
      <c r="T167">
        <f>HYPERLINK("https://klasma.github.io/Logging_1962/kartor/A 2313-2021 karta.png", "A 2313-2021")</f>
        <v/>
      </c>
      <c r="V167">
        <f>HYPERLINK("https://klasma.github.io/Logging_1962/klagomål/A 2313-2021 FSC-klagomål.docx", "A 2313-2021")</f>
        <v/>
      </c>
      <c r="W167">
        <f>HYPERLINK("https://klasma.github.io/Logging_1962/klagomålsmail/A 2313-2021 FSC-klagomål mail.docx", "A 2313-2021")</f>
        <v/>
      </c>
      <c r="X167">
        <f>HYPERLINK("https://klasma.github.io/Logging_1962/tillsyn/A 2313-2021 tillsynsbegäran.docx", "A 2313-2021")</f>
        <v/>
      </c>
      <c r="Y167">
        <f>HYPERLINK("https://klasma.github.io/Logging_1962/tillsynsmail/A 2313-2021 tillsynsbegäran mail.docx", "A 2313-2021")</f>
        <v/>
      </c>
    </row>
    <row r="168" ht="15" customHeight="1">
      <c r="A168" t="inlineStr">
        <is>
          <t>A 18717-2021</t>
        </is>
      </c>
      <c r="B168" s="1" t="n">
        <v>44306</v>
      </c>
      <c r="C168" s="1" t="n">
        <v>45657</v>
      </c>
      <c r="D168" t="inlineStr">
        <is>
          <t>VÄSTMANLANDS LÄN</t>
        </is>
      </c>
      <c r="E168" t="inlineStr">
        <is>
          <t>SURAHAMMAR</t>
        </is>
      </c>
      <c r="F168" t="inlineStr">
        <is>
          <t>Bergvik skog väst AB</t>
        </is>
      </c>
      <c r="G168" t="n">
        <v>18</v>
      </c>
      <c r="H168" t="n">
        <v>2</v>
      </c>
      <c r="I168" t="n">
        <v>0</v>
      </c>
      <c r="J168" t="n">
        <v>0</v>
      </c>
      <c r="K168" t="n">
        <v>0</v>
      </c>
      <c r="L168" t="n">
        <v>0</v>
      </c>
      <c r="M168" t="n">
        <v>0</v>
      </c>
      <c r="N168" t="n">
        <v>0</v>
      </c>
      <c r="O168" t="n">
        <v>0</v>
      </c>
      <c r="P168" t="n">
        <v>0</v>
      </c>
      <c r="Q168" t="n">
        <v>2</v>
      </c>
      <c r="R168" s="2" t="inlineStr">
        <is>
          <t>Lopplummer
Revlummer</t>
        </is>
      </c>
      <c r="S168">
        <f>HYPERLINK("https://klasma.github.io/Logging_1907/artfynd/A 18717-2021 artfynd.xlsx", "A 18717-2021")</f>
        <v/>
      </c>
      <c r="T168">
        <f>HYPERLINK("https://klasma.github.io/Logging_1907/kartor/A 18717-2021 karta.png", "A 18717-2021")</f>
        <v/>
      </c>
      <c r="V168">
        <f>HYPERLINK("https://klasma.github.io/Logging_1907/klagomål/A 18717-2021 FSC-klagomål.docx", "A 18717-2021")</f>
        <v/>
      </c>
      <c r="W168">
        <f>HYPERLINK("https://klasma.github.io/Logging_1907/klagomålsmail/A 18717-2021 FSC-klagomål mail.docx", "A 18717-2021")</f>
        <v/>
      </c>
      <c r="X168">
        <f>HYPERLINK("https://klasma.github.io/Logging_1907/tillsyn/A 18717-2021 tillsynsbegäran.docx", "A 18717-2021")</f>
        <v/>
      </c>
      <c r="Y168">
        <f>HYPERLINK("https://klasma.github.io/Logging_1907/tillsynsmail/A 18717-2021 tillsynsbegäran mail.docx", "A 18717-2021")</f>
        <v/>
      </c>
    </row>
    <row r="169" ht="15" customHeight="1">
      <c r="A169" t="inlineStr">
        <is>
          <t>A 21825-2021</t>
        </is>
      </c>
      <c r="B169" s="1" t="n">
        <v>44322</v>
      </c>
      <c r="C169" s="1" t="n">
        <v>45657</v>
      </c>
      <c r="D169" t="inlineStr">
        <is>
          <t>VÄSTMANLANDS LÄN</t>
        </is>
      </c>
      <c r="E169" t="inlineStr">
        <is>
          <t>SURAHAMMAR</t>
        </is>
      </c>
      <c r="G169" t="n">
        <v>4.7</v>
      </c>
      <c r="H169" t="n">
        <v>1</v>
      </c>
      <c r="I169" t="n">
        <v>0</v>
      </c>
      <c r="J169" t="n">
        <v>1</v>
      </c>
      <c r="K169" t="n">
        <v>0</v>
      </c>
      <c r="L169" t="n">
        <v>0</v>
      </c>
      <c r="M169" t="n">
        <v>0</v>
      </c>
      <c r="N169" t="n">
        <v>0</v>
      </c>
      <c r="O169" t="n">
        <v>1</v>
      </c>
      <c r="P169" t="n">
        <v>0</v>
      </c>
      <c r="Q169" t="n">
        <v>2</v>
      </c>
      <c r="R169" s="2" t="inlineStr">
        <is>
          <t>Svinrot
Blåsippa</t>
        </is>
      </c>
      <c r="S169">
        <f>HYPERLINK("https://klasma.github.io/Logging_1907/artfynd/A 21825-2021 artfynd.xlsx", "A 21825-2021")</f>
        <v/>
      </c>
      <c r="T169">
        <f>HYPERLINK("https://klasma.github.io/Logging_1907/kartor/A 21825-2021 karta.png", "A 21825-2021")</f>
        <v/>
      </c>
      <c r="V169">
        <f>HYPERLINK("https://klasma.github.io/Logging_1907/klagomål/A 21825-2021 FSC-klagomål.docx", "A 21825-2021")</f>
        <v/>
      </c>
      <c r="W169">
        <f>HYPERLINK("https://klasma.github.io/Logging_1907/klagomålsmail/A 21825-2021 FSC-klagomål mail.docx", "A 21825-2021")</f>
        <v/>
      </c>
      <c r="X169">
        <f>HYPERLINK("https://klasma.github.io/Logging_1907/tillsyn/A 21825-2021 tillsynsbegäran.docx", "A 21825-2021")</f>
        <v/>
      </c>
      <c r="Y169">
        <f>HYPERLINK("https://klasma.github.io/Logging_1907/tillsynsmail/A 21825-2021 tillsynsbegäran mail.docx", "A 21825-2021")</f>
        <v/>
      </c>
    </row>
    <row r="170" ht="15" customHeight="1">
      <c r="A170" t="inlineStr">
        <is>
          <t>A 24228-2021</t>
        </is>
      </c>
      <c r="B170" s="1" t="n">
        <v>44336</v>
      </c>
      <c r="C170" s="1" t="n">
        <v>45657</v>
      </c>
      <c r="D170" t="inlineStr">
        <is>
          <t>VÄSTMANLANDS LÄN</t>
        </is>
      </c>
      <c r="E170" t="inlineStr">
        <is>
          <t>VÄSTERÅS</t>
        </is>
      </c>
      <c r="F170" t="inlineStr">
        <is>
          <t>Sveaskog</t>
        </is>
      </c>
      <c r="G170" t="n">
        <v>6.7</v>
      </c>
      <c r="H170" t="n">
        <v>0</v>
      </c>
      <c r="I170" t="n">
        <v>1</v>
      </c>
      <c r="J170" t="n">
        <v>1</v>
      </c>
      <c r="K170" t="n">
        <v>0</v>
      </c>
      <c r="L170" t="n">
        <v>0</v>
      </c>
      <c r="M170" t="n">
        <v>0</v>
      </c>
      <c r="N170" t="n">
        <v>0</v>
      </c>
      <c r="O170" t="n">
        <v>1</v>
      </c>
      <c r="P170" t="n">
        <v>0</v>
      </c>
      <c r="Q170" t="n">
        <v>2</v>
      </c>
      <c r="R170" s="2" t="inlineStr">
        <is>
          <t>Ullticka
Gullgröppa</t>
        </is>
      </c>
      <c r="S170">
        <f>HYPERLINK("https://klasma.github.io/Logging_1980/artfynd/A 24228-2021 artfynd.xlsx", "A 24228-2021")</f>
        <v/>
      </c>
      <c r="T170">
        <f>HYPERLINK("https://klasma.github.io/Logging_1980/kartor/A 24228-2021 karta.png", "A 24228-2021")</f>
        <v/>
      </c>
      <c r="V170">
        <f>HYPERLINK("https://klasma.github.io/Logging_1980/klagomål/A 24228-2021 FSC-klagomål.docx", "A 24228-2021")</f>
        <v/>
      </c>
      <c r="W170">
        <f>HYPERLINK("https://klasma.github.io/Logging_1980/klagomålsmail/A 24228-2021 FSC-klagomål mail.docx", "A 24228-2021")</f>
        <v/>
      </c>
      <c r="X170">
        <f>HYPERLINK("https://klasma.github.io/Logging_1980/tillsyn/A 24228-2021 tillsynsbegäran.docx", "A 24228-2021")</f>
        <v/>
      </c>
      <c r="Y170">
        <f>HYPERLINK("https://klasma.github.io/Logging_1980/tillsynsmail/A 24228-2021 tillsynsbegäran mail.docx", "A 24228-2021")</f>
        <v/>
      </c>
    </row>
    <row r="171" ht="15" customHeight="1">
      <c r="A171" t="inlineStr">
        <is>
          <t>A 26898-2021</t>
        </is>
      </c>
      <c r="B171" s="1" t="n">
        <v>44349</v>
      </c>
      <c r="C171" s="1" t="n">
        <v>45657</v>
      </c>
      <c r="D171" t="inlineStr">
        <is>
          <t>VÄSTMANLANDS LÄN</t>
        </is>
      </c>
      <c r="E171" t="inlineStr">
        <is>
          <t>KÖPING</t>
        </is>
      </c>
      <c r="G171" t="n">
        <v>11.9</v>
      </c>
      <c r="H171" t="n">
        <v>0</v>
      </c>
      <c r="I171" t="n">
        <v>0</v>
      </c>
      <c r="J171" t="n">
        <v>1</v>
      </c>
      <c r="K171" t="n">
        <v>1</v>
      </c>
      <c r="L171" t="n">
        <v>0</v>
      </c>
      <c r="M171" t="n">
        <v>0</v>
      </c>
      <c r="N171" t="n">
        <v>0</v>
      </c>
      <c r="O171" t="n">
        <v>2</v>
      </c>
      <c r="P171" t="n">
        <v>1</v>
      </c>
      <c r="Q171" t="n">
        <v>2</v>
      </c>
      <c r="R171" s="2" t="inlineStr">
        <is>
          <t>Rynkskinn
Ullticka</t>
        </is>
      </c>
      <c r="S171">
        <f>HYPERLINK("https://klasma.github.io/Logging_1983/artfynd/A 26898-2021 artfynd.xlsx", "A 26898-2021")</f>
        <v/>
      </c>
      <c r="T171">
        <f>HYPERLINK("https://klasma.github.io/Logging_1983/kartor/A 26898-2021 karta.png", "A 26898-2021")</f>
        <v/>
      </c>
      <c r="V171">
        <f>HYPERLINK("https://klasma.github.io/Logging_1983/klagomål/A 26898-2021 FSC-klagomål.docx", "A 26898-2021")</f>
        <v/>
      </c>
      <c r="W171">
        <f>HYPERLINK("https://klasma.github.io/Logging_1983/klagomålsmail/A 26898-2021 FSC-klagomål mail.docx", "A 26898-2021")</f>
        <v/>
      </c>
      <c r="X171">
        <f>HYPERLINK("https://klasma.github.io/Logging_1983/tillsyn/A 26898-2021 tillsynsbegäran.docx", "A 26898-2021")</f>
        <v/>
      </c>
      <c r="Y171">
        <f>HYPERLINK("https://klasma.github.io/Logging_1983/tillsynsmail/A 26898-2021 tillsynsbegäran mail.docx", "A 26898-2021")</f>
        <v/>
      </c>
    </row>
    <row r="172" ht="15" customHeight="1">
      <c r="A172" t="inlineStr">
        <is>
          <t>A 37801-2021</t>
        </is>
      </c>
      <c r="B172" s="1" t="n">
        <v>44402</v>
      </c>
      <c r="C172" s="1" t="n">
        <v>45657</v>
      </c>
      <c r="D172" t="inlineStr">
        <is>
          <t>VÄSTMANLANDS LÄN</t>
        </is>
      </c>
      <c r="E172" t="inlineStr">
        <is>
          <t>SURAHAMMAR</t>
        </is>
      </c>
      <c r="F172" t="inlineStr">
        <is>
          <t>Kommuner</t>
        </is>
      </c>
      <c r="G172" t="n">
        <v>2.3</v>
      </c>
      <c r="H172" t="n">
        <v>1</v>
      </c>
      <c r="I172" t="n">
        <v>0</v>
      </c>
      <c r="J172" t="n">
        <v>1</v>
      </c>
      <c r="K172" t="n">
        <v>0</v>
      </c>
      <c r="L172" t="n">
        <v>0</v>
      </c>
      <c r="M172" t="n">
        <v>0</v>
      </c>
      <c r="N172" t="n">
        <v>0</v>
      </c>
      <c r="O172" t="n">
        <v>1</v>
      </c>
      <c r="P172" t="n">
        <v>0</v>
      </c>
      <c r="Q172" t="n">
        <v>2</v>
      </c>
      <c r="R172" s="2" t="inlineStr">
        <is>
          <t>Veckticka
Nattviol</t>
        </is>
      </c>
      <c r="S172">
        <f>HYPERLINK("https://klasma.github.io/Logging_1907/artfynd/A 37801-2021 artfynd.xlsx", "A 37801-2021")</f>
        <v/>
      </c>
      <c r="T172">
        <f>HYPERLINK("https://klasma.github.io/Logging_1907/kartor/A 37801-2021 karta.png", "A 37801-2021")</f>
        <v/>
      </c>
      <c r="V172">
        <f>HYPERLINK("https://klasma.github.io/Logging_1907/klagomål/A 37801-2021 FSC-klagomål.docx", "A 37801-2021")</f>
        <v/>
      </c>
      <c r="W172">
        <f>HYPERLINK("https://klasma.github.io/Logging_1907/klagomålsmail/A 37801-2021 FSC-klagomål mail.docx", "A 37801-2021")</f>
        <v/>
      </c>
      <c r="X172">
        <f>HYPERLINK("https://klasma.github.io/Logging_1907/tillsyn/A 37801-2021 tillsynsbegäran.docx", "A 37801-2021")</f>
        <v/>
      </c>
      <c r="Y172">
        <f>HYPERLINK("https://klasma.github.io/Logging_1907/tillsynsmail/A 37801-2021 tillsynsbegäran mail.docx", "A 37801-2021")</f>
        <v/>
      </c>
    </row>
    <row r="173" ht="15" customHeight="1">
      <c r="A173" t="inlineStr">
        <is>
          <t>A 37800-2021</t>
        </is>
      </c>
      <c r="B173" s="1" t="n">
        <v>44402</v>
      </c>
      <c r="C173" s="1" t="n">
        <v>45657</v>
      </c>
      <c r="D173" t="inlineStr">
        <is>
          <t>VÄSTMANLANDS LÄN</t>
        </is>
      </c>
      <c r="E173" t="inlineStr">
        <is>
          <t>SURAHAMMAR</t>
        </is>
      </c>
      <c r="F173" t="inlineStr">
        <is>
          <t>Kommuner</t>
        </is>
      </c>
      <c r="G173" t="n">
        <v>1.3</v>
      </c>
      <c r="H173" t="n">
        <v>1</v>
      </c>
      <c r="I173" t="n">
        <v>0</v>
      </c>
      <c r="J173" t="n">
        <v>1</v>
      </c>
      <c r="K173" t="n">
        <v>0</v>
      </c>
      <c r="L173" t="n">
        <v>0</v>
      </c>
      <c r="M173" t="n">
        <v>0</v>
      </c>
      <c r="N173" t="n">
        <v>0</v>
      </c>
      <c r="O173" t="n">
        <v>1</v>
      </c>
      <c r="P173" t="n">
        <v>0</v>
      </c>
      <c r="Q173" t="n">
        <v>2</v>
      </c>
      <c r="R173" s="2" t="inlineStr">
        <is>
          <t>Svinrot
Grönvit nattviol</t>
        </is>
      </c>
      <c r="S173">
        <f>HYPERLINK("https://klasma.github.io/Logging_1907/artfynd/A 37800-2021 artfynd.xlsx", "A 37800-2021")</f>
        <v/>
      </c>
      <c r="T173">
        <f>HYPERLINK("https://klasma.github.io/Logging_1907/kartor/A 37800-2021 karta.png", "A 37800-2021")</f>
        <v/>
      </c>
      <c r="V173">
        <f>HYPERLINK("https://klasma.github.io/Logging_1907/klagomål/A 37800-2021 FSC-klagomål.docx", "A 37800-2021")</f>
        <v/>
      </c>
      <c r="W173">
        <f>HYPERLINK("https://klasma.github.io/Logging_1907/klagomålsmail/A 37800-2021 FSC-klagomål mail.docx", "A 37800-2021")</f>
        <v/>
      </c>
      <c r="X173">
        <f>HYPERLINK("https://klasma.github.io/Logging_1907/tillsyn/A 37800-2021 tillsynsbegäran.docx", "A 37800-2021")</f>
        <v/>
      </c>
      <c r="Y173">
        <f>HYPERLINK("https://klasma.github.io/Logging_1907/tillsynsmail/A 37800-2021 tillsynsbegäran mail.docx", "A 37800-2021")</f>
        <v/>
      </c>
    </row>
    <row r="174" ht="15" customHeight="1">
      <c r="A174" t="inlineStr">
        <is>
          <t>A 54555-2021</t>
        </is>
      </c>
      <c r="B174" s="1" t="n">
        <v>44473</v>
      </c>
      <c r="C174" s="1" t="n">
        <v>45657</v>
      </c>
      <c r="D174" t="inlineStr">
        <is>
          <t>VÄSTMANLANDS LÄN</t>
        </is>
      </c>
      <c r="E174" t="inlineStr">
        <is>
          <t>SALA</t>
        </is>
      </c>
      <c r="G174" t="n">
        <v>13</v>
      </c>
      <c r="H174" t="n">
        <v>0</v>
      </c>
      <c r="I174" t="n">
        <v>1</v>
      </c>
      <c r="J174" t="n">
        <v>1</v>
      </c>
      <c r="K174" t="n">
        <v>0</v>
      </c>
      <c r="L174" t="n">
        <v>0</v>
      </c>
      <c r="M174" t="n">
        <v>0</v>
      </c>
      <c r="N174" t="n">
        <v>0</v>
      </c>
      <c r="O174" t="n">
        <v>1</v>
      </c>
      <c r="P174" t="n">
        <v>0</v>
      </c>
      <c r="Q174" t="n">
        <v>2</v>
      </c>
      <c r="R174" s="2" t="inlineStr">
        <is>
          <t>Storgröe
Stubbspretmossa</t>
        </is>
      </c>
      <c r="S174">
        <f>HYPERLINK("https://klasma.github.io/Logging_1981/artfynd/A 54555-2021 artfynd.xlsx", "A 54555-2021")</f>
        <v/>
      </c>
      <c r="T174">
        <f>HYPERLINK("https://klasma.github.io/Logging_1981/kartor/A 54555-2021 karta.png", "A 54555-2021")</f>
        <v/>
      </c>
      <c r="V174">
        <f>HYPERLINK("https://klasma.github.io/Logging_1981/klagomål/A 54555-2021 FSC-klagomål.docx", "A 54555-2021")</f>
        <v/>
      </c>
      <c r="W174">
        <f>HYPERLINK("https://klasma.github.io/Logging_1981/klagomålsmail/A 54555-2021 FSC-klagomål mail.docx", "A 54555-2021")</f>
        <v/>
      </c>
      <c r="X174">
        <f>HYPERLINK("https://klasma.github.io/Logging_1981/tillsyn/A 54555-2021 tillsynsbegäran.docx", "A 54555-2021")</f>
        <v/>
      </c>
      <c r="Y174">
        <f>HYPERLINK("https://klasma.github.io/Logging_1981/tillsynsmail/A 54555-2021 tillsynsbegäran mail.docx", "A 54555-2021")</f>
        <v/>
      </c>
    </row>
    <row r="175" ht="15" customHeight="1">
      <c r="A175" t="inlineStr">
        <is>
          <t>A 57168-2021</t>
        </is>
      </c>
      <c r="B175" s="1" t="n">
        <v>44482</v>
      </c>
      <c r="C175" s="1" t="n">
        <v>45657</v>
      </c>
      <c r="D175" t="inlineStr">
        <is>
          <t>VÄSTMANLANDS LÄN</t>
        </is>
      </c>
      <c r="E175" t="inlineStr">
        <is>
          <t>SURAHAMMAR</t>
        </is>
      </c>
      <c r="G175" t="n">
        <v>1.7</v>
      </c>
      <c r="H175" t="n">
        <v>0</v>
      </c>
      <c r="I175" t="n">
        <v>0</v>
      </c>
      <c r="J175" t="n">
        <v>1</v>
      </c>
      <c r="K175" t="n">
        <v>0</v>
      </c>
      <c r="L175" t="n">
        <v>1</v>
      </c>
      <c r="M175" t="n">
        <v>0</v>
      </c>
      <c r="N175" t="n">
        <v>0</v>
      </c>
      <c r="O175" t="n">
        <v>2</v>
      </c>
      <c r="P175" t="n">
        <v>1</v>
      </c>
      <c r="Q175" t="n">
        <v>2</v>
      </c>
      <c r="R175" s="2" t="inlineStr">
        <is>
          <t>Ask
Svartöra</t>
        </is>
      </c>
      <c r="S175">
        <f>HYPERLINK("https://klasma.github.io/Logging_1907/artfynd/A 57168-2021 artfynd.xlsx", "A 57168-2021")</f>
        <v/>
      </c>
      <c r="T175">
        <f>HYPERLINK("https://klasma.github.io/Logging_1907/kartor/A 57168-2021 karta.png", "A 57168-2021")</f>
        <v/>
      </c>
      <c r="V175">
        <f>HYPERLINK("https://klasma.github.io/Logging_1907/klagomål/A 57168-2021 FSC-klagomål.docx", "A 57168-2021")</f>
        <v/>
      </c>
      <c r="W175">
        <f>HYPERLINK("https://klasma.github.io/Logging_1907/klagomålsmail/A 57168-2021 FSC-klagomål mail.docx", "A 57168-2021")</f>
        <v/>
      </c>
      <c r="X175">
        <f>HYPERLINK("https://klasma.github.io/Logging_1907/tillsyn/A 57168-2021 tillsynsbegäran.docx", "A 57168-2021")</f>
        <v/>
      </c>
      <c r="Y175">
        <f>HYPERLINK("https://klasma.github.io/Logging_1907/tillsynsmail/A 57168-2021 tillsynsbegäran mail.docx", "A 57168-2021")</f>
        <v/>
      </c>
    </row>
    <row r="176" ht="15" customHeight="1">
      <c r="A176" t="inlineStr">
        <is>
          <t>A 65300-2021</t>
        </is>
      </c>
      <c r="B176" s="1" t="n">
        <v>44515</v>
      </c>
      <c r="C176" s="1" t="n">
        <v>45657</v>
      </c>
      <c r="D176" t="inlineStr">
        <is>
          <t>VÄSTMANLANDS LÄN</t>
        </is>
      </c>
      <c r="E176" t="inlineStr">
        <is>
          <t>SKINNSKATTEBERG</t>
        </is>
      </c>
      <c r="G176" t="n">
        <v>30.2</v>
      </c>
      <c r="H176" t="n">
        <v>1</v>
      </c>
      <c r="I176" t="n">
        <v>1</v>
      </c>
      <c r="J176" t="n">
        <v>0</v>
      </c>
      <c r="K176" t="n">
        <v>0</v>
      </c>
      <c r="L176" t="n">
        <v>0</v>
      </c>
      <c r="M176" t="n">
        <v>0</v>
      </c>
      <c r="N176" t="n">
        <v>0</v>
      </c>
      <c r="O176" t="n">
        <v>0</v>
      </c>
      <c r="P176" t="n">
        <v>0</v>
      </c>
      <c r="Q176" t="n">
        <v>2</v>
      </c>
      <c r="R176" s="2" t="inlineStr">
        <is>
          <t>Platt fjädermossa
Blåsippa</t>
        </is>
      </c>
      <c r="S176">
        <f>HYPERLINK("https://klasma.github.io/Logging_1904/artfynd/A 65300-2021 artfynd.xlsx", "A 65300-2021")</f>
        <v/>
      </c>
      <c r="T176">
        <f>HYPERLINK("https://klasma.github.io/Logging_1904/kartor/A 65300-2021 karta.png", "A 65300-2021")</f>
        <v/>
      </c>
      <c r="V176">
        <f>HYPERLINK("https://klasma.github.io/Logging_1904/klagomål/A 65300-2021 FSC-klagomål.docx", "A 65300-2021")</f>
        <v/>
      </c>
      <c r="W176">
        <f>HYPERLINK("https://klasma.github.io/Logging_1904/klagomålsmail/A 65300-2021 FSC-klagomål mail.docx", "A 65300-2021")</f>
        <v/>
      </c>
      <c r="X176">
        <f>HYPERLINK("https://klasma.github.io/Logging_1904/tillsyn/A 65300-2021 tillsynsbegäran.docx", "A 65300-2021")</f>
        <v/>
      </c>
      <c r="Y176">
        <f>HYPERLINK("https://klasma.github.io/Logging_1904/tillsynsmail/A 65300-2021 tillsynsbegäran mail.docx", "A 65300-2021")</f>
        <v/>
      </c>
    </row>
    <row r="177" ht="15" customHeight="1">
      <c r="A177" t="inlineStr">
        <is>
          <t>A 66343-2021</t>
        </is>
      </c>
      <c r="B177" s="1" t="n">
        <v>44518</v>
      </c>
      <c r="C177" s="1" t="n">
        <v>45657</v>
      </c>
      <c r="D177" t="inlineStr">
        <is>
          <t>VÄSTMANLANDS LÄN</t>
        </is>
      </c>
      <c r="E177" t="inlineStr">
        <is>
          <t>SURAHAMMAR</t>
        </is>
      </c>
      <c r="F177" t="inlineStr">
        <is>
          <t>Sveaskog</t>
        </is>
      </c>
      <c r="G177" t="n">
        <v>2.5</v>
      </c>
      <c r="H177" t="n">
        <v>0</v>
      </c>
      <c r="I177" t="n">
        <v>1</v>
      </c>
      <c r="J177" t="n">
        <v>0</v>
      </c>
      <c r="K177" t="n">
        <v>1</v>
      </c>
      <c r="L177" t="n">
        <v>0</v>
      </c>
      <c r="M177" t="n">
        <v>0</v>
      </c>
      <c r="N177" t="n">
        <v>0</v>
      </c>
      <c r="O177" t="n">
        <v>1</v>
      </c>
      <c r="P177" t="n">
        <v>1</v>
      </c>
      <c r="Q177" t="n">
        <v>2</v>
      </c>
      <c r="R177" s="2" t="inlineStr">
        <is>
          <t>Torrmusseron
Blåmossa</t>
        </is>
      </c>
      <c r="S177">
        <f>HYPERLINK("https://klasma.github.io/Logging_1907/artfynd/A 66343-2021 artfynd.xlsx", "A 66343-2021")</f>
        <v/>
      </c>
      <c r="T177">
        <f>HYPERLINK("https://klasma.github.io/Logging_1907/kartor/A 66343-2021 karta.png", "A 66343-2021")</f>
        <v/>
      </c>
      <c r="V177">
        <f>HYPERLINK("https://klasma.github.io/Logging_1907/klagomål/A 66343-2021 FSC-klagomål.docx", "A 66343-2021")</f>
        <v/>
      </c>
      <c r="W177">
        <f>HYPERLINK("https://klasma.github.io/Logging_1907/klagomålsmail/A 66343-2021 FSC-klagomål mail.docx", "A 66343-2021")</f>
        <v/>
      </c>
      <c r="X177">
        <f>HYPERLINK("https://klasma.github.io/Logging_1907/tillsyn/A 66343-2021 tillsynsbegäran.docx", "A 66343-2021")</f>
        <v/>
      </c>
      <c r="Y177">
        <f>HYPERLINK("https://klasma.github.io/Logging_1907/tillsynsmail/A 66343-2021 tillsynsbegäran mail.docx", "A 66343-2021")</f>
        <v/>
      </c>
    </row>
    <row r="178" ht="15" customHeight="1">
      <c r="A178" t="inlineStr">
        <is>
          <t>A 73598-2021</t>
        </is>
      </c>
      <c r="B178" s="1" t="n">
        <v>44552</v>
      </c>
      <c r="C178" s="1" t="n">
        <v>45657</v>
      </c>
      <c r="D178" t="inlineStr">
        <is>
          <t>VÄSTMANLANDS LÄN</t>
        </is>
      </c>
      <c r="E178" t="inlineStr">
        <is>
          <t>SALA</t>
        </is>
      </c>
      <c r="G178" t="n">
        <v>1.3</v>
      </c>
      <c r="H178" t="n">
        <v>1</v>
      </c>
      <c r="I178" t="n">
        <v>1</v>
      </c>
      <c r="J178" t="n">
        <v>0</v>
      </c>
      <c r="K178" t="n">
        <v>0</v>
      </c>
      <c r="L178" t="n">
        <v>0</v>
      </c>
      <c r="M178" t="n">
        <v>0</v>
      </c>
      <c r="N178" t="n">
        <v>0</v>
      </c>
      <c r="O178" t="n">
        <v>0</v>
      </c>
      <c r="P178" t="n">
        <v>0</v>
      </c>
      <c r="Q178" t="n">
        <v>2</v>
      </c>
      <c r="R178" s="2" t="inlineStr">
        <is>
          <t>Kryddspindling
Blåsippa</t>
        </is>
      </c>
      <c r="S178">
        <f>HYPERLINK("https://klasma.github.io/Logging_1981/artfynd/A 73598-2021 artfynd.xlsx", "A 73598-2021")</f>
        <v/>
      </c>
      <c r="T178">
        <f>HYPERLINK("https://klasma.github.io/Logging_1981/kartor/A 73598-2021 karta.png", "A 73598-2021")</f>
        <v/>
      </c>
      <c r="V178">
        <f>HYPERLINK("https://klasma.github.io/Logging_1981/klagomål/A 73598-2021 FSC-klagomål.docx", "A 73598-2021")</f>
        <v/>
      </c>
      <c r="W178">
        <f>HYPERLINK("https://klasma.github.io/Logging_1981/klagomålsmail/A 73598-2021 FSC-klagomål mail.docx", "A 73598-2021")</f>
        <v/>
      </c>
      <c r="X178">
        <f>HYPERLINK("https://klasma.github.io/Logging_1981/tillsyn/A 73598-2021 tillsynsbegäran.docx", "A 73598-2021")</f>
        <v/>
      </c>
      <c r="Y178">
        <f>HYPERLINK("https://klasma.github.io/Logging_1981/tillsynsmail/A 73598-2021 tillsynsbegäran mail.docx", "A 73598-2021")</f>
        <v/>
      </c>
    </row>
    <row r="179" ht="15" customHeight="1">
      <c r="A179" t="inlineStr">
        <is>
          <t>A 1500-2022</t>
        </is>
      </c>
      <c r="B179" s="1" t="n">
        <v>44573</v>
      </c>
      <c r="C179" s="1" t="n">
        <v>45657</v>
      </c>
      <c r="D179" t="inlineStr">
        <is>
          <t>VÄSTMANLANDS LÄN</t>
        </is>
      </c>
      <c r="E179" t="inlineStr">
        <is>
          <t>SALA</t>
        </is>
      </c>
      <c r="G179" t="n">
        <v>5.8</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1500-2022 artfynd.xlsx", "A 1500-2022")</f>
        <v/>
      </c>
      <c r="T179">
        <f>HYPERLINK("https://klasma.github.io/Logging_1981/kartor/A 1500-2022 karta.png", "A 1500-2022")</f>
        <v/>
      </c>
      <c r="U179">
        <f>HYPERLINK("https://klasma.github.io/Logging_1981/knärot/A 1500-2022 karta knärot.png", "A 1500-2022")</f>
        <v/>
      </c>
      <c r="V179">
        <f>HYPERLINK("https://klasma.github.io/Logging_1981/klagomål/A 1500-2022 FSC-klagomål.docx", "A 1500-2022")</f>
        <v/>
      </c>
      <c r="W179">
        <f>HYPERLINK("https://klasma.github.io/Logging_1981/klagomålsmail/A 1500-2022 FSC-klagomål mail.docx", "A 1500-2022")</f>
        <v/>
      </c>
      <c r="X179">
        <f>HYPERLINK("https://klasma.github.io/Logging_1981/tillsyn/A 1500-2022 tillsynsbegäran.docx", "A 1500-2022")</f>
        <v/>
      </c>
      <c r="Y179">
        <f>HYPERLINK("https://klasma.github.io/Logging_1981/tillsynsmail/A 1500-2022 tillsynsbegäran mail.docx", "A 1500-2022")</f>
        <v/>
      </c>
    </row>
    <row r="180" ht="15" customHeight="1">
      <c r="A180" t="inlineStr">
        <is>
          <t>A 7845-2022</t>
        </is>
      </c>
      <c r="B180" s="1" t="n">
        <v>44608</v>
      </c>
      <c r="C180" s="1" t="n">
        <v>45657</v>
      </c>
      <c r="D180" t="inlineStr">
        <is>
          <t>VÄSTMANLANDS LÄN</t>
        </is>
      </c>
      <c r="E180" t="inlineStr">
        <is>
          <t>SURAHAMMAR</t>
        </is>
      </c>
      <c r="G180" t="n">
        <v>3</v>
      </c>
      <c r="H180" t="n">
        <v>1</v>
      </c>
      <c r="I180" t="n">
        <v>1</v>
      </c>
      <c r="J180" t="n">
        <v>0</v>
      </c>
      <c r="K180" t="n">
        <v>1</v>
      </c>
      <c r="L180" t="n">
        <v>0</v>
      </c>
      <c r="M180" t="n">
        <v>0</v>
      </c>
      <c r="N180" t="n">
        <v>0</v>
      </c>
      <c r="O180" t="n">
        <v>1</v>
      </c>
      <c r="P180" t="n">
        <v>1</v>
      </c>
      <c r="Q180" t="n">
        <v>2</v>
      </c>
      <c r="R180" s="2" t="inlineStr">
        <is>
          <t>Knärot
Vedticka</t>
        </is>
      </c>
      <c r="S180">
        <f>HYPERLINK("https://klasma.github.io/Logging_1907/artfynd/A 7845-2022 artfynd.xlsx", "A 7845-2022")</f>
        <v/>
      </c>
      <c r="T180">
        <f>HYPERLINK("https://klasma.github.io/Logging_1907/kartor/A 7845-2022 karta.png", "A 7845-2022")</f>
        <v/>
      </c>
      <c r="U180">
        <f>HYPERLINK("https://klasma.github.io/Logging_1907/knärot/A 7845-2022 karta knärot.png", "A 7845-2022")</f>
        <v/>
      </c>
      <c r="V180">
        <f>HYPERLINK("https://klasma.github.io/Logging_1907/klagomål/A 7845-2022 FSC-klagomål.docx", "A 7845-2022")</f>
        <v/>
      </c>
      <c r="W180">
        <f>HYPERLINK("https://klasma.github.io/Logging_1907/klagomålsmail/A 7845-2022 FSC-klagomål mail.docx", "A 7845-2022")</f>
        <v/>
      </c>
      <c r="X180">
        <f>HYPERLINK("https://klasma.github.io/Logging_1907/tillsyn/A 7845-2022 tillsynsbegäran.docx", "A 7845-2022")</f>
        <v/>
      </c>
      <c r="Y180">
        <f>HYPERLINK("https://klasma.github.io/Logging_1907/tillsynsmail/A 7845-2022 tillsynsbegäran mail.docx", "A 7845-2022")</f>
        <v/>
      </c>
    </row>
    <row r="181" ht="15" customHeight="1">
      <c r="A181" t="inlineStr">
        <is>
          <t>A 9956-2022</t>
        </is>
      </c>
      <c r="B181" s="1" t="n">
        <v>44621</v>
      </c>
      <c r="C181" s="1" t="n">
        <v>45657</v>
      </c>
      <c r="D181" t="inlineStr">
        <is>
          <t>VÄSTMANLANDS LÄN</t>
        </is>
      </c>
      <c r="E181" t="inlineStr">
        <is>
          <t>FAGERSTA</t>
        </is>
      </c>
      <c r="F181" t="inlineStr">
        <is>
          <t>Kommuner</t>
        </is>
      </c>
      <c r="G181" t="n">
        <v>6.4</v>
      </c>
      <c r="H181" t="n">
        <v>1</v>
      </c>
      <c r="I181" t="n">
        <v>1</v>
      </c>
      <c r="J181" t="n">
        <v>0</v>
      </c>
      <c r="K181" t="n">
        <v>0</v>
      </c>
      <c r="L181" t="n">
        <v>0</v>
      </c>
      <c r="M181" t="n">
        <v>0</v>
      </c>
      <c r="N181" t="n">
        <v>0</v>
      </c>
      <c r="O181" t="n">
        <v>0</v>
      </c>
      <c r="P181" t="n">
        <v>0</v>
      </c>
      <c r="Q181" t="n">
        <v>2</v>
      </c>
      <c r="R181" s="2" t="inlineStr">
        <is>
          <t>Ögonpyrola
Fläcknycklar</t>
        </is>
      </c>
      <c r="S181">
        <f>HYPERLINK("https://klasma.github.io/Logging_1982/artfynd/A 9956-2022 artfynd.xlsx", "A 9956-2022")</f>
        <v/>
      </c>
      <c r="T181">
        <f>HYPERLINK("https://klasma.github.io/Logging_1982/kartor/A 9956-2022 karta.png", "A 9956-2022")</f>
        <v/>
      </c>
      <c r="V181">
        <f>HYPERLINK("https://klasma.github.io/Logging_1982/klagomål/A 9956-2022 FSC-klagomål.docx", "A 9956-2022")</f>
        <v/>
      </c>
      <c r="W181">
        <f>HYPERLINK("https://klasma.github.io/Logging_1982/klagomålsmail/A 9956-2022 FSC-klagomål mail.docx", "A 9956-2022")</f>
        <v/>
      </c>
      <c r="X181">
        <f>HYPERLINK("https://klasma.github.io/Logging_1982/tillsyn/A 9956-2022 tillsynsbegäran.docx", "A 9956-2022")</f>
        <v/>
      </c>
      <c r="Y181">
        <f>HYPERLINK("https://klasma.github.io/Logging_1982/tillsynsmail/A 9956-2022 tillsynsbegäran mail.docx", "A 9956-2022")</f>
        <v/>
      </c>
    </row>
    <row r="182" ht="15" customHeight="1">
      <c r="A182" t="inlineStr">
        <is>
          <t>A 12894-2022</t>
        </is>
      </c>
      <c r="B182" s="1" t="n">
        <v>44641</v>
      </c>
      <c r="C182" s="1" t="n">
        <v>45657</v>
      </c>
      <c r="D182" t="inlineStr">
        <is>
          <t>VÄSTMANLANDS LÄN</t>
        </is>
      </c>
      <c r="E182" t="inlineStr">
        <is>
          <t>VÄSTERÅS</t>
        </is>
      </c>
      <c r="F182" t="inlineStr">
        <is>
          <t>Övriga Aktiebolag</t>
        </is>
      </c>
      <c r="G182" t="n">
        <v>15.5</v>
      </c>
      <c r="H182" t="n">
        <v>1</v>
      </c>
      <c r="I182" t="n">
        <v>0</v>
      </c>
      <c r="J182" t="n">
        <v>1</v>
      </c>
      <c r="K182" t="n">
        <v>0</v>
      </c>
      <c r="L182" t="n">
        <v>1</v>
      </c>
      <c r="M182" t="n">
        <v>0</v>
      </c>
      <c r="N182" t="n">
        <v>0</v>
      </c>
      <c r="O182" t="n">
        <v>2</v>
      </c>
      <c r="P182" t="n">
        <v>1</v>
      </c>
      <c r="Q182" t="n">
        <v>2</v>
      </c>
      <c r="R182" s="2" t="inlineStr">
        <is>
          <t>Ask
Drillsnäppa</t>
        </is>
      </c>
      <c r="S182">
        <f>HYPERLINK("https://klasma.github.io/Logging_1980/artfynd/A 12894-2022 artfynd.xlsx", "A 12894-2022")</f>
        <v/>
      </c>
      <c r="T182">
        <f>HYPERLINK("https://klasma.github.io/Logging_1980/kartor/A 12894-2022 karta.png", "A 12894-2022")</f>
        <v/>
      </c>
      <c r="V182">
        <f>HYPERLINK("https://klasma.github.io/Logging_1980/klagomål/A 12894-2022 FSC-klagomål.docx", "A 12894-2022")</f>
        <v/>
      </c>
      <c r="W182">
        <f>HYPERLINK("https://klasma.github.io/Logging_1980/klagomålsmail/A 12894-2022 FSC-klagomål mail.docx", "A 12894-2022")</f>
        <v/>
      </c>
      <c r="X182">
        <f>HYPERLINK("https://klasma.github.io/Logging_1980/tillsyn/A 12894-2022 tillsynsbegäran.docx", "A 12894-2022")</f>
        <v/>
      </c>
      <c r="Y182">
        <f>HYPERLINK("https://klasma.github.io/Logging_1980/tillsynsmail/A 12894-2022 tillsynsbegäran mail.docx", "A 12894-2022")</f>
        <v/>
      </c>
    </row>
    <row r="183" ht="15" customHeight="1">
      <c r="A183" t="inlineStr">
        <is>
          <t>A 40042-2022</t>
        </is>
      </c>
      <c r="B183" s="1" t="n">
        <v>44819</v>
      </c>
      <c r="C183" s="1" t="n">
        <v>45657</v>
      </c>
      <c r="D183" t="inlineStr">
        <is>
          <t>VÄSTMANLANDS LÄN</t>
        </is>
      </c>
      <c r="E183" t="inlineStr">
        <is>
          <t>SALA</t>
        </is>
      </c>
      <c r="G183" t="n">
        <v>1.7</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40042-2022 artfynd.xlsx", "A 40042-2022")</f>
        <v/>
      </c>
      <c r="T183">
        <f>HYPERLINK("https://klasma.github.io/Logging_1981/kartor/A 40042-2022 karta.png", "A 40042-2022")</f>
        <v/>
      </c>
      <c r="U183">
        <f>HYPERLINK("https://klasma.github.io/Logging_1981/knärot/A 40042-2022 karta knärot.png", "A 40042-2022")</f>
        <v/>
      </c>
      <c r="V183">
        <f>HYPERLINK("https://klasma.github.io/Logging_1981/klagomål/A 40042-2022 FSC-klagomål.docx", "A 40042-2022")</f>
        <v/>
      </c>
      <c r="W183">
        <f>HYPERLINK("https://klasma.github.io/Logging_1981/klagomålsmail/A 40042-2022 FSC-klagomål mail.docx", "A 40042-2022")</f>
        <v/>
      </c>
      <c r="X183">
        <f>HYPERLINK("https://klasma.github.io/Logging_1981/tillsyn/A 40042-2022 tillsynsbegäran.docx", "A 40042-2022")</f>
        <v/>
      </c>
      <c r="Y183">
        <f>HYPERLINK("https://klasma.github.io/Logging_1981/tillsynsmail/A 40042-2022 tillsynsbegäran mail.docx", "A 40042-2022")</f>
        <v/>
      </c>
    </row>
    <row r="184" ht="15" customHeight="1">
      <c r="A184" t="inlineStr">
        <is>
          <t>A 42017-2022</t>
        </is>
      </c>
      <c r="B184" s="1" t="n">
        <v>44830</v>
      </c>
      <c r="C184" s="1" t="n">
        <v>45657</v>
      </c>
      <c r="D184" t="inlineStr">
        <is>
          <t>VÄSTMANLANDS LÄN</t>
        </is>
      </c>
      <c r="E184" t="inlineStr">
        <is>
          <t>VÄSTERÅS</t>
        </is>
      </c>
      <c r="G184" t="n">
        <v>10.4</v>
      </c>
      <c r="H184" t="n">
        <v>2</v>
      </c>
      <c r="I184" t="n">
        <v>0</v>
      </c>
      <c r="J184" t="n">
        <v>0</v>
      </c>
      <c r="K184" t="n">
        <v>0</v>
      </c>
      <c r="L184" t="n">
        <v>0</v>
      </c>
      <c r="M184" t="n">
        <v>0</v>
      </c>
      <c r="N184" t="n">
        <v>0</v>
      </c>
      <c r="O184" t="n">
        <v>0</v>
      </c>
      <c r="P184" t="n">
        <v>0</v>
      </c>
      <c r="Q184" t="n">
        <v>2</v>
      </c>
      <c r="R184" s="2" t="inlineStr">
        <is>
          <t>Gröngöling
Kopparödla</t>
        </is>
      </c>
      <c r="S184">
        <f>HYPERLINK("https://klasma.github.io/Logging_1980/artfynd/A 42017-2022 artfynd.xlsx", "A 42017-2022")</f>
        <v/>
      </c>
      <c r="T184">
        <f>HYPERLINK("https://klasma.github.io/Logging_1980/kartor/A 42017-2022 karta.png", "A 42017-2022")</f>
        <v/>
      </c>
      <c r="V184">
        <f>HYPERLINK("https://klasma.github.io/Logging_1980/klagomål/A 42017-2022 FSC-klagomål.docx", "A 42017-2022")</f>
        <v/>
      </c>
      <c r="W184">
        <f>HYPERLINK("https://klasma.github.io/Logging_1980/klagomålsmail/A 42017-2022 FSC-klagomål mail.docx", "A 42017-2022")</f>
        <v/>
      </c>
      <c r="X184">
        <f>HYPERLINK("https://klasma.github.io/Logging_1980/tillsyn/A 42017-2022 tillsynsbegäran.docx", "A 42017-2022")</f>
        <v/>
      </c>
      <c r="Y184">
        <f>HYPERLINK("https://klasma.github.io/Logging_1980/tillsynsmail/A 42017-2022 tillsynsbegäran mail.docx", "A 42017-2022")</f>
        <v/>
      </c>
      <c r="Z184">
        <f>HYPERLINK("https://klasma.github.io/Logging_1980/fåglar/A 42017-2022 prioriterade fågelarter.docx", "A 42017-2022")</f>
        <v/>
      </c>
    </row>
    <row r="185" ht="15" customHeight="1">
      <c r="A185" t="inlineStr">
        <is>
          <t>A 47228-2022</t>
        </is>
      </c>
      <c r="B185" s="1" t="n">
        <v>44852</v>
      </c>
      <c r="C185" s="1" t="n">
        <v>45657</v>
      </c>
      <c r="D185" t="inlineStr">
        <is>
          <t>VÄSTMANLANDS LÄN</t>
        </is>
      </c>
      <c r="E185" t="inlineStr">
        <is>
          <t>VÄSTERÅS</t>
        </is>
      </c>
      <c r="G185" t="n">
        <v>11.6</v>
      </c>
      <c r="H185" t="n">
        <v>0</v>
      </c>
      <c r="I185" t="n">
        <v>0</v>
      </c>
      <c r="J185" t="n">
        <v>1</v>
      </c>
      <c r="K185" t="n">
        <v>0</v>
      </c>
      <c r="L185" t="n">
        <v>1</v>
      </c>
      <c r="M185" t="n">
        <v>0</v>
      </c>
      <c r="N185" t="n">
        <v>0</v>
      </c>
      <c r="O185" t="n">
        <v>2</v>
      </c>
      <c r="P185" t="n">
        <v>1</v>
      </c>
      <c r="Q185" t="n">
        <v>2</v>
      </c>
      <c r="R185" s="2" t="inlineStr">
        <is>
          <t>Vithornad barkskinnbagge
Xyletinus ater</t>
        </is>
      </c>
      <c r="S185">
        <f>HYPERLINK("https://klasma.github.io/Logging_1980/artfynd/A 47228-2022 artfynd.xlsx", "A 47228-2022")</f>
        <v/>
      </c>
      <c r="T185">
        <f>HYPERLINK("https://klasma.github.io/Logging_1980/kartor/A 47228-2022 karta.png", "A 47228-2022")</f>
        <v/>
      </c>
      <c r="V185">
        <f>HYPERLINK("https://klasma.github.io/Logging_1980/klagomål/A 47228-2022 FSC-klagomål.docx", "A 47228-2022")</f>
        <v/>
      </c>
      <c r="W185">
        <f>HYPERLINK("https://klasma.github.io/Logging_1980/klagomålsmail/A 47228-2022 FSC-klagomål mail.docx", "A 47228-2022")</f>
        <v/>
      </c>
      <c r="X185">
        <f>HYPERLINK("https://klasma.github.io/Logging_1980/tillsyn/A 47228-2022 tillsynsbegäran.docx", "A 47228-2022")</f>
        <v/>
      </c>
      <c r="Y185">
        <f>HYPERLINK("https://klasma.github.io/Logging_1980/tillsynsmail/A 47228-2022 tillsynsbegäran mail.docx", "A 47228-2022")</f>
        <v/>
      </c>
    </row>
    <row r="186" ht="15" customHeight="1">
      <c r="A186" t="inlineStr">
        <is>
          <t>A 52909-2022</t>
        </is>
      </c>
      <c r="B186" s="1" t="n">
        <v>44875</v>
      </c>
      <c r="C186" s="1" t="n">
        <v>45657</v>
      </c>
      <c r="D186" t="inlineStr">
        <is>
          <t>VÄSTMANLANDS LÄN</t>
        </is>
      </c>
      <c r="E186" t="inlineStr">
        <is>
          <t>SALA</t>
        </is>
      </c>
      <c r="G186" t="n">
        <v>0.5</v>
      </c>
      <c r="H186" t="n">
        <v>1</v>
      </c>
      <c r="I186" t="n">
        <v>0</v>
      </c>
      <c r="J186" t="n">
        <v>1</v>
      </c>
      <c r="K186" t="n">
        <v>0</v>
      </c>
      <c r="L186" t="n">
        <v>0</v>
      </c>
      <c r="M186" t="n">
        <v>0</v>
      </c>
      <c r="N186" t="n">
        <v>0</v>
      </c>
      <c r="O186" t="n">
        <v>1</v>
      </c>
      <c r="P186" t="n">
        <v>0</v>
      </c>
      <c r="Q186" t="n">
        <v>2</v>
      </c>
      <c r="R186" s="2" t="inlineStr">
        <is>
          <t>Svinrot
Nattviol</t>
        </is>
      </c>
      <c r="S186">
        <f>HYPERLINK("https://klasma.github.io/Logging_1981/artfynd/A 52909-2022 artfynd.xlsx", "A 52909-2022")</f>
        <v/>
      </c>
      <c r="T186">
        <f>HYPERLINK("https://klasma.github.io/Logging_1981/kartor/A 52909-2022 karta.png", "A 52909-2022")</f>
        <v/>
      </c>
      <c r="V186">
        <f>HYPERLINK("https://klasma.github.io/Logging_1981/klagomål/A 52909-2022 FSC-klagomål.docx", "A 52909-2022")</f>
        <v/>
      </c>
      <c r="W186">
        <f>HYPERLINK("https://klasma.github.io/Logging_1981/klagomålsmail/A 52909-2022 FSC-klagomål mail.docx", "A 52909-2022")</f>
        <v/>
      </c>
      <c r="X186">
        <f>HYPERLINK("https://klasma.github.io/Logging_1981/tillsyn/A 52909-2022 tillsynsbegäran.docx", "A 52909-2022")</f>
        <v/>
      </c>
      <c r="Y186">
        <f>HYPERLINK("https://klasma.github.io/Logging_1981/tillsynsmail/A 52909-2022 tillsynsbegäran mail.docx", "A 52909-2022")</f>
        <v/>
      </c>
    </row>
    <row r="187" ht="15" customHeight="1">
      <c r="A187" t="inlineStr">
        <is>
          <t>A 59332-2022</t>
        </is>
      </c>
      <c r="B187" s="1" t="n">
        <v>44904</v>
      </c>
      <c r="C187" s="1" t="n">
        <v>45657</v>
      </c>
      <c r="D187" t="inlineStr">
        <is>
          <t>VÄSTMANLANDS LÄN</t>
        </is>
      </c>
      <c r="E187" t="inlineStr">
        <is>
          <t>KUNGSÖR</t>
        </is>
      </c>
      <c r="G187" t="n">
        <v>4.8</v>
      </c>
      <c r="H187" t="n">
        <v>0</v>
      </c>
      <c r="I187" t="n">
        <v>0</v>
      </c>
      <c r="J187" t="n">
        <v>2</v>
      </c>
      <c r="K187" t="n">
        <v>0</v>
      </c>
      <c r="L187" t="n">
        <v>0</v>
      </c>
      <c r="M187" t="n">
        <v>0</v>
      </c>
      <c r="N187" t="n">
        <v>0</v>
      </c>
      <c r="O187" t="n">
        <v>2</v>
      </c>
      <c r="P187" t="n">
        <v>0</v>
      </c>
      <c r="Q187" t="n">
        <v>2</v>
      </c>
      <c r="R187" s="2" t="inlineStr">
        <is>
          <t>Ekticka
Ullticka</t>
        </is>
      </c>
      <c r="S187">
        <f>HYPERLINK("https://klasma.github.io/Logging_1960/artfynd/A 59332-2022 artfynd.xlsx", "A 59332-2022")</f>
        <v/>
      </c>
      <c r="T187">
        <f>HYPERLINK("https://klasma.github.io/Logging_1960/kartor/A 59332-2022 karta.png", "A 59332-2022")</f>
        <v/>
      </c>
      <c r="V187">
        <f>HYPERLINK("https://klasma.github.io/Logging_1960/klagomål/A 59332-2022 FSC-klagomål.docx", "A 59332-2022")</f>
        <v/>
      </c>
      <c r="W187">
        <f>HYPERLINK("https://klasma.github.io/Logging_1960/klagomålsmail/A 59332-2022 FSC-klagomål mail.docx", "A 59332-2022")</f>
        <v/>
      </c>
      <c r="X187">
        <f>HYPERLINK("https://klasma.github.io/Logging_1960/tillsyn/A 59332-2022 tillsynsbegäran.docx", "A 59332-2022")</f>
        <v/>
      </c>
      <c r="Y187">
        <f>HYPERLINK("https://klasma.github.io/Logging_1960/tillsynsmail/A 59332-2022 tillsynsbegäran mail.docx", "A 59332-2022")</f>
        <v/>
      </c>
    </row>
    <row r="188" ht="15" customHeight="1">
      <c r="A188" t="inlineStr">
        <is>
          <t>A 6182-2023</t>
        </is>
      </c>
      <c r="B188" s="1" t="n">
        <v>44964</v>
      </c>
      <c r="C188" s="1" t="n">
        <v>45657</v>
      </c>
      <c r="D188" t="inlineStr">
        <is>
          <t>VÄSTMANLANDS LÄN</t>
        </is>
      </c>
      <c r="E188" t="inlineStr">
        <is>
          <t>SKINNSKATTEBERG</t>
        </is>
      </c>
      <c r="F188" t="inlineStr">
        <is>
          <t>Sveaskog</t>
        </is>
      </c>
      <c r="G188" t="n">
        <v>6.4</v>
      </c>
      <c r="H188" t="n">
        <v>2</v>
      </c>
      <c r="I188" t="n">
        <v>0</v>
      </c>
      <c r="J188" t="n">
        <v>0</v>
      </c>
      <c r="K188" t="n">
        <v>0</v>
      </c>
      <c r="L188" t="n">
        <v>0</v>
      </c>
      <c r="M188" t="n">
        <v>0</v>
      </c>
      <c r="N188" t="n">
        <v>0</v>
      </c>
      <c r="O188" t="n">
        <v>0</v>
      </c>
      <c r="P188" t="n">
        <v>0</v>
      </c>
      <c r="Q188" t="n">
        <v>2</v>
      </c>
      <c r="R188" s="2" t="inlineStr">
        <is>
          <t>Blåsippa
Lopplummer</t>
        </is>
      </c>
      <c r="S188">
        <f>HYPERLINK("https://klasma.github.io/Logging_1904/artfynd/A 6182-2023 artfynd.xlsx", "A 6182-2023")</f>
        <v/>
      </c>
      <c r="T188">
        <f>HYPERLINK("https://klasma.github.io/Logging_1904/kartor/A 6182-2023 karta.png", "A 6182-2023")</f>
        <v/>
      </c>
      <c r="V188">
        <f>HYPERLINK("https://klasma.github.io/Logging_1904/klagomål/A 6182-2023 FSC-klagomål.docx", "A 6182-2023")</f>
        <v/>
      </c>
      <c r="W188">
        <f>HYPERLINK("https://klasma.github.io/Logging_1904/klagomålsmail/A 6182-2023 FSC-klagomål mail.docx", "A 6182-2023")</f>
        <v/>
      </c>
      <c r="X188">
        <f>HYPERLINK("https://klasma.github.io/Logging_1904/tillsyn/A 6182-2023 tillsynsbegäran.docx", "A 6182-2023")</f>
        <v/>
      </c>
      <c r="Y188">
        <f>HYPERLINK("https://klasma.github.io/Logging_1904/tillsynsmail/A 6182-2023 tillsynsbegäran mail.docx", "A 6182-2023")</f>
        <v/>
      </c>
    </row>
    <row r="189" ht="15" customHeight="1">
      <c r="A189" t="inlineStr">
        <is>
          <t>A 7747-2023</t>
        </is>
      </c>
      <c r="B189" s="1" t="n">
        <v>44973</v>
      </c>
      <c r="C189" s="1" t="n">
        <v>45657</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45657</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45657</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45657</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45657</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23734-2023</t>
        </is>
      </c>
      <c r="B194" s="1" t="n">
        <v>45077</v>
      </c>
      <c r="C194" s="1" t="n">
        <v>45657</v>
      </c>
      <c r="D194" t="inlineStr">
        <is>
          <t>VÄSTMANLANDS LÄN</t>
        </is>
      </c>
      <c r="E194" t="inlineStr">
        <is>
          <t>SURAHAMMAR</t>
        </is>
      </c>
      <c r="F194" t="inlineStr">
        <is>
          <t>Sveaskog</t>
        </is>
      </c>
      <c r="G194" t="n">
        <v>6.7</v>
      </c>
      <c r="H194" t="n">
        <v>0</v>
      </c>
      <c r="I194" t="n">
        <v>0</v>
      </c>
      <c r="J194" t="n">
        <v>1</v>
      </c>
      <c r="K194" t="n">
        <v>1</v>
      </c>
      <c r="L194" t="n">
        <v>0</v>
      </c>
      <c r="M194" t="n">
        <v>0</v>
      </c>
      <c r="N194" t="n">
        <v>0</v>
      </c>
      <c r="O194" t="n">
        <v>2</v>
      </c>
      <c r="P194" t="n">
        <v>1</v>
      </c>
      <c r="Q194" t="n">
        <v>2</v>
      </c>
      <c r="R194" s="2" t="inlineStr">
        <is>
          <t>Hängticka
Kandelabersvamp</t>
        </is>
      </c>
      <c r="S194">
        <f>HYPERLINK("https://klasma.github.io/Logging_1907/artfynd/A 23734-2023 artfynd.xlsx", "A 23734-2023")</f>
        <v/>
      </c>
      <c r="T194">
        <f>HYPERLINK("https://klasma.github.io/Logging_1907/kartor/A 23734-2023 karta.png", "A 23734-2023")</f>
        <v/>
      </c>
      <c r="V194">
        <f>HYPERLINK("https://klasma.github.io/Logging_1907/klagomål/A 23734-2023 FSC-klagomål.docx", "A 23734-2023")</f>
        <v/>
      </c>
      <c r="W194">
        <f>HYPERLINK("https://klasma.github.io/Logging_1907/klagomålsmail/A 23734-2023 FSC-klagomål mail.docx", "A 23734-2023")</f>
        <v/>
      </c>
      <c r="X194">
        <f>HYPERLINK("https://klasma.github.io/Logging_1907/tillsyn/A 23734-2023 tillsynsbegäran.docx", "A 23734-2023")</f>
        <v/>
      </c>
      <c r="Y194">
        <f>HYPERLINK("https://klasma.github.io/Logging_1907/tillsynsmail/A 23734-2023 tillsynsbegäran mail.docx", "A 23734-2023")</f>
        <v/>
      </c>
    </row>
    <row r="195" ht="15" customHeight="1">
      <c r="A195" t="inlineStr">
        <is>
          <t>A 28043-2023</t>
        </is>
      </c>
      <c r="B195" s="1" t="n">
        <v>45099</v>
      </c>
      <c r="C195" s="1" t="n">
        <v>45657</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45657</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45657</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45657</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45657</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45657</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45657</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45657</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45657</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45657</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45657</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45657</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45657</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45657</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45657</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45657</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45657</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45657</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45657</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45657</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45657</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45657</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45657</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45657</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45657</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45657</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45657</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45657</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45657</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45657</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45657</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45657</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45657</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45657</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45657</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45657</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45657</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45657</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45657</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45657</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45657</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45657</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45657</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45657</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45657</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45657</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45657</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45657</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45657</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45657</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45657</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45657</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45657</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45657</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45657</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45657</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45657</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45657</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45657</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45657</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45657</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45657</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45657</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45657</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45657</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45657</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45657</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45657</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45657</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45657</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45657</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45657</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45657</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45657</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45657</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45657</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45657</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45657</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45657</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45657</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45657</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45657</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45657</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45657</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45657</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45657</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45657</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45657</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45657</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45657</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45657</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45657</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45657</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45657</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45657</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45657</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45657</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45657</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45657</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45657</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45657</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45657</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45657</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45657</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45657</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45657</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45657</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45657</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45657</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45657</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45657</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45657</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45657</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45657</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45657</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45657</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45657</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45657</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45657</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45657</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45657</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45657</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45657</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45657</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45657</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45657</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45657</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45657</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45657</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45657</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45657</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45657</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45657</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45657</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45657</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45657</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45657</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45657</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45657</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45657</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45657</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45657</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45657</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45657</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45657</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45657</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45657</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45657</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45657</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45657</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45657</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45657</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45657</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45657</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45657</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45657</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45657</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45657</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45657</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45657</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45657</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45657</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45657</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45657</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45657</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45657</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45657</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45657</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45657</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45657</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45657</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45657</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45657</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45657</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45657</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45657</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45657</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45657</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45657</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45657</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45657</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45657</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45657</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45657</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45657</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45657</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45657</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45657</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45657</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45657</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45657</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45657</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45657</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45657</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45657</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45657</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45657</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45657</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45657</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45657</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45657</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45657</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45657</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45657</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45657</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45657</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45657</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45657</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62097-2024</t>
        </is>
      </c>
      <c r="B403" s="1" t="n">
        <v>45646</v>
      </c>
      <c r="C403" s="1" t="n">
        <v>45657</v>
      </c>
      <c r="D403" t="inlineStr">
        <is>
          <t>VÄSTMANLANDS LÄN</t>
        </is>
      </c>
      <c r="E403" t="inlineStr">
        <is>
          <t>SURAHAMMAR</t>
        </is>
      </c>
      <c r="F403" t="inlineStr">
        <is>
          <t>Bergvik skog väst AB</t>
        </is>
      </c>
      <c r="G403" t="n">
        <v>21.7</v>
      </c>
      <c r="H403" t="n">
        <v>1</v>
      </c>
      <c r="I403" t="n">
        <v>0</v>
      </c>
      <c r="J403" t="n">
        <v>0</v>
      </c>
      <c r="K403" t="n">
        <v>0</v>
      </c>
      <c r="L403" t="n">
        <v>0</v>
      </c>
      <c r="M403" t="n">
        <v>0</v>
      </c>
      <c r="N403" t="n">
        <v>0</v>
      </c>
      <c r="O403" t="n">
        <v>0</v>
      </c>
      <c r="P403" t="n">
        <v>0</v>
      </c>
      <c r="Q403" t="n">
        <v>1</v>
      </c>
      <c r="R403" s="2" t="inlineStr">
        <is>
          <t>Revlummer</t>
        </is>
      </c>
      <c r="S403">
        <f>HYPERLINK("https://klasma.github.io/Logging_1907/artfynd/A 62097-2024 artfynd.xlsx", "A 62097-2024")</f>
        <v/>
      </c>
      <c r="T403">
        <f>HYPERLINK("https://klasma.github.io/Logging_1907/kartor/A 62097-2024 karta.png", "A 62097-2024")</f>
        <v/>
      </c>
      <c r="V403">
        <f>HYPERLINK("https://klasma.github.io/Logging_1907/klagomål/A 62097-2024 FSC-klagomål.docx", "A 62097-2024")</f>
        <v/>
      </c>
      <c r="W403">
        <f>HYPERLINK("https://klasma.github.io/Logging_1907/klagomålsmail/A 62097-2024 FSC-klagomål mail.docx", "A 62097-2024")</f>
        <v/>
      </c>
      <c r="X403">
        <f>HYPERLINK("https://klasma.github.io/Logging_1907/tillsyn/A 62097-2024 tillsynsbegäran.docx", "A 62097-2024")</f>
        <v/>
      </c>
      <c r="Y403">
        <f>HYPERLINK("https://klasma.github.io/Logging_1907/tillsynsmail/A 62097-2024 tillsynsbegäran mail.docx", "A 62097-2024")</f>
        <v/>
      </c>
    </row>
    <row r="404" ht="15" customHeight="1">
      <c r="A404" t="inlineStr">
        <is>
          <t>A 61577-2024</t>
        </is>
      </c>
      <c r="B404" s="1" t="n">
        <v>45646</v>
      </c>
      <c r="C404" s="1" t="n">
        <v>45657</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62156-2024</t>
        </is>
      </c>
      <c r="B405" s="1" t="n">
        <v>45656</v>
      </c>
      <c r="C405" s="1" t="n">
        <v>45657</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45657</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45657</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45657</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45657</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45657</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45657</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45657</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45657</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45657</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45657</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45657</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45657</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45657</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45657</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45657</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45657</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45657</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45657</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45657</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45657</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45657</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45657</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45657</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45657</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45657</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45657</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45657</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45657</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45657</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45657</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45657</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45657</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45657</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45657</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45657</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45657</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45657</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45657</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45657</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45657</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45657</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45657</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45657</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45657</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45657</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45657</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45657</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45657</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45657</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45657</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45657</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45657</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45657</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45657</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45657</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45657</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45657</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45657</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45657</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45657</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45657</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45657</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45657</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45657</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45657</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45657</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45657</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45657</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45657</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45657</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45657</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45657</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45657</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45657</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45657</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45657</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45657</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45657</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45657</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45657</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45657</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45657</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45657</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45657</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45657</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45657</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45657</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45657</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45657</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45657</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45657</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45657</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45657</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45657</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45657</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45657</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45657</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45657</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45657</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45657</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45657</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45657</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45657</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45657</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45657</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45657</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45657</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45657</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45657</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45657</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45657</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45657</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45657</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45657</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45657</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45657</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45657</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45657</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45657</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45657</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45657</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45657</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45657</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45657</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45657</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45657</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45657</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45657</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45657</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45657</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45657</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45657</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45657</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45657</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45657</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45657</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45657</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45657</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45657</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45657</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45657</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45657</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45657</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45657</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45657</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45657</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45657</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45657</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45657</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45657</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45657</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45657</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45657</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45657</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45657</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45657</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45657</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45657</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45657</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45657</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45657</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45657</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45657</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45657</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45657</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45657</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45657</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45657</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45657</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45657</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45657</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45657</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45657</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45657</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45657</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45657</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45657</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45657</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45657</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45657</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45657</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45657</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45657</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45657</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45657</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45657</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45657</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45657</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45657</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45657</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45657</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45657</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45657</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45657</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45657</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45657</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45657</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45657</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45657</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45657</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45657</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45657</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45657</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45657</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45657</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45657</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45657</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45657</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45657</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45657</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45657</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45657</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45657</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45657</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45657</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45657</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45657</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45657</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45657</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45657</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45657</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45657</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45657</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45657</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45657</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45657</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45657</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45657</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45657</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45657</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45657</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45657</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45657</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45657</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45657</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45657</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45657</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45657</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45657</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45657</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45657</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45657</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45657</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45657</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45657</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45657</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45657</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45657</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45657</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45657</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45657</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45657</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45657</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45657</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45657</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45657</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45657</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45657</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45657</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45657</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45657</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45657</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45657</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45657</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45657</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45657</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45657</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45657</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45657</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45657</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45657</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45657</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45657</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45657</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45657</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45657</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45657</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45657</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45657</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45657</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45657</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45657</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45657</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45657</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45657</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45657</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45657</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45657</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45657</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45657</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45657</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45657</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45657</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45657</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45657</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45657</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45657</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45657</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45657</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45657</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45657</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45657</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45657</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45657</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45657</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45657</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45657</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45657</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45657</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45657</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45657</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45657</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45657</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45657</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45657</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45657</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45657</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45657</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45657</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45657</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45657</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45657</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45657</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45657</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45657</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45657</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45657</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45657</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45657</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45657</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45657</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45657</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45657</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45657</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45657</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45657</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45657</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45657</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45657</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45657</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45657</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45657</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45657</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45657</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45657</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45657</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45657</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45657</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45657</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45657</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45657</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45657</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45657</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45657</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45657</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45657</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45657</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45657</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45657</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45657</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45657</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45657</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45657</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45657</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45657</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45657</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45657</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45657</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45657</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45657</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45657</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45657</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45657</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45657</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45657</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45657</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45657</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45657</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45657</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45657</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45657</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45657</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45657</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45657</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45657</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45657</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45657</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45657</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45657</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45657</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45657</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45657</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45657</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45657</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45657</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45657</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45657</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45657</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45657</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45657</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45657</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45657</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45657</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45657</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45657</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45657</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45657</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45657</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45657</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45657</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45657</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45657</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45657</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45657</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45657</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45657</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45657</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45657</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45657</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45657</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45657</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45657</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45657</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45657</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45657</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45657</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45657</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45657</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45657</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45657</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45657</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45657</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45657</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45657</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45657</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45657</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45657</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45657</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45657</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45657</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45657</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45657</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45657</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45657</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45657</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45657</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45657</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45657</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45657</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45657</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45657</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45657</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45657</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45657</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45657</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45657</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45657</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45657</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45657</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45657</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45657</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45657</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45657</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45657</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45657</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45657</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45657</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45657</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45657</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45657</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45657</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45657</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45657</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45657</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45657</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45657</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45657</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45657</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45657</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45657</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45657</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45657</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45657</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45657</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45657</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45657</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45657</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45657</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45657</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45657</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45657</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45657</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45657</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45657</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45657</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45657</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45657</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45657</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45657</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45657</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45657</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45657</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45657</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45657</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45657</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45657</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45657</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45657</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45657</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45657</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45657</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45657</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45657</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45657</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45657</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45657</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45657</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45657</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45657</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45657</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45657</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45657</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45657</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45657</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45657</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45657</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45657</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45657</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45657</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45657</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45657</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45657</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45657</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45657</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45657</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45657</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45657</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45657</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45657</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45657</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45657</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45657</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45657</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45657</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45657</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45657</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45657</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45657</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45657</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45657</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45657</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45657</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45657</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45657</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45657</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45657</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45657</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45657</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45657</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45657</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45657</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45657</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45657</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45657</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45657</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45657</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45657</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45657</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45657</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45657</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45657</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45657</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45657</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45657</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45657</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45657</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45657</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45657</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45657</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45657</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45657</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45657</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45657</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45657</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45657</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45657</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45657</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45657</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45657</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45657</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45657</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45657</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45657</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45657</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45657</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45657</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45657</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45657</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45657</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45657</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45657</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45657</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45657</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45657</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45657</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45657</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45657</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45657</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45657</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45657</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45657</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45657</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45657</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45657</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45657</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45657</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45657</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45657</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45657</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45657</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45657</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45657</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45657</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45657</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45657</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45657</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45657</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45657</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45657</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45657</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45657</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45657</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45657</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45657</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45657</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45657</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45657</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45657</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45657</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45657</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45657</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45657</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45657</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45657</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45657</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45657</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45657</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45657</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45657</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45657</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45657</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45657</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45657</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45657</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45657</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45657</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45657</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45657</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45657</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45657</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45657</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45657</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45657</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45657</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45657</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45657</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45657</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45657</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45657</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45657</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45657</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45657</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45657</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45657</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45657</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45657</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45657</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45657</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45657</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45657</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45657</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45657</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45657</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45657</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45657</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45657</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45657</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45657</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45657</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45657</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45657</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45657</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45657</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45657</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45657</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45657</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45657</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45657</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45657</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45657</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45657</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45657</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45657</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45657</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45657</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45657</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45657</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45657</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45657</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45657</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45657</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45657</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45657</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45657</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45657</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45657</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45657</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45657</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45657</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45657</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45657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45657</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45657</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45657</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45657</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45657</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45657</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45657</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45657</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45657</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45657</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45657</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45657</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45657</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45657</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45657</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45657</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45657</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45657</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45657</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45657</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45657</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45657</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45657</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45657</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45657</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45657</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45657</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45657</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45657</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45657</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45657</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45657</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45657</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45657</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45657</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45657</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45657</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45657</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45657</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45657</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45657</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45657</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45657</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45657</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45657</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45657</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45657</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45657</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45657</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45657</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45657</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45657</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45657</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45657</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45657</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45657</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45657</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45657</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45657</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45657</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45657</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45657</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45657</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45657</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45657</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45657</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45657</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45657</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45657</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45657</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45657</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45657</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45657</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45657</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45657</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45657</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45657</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45657</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45657</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45657</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45657</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45657</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45657</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45657</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45657</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45657</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45657</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45657</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45657</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45657</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45657</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45657</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45657</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45657</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45657</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45657</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45657</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45657</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45657</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45657</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45657</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45657</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45657</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45657</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45657</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45657</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45657</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45657</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45657</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45657</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45657</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45657</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45657</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45657</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45657</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45657</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45657</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45657</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45657</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45657</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45657</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45657</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45657</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45657</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45657</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45657</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45657</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45657</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45657</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45657</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45657</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45657</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45657</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45657</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45657</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45657</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45657</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45657</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45657</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45657</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45657</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45657</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45657</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45657</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45657</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45657</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45657</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45657</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45657</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45657</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45657</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45657</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45657</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45657</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45657</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45657</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45657</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45657</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45657</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45657</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45657</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45657</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45657</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45657</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45657</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45657</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45657</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45657</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45657</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45657</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45657</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45657</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45657</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45657</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45657</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45657</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45657</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45657</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45657</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45657</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45657</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45657</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45657</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45657</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45657</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45657</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45657</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45657</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45657</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45657</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45657</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45657</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45657</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45657</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45657</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45657</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45657</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45657</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45657</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45657</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45657</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45657</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45657</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45657</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45657</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45657</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45657</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45657</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45657</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45657</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45657</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45657</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45657</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45657</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45657</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45657</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45657</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45657</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45657</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45657</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45657</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45657</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45657</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45657</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45657</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45657</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45657</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45657</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45657</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45657</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45657</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45657</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45657</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45657</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45657</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45657</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45657</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45657</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45657</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45657</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45657</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45657</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45657</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45657</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45657</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45657</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45657</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45657</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45657</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45657</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45657</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45657</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45657</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45657</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45657</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45657</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45657</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45657</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45657</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45657</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45657</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45657</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45657</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45657</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45657</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45657</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45657</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45657</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45657</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45657</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45657</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45657</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45657</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45657</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45657</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45657</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45657</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45657</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45657</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45657</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45657</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45657</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45657</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45657</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45657</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45657</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45657</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45657</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45657</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45657</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45657</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45657</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45657</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45657</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45657</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45657</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45657</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45657</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45657</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45657</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45657</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45657</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45657</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45657</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45657</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45657</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45657</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45657</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45657</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45657</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45657</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45657</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45657</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45657</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45657</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45657</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45657</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45657</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45657</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45657</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45657</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45657</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45657</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45657</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45657</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45657</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45657</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45657</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45657</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45657</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45657</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45657</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45657</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45657</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45657</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45657</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45657</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45657</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45657</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45657</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45657</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45657</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45657</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45657</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45657</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45657</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45657</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45657</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45657</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45657</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45657</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45657</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45657</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45657</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45657</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45657</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45657</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45657</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45657</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45657</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45657</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45657</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45657</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45657</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45657</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45657</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45657</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45657</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45657</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45657</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45657</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45657</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45657</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45657</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45657</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45657</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45657</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45657</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45657</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45657</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45657</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45657</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45657</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45657</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45657</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45657</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45657</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45657</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45657</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45657</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45657</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45657</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45657</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45657</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45657</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45657</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45657</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45657</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45657</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45657</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45657</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45657</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45657</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45657</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45657</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45657</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45657</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45657</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45657</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45657</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45657</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45657</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45657</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45657</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45657</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45657</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45657</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45657</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45657</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45657</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45657</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45657</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45657</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45657</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45657</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45657</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45657</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45657</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45657</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45657</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45657</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45657</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45657</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45657</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45657</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45657</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45657</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45657</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45657</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45657</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45657</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45657</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45657</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45657</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45657</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45657</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45657</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45657</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45657</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45657</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45657</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45657</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45657</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45657</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45657</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45657</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45657</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45657</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45657</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45657</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45657</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45657</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45657</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45657</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45657</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45657</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45657</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45657</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45657</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45657</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45657</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45657</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45657</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45657</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45657</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45657</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45657</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45657</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45657</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45657</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45657</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45657</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45657</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45657</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45657</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45657</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45657</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45657</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45657</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45657</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45657</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45657</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45657</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45657</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45657</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45657</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45657</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45657</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45657</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45657</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45657</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45657</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45657</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45657</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45657</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45657</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45657</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45657</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45657</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45657</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45657</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45657</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45657</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45657</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45657</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45657</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45657</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45657</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45657</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45657</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45657</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45657</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45657</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45657</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45657</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45657</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45657</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45657</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45657</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45657</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45657</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45657</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45657</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45657</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45657</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45657</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45657</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45657</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45657</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45657</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45657</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45657</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45657</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45657</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45657</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45657</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45657</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45657</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45657</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45657</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45657</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45657</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45657</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45657</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45657</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45657</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45657</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45657</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45657</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45657</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45657</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45657</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45657</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45657</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45657</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45657</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45657</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45657</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45657</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45657</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45657</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45657</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45657</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45657</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45657</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45657</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45657</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45657</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45657</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45657</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45657</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45657</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45657</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45657</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45657</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45657</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45657</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45657</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45657</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45657</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45657</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45657</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45657</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45657</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45657</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45657</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45657</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45657</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45657</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45657</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45657</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45657</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45657</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45657</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45657</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45657</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45657</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45657</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45657</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45657</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45657</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45657</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45657</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45657</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45657</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45657</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45657</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45657</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45657</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45657</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45657</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45657</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45657</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45657</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45657</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45657</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45657</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45657</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45657</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45657</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45657</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45657</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45657</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45657</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45657</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45657</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45657</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45657</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45657</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45657</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45657</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45657</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45657</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45657</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45657</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45657</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45657</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45657</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45657</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45657</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45657</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45657</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45657</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45657</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45657</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45657</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45657</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45657</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45657</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45657</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45657</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45657</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45657</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45657</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45657</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45657</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45657</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45657</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45657</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45657</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45657</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45657</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45657</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45657</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45657</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45657</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45657</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45657</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45657</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45657</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45657</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45657</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45657</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45657</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45657</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45657</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45657</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45657</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45657</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45657</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45657</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45657</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45657</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45657</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45657</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45657</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45657</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45657</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45657</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45657</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45657</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45657</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45657</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45657</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45657</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45657</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45657</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45657</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45657</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45657</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45657</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45657</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45657</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45657</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45657</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45657</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45657</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45657</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45657</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45657</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45657</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45657</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45657</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45657</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45657</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45657</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45657</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45657</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45657</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45657</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45657</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45657</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45657</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45657</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45657</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45657</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45657</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45657</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45657</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45657</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45657</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45657</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45657</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45657</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45657</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45657</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45657</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45657</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45657</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45657</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45657</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45657</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45657</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45657</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45657</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45657</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45657</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45657</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45657</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45657</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45657</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45657</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45657</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45657</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45657</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45657</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45657</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45657</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45657</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45657</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45657</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45657</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45657</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45657</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45657</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45657</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45657</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45657</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45657</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45657</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45657</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45657</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45657</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45657</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45657</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45657</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45657</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45657</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45657</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45657</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45657</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45657</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45657</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45657</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45657</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45657</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45657</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45657</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45657</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45657</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45657</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45657</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45657</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45657</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45657</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45657</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45657</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45657</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45657</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45657</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45657</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45657</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45657</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45657</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45657</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45657</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45657</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45657</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45657</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45657</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45657</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45657</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45657</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45657</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45657</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45657</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45657</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45657</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45657</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45657</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45657</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45657</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45657</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45657</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45657</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45657</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45657</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45657</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45657</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45657</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45657</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45657</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45657</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45657</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45657</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45657</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45657</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45657</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45657</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45657</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45657</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45657</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45657</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45657</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45657</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45657</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45657</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45657</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45657</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45657</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45657</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45657</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45657</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45657</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45657</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45657</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45657</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45657</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45657</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45657</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45657</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45657</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45657</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45657</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45657</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45657</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45657</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45657</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45657</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45657</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45657</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45657</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45657</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45657</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45657</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45657</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45657</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45657</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45657</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45657</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45657</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45657</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45657</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45657</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45657</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45657</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45657</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45657</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45657</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45657</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45657</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45657</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45657</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45657</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45657</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45657</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45657</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45657</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45657</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45657</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45657</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45657</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45657</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45657</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45657</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45657</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45657</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45657</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45657</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45657</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45657</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45657</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45657</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45657</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45657</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45657</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45657</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45657</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45657</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45657</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45657</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45657</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45657</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45657</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45657</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45657</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45657</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45657</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45657</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45657</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45657</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45657</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45657</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45657</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45657</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45657</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45657</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45657</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45657</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45657</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45657</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45657</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45657</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45657</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45657</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45657</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45657</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45657</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45657</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45657</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45657</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45657</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45657</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45657</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45657</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45657</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45657</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45657</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45657</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45657</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45657</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45657</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45657</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45657</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45657</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45657</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45657</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45657</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45657</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45657</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45657</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45657</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45657</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45657</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45657</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45657</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45657</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45657</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45657</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45657</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45657</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45657</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45657</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45657</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45657</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45657</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45657</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45657</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45657</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45657</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45657</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45657</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45657</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45657</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45657</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45657</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45657</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45657</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45657</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45657</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45657</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45657</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45657</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45657</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45657</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45657</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45657</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45657</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45657</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45657</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45657</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45657</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45657</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45657</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45657</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45657</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45657</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45657</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45657</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45657</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45657</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45657</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45657</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45657</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45657</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45657</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45657</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45657</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45657</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45657</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45657</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45657</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45657</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45657</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45657</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45657</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45657</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45657</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45657</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45657</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45657</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45657</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45657</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45657</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45657</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45657</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45657</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45657</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45657</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45657</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45657</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45657</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45657</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45657</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45657</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45657</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45657</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45657</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45657</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45657</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45657</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45657</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45657</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45657</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45657</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45657</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45657</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45657</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45657</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45657</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45657</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45657</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45657</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45657</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45657</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45657</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45657</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45657</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45657</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45657</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45657</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45657</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45657</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45657</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45657</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45657</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45657</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45657</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45657</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45657</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45657</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45657</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45657</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45657</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45657</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45657</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45657</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45657</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45657</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45657</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45657</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45657</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45657</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45657</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45657</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45657</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45657</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45657</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45657</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45657</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45657</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45657</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45657</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45657</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45657</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45657</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45657</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45657</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45657</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45657</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45657</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45657</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45657</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45657</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45657</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45657</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45657</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45657</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45657</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45657</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45657</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45657</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45657</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45657</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45657</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45657</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45657</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45657</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45657</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45657</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45657</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45657</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45657</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45657</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45657</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45657</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45657</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45657</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45657</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45657</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45657</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45657</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45657</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45657</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45657</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45657</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45657</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45657</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45657</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45657</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45657</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45657</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45657</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45657</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45657</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45657</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45657</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45657</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45657</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45657</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45657</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45657</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45657</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45657</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45657</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45657</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45657</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45657</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45657</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45657</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45657</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45657</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45657</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45657</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45657</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45657</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45657</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45657</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45657</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45657</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45657</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45657</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45657</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45657</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45657</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45657</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45657</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45657</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45657</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45657</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45657</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45657</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45657</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45657</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45657</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45657</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45657</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45657</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45657</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45657</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45657</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45657</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45657</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45657</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45657</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45657</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45657</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45657</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45657</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45657</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45657</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45657</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45657</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45657</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45657</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45657</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45657</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45657</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45657</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45657</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45657</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45657</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45657</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45657</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45657</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45657</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45657</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45657</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45657</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45657</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45657</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45657</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45657</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45657</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45657</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45657</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45657</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45657</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45657</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45657</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45657</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45657</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45657</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45657</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45657</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45657</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45657</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45657</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45657</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45657</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45657</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45657</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45657</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45657</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45657</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45657</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45657</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45657</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45657</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45657</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45657</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45657</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45657</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45657</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45657</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45657</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45657</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45657</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45657</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45657</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45657</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45657</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45657</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45657</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45657</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45657</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45657</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45657</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45657</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45657</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45657</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45657</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45657</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45657</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45657</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45657</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45657</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45657</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45657</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45657</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45657</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45657</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45657</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45657</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45657</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45657</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45657</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45657</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45657</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45657</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45657</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45657</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45657</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45657</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45657</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45657</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45657</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45657</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45657</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45657</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45657</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45657</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45657</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45657</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45657</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45657</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45657</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45657</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45657</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45657</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45657</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45657</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45657</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45657</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45657</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45657</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45657</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45657</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45657</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45657</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45657</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45657</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45657</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45657</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45657</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45657</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45657</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45657</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45657</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45657</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45657</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45657</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45657</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45657</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45657</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45657</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45657</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45657</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45657</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45657</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45657</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45657</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45657</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45657</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45657</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45657</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45657</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45657</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45657</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45657</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45657</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45657</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45657</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45657</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45657</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45657</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45657</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45657</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45657</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45657</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45657</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45657</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45657</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45657</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45657</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45657</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45657</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45657</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45657</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45657</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45657</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45657</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45657</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45657</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45657</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45657</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45657</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45657</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45657</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45657</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45657</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45657</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45657</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45657</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45657</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45657</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45657</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45657</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45657</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45657</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45657</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45657</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45657</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45657</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45657</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45657</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45657</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45657</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45657</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45657</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45657</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45657</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45657</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45657</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45657</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45657</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45657</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45657</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45657</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45657</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45657</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45657</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45657</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45657</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45657</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45657</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45657</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45657</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45657</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45657</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45657</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45657</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45657</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45657</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45657</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45657</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45657</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45657</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45657</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45657</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45657</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45657</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45657</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45657</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45657</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45657</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45657</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45657</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45657</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45657</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45657</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45657</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45657</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45657</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45657</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45657</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45657</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45657</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45657</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45657</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45657</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45657</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45657</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45657</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45657</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45657</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45657</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45657</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45657</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45657</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45657</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45657</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45657</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45657</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45657</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45657</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45657</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45657</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45657</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45657</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45657</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45657</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45657</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45657</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45657</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45657</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45657</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45657</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45657</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45657</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45657</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45657</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45657</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45657</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45657</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45657</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45657</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45657</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45657</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45657</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45657</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45657</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45657</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45657</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45657</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45657</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45657</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45657</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45657</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45657</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45657</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45657</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45657</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45657</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45657</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45657</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45657</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45657</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45657</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45657</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45657</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45657</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45657</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45657</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45657</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45657</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45657</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45657</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45657</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45657</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45657</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45657</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45657</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45657</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45657</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45657</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45657</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45657</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45657</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45657</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45657</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45657</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45657</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45657</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45657</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45657</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45657</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45657</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45657</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45657</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45657</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45657</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45657</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45657</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45657</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45657</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45657</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45657</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45657</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45657</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45657</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45657</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45657</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45657</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45657</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45657</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45657</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45657</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45657</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45657</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45657</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45657</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45657</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45657</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45657</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45657</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45657</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45657</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45657</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45657</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45657</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45657</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45657</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45657</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45657</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45657</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45657</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45657</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45657</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45657</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45657</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45657</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45657</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45657</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45657</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45657</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45657</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45657</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45657</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45657</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45657</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45657</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45657</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45657</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45657</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45657</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45657</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45657</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45657</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45657</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45657</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45657</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45657</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45657</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45657</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45657</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45657</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45657</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45657</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45657</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45657</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45657</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45657</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45657</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45657</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45657</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45657</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45657</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45657</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45657</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45657</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45657</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45657</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45657</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45657</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45657</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45657</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45657</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45657</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45657</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45657</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45657</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45657</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45657</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45657</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45657</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45657</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45657</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45657</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45657</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45657</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45657</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45657</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45657</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45657</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45657</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45657</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45657</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45657</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45657</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45657</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45657</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45657</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45657</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45657</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45657</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45657</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45657</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45657</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45657</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45657</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45657</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45657</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45657</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45657</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45657</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45657</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45657</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45657</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45657</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45657</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45657</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45657</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45657</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45657</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45657</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45657</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45657</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45657</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45657</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45657</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45657</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45657</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45657</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45657</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45657</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45657</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45657</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45657</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45657</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45657</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45657</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45657</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45657</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45657</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45657</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45657</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45657</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45657</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45657</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45657</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45657</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45657</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45657</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45657</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45657</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45657</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45657</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45657</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45657</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45657</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45657</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45657</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45657</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45657</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45657</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45657</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45657</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45657</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45657</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45657</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45657</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45657</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45657</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45657</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45657</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45657</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45657</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45657</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45657</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45657</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45657</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45657</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45657</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45657</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45657</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45657</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45657</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45657</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45657</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45657</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45657</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45657</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45657</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45657</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45657</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45657</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45657</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45657</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45657</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45657</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45657</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45657</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45657</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45657</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45657</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45657</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45657</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45657</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45657</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45657</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45657</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45657</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45657</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45657</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45657</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45657</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45657</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45657</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45657</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45657</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45657</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45657</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45657</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45657</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45657</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45657</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45657</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45657</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45657</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45657</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45657</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45657</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45657</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45657</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45657</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45657</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45657</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45657</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45657</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45657</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45657</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45657</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45657</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45657</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45657</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45657</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45657</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45657</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45657</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45657</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45657</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45657</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45657</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45657</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45657</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45657</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45657</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45657</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45657</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45657</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45657</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45657</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45657</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45657</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45657</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45657</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45657</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45657</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45657</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45657</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45657</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45657</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45657</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45657</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45657</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45657</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45657</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45657</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45657</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45657</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45657</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45657</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45657</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45657</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45657</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45657</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45657</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45657</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45657</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45657</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45657</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45657</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45657</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45657</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45657</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45657</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45657</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45657</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45657</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45657</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45657</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45657</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45657</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45657</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45657</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45657</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45657</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45657</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45657</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45657</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45657</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45657</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45657</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45657</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45657</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45657</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45657</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45657</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45657</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45657</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45657</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45657</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45657</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45657</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45657</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45657</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45657</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45657</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45657</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45657</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45657</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45657</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45657</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45657</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45657</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45657</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45657</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45657</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45657</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45657</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45657</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45657</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45657</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45657</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45657</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45657</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45657</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45657</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45657</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45657</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45657</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45657</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45657</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45657</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45657</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45657</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45657</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45657</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45657</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45657</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45657</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45657</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45657</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45657</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45657</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45657</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45657</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45657</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45657</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45657</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45657</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45657</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45657</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45657</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45657</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45657</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45657</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45657</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45657</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45657</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45657</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45657</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45657</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45657</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45657</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45657</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45657</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45657</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45657</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45657</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45657</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45657</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45657</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45657</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45657</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45657</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45657</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45657</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45657</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45657</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45657</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45657</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45657</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45657</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45657</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45657</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45657</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45657</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45657</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45657</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45657</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45657</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45657</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45657</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45657</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45657</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45657</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45657</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45657</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45657</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45657</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45657</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45657</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45657</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45657</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45657</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45657</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45657</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45657</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45657</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45657</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45657</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45657</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45657</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45657</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45657</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45657</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45657</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45657</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45657</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45657</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45657</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45657</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45657</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45657</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45657</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45657</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45657</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45657</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45657</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45657</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45657</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45657</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45657</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45657</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45657</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45657</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45657</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45657</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45657</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45657</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45657</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45657</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45657</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45657</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45657</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45657</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45657</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45657</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45657</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45657</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45657</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45657</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45657</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45657</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45657</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45657</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45657</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45657</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45657</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45657</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45657</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45657</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45657</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45657</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45657</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45657</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45657</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45657</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45657</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45657</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45657</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45657</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45657</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45657</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45657</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45657</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45657</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45657</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45657</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45657</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45657</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45657</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45657</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45657</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45657</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45657</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45657</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45657</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45657</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45657</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45657</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45657</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45657</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45657</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45657</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45657</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45657</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45657</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45657</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45657</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45657</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45657</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45657</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45657</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45657</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45657</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45657</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45657</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45657</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45657</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45657</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45657</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45657</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45657</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45657</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45657</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45657</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45657</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45657</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45657</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45657</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45657</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45657</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45657</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45657</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45657</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45657</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45657</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45657</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45657</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45657</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45657</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45657</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45657</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45657</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45657</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45657</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45657</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45657</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45657</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45657</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45657</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45657</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45657</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45657</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45657</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45657</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45657</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45657</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45657</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45657</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45657</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45657</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45657</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45657</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45657</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45657</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45657</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45657</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45657</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45657</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45657</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45657</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45657</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45657</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45657</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45657</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45657</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45657</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45657</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45657</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45657</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45657</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45657</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45657</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45657</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45657</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45657</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45657</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45657</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45657</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45657</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45657</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45657</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45657</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45657</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45657</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45657</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45657</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45657</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45657</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45657</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45657</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45657</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45657</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45657</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45657</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45657</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45657</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45657</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45657</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45657</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45657</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45657</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45657</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45657</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45657</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45657</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45657</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45657</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45657</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45657</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45657</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45657</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45657</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45657</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45657</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45657</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45657</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45657</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45657</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45657</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45657</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45657</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45657</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45657</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45657</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45657</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45657</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45657</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45657</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45657</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45657</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45657</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45657</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45657</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45657</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45657</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45657</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45657</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45657</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45657</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45657</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45657</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45657</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45657</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45657</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45657</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45657</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45657</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45657</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45657</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45657</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45657</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45657</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45657</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45657</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45657</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45657</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45657</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45657</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45657</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45657</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45657</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45657</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45657</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45657</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45657</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45657</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45657</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45657</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45657</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45657</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45657</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45657</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45657</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45657</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45657</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45657</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45657</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45657</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45657</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45657</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45657</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45657</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45657</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45657</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45657</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45657</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45657</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45657</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45657</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45657</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45657</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45657</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45657</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45657</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45657</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45657</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45657</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45657</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45657</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45657</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45657</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45657</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45657</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45657</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45657</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45657</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45657</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45657</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45657</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45657</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45657</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45657</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45657</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45657</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45657</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45657</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45657</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45657</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45657</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45657</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45657</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45657</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45657</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45657</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45657</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45657</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45657</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45657</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45657</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45657</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45657</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45657</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45657</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45657</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45657</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45657</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45657</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45657</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45657</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45657</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45657</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45657</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45657</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45657</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45657</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45657</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45657</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45657</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45657</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45657</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45657</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45657</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45657</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45657</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45657</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45657</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45657</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45657</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45657</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45657</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45657</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45657</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45657</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45657</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45657</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45657</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45657</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45657</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45657</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45657</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45657</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45657</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45657</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45657</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45657</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45657</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45657</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45657</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45657</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45657</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45657</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45657</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45657</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45657</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45657</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45657</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45657</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45657</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45657</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45657</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45657</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45657</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45657</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45657</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45657</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45657</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45657</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45657</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45657</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45657</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45657</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45657</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45657</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45657</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45657</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45657</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45657</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45657</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45657</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45657</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45657</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45657</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45657</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45657</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45657</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45657</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45657</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45657</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45657</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45657</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45657</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45657</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45657</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45657</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45657</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45657</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45657</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45657</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45657</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45657</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45657</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45657</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45657</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45657</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45657</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45657</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45657</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45657</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45657</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45657</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45657</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45657</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45657</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45657</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45657</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45657</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45657</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45657</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45657</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45657</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45657</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45657</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45657</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45657</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45657</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45657</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45657</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45657</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45657</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45657</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45657</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45657</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45657</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45657</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45657</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45657</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45657</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45657</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45657</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45657</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45657</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45657</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45657</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45657</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45657</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45657</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45657</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45657</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45657</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45657</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45657</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45657</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45657</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45657</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45657</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45657</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45657</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45657</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45657</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45657</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45657</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45657</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45657</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45657</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45657</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45657</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45657</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45657</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45657</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45657</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45657</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45657</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45657</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45657</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45657</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45657</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45657</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45657</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45657</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45657</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45657</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45657</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45657</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45657</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45657</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45657</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45657</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45657</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45657</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45657</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45657</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45657</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45657</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45657</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45657</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45657</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45657</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45657</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45657</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45657</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45657</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45657</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45657</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45657</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45657</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45657</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45657</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45657</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45657</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45657</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45657</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45657</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45657</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45657</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45657</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45657</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45657</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45657</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45657</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45657</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45657</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45657</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45657</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45657</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45657</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45657</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45657</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45657</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45657</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45657</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45657</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45657</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45657</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45657</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45657</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45657</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45657</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45657</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45657</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45657</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45657</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45657</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45657</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45657</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45657</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45657</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45657</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45657</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45657</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45657</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45657</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45657</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45657</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45657</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45657</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45657</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45657</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45657</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45657</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45657</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45657</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45657</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45657</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45657</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45657</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45657</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45657</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45657</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45657</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45657</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45657</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45657</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45657</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45657</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45657</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45657</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45657</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45657</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45657</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45657</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45657</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45657</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45657</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45657</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45657</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45657</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45657</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45657</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45657</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45657</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45657</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45657</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45657</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45657</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45657</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45657</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45657</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45657</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45657</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45657</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45657</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45657</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45657</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45657</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45657</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45657</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45657</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45657</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45657</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45657</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45657</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45657</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45657</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45657</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45657</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45657</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45657</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45657</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45657</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45657</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45657</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45657</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45657</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45657</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45657</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45657</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45657</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45657</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45657</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45657</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45657</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45657</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45657</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45657</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45657</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45657</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45657</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45657</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45657</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45657</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45657</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45657</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45657</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45657</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45657</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45657</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45657</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45657</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45657</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45657</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45657</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45657</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45657</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45657</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45657</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45657</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45657</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45657</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45657</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45657</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45657</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45657</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45657</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45657</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45657</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45657</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45657</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45657</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45657</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45657</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45657</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45657</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45657</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45657</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45657</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45657</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45657</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45657</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45657</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45657</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45657</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45657</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45657</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45657</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45657</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45657</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45657</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45657</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45657</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45657</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45657</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45657</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45657</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45657</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45657</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45657</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45657</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45657</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45657</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45657</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45657</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45657</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45657</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45657</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45657</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45657</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45657</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45657</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45657</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45657</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45657</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45657</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45657</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45657</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45657</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45657</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45657</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45657</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45657</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45657</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45657</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45657</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45657</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45657</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45657</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45657</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45657</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45657</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45657</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45657</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45657</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45657</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45657</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45657</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45657</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45657</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45657</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45657</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45657</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45657</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45657</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45657</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45657</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45657</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45657</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45657</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45657</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45657</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45657</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45657</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45657</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45657</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45657</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45657</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45657</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45657</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45657</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45657</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45657</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45657</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45657</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45657</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45657</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45657</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45657</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45657</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45657</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45657</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45657</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45657</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45657</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45657</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45657</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45657</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45657</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45657</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45657</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45657</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45657</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45657</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45657</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45657</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45657</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45657</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45657</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45657</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45657</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45657</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45657</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45657</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45657</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45657</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45657</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45657</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45657</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45657</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45657</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45657</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45657</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45657</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45657</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45657</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45657</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45657</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45657</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45657</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45657</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45657</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45657</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45657</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45657</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45657</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45657</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45657</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45657</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45657</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45657</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45657</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45657</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45657</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45657</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45657</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45657</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45657</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45657</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45657</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45657</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45657</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45657</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45657</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45657</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45657</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45657</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45657</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45657</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45657</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45657</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45657</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45657</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45657</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45657</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45657</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45657</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45657</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45657</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45657</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45657</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45657</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45657</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45657</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45657</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45657</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45657</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45657</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45657</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45657</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45657</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45657</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45657</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45657</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45657</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45657</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45657</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45657</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45657</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45657</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45657</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45657</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45657</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45657</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45657</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45657</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45657</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45657</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45657</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45657</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45657</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45657</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45657</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45657</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45657</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45657</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45657</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45657</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45657</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45657</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45657</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45657</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45657</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45657</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45657</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45657</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45657</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45657</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45657</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45657</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45657</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45657</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45657</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45657</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45657</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45657</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45657</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45657</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45657</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45657</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45657</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45657</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45657</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45657</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45657</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45657</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45657</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45657</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45657</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45657</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45657</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45657</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45657</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45657</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45657</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45657</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45657</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45657</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45657</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45657</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45657</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45657</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45657</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45657</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45657</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45657</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45657</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45657</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45657</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45657</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45657</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45657</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45657</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45657</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45657</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45657</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45657</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45657</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45657</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45657</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45657</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45657</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45657</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45657</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45657</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45657</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45657</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45657</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45657</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45657</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45657</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45657</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45657</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45657</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45657</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45657</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45657</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45657</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45657</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45657</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45657</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45657</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45657</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45657</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45657</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45657</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45657</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45657</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45657</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45657</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45657</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45657</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45657</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45657</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45657</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45657</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45657</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45657</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45657</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45657</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45657</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45657</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45657</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45657</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45657</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45657</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45657</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45657</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45657</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45657</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45657</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45657</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45657</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45657</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45657</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45657</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45657</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45657</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45657</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45657</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45657</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45657</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45657</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45657</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45657</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45657</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45657</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45657</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45657</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45657</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45657</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45657</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45657</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45657</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45657</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45657</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45657</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45657</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45657</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45657</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45657</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45657</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45657</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45657</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45657</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45657</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45657</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45657</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45657</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45657</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45657</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45657</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45657</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45657</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45657</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45657</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45657</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45657</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45657</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45657</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45657</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45657</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45657</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45657</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45657</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45657</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45657</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45657</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45657</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45657</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45657</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45657</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45657</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45657</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45657</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45657</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45657</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45657</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45657</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45657</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45657</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45657</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45657</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45657</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45657</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45657</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45657</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45657</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45657</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45657</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45657</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45657</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45657</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45657</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45657</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45657</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45657</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45657</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45657</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45657</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45657</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45657</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45657</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45657</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45657</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45657</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45657</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45657</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45657</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45657</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45657</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45657</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45657</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45657</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45657</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45657</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45657</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45657</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45657</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45657</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45657</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45657</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45657</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45657</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45657</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45657</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45657</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45657</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45657</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45657</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45657</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45657</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45657</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45657</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45657</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45657</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45657</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45657</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45657</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45657</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45657</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45657</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45657</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45657</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45657</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45657</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45657</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45657</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45657</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45657</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45657</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45657</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45657</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45657</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45657</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45657</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45657</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45657</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45657</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45657</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45657</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45657</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45657</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45657</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45657</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45657</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45657</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45657</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45657</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45657</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45657</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45657</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45657</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45657</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45657</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45657</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45657</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45657</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45657</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45657</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45657</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45657</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45657</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45657</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45657</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45657</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45657</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45657</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45657</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45657</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45657</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45657</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45657</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45657</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45657</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45657</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45657</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45657</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45657</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45657</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45657</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45657</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45657</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45657</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45657</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45657</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45657</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45657</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45657</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45657</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45657</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45657</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45657</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45657</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45657</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45657</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45657</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45657</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45657</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45657</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45657</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45657</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45657</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45657</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45657</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45657</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45657</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45657</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45657</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45657</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45657</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45657</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45657</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45657</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45657</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45657</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45657</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45657</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45657</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45657</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45657</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45657</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45657</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45657</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45657</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45657</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45657</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45657</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45657</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45657</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45657</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45657</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45657</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45657</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45657</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45657</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45657</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45657</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45657</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45657</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45657</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45657</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45657</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45657</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45657</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45657</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45657</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45657</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45657</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45657</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45657</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45657</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45657</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45657</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45657</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45657</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45657</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45657</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45657</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45657</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45657</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45657</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45657</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45657</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45657</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45657</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45657</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45657</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45657</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45657</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45657</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45657</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45657</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45657</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45657</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45657</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45657</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45657</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45657</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45657</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45657</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45657</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45657</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45657</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45657</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45657</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45657</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45657</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45657</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45657</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45657</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45657</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45657</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45657</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45657</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45657</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45657</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45657</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45657</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45657</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45657</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45657</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45657</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45657</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45657</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45657</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45657</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45657</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45657</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45657</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45657</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45657</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45657</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45657</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45657</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45657</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45657</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45657</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45657</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45657</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45657</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45657</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45657</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45657</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45657</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45657</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45657</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45657</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45657</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45657</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45657</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45657</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45657</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45657</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45657</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45657</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45657</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45657</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45657</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45657</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45657</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45657</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45657</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45657</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45657</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45657</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45657</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45657</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45657</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45657</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45657</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45657</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45657</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45657</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45657</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45657</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45657</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45657</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45657</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45657</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45657</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45657</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45657</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45657</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45657</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45657</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45657</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45657</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45657</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45657</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45657</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45657</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45657</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45657</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45657</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45657</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45657</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45657</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45657</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45657</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45657</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45657</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45657</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45657</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45657</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45657</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45657</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45657</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45657</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45657</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45657</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45657</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45657</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45657</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45657</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45657</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45657</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45657</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45657</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45657</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45657</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45657</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45657</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45657</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45657</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45657</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45657</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45657</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45657</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45657</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45657</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45657</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45657</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45657</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45657</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45657</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45657</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45657</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45657</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45657</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45657</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45657</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45657</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45657</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45657</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45657</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45657</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45657</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45657</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45657</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45657</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45657</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45657</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45657</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45657</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45657</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45657</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45657</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45657</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45657</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45657</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45657</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45657</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45657</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45657</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45657</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45657</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45657</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45657</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45657</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45657</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45657</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45657</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45657</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45657</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45657</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45657</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45657</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45657</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45657</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45657</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45657</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45657</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45657</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45657</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45657</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45657</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45657</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45657</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45657</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45657</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45657</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45657</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45657</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45657</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45657</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45657</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45657</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45657</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45657</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45657</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45657</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45657</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45657</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45657</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45657</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45657</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45657</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45657</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45657</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45657</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45657</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45657</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45657</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45657</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45657</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45657</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45657</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45657</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45657</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45657</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45657</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45657</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45657</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45657</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45657</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45657</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45657</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45657</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45657</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45657</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45657</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45657</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45657</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45657</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45657</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45657</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45657</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45657</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45657</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45657</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45657</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45657</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45657</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45657</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45657</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45657</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45657</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45657</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45657</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45657</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45657</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45657</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45657</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45657</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45657</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45657</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45657</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45657</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45657</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45657</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45657</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45657</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45657</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45657</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45657</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45657</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45657</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45657</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45657</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45657</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45657</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45657</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45657</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45657</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45657</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45657</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45657</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45657</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45657</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45657</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45657</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45657</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45657</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45657</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45657</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45657</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45657</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45657</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45657</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45657</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45657</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45657</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45657</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45657</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45657</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45657</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45657</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45657</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45657</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45657</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45657</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45657</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45657</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45657</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45657</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45657</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45657</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45657</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45657</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45657</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45657</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45657</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45657</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45657</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45657</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45657</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45657</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45657</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45657</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45657</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45657</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45657</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45657</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45657</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45657</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45657</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45657</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45657</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45657</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45657</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45657</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45657</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45657</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45657</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45657</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45657</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45657</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45657</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45657</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45657</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45657</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45657</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45657</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45657</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45657</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45657</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45657</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45657</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45657</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45657</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45657</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45657</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45657</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45657</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45657</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45657</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45657</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56939-2024</t>
        </is>
      </c>
      <c r="B4806" s="1" t="n">
        <v>45628</v>
      </c>
      <c r="C4806" s="1" t="n">
        <v>45657</v>
      </c>
      <c r="D4806" t="inlineStr">
        <is>
          <t>VÄSTMANLANDS LÄN</t>
        </is>
      </c>
      <c r="E4806" t="inlineStr">
        <is>
          <t>VÄSTERÅS</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56945-2024</t>
        </is>
      </c>
      <c r="B4807" s="1" t="n">
        <v>45628</v>
      </c>
      <c r="C4807" s="1" t="n">
        <v>45657</v>
      </c>
      <c r="D4807" t="inlineStr">
        <is>
          <t>VÄSTMANLANDS LÄN</t>
        </is>
      </c>
      <c r="E4807" t="inlineStr">
        <is>
          <t>VÄSTERÅS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56982-2024</t>
        </is>
      </c>
      <c r="B4808" s="1" t="n">
        <v>45628</v>
      </c>
      <c r="C4808" s="1" t="n">
        <v>45657</v>
      </c>
      <c r="D4808" t="inlineStr">
        <is>
          <t>VÄSTMANLANDS LÄN</t>
        </is>
      </c>
      <c r="E4808" t="inlineStr">
        <is>
          <t>ARBOGA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56902-2024</t>
        </is>
      </c>
      <c r="B4809" s="1" t="n">
        <v>45628</v>
      </c>
      <c r="C4809" s="1" t="n">
        <v>45657</v>
      </c>
      <c r="D4809" t="inlineStr">
        <is>
          <t>VÄSTMANLANDS LÄN</t>
        </is>
      </c>
      <c r="E4809" t="inlineStr">
        <is>
          <t>VÄSTERÅS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56931-2024</t>
        </is>
      </c>
      <c r="B4810" s="1" t="n">
        <v>45628</v>
      </c>
      <c r="C4810" s="1" t="n">
        <v>45657</v>
      </c>
      <c r="D4810" t="inlineStr">
        <is>
          <t>VÄSTMANLANDS LÄN</t>
        </is>
      </c>
      <c r="E4810" t="inlineStr">
        <is>
          <t>SKINNSKATTEBERG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56798-2024</t>
        </is>
      </c>
      <c r="B4811" s="1" t="n">
        <v>45628</v>
      </c>
      <c r="C4811" s="1" t="n">
        <v>45657</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56814-2024</t>
        </is>
      </c>
      <c r="B4812" s="1" t="n">
        <v>45628</v>
      </c>
      <c r="C4812" s="1" t="n">
        <v>45657</v>
      </c>
      <c r="D4812" t="inlineStr">
        <is>
          <t>VÄSTMANLANDS LÄN</t>
        </is>
      </c>
      <c r="E4812" t="inlineStr">
        <is>
          <t>SALA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45657</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45657</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57039-2024</t>
        </is>
      </c>
      <c r="B4815" s="1" t="n">
        <v>45629</v>
      </c>
      <c r="C4815" s="1" t="n">
        <v>45657</v>
      </c>
      <c r="D4815" t="inlineStr">
        <is>
          <t>VÄSTMANLANDS LÄN</t>
        </is>
      </c>
      <c r="E4815" t="inlineStr">
        <is>
          <t>ARBOGA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57160-2024</t>
        </is>
      </c>
      <c r="B4816" s="1" t="n">
        <v>45629</v>
      </c>
      <c r="C4816" s="1" t="n">
        <v>45657</v>
      </c>
      <c r="D4816" t="inlineStr">
        <is>
          <t>VÄSTMANLANDS LÄN</t>
        </is>
      </c>
      <c r="E4816" t="inlineStr">
        <is>
          <t>HALLSTAHAMMAR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57256-2024</t>
        </is>
      </c>
      <c r="B4817" s="1" t="n">
        <v>45629</v>
      </c>
      <c r="C4817" s="1" t="n">
        <v>45657</v>
      </c>
      <c r="D4817" t="inlineStr">
        <is>
          <t>VÄSTMANLANDS LÄN</t>
        </is>
      </c>
      <c r="E4817" t="inlineStr">
        <is>
          <t>ARBOGA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57044-2024</t>
        </is>
      </c>
      <c r="B4818" s="1" t="n">
        <v>45629</v>
      </c>
      <c r="C4818" s="1" t="n">
        <v>45657</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45657</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45657</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45657</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57636-2024</t>
        </is>
      </c>
      <c r="B4822" s="1" t="n">
        <v>45630</v>
      </c>
      <c r="C4822" s="1" t="n">
        <v>45657</v>
      </c>
      <c r="D4822" t="inlineStr">
        <is>
          <t>VÄSTMANLANDS LÄN</t>
        </is>
      </c>
      <c r="E4822" t="inlineStr">
        <is>
          <t>VÄSTERÅS</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57596-2024</t>
        </is>
      </c>
      <c r="B4823" s="1" t="n">
        <v>45630</v>
      </c>
      <c r="C4823" s="1" t="n">
        <v>45657</v>
      </c>
      <c r="D4823" t="inlineStr">
        <is>
          <t>VÄSTMANLANDS LÄN</t>
        </is>
      </c>
      <c r="E4823" t="inlineStr">
        <is>
          <t>ARBOGA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57496-2024</t>
        </is>
      </c>
      <c r="B4824" s="1" t="n">
        <v>45630</v>
      </c>
      <c r="C4824" s="1" t="n">
        <v>45657</v>
      </c>
      <c r="D4824" t="inlineStr">
        <is>
          <t>VÄSTMANLANDS LÄN</t>
        </is>
      </c>
      <c r="E4824" t="inlineStr">
        <is>
          <t>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45657</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45657</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45657</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45657</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45657</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45657</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45657</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57990-2024</t>
        </is>
      </c>
      <c r="B4832" s="1" t="n">
        <v>45631</v>
      </c>
      <c r="C4832" s="1" t="n">
        <v>45657</v>
      </c>
      <c r="D4832" t="inlineStr">
        <is>
          <t>VÄSTMANLANDS LÄN</t>
        </is>
      </c>
      <c r="E4832" t="inlineStr">
        <is>
          <t>NORBERG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45657</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45657</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57975-2024</t>
        </is>
      </c>
      <c r="B4835" s="1" t="n">
        <v>45631</v>
      </c>
      <c r="C4835" s="1" t="n">
        <v>45657</v>
      </c>
      <c r="D4835" t="inlineStr">
        <is>
          <t>VÄSTMANLANDS LÄN</t>
        </is>
      </c>
      <c r="E4835" t="inlineStr">
        <is>
          <t>VÄSTERÅS</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45657</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57948-2024</t>
        </is>
      </c>
      <c r="B4837" s="1" t="n">
        <v>45631</v>
      </c>
      <c r="C4837" s="1" t="n">
        <v>45657</v>
      </c>
      <c r="D4837" t="inlineStr">
        <is>
          <t>VÄSTMANLANDS LÄN</t>
        </is>
      </c>
      <c r="E4837" t="inlineStr">
        <is>
          <t>SALA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45657</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58241-2024</t>
        </is>
      </c>
      <c r="B4839" s="1" t="n">
        <v>45632</v>
      </c>
      <c r="C4839" s="1" t="n">
        <v>45657</v>
      </c>
      <c r="D4839" t="inlineStr">
        <is>
          <t>VÄSTMANLANDS LÄN</t>
        </is>
      </c>
      <c r="E4839" t="inlineStr">
        <is>
          <t>ARBOGA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58310-2024</t>
        </is>
      </c>
      <c r="B4840" s="1" t="n">
        <v>45632</v>
      </c>
      <c r="C4840" s="1" t="n">
        <v>45657</v>
      </c>
      <c r="D4840" t="inlineStr">
        <is>
          <t>VÄSTMANLANDS LÄN</t>
        </is>
      </c>
      <c r="E4840" t="inlineStr">
        <is>
          <t>FAGERSTA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58126-2024</t>
        </is>
      </c>
      <c r="B4841" s="1" t="n">
        <v>45632</v>
      </c>
      <c r="C4841" s="1" t="n">
        <v>45657</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58262-2024</t>
        </is>
      </c>
      <c r="B4842" s="1" t="n">
        <v>45632</v>
      </c>
      <c r="C4842" s="1" t="n">
        <v>45657</v>
      </c>
      <c r="D4842" t="inlineStr">
        <is>
          <t>VÄSTMANLANDS LÄN</t>
        </is>
      </c>
      <c r="E4842" t="inlineStr">
        <is>
          <t>ARBOGA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58305-2024</t>
        </is>
      </c>
      <c r="B4843" s="1" t="n">
        <v>45632</v>
      </c>
      <c r="C4843" s="1" t="n">
        <v>45657</v>
      </c>
      <c r="D4843" t="inlineStr">
        <is>
          <t>VÄSTMANLANDS LÄN</t>
        </is>
      </c>
      <c r="E4843" t="inlineStr">
        <is>
          <t>FAGERSTA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45657</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58594-2024</t>
        </is>
      </c>
      <c r="B4845" s="1" t="n">
        <v>45635</v>
      </c>
      <c r="C4845" s="1" t="n">
        <v>45657</v>
      </c>
      <c r="D4845" t="inlineStr">
        <is>
          <t>VÄSTMANLANDS LÄN</t>
        </is>
      </c>
      <c r="E4845" t="inlineStr">
        <is>
          <t>FAGERSTA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58651-2024</t>
        </is>
      </c>
      <c r="B4846" s="1" t="n">
        <v>45635</v>
      </c>
      <c r="C4846" s="1" t="n">
        <v>45657</v>
      </c>
      <c r="D4846" t="inlineStr">
        <is>
          <t>VÄSTMANLANDS LÄN</t>
        </is>
      </c>
      <c r="E4846" t="inlineStr">
        <is>
          <t>SALA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58460-2024</t>
        </is>
      </c>
      <c r="B4847" s="1" t="n">
        <v>45635</v>
      </c>
      <c r="C4847" s="1" t="n">
        <v>45657</v>
      </c>
      <c r="D4847" t="inlineStr">
        <is>
          <t>VÄSTMANLANDS LÄN</t>
        </is>
      </c>
      <c r="E4847" t="inlineStr">
        <is>
          <t>FAGERSTA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58464-2024</t>
        </is>
      </c>
      <c r="B4848" s="1" t="n">
        <v>45635</v>
      </c>
      <c r="C4848" s="1" t="n">
        <v>45657</v>
      </c>
      <c r="D4848" t="inlineStr">
        <is>
          <t>VÄSTMANLANDS LÄN</t>
        </is>
      </c>
      <c r="E4848" t="inlineStr">
        <is>
          <t>FAGERSTA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58468-2024</t>
        </is>
      </c>
      <c r="B4849" s="1" t="n">
        <v>45635</v>
      </c>
      <c r="C4849" s="1" t="n">
        <v>45657</v>
      </c>
      <c r="D4849" t="inlineStr">
        <is>
          <t>VÄSTMANLANDS LÄN</t>
        </is>
      </c>
      <c r="E4849" t="inlineStr">
        <is>
          <t>FAGERSTA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45657</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45657</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45657</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45657</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45657</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45657</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45657</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45657</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59740-2024</t>
        </is>
      </c>
      <c r="B4858" s="1" t="n">
        <v>45639</v>
      </c>
      <c r="C4858" s="1" t="n">
        <v>45657</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59805-2024</t>
        </is>
      </c>
      <c r="B4859" s="1" t="n">
        <v>45639</v>
      </c>
      <c r="C4859" s="1" t="n">
        <v>45657</v>
      </c>
      <c r="D4859" t="inlineStr">
        <is>
          <t>VÄSTMANLANDS LÄN</t>
        </is>
      </c>
      <c r="E4859" t="inlineStr">
        <is>
          <t>KUNGSÖR</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59705-2024</t>
        </is>
      </c>
      <c r="B4860" s="1" t="n">
        <v>45639</v>
      </c>
      <c r="C4860" s="1" t="n">
        <v>45657</v>
      </c>
      <c r="D4860" t="inlineStr">
        <is>
          <t>VÄSTMANLANDS LÄN</t>
        </is>
      </c>
      <c r="E4860" t="inlineStr">
        <is>
          <t>NORBERG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59747-2024</t>
        </is>
      </c>
      <c r="B4861" s="1" t="n">
        <v>45639</v>
      </c>
      <c r="C4861" s="1" t="n">
        <v>45657</v>
      </c>
      <c r="D4861" t="inlineStr">
        <is>
          <t>VÄSTMANLANDS LÄN</t>
        </is>
      </c>
      <c r="E4861" t="inlineStr">
        <is>
          <t>VÄSTERÅS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59741-2024</t>
        </is>
      </c>
      <c r="B4862" s="1" t="n">
        <v>45639</v>
      </c>
      <c r="C4862" s="1" t="n">
        <v>45657</v>
      </c>
      <c r="D4862" t="inlineStr">
        <is>
          <t>VÄSTMANLANDS LÄN</t>
        </is>
      </c>
      <c r="E4862" t="inlineStr">
        <is>
          <t>VÄSTERÅS</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45657</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60030-2024</t>
        </is>
      </c>
      <c r="B4864" s="1" t="n">
        <v>45642</v>
      </c>
      <c r="C4864" s="1" t="n">
        <v>45657</v>
      </c>
      <c r="D4864" t="inlineStr">
        <is>
          <t>VÄSTMANLANDS LÄN</t>
        </is>
      </c>
      <c r="E4864" t="inlineStr">
        <is>
          <t>SURAHAMMAR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60034-2024</t>
        </is>
      </c>
      <c r="B4865" s="1" t="n">
        <v>45642</v>
      </c>
      <c r="C4865" s="1" t="n">
        <v>45657</v>
      </c>
      <c r="D4865" t="inlineStr">
        <is>
          <t>VÄSTMANLANDS LÄN</t>
        </is>
      </c>
      <c r="E4865" t="inlineStr">
        <is>
          <t>SALA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60036-2024</t>
        </is>
      </c>
      <c r="B4866" s="1" t="n">
        <v>45642</v>
      </c>
      <c r="C4866" s="1" t="n">
        <v>45657</v>
      </c>
      <c r="D4866" t="inlineStr">
        <is>
          <t>VÄSTMANLANDS LÄN</t>
        </is>
      </c>
      <c r="E4866" t="inlineStr">
        <is>
          <t>SALA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45657</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45657</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60541-2024</t>
        </is>
      </c>
      <c r="B4869" s="1" t="n">
        <v>45643</v>
      </c>
      <c r="C4869" s="1" t="n">
        <v>45657</v>
      </c>
      <c r="D4869" t="inlineStr">
        <is>
          <t>VÄSTMANLANDS LÄN</t>
        </is>
      </c>
      <c r="E4869" t="inlineStr">
        <is>
          <t>SALA</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60545-2024</t>
        </is>
      </c>
      <c r="B4870" s="1" t="n">
        <v>45643</v>
      </c>
      <c r="C4870" s="1" t="n">
        <v>45657</v>
      </c>
      <c r="D4870" t="inlineStr">
        <is>
          <t>VÄSTMANLANDS LÄN</t>
        </is>
      </c>
      <c r="E4870" t="inlineStr">
        <is>
          <t>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60547-2024</t>
        </is>
      </c>
      <c r="B4871" s="1" t="n">
        <v>45643</v>
      </c>
      <c r="C4871" s="1" t="n">
        <v>45657</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60550-2024</t>
        </is>
      </c>
      <c r="B4872" s="1" t="n">
        <v>45643</v>
      </c>
      <c r="C4872" s="1" t="n">
        <v>45657</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60548-2024</t>
        </is>
      </c>
      <c r="B4873" s="1" t="n">
        <v>45643</v>
      </c>
      <c r="C4873" s="1" t="n">
        <v>45657</v>
      </c>
      <c r="D4873" t="inlineStr">
        <is>
          <t>VÄSTMANLANDS LÄN</t>
        </is>
      </c>
      <c r="E4873" t="inlineStr">
        <is>
          <t>SALA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60818-2024</t>
        </is>
      </c>
      <c r="B4874" s="1" t="n">
        <v>45644</v>
      </c>
      <c r="C4874" s="1" t="n">
        <v>45657</v>
      </c>
      <c r="D4874" t="inlineStr">
        <is>
          <t>VÄSTMANLANDS LÄN</t>
        </is>
      </c>
      <c r="E4874" t="inlineStr">
        <is>
          <t>SALA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60852-2024</t>
        </is>
      </c>
      <c r="B4875" s="1" t="n">
        <v>45644</v>
      </c>
      <c r="C4875" s="1" t="n">
        <v>45657</v>
      </c>
      <c r="D4875" t="inlineStr">
        <is>
          <t>VÄSTMANLANDS LÄN</t>
        </is>
      </c>
      <c r="E4875" t="inlineStr">
        <is>
          <t>SALA</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45657</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45657</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45657</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45657</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61006-2024</t>
        </is>
      </c>
      <c r="B4880" s="1" t="n">
        <v>45645</v>
      </c>
      <c r="C4880" s="1" t="n">
        <v>45657</v>
      </c>
      <c r="D4880" t="inlineStr">
        <is>
          <t>VÄSTMANLANDS LÄN</t>
        </is>
      </c>
      <c r="E4880" t="inlineStr">
        <is>
          <t>ARBOGA</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61001-2024</t>
        </is>
      </c>
      <c r="B4881" s="1" t="n">
        <v>45645</v>
      </c>
      <c r="C4881" s="1" t="n">
        <v>45657</v>
      </c>
      <c r="D4881" t="inlineStr">
        <is>
          <t>VÄSTMANLANDS LÄN</t>
        </is>
      </c>
      <c r="E4881" t="inlineStr">
        <is>
          <t>VÄSTERÅS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61018-2024</t>
        </is>
      </c>
      <c r="B4882" s="1" t="n">
        <v>45645</v>
      </c>
      <c r="C4882" s="1" t="n">
        <v>45657</v>
      </c>
      <c r="D4882" t="inlineStr">
        <is>
          <t>VÄSTMANLANDS LÄN</t>
        </is>
      </c>
      <c r="E4882" t="inlineStr">
        <is>
          <t>ARBOGA</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45657</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61029-2024</t>
        </is>
      </c>
      <c r="B4884" s="1" t="n">
        <v>45645</v>
      </c>
      <c r="C4884" s="1" t="n">
        <v>45657</v>
      </c>
      <c r="D4884" t="inlineStr">
        <is>
          <t>VÄSTMANLANDS LÄN</t>
        </is>
      </c>
      <c r="E4884" t="inlineStr">
        <is>
          <t>VÄSTERÅS</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61059-2024</t>
        </is>
      </c>
      <c r="B4885" s="1" t="n">
        <v>45645</v>
      </c>
      <c r="C4885" s="1" t="n">
        <v>45657</v>
      </c>
      <c r="D4885" t="inlineStr">
        <is>
          <t>VÄSTMANLANDS LÄN</t>
        </is>
      </c>
      <c r="E4885" t="inlineStr">
        <is>
          <t>VÄSTERÅS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61223-2024</t>
        </is>
      </c>
      <c r="B4886" s="1" t="n">
        <v>45645</v>
      </c>
      <c r="C4886" s="1" t="n">
        <v>45657</v>
      </c>
      <c r="D4886" t="inlineStr">
        <is>
          <t>VÄSTMANLANDS LÄN</t>
        </is>
      </c>
      <c r="E4886" t="inlineStr">
        <is>
          <t>KUNGSÖR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61262-2024</t>
        </is>
      </c>
      <c r="B4887" s="1" t="n">
        <v>45645</v>
      </c>
      <c r="C4887" s="1" t="n">
        <v>45657</v>
      </c>
      <c r="D4887" t="inlineStr">
        <is>
          <t>VÄSTMANLANDS LÄN</t>
        </is>
      </c>
      <c r="E4887" t="inlineStr">
        <is>
          <t>KUNGSÖR</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61517-2024</t>
        </is>
      </c>
      <c r="B4888" s="1" t="n">
        <v>45645</v>
      </c>
      <c r="C4888" s="1" t="n">
        <v>45657</v>
      </c>
      <c r="D4888" t="inlineStr">
        <is>
          <t>VÄSTMANLANDS LÄN</t>
        </is>
      </c>
      <c r="E4888" t="inlineStr">
        <is>
          <t>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61264-2024</t>
        </is>
      </c>
      <c r="B4889" s="1" t="n">
        <v>45645</v>
      </c>
      <c r="C4889" s="1" t="n">
        <v>45657</v>
      </c>
      <c r="D4889" t="inlineStr">
        <is>
          <t>VÄSTMANLANDS LÄN</t>
        </is>
      </c>
      <c r="E4889" t="inlineStr">
        <is>
          <t>KUNGSÖR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45657</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45657</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45657</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61681-2024</t>
        </is>
      </c>
      <c r="B4893" s="1" t="n">
        <v>45647</v>
      </c>
      <c r="C4893" s="1" t="n">
        <v>45657</v>
      </c>
      <c r="D4893" t="inlineStr">
        <is>
          <t>VÄSTMANLANDS LÄN</t>
        </is>
      </c>
      <c r="E4893" t="inlineStr">
        <is>
          <t>SALA</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45657</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45657</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45657</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45657</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61994-2024</t>
        </is>
      </c>
      <c r="B4898" s="1" t="n">
        <v>45653</v>
      </c>
      <c r="C4898" s="1" t="n">
        <v>45657</v>
      </c>
      <c r="D4898" t="inlineStr">
        <is>
          <t>VÄSTMANLANDS LÄN</t>
        </is>
      </c>
      <c r="E4898" t="inlineStr">
        <is>
          <t>ARBOGA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62004-2024</t>
        </is>
      </c>
      <c r="B4899" s="1" t="n">
        <v>45655</v>
      </c>
      <c r="C4899" s="1" t="n">
        <v>45657</v>
      </c>
      <c r="D4899" t="inlineStr">
        <is>
          <t>VÄSTMANLANDS LÄN</t>
        </is>
      </c>
      <c r="E4899" t="inlineStr">
        <is>
          <t>KÖPING</t>
        </is>
      </c>
      <c r="G4899" t="n">
        <v>2</v>
      </c>
      <c r="H4899" t="n">
        <v>0</v>
      </c>
      <c r="I4899" t="n">
        <v>0</v>
      </c>
      <c r="J4899" t="n">
        <v>0</v>
      </c>
      <c r="K4899" t="n">
        <v>0</v>
      </c>
      <c r="L4899" t="n">
        <v>0</v>
      </c>
      <c r="M4899" t="n">
        <v>0</v>
      </c>
      <c r="N4899" t="n">
        <v>0</v>
      </c>
      <c r="O4899" t="n">
        <v>0</v>
      </c>
      <c r="P4899" t="n">
        <v>0</v>
      </c>
      <c r="Q4899" t="n">
        <v>0</v>
      </c>
      <c r="R4899" s="2" t="inlineStr"/>
    </row>
    <row r="4900">
      <c r="A4900" t="inlineStr">
        <is>
          <t>A 62057-2024</t>
        </is>
      </c>
      <c r="B4900" s="1" t="n">
        <v>45656</v>
      </c>
      <c r="C4900" s="1" t="n">
        <v>45657</v>
      </c>
      <c r="D4900" t="inlineStr">
        <is>
          <t>VÄSTMANLANDS LÄN</t>
        </is>
      </c>
      <c r="E4900" t="inlineStr">
        <is>
          <t>KÖPING</t>
        </is>
      </c>
      <c r="G4900" t="n">
        <v>0.8</v>
      </c>
      <c r="H4900" t="n">
        <v>0</v>
      </c>
      <c r="I4900" t="n">
        <v>0</v>
      </c>
      <c r="J4900" t="n">
        <v>0</v>
      </c>
      <c r="K4900" t="n">
        <v>0</v>
      </c>
      <c r="L4900" t="n">
        <v>0</v>
      </c>
      <c r="M4900" t="n">
        <v>0</v>
      </c>
      <c r="N4900" t="n">
        <v>0</v>
      </c>
      <c r="O4900" t="n">
        <v>0</v>
      </c>
      <c r="P4900" t="n">
        <v>0</v>
      </c>
      <c r="Q4900" t="n">
        <v>0</v>
      </c>
      <c r="R4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2024-12-31T15:47:27Z</dcterms:created>
  <dcterms:modified xmlns:dcterms="http://purl.org/dc/terms/" xmlns:xsi="http://www.w3.org/2001/XMLSchema-instance" xsi:type="dcterms:W3CDTF">2024-12-31T15:47:32Z</dcterms:modified>
</cp:coreProperties>
</file>