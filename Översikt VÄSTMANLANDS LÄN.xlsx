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45661</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45661</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45661</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45661</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45661</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45661</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45661</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45661</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45661</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45661</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45661</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45661</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45661</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45661</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45661</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45661</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45661</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45661</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45661</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45661</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45661</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45661</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45661</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45661</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45661</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45661</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45661</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45661</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45661</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45661</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45661</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45661</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45661</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45661</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45661</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45661</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45661</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45661</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45661</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45661</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45661</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45661</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45661</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45661</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45661</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45661</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45661</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45661</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45661</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45661</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45661</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45661</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45661</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45661</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45661</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45661</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45661</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45661</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45661</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45661</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45661</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45661</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45661</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45661</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45661</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45661</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45661</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45661</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45661</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45661</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45661</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45661</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45661</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45661</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45661</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45661</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45661</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45661</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45661</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45661</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45661</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45661</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45661</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45661</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45661</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45661</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45661</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45661</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45661</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45661</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45661</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45661</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45661</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45661</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45661</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45661</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45661</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45661</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45661</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45661</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45661</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45661</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45661</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45661</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45661</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45661</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45661</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45661</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45661</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45661</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45661</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45661</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45661</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45661</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45661</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45661</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45661</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45661</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45661</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45661</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45661</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45661</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45661</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45661</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45661</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45661</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45661</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45661</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45661</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45661</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45661</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45661</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45661</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45661</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45661</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45661</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45661</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45661</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45661</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45661</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45661</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45661</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45661</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45661</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45661</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45661</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45661</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45661</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45661</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45661</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45661</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45661</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45661</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45661</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45661</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45661</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45661</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45661</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45661</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45661</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45661</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45661</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45661</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45661</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45661</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45661</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45661</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45661</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45661</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45661</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45661</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45661</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45661</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45661</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45661</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45661</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45661</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45661</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45661</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45661</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45661</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45661</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45661</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45661</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45661</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45661</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45661</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45661</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45661</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45661</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45661</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45661</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45661</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45661</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45661</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45661</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45661</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45661</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45661</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45661</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45661</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45661</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45661</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45661</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45661</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45661</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45661</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45661</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45661</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45661</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45661</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45661</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45661</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45661</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45661</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45661</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45661</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45661</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45661</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45661</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45661</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45661</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45661</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45661</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45661</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45661</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45661</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45661</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45661</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45661</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45661</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45661</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45661</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45661</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45661</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45661</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45661</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45661</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45661</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45661</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45661</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45661</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45661</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45661</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45661</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45661</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45661</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45661</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45661</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45661</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45661</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45661</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45661</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45661</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45661</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45661</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45661</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45661</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45661</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45661</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45661</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45661</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45661</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45661</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45661</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45661</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45661</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45661</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45661</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45661</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45661</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45661</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45661</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45661</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45661</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45661</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45661</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45661</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45661</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45661</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45661</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45661</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45661</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45661</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45661</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45661</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45661</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45661</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45661</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45661</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45661</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45661</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45661</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45661</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45661</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45661</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45661</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45661</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45661</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45661</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45661</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45661</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45661</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45661</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45661</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45661</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45661</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45661</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45661</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45661</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45661</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45661</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45661</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45661</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45661</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45661</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45661</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45661</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45661</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45661</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45661</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45661</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45661</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45661</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45661</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45661</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45661</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45661</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45661</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45661</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45661</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45661</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45661</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45661</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45661</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45661</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45661</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45661</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45661</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45661</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45661</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45661</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45661</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45661</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45661</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45661</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45661</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45661</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45661</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45661</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45661</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45661</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45661</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45661</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45661</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45661</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45661</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45661</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45661</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45661</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45661</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45661</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45661</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45661</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45661</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45661</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45661</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45661</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45661</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45661</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45661</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45661</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45661</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45661</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45661</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45661</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45661</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45661</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45661</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45661</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45661</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45661</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45661</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45661</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45661</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45661</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58122-2024</t>
        </is>
      </c>
      <c r="B398" s="1" t="n">
        <v>45632</v>
      </c>
      <c r="C398" s="1" t="n">
        <v>45661</v>
      </c>
      <c r="D398" t="inlineStr">
        <is>
          <t>VÄSTMANLANDS LÄN</t>
        </is>
      </c>
      <c r="E398" t="inlineStr">
        <is>
          <t>KÖPING</t>
        </is>
      </c>
      <c r="G398" t="n">
        <v>5.7</v>
      </c>
      <c r="H398" t="n">
        <v>1</v>
      </c>
      <c r="I398" t="n">
        <v>0</v>
      </c>
      <c r="J398" t="n">
        <v>0</v>
      </c>
      <c r="K398" t="n">
        <v>0</v>
      </c>
      <c r="L398" t="n">
        <v>0</v>
      </c>
      <c r="M398" t="n">
        <v>0</v>
      </c>
      <c r="N398" t="n">
        <v>0</v>
      </c>
      <c r="O398" t="n">
        <v>0</v>
      </c>
      <c r="P398" t="n">
        <v>0</v>
      </c>
      <c r="Q398" t="n">
        <v>1</v>
      </c>
      <c r="R398" s="2" t="inlineStr">
        <is>
          <t>Vanlig groda</t>
        </is>
      </c>
      <c r="S398">
        <f>HYPERLINK("https://klasma.github.io/Logging_1983/artfynd/A 58122-2024 artfynd.xlsx", "A 58122-2024")</f>
        <v/>
      </c>
      <c r="T398">
        <f>HYPERLINK("https://klasma.github.io/Logging_1983/kartor/A 58122-2024 karta.png", "A 58122-2024")</f>
        <v/>
      </c>
      <c r="V398">
        <f>HYPERLINK("https://klasma.github.io/Logging_1983/klagomål/A 58122-2024 FSC-klagomål.docx", "A 58122-2024")</f>
        <v/>
      </c>
      <c r="W398">
        <f>HYPERLINK("https://klasma.github.io/Logging_1983/klagomålsmail/A 58122-2024 FSC-klagomål mail.docx", "A 58122-2024")</f>
        <v/>
      </c>
      <c r="X398">
        <f>HYPERLINK("https://klasma.github.io/Logging_1983/tillsyn/A 58122-2024 tillsynsbegäran.docx", "A 58122-2024")</f>
        <v/>
      </c>
      <c r="Y398">
        <f>HYPERLINK("https://klasma.github.io/Logging_1983/tillsynsmail/A 58122-2024 tillsynsbegäran mail.docx", "A 58122-2024")</f>
        <v/>
      </c>
    </row>
    <row r="399" ht="15" customHeight="1">
      <c r="A399" t="inlineStr">
        <is>
          <t>A 58307-2024</t>
        </is>
      </c>
      <c r="B399" s="1" t="n">
        <v>45632</v>
      </c>
      <c r="C399" s="1" t="n">
        <v>45661</v>
      </c>
      <c r="D399" t="inlineStr">
        <is>
          <t>VÄSTMANLANDS LÄN</t>
        </is>
      </c>
      <c r="E399" t="inlineStr">
        <is>
          <t>FAGERSTA</t>
        </is>
      </c>
      <c r="G399" t="n">
        <v>1</v>
      </c>
      <c r="H399" t="n">
        <v>0</v>
      </c>
      <c r="I399" t="n">
        <v>1</v>
      </c>
      <c r="J399" t="n">
        <v>0</v>
      </c>
      <c r="K399" t="n">
        <v>0</v>
      </c>
      <c r="L399" t="n">
        <v>0</v>
      </c>
      <c r="M399" t="n">
        <v>0</v>
      </c>
      <c r="N399" t="n">
        <v>0</v>
      </c>
      <c r="O399" t="n">
        <v>0</v>
      </c>
      <c r="P399" t="n">
        <v>0</v>
      </c>
      <c r="Q399" t="n">
        <v>1</v>
      </c>
      <c r="R399" s="2" t="inlineStr">
        <is>
          <t>Mindre märgborre</t>
        </is>
      </c>
      <c r="S399">
        <f>HYPERLINK("https://klasma.github.io/Logging_1982/artfynd/A 58307-2024 artfynd.xlsx", "A 58307-2024")</f>
        <v/>
      </c>
      <c r="T399">
        <f>HYPERLINK("https://klasma.github.io/Logging_1982/kartor/A 58307-2024 karta.png", "A 58307-2024")</f>
        <v/>
      </c>
      <c r="V399">
        <f>HYPERLINK("https://klasma.github.io/Logging_1982/klagomål/A 58307-2024 FSC-klagomål.docx", "A 58307-2024")</f>
        <v/>
      </c>
      <c r="W399">
        <f>HYPERLINK("https://klasma.github.io/Logging_1982/klagomålsmail/A 58307-2024 FSC-klagomål mail.docx", "A 58307-2024")</f>
        <v/>
      </c>
      <c r="X399">
        <f>HYPERLINK("https://klasma.github.io/Logging_1982/tillsyn/A 58307-2024 tillsynsbegäran.docx", "A 58307-2024")</f>
        <v/>
      </c>
      <c r="Y399">
        <f>HYPERLINK("https://klasma.github.io/Logging_1982/tillsynsmail/A 58307-2024 tillsynsbegäran mail.docx", "A 58307-2024")</f>
        <v/>
      </c>
    </row>
    <row r="400" ht="15" customHeight="1">
      <c r="A400" t="inlineStr">
        <is>
          <t>A 58711-2024</t>
        </is>
      </c>
      <c r="B400" s="1" t="n">
        <v>45635</v>
      </c>
      <c r="C400" s="1" t="n">
        <v>45661</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45661</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45661</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61577-2024</t>
        </is>
      </c>
      <c r="B403" s="1" t="n">
        <v>45646</v>
      </c>
      <c r="C403" s="1" t="n">
        <v>45661</v>
      </c>
      <c r="D403" t="inlineStr">
        <is>
          <t>VÄSTMANLANDS LÄN</t>
        </is>
      </c>
      <c r="E403" t="inlineStr">
        <is>
          <t>KÖPING</t>
        </is>
      </c>
      <c r="G403" t="n">
        <v>5.6</v>
      </c>
      <c r="H403" t="n">
        <v>1</v>
      </c>
      <c r="I403" t="n">
        <v>0</v>
      </c>
      <c r="J403" t="n">
        <v>0</v>
      </c>
      <c r="K403" t="n">
        <v>0</v>
      </c>
      <c r="L403" t="n">
        <v>0</v>
      </c>
      <c r="M403" t="n">
        <v>0</v>
      </c>
      <c r="N403" t="n">
        <v>0</v>
      </c>
      <c r="O403" t="n">
        <v>0</v>
      </c>
      <c r="P403" t="n">
        <v>0</v>
      </c>
      <c r="Q403" t="n">
        <v>1</v>
      </c>
      <c r="R403" s="2" t="inlineStr">
        <is>
          <t>Skogsödla</t>
        </is>
      </c>
      <c r="S403">
        <f>HYPERLINK("https://klasma.github.io/Logging_1983/artfynd/A 61577-2024 artfynd.xlsx", "A 61577-2024")</f>
        <v/>
      </c>
      <c r="T403">
        <f>HYPERLINK("https://klasma.github.io/Logging_1983/kartor/A 61577-2024 karta.png", "A 61577-2024")</f>
        <v/>
      </c>
      <c r="V403">
        <f>HYPERLINK("https://klasma.github.io/Logging_1983/klagomål/A 61577-2024 FSC-klagomål.docx", "A 61577-2024")</f>
        <v/>
      </c>
      <c r="W403">
        <f>HYPERLINK("https://klasma.github.io/Logging_1983/klagomålsmail/A 61577-2024 FSC-klagomål mail.docx", "A 61577-2024")</f>
        <v/>
      </c>
      <c r="X403">
        <f>HYPERLINK("https://klasma.github.io/Logging_1983/tillsyn/A 61577-2024 tillsynsbegäran.docx", "A 61577-2024")</f>
        <v/>
      </c>
      <c r="Y403">
        <f>HYPERLINK("https://klasma.github.io/Logging_1983/tillsynsmail/A 61577-2024 tillsynsbegäran mail.docx", "A 61577-2024")</f>
        <v/>
      </c>
    </row>
    <row r="404" ht="15" customHeight="1">
      <c r="A404" t="inlineStr">
        <is>
          <t>A 62097-2024</t>
        </is>
      </c>
      <c r="B404" s="1" t="n">
        <v>45646</v>
      </c>
      <c r="C404" s="1" t="n">
        <v>45661</v>
      </c>
      <c r="D404" t="inlineStr">
        <is>
          <t>VÄSTMANLANDS LÄN</t>
        </is>
      </c>
      <c r="E404" t="inlineStr">
        <is>
          <t>SURAHAMMAR</t>
        </is>
      </c>
      <c r="F404" t="inlineStr">
        <is>
          <t>Bergvik skog väst AB</t>
        </is>
      </c>
      <c r="G404" t="n">
        <v>21.7</v>
      </c>
      <c r="H404" t="n">
        <v>1</v>
      </c>
      <c r="I404" t="n">
        <v>0</v>
      </c>
      <c r="J404" t="n">
        <v>0</v>
      </c>
      <c r="K404" t="n">
        <v>0</v>
      </c>
      <c r="L404" t="n">
        <v>0</v>
      </c>
      <c r="M404" t="n">
        <v>0</v>
      </c>
      <c r="N404" t="n">
        <v>0</v>
      </c>
      <c r="O404" t="n">
        <v>0</v>
      </c>
      <c r="P404" t="n">
        <v>0</v>
      </c>
      <c r="Q404" t="n">
        <v>1</v>
      </c>
      <c r="R404" s="2" t="inlineStr">
        <is>
          <t>Revlummer</t>
        </is>
      </c>
      <c r="S404">
        <f>HYPERLINK("https://klasma.github.io/Logging_1907/artfynd/A 62097-2024 artfynd.xlsx", "A 62097-2024")</f>
        <v/>
      </c>
      <c r="T404">
        <f>HYPERLINK("https://klasma.github.io/Logging_1907/kartor/A 62097-2024 karta.png", "A 62097-2024")</f>
        <v/>
      </c>
      <c r="V404">
        <f>HYPERLINK("https://klasma.github.io/Logging_1907/klagomål/A 62097-2024 FSC-klagomål.docx", "A 62097-2024")</f>
        <v/>
      </c>
      <c r="W404">
        <f>HYPERLINK("https://klasma.github.io/Logging_1907/klagomålsmail/A 62097-2024 FSC-klagomål mail.docx", "A 62097-2024")</f>
        <v/>
      </c>
      <c r="X404">
        <f>HYPERLINK("https://klasma.github.io/Logging_1907/tillsyn/A 62097-2024 tillsynsbegäran.docx", "A 62097-2024")</f>
        <v/>
      </c>
      <c r="Y404">
        <f>HYPERLINK("https://klasma.github.io/Logging_1907/tillsynsmail/A 62097-2024 tillsynsbegäran mail.docx", "A 62097-2024")</f>
        <v/>
      </c>
    </row>
    <row r="405" ht="15" customHeight="1">
      <c r="A405" t="inlineStr">
        <is>
          <t>A 62156-2024</t>
        </is>
      </c>
      <c r="B405" s="1" t="n">
        <v>45656</v>
      </c>
      <c r="C405" s="1" t="n">
        <v>45661</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45661</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45661</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45661</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45661</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45661</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45661</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45661</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45661</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45661</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45661</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45661</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45661</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45661</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45661</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45661</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45661</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45661</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45661</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45661</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45661</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45661</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45661</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45661</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45661</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45661</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45661</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45661</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45661</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45661</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45661</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45661</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45661</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45661</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45661</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45661</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45661</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45661</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45661</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45661</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45661</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45661</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45661</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45661</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45661</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45661</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45661</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45661</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45661</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45661</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45661</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45661</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45661</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45661</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45661</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45661</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45661</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45661</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45661</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45661</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45661</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45661</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45661</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45661</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45661</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45661</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45661</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45661</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45661</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45661</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45661</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45661</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45661</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45661</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45661</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45661</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45661</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45661</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45661</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45661</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45661</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45661</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45661</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45661</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45661</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45661</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45661</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45661</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45661</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45661</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45661</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45661</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45661</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45661</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45661</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45661</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45661</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45661</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45661</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45661</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45661</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45661</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45661</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45661</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45661</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45661</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45661</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45661</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45661</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45661</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45661</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45661</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45661</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45661</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45661</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45661</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45661</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45661</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45661</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45661</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45661</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45661</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45661</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45661</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45661</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45661</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45661</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45661</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45661</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45661</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45661</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45661</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45661</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45661</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45661</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45661</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45661</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45661</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45661</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45661</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45661</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45661</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45661</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45661</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45661</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45661</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45661</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45661</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45661</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45661</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45661</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45661</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45661</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45661</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45661</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45661</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45661</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45661</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45661</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45661</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45661</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45661</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45661</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45661</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45661</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45661</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45661</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45661</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45661</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45661</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45661</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45661</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45661</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45661</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45661</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45661</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45661</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45661</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45661</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45661</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45661</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45661</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45661</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45661</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45661</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45661</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45661</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45661</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45661</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45661</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45661</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45661</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45661</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45661</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45661</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45661</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45661</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45661</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45661</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45661</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45661</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45661</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45661</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45661</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45661</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45661</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45661</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45661</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45661</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45661</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45661</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45661</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45661</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45661</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45661</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45661</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45661</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45661</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45661</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45661</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45661</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45661</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45661</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45661</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45661</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45661</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45661</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45661</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45661</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45661</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45661</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45661</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45661</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45661</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45661</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45661</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45661</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45661</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45661</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45661</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45661</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45661</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45661</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45661</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45661</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45661</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45661</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45661</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45661</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45661</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45661</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45661</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45661</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45661</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45661</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45661</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45661</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45661</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45661</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45661</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45661</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45661</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45661</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45661</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45661</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45661</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45661</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45661</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45661</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45661</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45661</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45661</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45661</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45661</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45661</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45661</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45661</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45661</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45661</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45661</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45661</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45661</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45661</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45661</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45661</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45661</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45661</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45661</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45661</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45661</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45661</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45661</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45661</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45661</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45661</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45661</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45661</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45661</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45661</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45661</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45661</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45661</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45661</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45661</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45661</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45661</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45661</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45661</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45661</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45661</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45661</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45661</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45661</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45661</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45661</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45661</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45661</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45661</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45661</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45661</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45661</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45661</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45661</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45661</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45661</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45661</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45661</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45661</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45661</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45661</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45661</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45661</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45661</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45661</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45661</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45661</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45661</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45661</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45661</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45661</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45661</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45661</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45661</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45661</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45661</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45661</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45661</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45661</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45661</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45661</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45661</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45661</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45661</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45661</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45661</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45661</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45661</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45661</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45661</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45661</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45661</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45661</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45661</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45661</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45661</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45661</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45661</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45661</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45661</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45661</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45661</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45661</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45661</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45661</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45661</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45661</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45661</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45661</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45661</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45661</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45661</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45661</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45661</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45661</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45661</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45661</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45661</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45661</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45661</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45661</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45661</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45661</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45661</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45661</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45661</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45661</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45661</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45661</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45661</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45661</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45661</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45661</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45661</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45661</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45661</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45661</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45661</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45661</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45661</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45661</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45661</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45661</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45661</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45661</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45661</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45661</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45661</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45661</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45661</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45661</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45661</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45661</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45661</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45661</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45661</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45661</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45661</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45661</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45661</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45661</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45661</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45661</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45661</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45661</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45661</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45661</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45661</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45661</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45661</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45661</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45661</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45661</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45661</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45661</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45661</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45661</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45661</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45661</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45661</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45661</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45661</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45661</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45661</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45661</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45661</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45661</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45661</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45661</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45661</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45661</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45661</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45661</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45661</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45661</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45661</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45661</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45661</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45661</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45661</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45661</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45661</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45661</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45661</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45661</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45661</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45661</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45661</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45661</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45661</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45661</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45661</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45661</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45661</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45661</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45661</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45661</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45661</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45661</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45661</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45661</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45661</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45661</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45661</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45661</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45661</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45661</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45661</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45661</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45661</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45661</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45661</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45661</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45661</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45661</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45661</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45661</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45661</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45661</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45661</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45661</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45661</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45661</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45661</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45661</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45661</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45661</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45661</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45661</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45661</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45661</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45661</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45661</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45661</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45661</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45661</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45661</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45661</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45661</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45661</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45661</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45661</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45661</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45661</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45661</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45661</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45661</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45661</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45661</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45661</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45661</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45661</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45661</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45661</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45661</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45661</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45661</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45661</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45661</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45661</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45661</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45661</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45661</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45661</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45661</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45661</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45661</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45661</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45661</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45661</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45661</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45661</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45661</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45661</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45661</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45661</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45661</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45661</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45661</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45661</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45661</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45661</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45661</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45661</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45661</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45661</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45661</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45661</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45661</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45661</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45661</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45661</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45661</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45661</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45661</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45661</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45661</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45661</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45661</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45661</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45661</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45661</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45661</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45661</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45661</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45661</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45661</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45661</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45661</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45661</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45661</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45661</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45661</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45661</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45661</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45661</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45661</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45661</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45661</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45661</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45661</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45661</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45661</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45661</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45661</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45661</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45661</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45661</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45661</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45661</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45661</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45661</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45661</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45661</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45661</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45661</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45661</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45661</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45661</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45661</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45661</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45661</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45661</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45661</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45661</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45661</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45661</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45661</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45661</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45661</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45661</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45661</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45661</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45661</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45661</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45661</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45661</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45661</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45661</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45661</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45661</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45661</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45661</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45661</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45661</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45661</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45661</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45661</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45661</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45661</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45661</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45661</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45661</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45661</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45661</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45661</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45661</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45661</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45661</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45661</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45661</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45661</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45661</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45661</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45661</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45661</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45661</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45661</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45661</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45661</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45661</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45661</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45661</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45661</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45661</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45661</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45661</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45661</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45661</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45661</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45661</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45661</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45661</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45661</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45661</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45661</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45661</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45661</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45661</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45661</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45661</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45661</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45661</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45661</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45661</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45661</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45661</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45661</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45661</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45661</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45661</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45661</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45661</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45661</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45661</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45661</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45661</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45661</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45661</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45661</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45661</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45661</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45661</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45661</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45661</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45661</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45661</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45661</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45661</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45661</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45661</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45661</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45661</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45661</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45661</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45661</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45661</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45661</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45661</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45661</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45661</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45661</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45661</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45661</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45661</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45661</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45661</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45661</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45661</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45661</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45661</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45661</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45661</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45661</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45661</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45661</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45661</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45661</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45661</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45661</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45661</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45661</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45661</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45661</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45661</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45661</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45661</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45661</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45661</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45661</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45661</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45661</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45661</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45661</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45661</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45661</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45661</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45661</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45661</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45661</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45661</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45661</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45661</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45661</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45661</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45661</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45661</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45661</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45661</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45661</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45661</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45661</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45661</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45661</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45661</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45661</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45661</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45661</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45661</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45661</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45661</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45661</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45661</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45661</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45661</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45661</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45661</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45661</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45661</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45661</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45661</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45661</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45661</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45661</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45661</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45661</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45661</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45661</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45661</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45661</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45661</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45661</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45661</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45661</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45661</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45661</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45661</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45661</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45661</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45661</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45661</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45661</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45661</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45661</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45661</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45661</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45661</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45661</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45661</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45661</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45661</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45661</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45661</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45661</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45661</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45661</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45661</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45661</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45661</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45661</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45661</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45661</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45661</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45661</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45661</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45661</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45661</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45661</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45661</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45661</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45661</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45661</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45661</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45661</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45661</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45661</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45661</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45661</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45661</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45661</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45661</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45661</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45661</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45661</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45661</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45661</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45661</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45661</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45661</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45661</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45661</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45661</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45661</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45661</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45661</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45661</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45661</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45661</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45661</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45661</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45661</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45661</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45661</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45661</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45661</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45661</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45661</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45661</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45661</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45661</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45661</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45661</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45661</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45661</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45661</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45661</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45661</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45661</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45661</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45661</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45661</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45661</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45661</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45661</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45661</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45661</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45661</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45661</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45661</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45661</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45661</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45661</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45661</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45661</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45661</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45661</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45661</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45661</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45661</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45661</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45661</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45661</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45661</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45661</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45661</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45661</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45661</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45661</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45661</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45661</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45661</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45661</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45661</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45661</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45661</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45661</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45661</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45661</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45661</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45661</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45661</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45661</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45661</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45661</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45661</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45661</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45661</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45661</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45661</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45661</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45661</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45661</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45661</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45661</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45661</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45661</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45661</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45661</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45661</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45661</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45661</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45661</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45661</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45661</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45661</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45661</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45661</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45661</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45661</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45661</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45661</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45661</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45661</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45661</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45661</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45661</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45661</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45661</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45661</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45661</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45661</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45661</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45661</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45661</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45661</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45661</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45661</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45661</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45661</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45661</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45661</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45661</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45661</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45661</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45661</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45661</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45661</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45661</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45661</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45661</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45661</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45661</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45661</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45661</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45661</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45661</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45661</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45661</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45661</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45661</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45661</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45661</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45661</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45661</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45661</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45661</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45661</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45661</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45661</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45661</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45661</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45661</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45661</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45661</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45661</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45661</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45661</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45661</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45661</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45661</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45661</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45661</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45661</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45661</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45661</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45661</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45661</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45661</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45661</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45661</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45661</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45661</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45661</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45661</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45661</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45661</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45661</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45661</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45661</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45661</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45661</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45661</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45661</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45661</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45661</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45661</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45661</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45661</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45661</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45661</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45661</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45661</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45661</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45661</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45661</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45661</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45661</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45661</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45661</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45661</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45661</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45661</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45661</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45661</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45661</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45661</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45661</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45661</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45661</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45661</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45661</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45661</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45661</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45661</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45661</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45661</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45661</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45661</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45661</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45661</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45661</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45661</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45661</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45661</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45661</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45661</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45661</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45661</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45661</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45661</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45661</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45661</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45661</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45661</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45661</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45661</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45661</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45661</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45661</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45661</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45661</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45661</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45661</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45661</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45661</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45661</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45661</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45661</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45661</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45661</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45661</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45661</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45661</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45661</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45661</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45661</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45661</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45661</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45661</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45661</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45661</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45661</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45661</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45661</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45661</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45661</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45661</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45661</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45661</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45661</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45661</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45661</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45661</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45661</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45661</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45661</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45661</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45661</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45661</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45661</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45661</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45661</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45661</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45661</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45661</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45661</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45661</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45661</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45661</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45661</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45661</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45661</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45661</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45661</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45661</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45661</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45661</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45661</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45661</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45661</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45661</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45661</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45661</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45661</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45661</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45661</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45661</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45661</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45661</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45661</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45661</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45661</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45661</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45661</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45661</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45661</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45661</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45661</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45661</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45661</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45661</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45661</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45661</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45661</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45661</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45661</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45661</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45661</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45661</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45661</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45661</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45661</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45661</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45661</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45661</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45661</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45661</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45661</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45661</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45661</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45661</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45661</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45661</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45661</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45661</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45661</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45661</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45661</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45661</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45661</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45661</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45661</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45661</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45661</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45661</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45661</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45661</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45661</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45661</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45661</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45661</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45661</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45661</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45661</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45661</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45661</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45661</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45661</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45661</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45661</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45661</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45661</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45661</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45661</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45661</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45661</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45661</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45661</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45661</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45661</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45661</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45661</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45661</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45661</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45661</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45661</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45661</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45661</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45661</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45661</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45661</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45661</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45661</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45661</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45661</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45661</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45661</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45661</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45661</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45661</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45661</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45661</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45661</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45661</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45661</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45661</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45661</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45661</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45661</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45661</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45661</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45661</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45661</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45661</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45661</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45661</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45661</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45661</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45661</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45661</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45661</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45661</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45661</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45661</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45661</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45661</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45661</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45661</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45661</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45661</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45661</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45661</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45661</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45661</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45661</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45661</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45661</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45661</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45661</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45661</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45661</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45661</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45661</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45661</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45661</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45661</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45661</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45661</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45661</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45661</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45661</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45661</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45661</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45661</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45661</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45661</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45661</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45661</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45661</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45661</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45661</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45661</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45661</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45661</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45661</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45661</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45661</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45661</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45661</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45661</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45661</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45661</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45661</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45661</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45661</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45661</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45661</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45661</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45661</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45661</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45661</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45661</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45661</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45661</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45661</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45661</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45661</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45661</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45661</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45661</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45661</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45661</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45661</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45661</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45661</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45661</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45661</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45661</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45661</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45661</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45661</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45661</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45661</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45661</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45661</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45661</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45661</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45661</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45661</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45661</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45661</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45661</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45661</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45661</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45661</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45661</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45661</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45661</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45661</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45661</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45661</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45661</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45661</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45661</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45661</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45661</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45661</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45661</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45661</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45661</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45661</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45661</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45661</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45661</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45661</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45661</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45661</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45661</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45661</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45661</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45661</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45661</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45661</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45661</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45661</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45661</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45661</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45661</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45661</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45661</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45661</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45661</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45661</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45661</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45661</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45661</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45661</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45661</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45661</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45661</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45661</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45661</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45661</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45661</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45661</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45661</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45661</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45661</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45661</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45661</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45661</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45661</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45661</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45661</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45661</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45661</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45661</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45661</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45661</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45661</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45661</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45661</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45661</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45661</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45661</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45661</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45661</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45661</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45661</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45661</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45661</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45661</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45661</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45661</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45661</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45661</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45661</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45661</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45661</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45661</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45661</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45661</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45661</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45661</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45661</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45661</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45661</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45661</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45661</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45661</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45661</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45661</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45661</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45661</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45661</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45661</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45661</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45661</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45661</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45661</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45661</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45661</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45661</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45661</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45661</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45661</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45661</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45661</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45661</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45661</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45661</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45661</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45661</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45661</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45661</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45661</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45661</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45661</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45661</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45661</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45661</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45661</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45661</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45661</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45661</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45661</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45661</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45661</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45661</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45661</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45661</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45661</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45661</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45661</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45661</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45661</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45661</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45661</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45661</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45661</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45661</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45661</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45661</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45661</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45661</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45661</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45661</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45661</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45661</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45661</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45661</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45661</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45661</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45661</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45661</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45661</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45661</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45661</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45661</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45661</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45661</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45661</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45661</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45661</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45661</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45661</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45661</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45661</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45661</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45661</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45661</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45661</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45661</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45661</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45661</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45661</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45661</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45661</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45661</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45661</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45661</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45661</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45661</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45661</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45661</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45661</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45661</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45661</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45661</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45661</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45661</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45661</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45661</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45661</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45661</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45661</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45661</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45661</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45661</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45661</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45661</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45661</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45661</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45661</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45661</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45661</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45661</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45661</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45661</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45661</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45661</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45661</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45661</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45661</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45661</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45661</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45661</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45661</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45661</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45661</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45661</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45661</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45661</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45661</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45661</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45661</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45661</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45661</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45661</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45661</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45661</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45661</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45661</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45661</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45661</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45661</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45661</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45661</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45661</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45661</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45661</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45661</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45661</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45661</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45661</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45661</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45661</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45661</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45661</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45661</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45661</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45661</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45661</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45661</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45661</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45661</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45661</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45661</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45661</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45661</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45661</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45661</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45661</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45661</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45661</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45661</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45661</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45661</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45661</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45661</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45661</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45661</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45661</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45661</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45661</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45661</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45661</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45661</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45661</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45661</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45661</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45661</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45661</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45661</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45661</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45661</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45661</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45661</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45661</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45661</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45661</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45661</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45661</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45661</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45661</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45661</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45661</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45661</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45661</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45661</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45661</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45661</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45661</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45661</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45661</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45661</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45661</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45661</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45661</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45661</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45661</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45661</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45661</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45661</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45661</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45661</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45661</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45661</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45661</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45661</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45661</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45661</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45661</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45661</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45661</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45661</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45661</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45661</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45661</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45661</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45661</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45661</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45661</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45661</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45661</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45661</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45661</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45661</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45661</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45661</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45661</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45661</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45661</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45661</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45661</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45661</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45661</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45661</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45661</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45661</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45661</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45661</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45661</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45661</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45661</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45661</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45661</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45661</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45661</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45661</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45661</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45661</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45661</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45661</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45661</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45661</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45661</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45661</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45661</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45661</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45661</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45661</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45661</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45661</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45661</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45661</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45661</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45661</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45661</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45661</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45661</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45661</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45661</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45661</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45661</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45661</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45661</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45661</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45661</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45661</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45661</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45661</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45661</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45661</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45661</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45661</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45661</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45661</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45661</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45661</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45661</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45661</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45661</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45661</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45661</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45661</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45661</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45661</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45661</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45661</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45661</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45661</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45661</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45661</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45661</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45661</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45661</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45661</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45661</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45661</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45661</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45661</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45661</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45661</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45661</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45661</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45661</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45661</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45661</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45661</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45661</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45661</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45661</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45661</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45661</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45661</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45661</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45661</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45661</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45661</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45661</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45661</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45661</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45661</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45661</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45661</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45661</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45661</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45661</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45661</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45661</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45661</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45661</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45661</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45661</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45661</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45661</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45661</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45661</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45661</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45661</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45661</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45661</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45661</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45661</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45661</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45661</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45661</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45661</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45661</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45661</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45661</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45661</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45661</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45661</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45661</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45661</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45661</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45661</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45661</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45661</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45661</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45661</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45661</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45661</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45661</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45661</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45661</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45661</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45661</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45661</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45661</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45661</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45661</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45661</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45661</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45661</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45661</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45661</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45661</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45661</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45661</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45661</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45661</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45661</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45661</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45661</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45661</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45661</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45661</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45661</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45661</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45661</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45661</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45661</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45661</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45661</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45661</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45661</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45661</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45661</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45661</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45661</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45661</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45661</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45661</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45661</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45661</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45661</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45661</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45661</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45661</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45661</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45661</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45661</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45661</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45661</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45661</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45661</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45661</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45661</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45661</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45661</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45661</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45661</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45661</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45661</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45661</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45661</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45661</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45661</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45661</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45661</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45661</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45661</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45661</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45661</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45661</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45661</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45661</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45661</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45661</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45661</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45661</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45661</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45661</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45661</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45661</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45661</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45661</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45661</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45661</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45661</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45661</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45661</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45661</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45661</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45661</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45661</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45661</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45661</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45661</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45661</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45661</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45661</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45661</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45661</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45661</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45661</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45661</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45661</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45661</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45661</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45661</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45661</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45661</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45661</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45661</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45661</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45661</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45661</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45661</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45661</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45661</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45661</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45661</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45661</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45661</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45661</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45661</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45661</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45661</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45661</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45661</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45661</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45661</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45661</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45661</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45661</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45661</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45661</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45661</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45661</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45661</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45661</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45661</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45661</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45661</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45661</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45661</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45661</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45661</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45661</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45661</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45661</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45661</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45661</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45661</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45661</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45661</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45661</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45661</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45661</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45661</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45661</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45661</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45661</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45661</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45661</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45661</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45661</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45661</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45661</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45661</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45661</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45661</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45661</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45661</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45661</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45661</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45661</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45661</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45661</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45661</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45661</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45661</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45661</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45661</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45661</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45661</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45661</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45661</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45661</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45661</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45661</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45661</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45661</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45661</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45661</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45661</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45661</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45661</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45661</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45661</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45661</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45661</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45661</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45661</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45661</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45661</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45661</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45661</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45661</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45661</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45661</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45661</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45661</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45661</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45661</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45661</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45661</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45661</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45661</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45661</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45661</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45661</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45661</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45661</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45661</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45661</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45661</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45661</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45661</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45661</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45661</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45661</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45661</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45661</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45661</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45661</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45661</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45661</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45661</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45661</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45661</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45661</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45661</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45661</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45661</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45661</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45661</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45661</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45661</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45661</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45661</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45661</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45661</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45661</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45661</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45661</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45661</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45661</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45661</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45661</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45661</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45661</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45661</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45661</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45661</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45661</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45661</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45661</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45661</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45661</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45661</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45661</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45661</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45661</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45661</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45661</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45661</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45661</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45661</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45661</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45661</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45661</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45661</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45661</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45661</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45661</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45661</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45661</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45661</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45661</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45661</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45661</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45661</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45661</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45661</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45661</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45661</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45661</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45661</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45661</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45661</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45661</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45661</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45661</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45661</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45661</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45661</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45661</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45661</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45661</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45661</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45661</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45661</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45661</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45661</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45661</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45661</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45661</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45661</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45661</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45661</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45661</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45661</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45661</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45661</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45661</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45661</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45661</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45661</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45661</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45661</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45661</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45661</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45661</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45661</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45661</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45661</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45661</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45661</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45661</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45661</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45661</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45661</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45661</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45661</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45661</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45661</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45661</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45661</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45661</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45661</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45661</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45661</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45661</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45661</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45661</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45661</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45661</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45661</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45661</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45661</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45661</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45661</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45661</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45661</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45661</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45661</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45661</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45661</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45661</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45661</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45661</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45661</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45661</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45661</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45661</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45661</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45661</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45661</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45661</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45661</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45661</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45661</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45661</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45661</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45661</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45661</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45661</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45661</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45661</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45661</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45661</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45661</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45661</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45661</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45661</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45661</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45661</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45661</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45661</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45661</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45661</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45661</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45661</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45661</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45661</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45661</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45661</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45661</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45661</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45661</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45661</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45661</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45661</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45661</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45661</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45661</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45661</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45661</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45661</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45661</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45661</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45661</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45661</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45661</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45661</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45661</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45661</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45661</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45661</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45661</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45661</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45661</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45661</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45661</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45661</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45661</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45661</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45661</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45661</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45661</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45661</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45661</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45661</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45661</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45661</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45661</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45661</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45661</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45661</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45661</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45661</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45661</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45661</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45661</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45661</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45661</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45661</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45661</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45661</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45661</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45661</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45661</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45661</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45661</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45661</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45661</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45661</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45661</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45661</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45661</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45661</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45661</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45661</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45661</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45661</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45661</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45661</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45661</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45661</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45661</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45661</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45661</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45661</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45661</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45661</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45661</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45661</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45661</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45661</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45661</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45661</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45661</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45661</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45661</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45661</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45661</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45661</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45661</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45661</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45661</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45661</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45661</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45661</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45661</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45661</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45661</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45661</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45661</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45661</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45661</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45661</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45661</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45661</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45661</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45661</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45661</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45661</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45661</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45661</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45661</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45661</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45661</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45661</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45661</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45661</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45661</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45661</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45661</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45661</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45661</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45661</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45661</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45661</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45661</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45661</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45661</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45661</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45661</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45661</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45661</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45661</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45661</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45661</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45661</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45661</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45661</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45661</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45661</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45661</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45661</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45661</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45661</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45661</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45661</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45661</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45661</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45661</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45661</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45661</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45661</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45661</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45661</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45661</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45661</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45661</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45661</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45661</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45661</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45661</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45661</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45661</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45661</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45661</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45661</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45661</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45661</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45661</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45661</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45661</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45661</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45661</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45661</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45661</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45661</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45661</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45661</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45661</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45661</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45661</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45661</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45661</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45661</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45661</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45661</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45661</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45661</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45661</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45661</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45661</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45661</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45661</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45661</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45661</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45661</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45661</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45661</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45661</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45661</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45661</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45661</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45661</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45661</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45661</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45661</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45661</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45661</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45661</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45661</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45661</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45661</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45661</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45661</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45661</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45661</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45661</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45661</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45661</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45661</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45661</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45661</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45661</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45661</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45661</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45661</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45661</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45661</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45661</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45661</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45661</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45661</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45661</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45661</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45661</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45661</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45661</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45661</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45661</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45661</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45661</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45661</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45661</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45661</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45661</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45661</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45661</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45661</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45661</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45661</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45661</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45661</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45661</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45661</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45661</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45661</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45661</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45661</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45661</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45661</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45661</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45661</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45661</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45661</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45661</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45661</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45661</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45661</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45661</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45661</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45661</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45661</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45661</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45661</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45661</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45661</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45661</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45661</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45661</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45661</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45661</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45661</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45661</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45661</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45661</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45661</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45661</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45661</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45661</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45661</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45661</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45661</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45661</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45661</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45661</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45661</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45661</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45661</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45661</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45661</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45661</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45661</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45661</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45661</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45661</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45661</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45661</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45661</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45661</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45661</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45661</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45661</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45661</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45661</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45661</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45661</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45661</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45661</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45661</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45661</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45661</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45661</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45661</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45661</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45661</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45661</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45661</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45661</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45661</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45661</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45661</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45661</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45661</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45661</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45661</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45661</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45661</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45661</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45661</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45661</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45661</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45661</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45661</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45661</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45661</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45661</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45661</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45661</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45661</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45661</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45661</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45661</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45661</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45661</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45661</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45661</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45661</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45661</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45661</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45661</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45661</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45661</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45661</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45661</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45661</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45661</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45661</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45661</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45661</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45661</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45661</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45661</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45661</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45661</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45661</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45661</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45661</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45661</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45661</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45661</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45661</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45661</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45661</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45661</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45661</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45661</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45661</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45661</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45661</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45661</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45661</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45661</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45661</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45661</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45661</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45661</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45661</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45661</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45661</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45661</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45661</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45661</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45661</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45661</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45661</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45661</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45661</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45661</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45661</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45661</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45661</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45661</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45661</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45661</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45661</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45661</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45661</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45661</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45661</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45661</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45661</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45661</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45661</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45661</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45661</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45661</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45661</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45661</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45661</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45661</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45661</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45661</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45661</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45661</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45661</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45661</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45661</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45661</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45661</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45661</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45661</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45661</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45661</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45661</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45661</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45661</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45661</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45661</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45661</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45661</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45661</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45661</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45661</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45661</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45661</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45661</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45661</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45661</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45661</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45661</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45661</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45661</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45661</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45661</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45661</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45661</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45661</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45661</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45661</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45661</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45661</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45661</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45661</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45661</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45661</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45661</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45661</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45661</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45661</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45661</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45661</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45661</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45661</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45661</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45661</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45661</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45661</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45661</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45661</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45661</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45661</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45661</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45661</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45661</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45661</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45661</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45661</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45661</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45661</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45661</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45661</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45661</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45661</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45661</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45661</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45661</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45661</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45661</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45661</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45661</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45661</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45661</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45661</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45661</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45661</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45661</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45661</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45661</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45661</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45661</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45661</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45661</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45661</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45661</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45661</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45661</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45661</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45661</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45661</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45661</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45661</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45661</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45661</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45661</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45661</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45661</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45661</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45661</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45661</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45661</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45661</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45661</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45661</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45661</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45661</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45661</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45661</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45661</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45661</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45661</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45661</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45661</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45661</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45661</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45661</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45661</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45661</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45661</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45661</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45661</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45661</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45661</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45661</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45661</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45661</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45661</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45661</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45661</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45661</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45661</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45661</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45661</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45661</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45661</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45661</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45661</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45661</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45661</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45661</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45661</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45661</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45661</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45661</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45661</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45661</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45661</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45661</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45661</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45661</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45661</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45661</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45661</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45661</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45661</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45661</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45661</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45661</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45661</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45661</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45661</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45661</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45661</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45661</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45661</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45661</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45661</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45661</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45661</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45661</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45661</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45661</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45661</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45661</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45661</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45661</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45661</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45661</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45661</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45661</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45661</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45661</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45661</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45661</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45661</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45661</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45661</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45661</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45661</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45661</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45661</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45661</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45661</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45661</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45661</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45661</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45661</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45661</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45661</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45661</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45661</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45661</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45661</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45661</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45661</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45661</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45661</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45661</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45661</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45661</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45661</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45661</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45661</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45661</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45661</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45661</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45661</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45661</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45661</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45661</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45661</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45661</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45661</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45661</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45661</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45661</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45661</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45661</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45661</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45661</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45661</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45661</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45661</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45661</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45661</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45661</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45661</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45661</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45661</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45661</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45661</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45661</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45661</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45661</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45661</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45661</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45661</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45661</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45661</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45661</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45661</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45661</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45661</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45661</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45661</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45661</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45661</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45661</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45661</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45661</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45661</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45661</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45661</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45661</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45661</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45661</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45661</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45661</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45661</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45661</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45661</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45661</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45661</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45661</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45661</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45661</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45661</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45661</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45661</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45661</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45661</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45661</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45661</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45661</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45661</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45661</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45661</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45661</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45661</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45661</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45661</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45661</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45661</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45661</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45661</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45661</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45661</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45661</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45661</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45661</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45661</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45661</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45661</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45661</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45661</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45661</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45661</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45661</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45661</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45661</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45661</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45661</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45661</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45661</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45661</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45661</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45661</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45661</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45661</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45661</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45661</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45661</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45661</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45661</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45661</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45661</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45661</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45661</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45661</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45661</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45661</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45661</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45661</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45661</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45661</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45661</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45661</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45661</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45661</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45661</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45661</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45661</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45661</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45661</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45661</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45661</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45661</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45661</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45661</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45661</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45661</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45661</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45661</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45661</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45661</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45661</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45661</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45661</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45661</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45661</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45661</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45661</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45661</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45661</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45661</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45661</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45661</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45661</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45661</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45661</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45661</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45661</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45661</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45661</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45661</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45661</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45661</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45661</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45661</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45661</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45661</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45661</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45661</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45661</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45661</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45661</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45661</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45661</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45661</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45661</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45661</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45661</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45661</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45661</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45661</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45661</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45661</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45661</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45661</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45661</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45661</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45661</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45661</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45661</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45661</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45661</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45661</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45661</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45661</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45661</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45661</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45661</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45661</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45661</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45661</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45661</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45661</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45661</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45661</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45661</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45661</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45661</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45661</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45661</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45661</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45661</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45661</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45661</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45661</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45661</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45661</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45661</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45661</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45661</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45661</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45661</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45661</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45661</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45661</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45661</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45661</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45661</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45661</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45661</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45661</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45661</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45661</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45661</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45661</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45661</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45661</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45661</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45661</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45661</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45661</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45661</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45661</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45661</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45661</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45661</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45661</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45661</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45661</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45661</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45661</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45661</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45661</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45661</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45661</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45661</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45661</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45661</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45661</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45661</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45661</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45661</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45661</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45661</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45661</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45661</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45661</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45661</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45661</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45661</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45661</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45661</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45661</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45661</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45661</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45661</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45661</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45661</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45661</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45661</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45661</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45661</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45661</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45661</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45661</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45661</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45661</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45661</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45661</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45661</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45661</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45661</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45661</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45661</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45661</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45661</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45661</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45661</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45661</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45661</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45661</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45661</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45661</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45661</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45661</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45661</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45661</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45661</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45661</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45661</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45661</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45661</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45661</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45661</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45661</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45661</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45661</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45661</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45661</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45661</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45661</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45661</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45661</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45661</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45661</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45661</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45661</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45661</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45661</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45661</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45661</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45661</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45661</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45661</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45661</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45661</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45661</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45661</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45661</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45661</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45661</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45661</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45661</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45661</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45661</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45661</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45661</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45661</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45661</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45661</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45661</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45661</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45661</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45661</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45661</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45661</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45661</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45661</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45661</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45661</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45661</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45661</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45661</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45661</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45661</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45661</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45661</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45661</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45661</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45661</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45661</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45661</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45661</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45661</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45661</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45661</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45661</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45661</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45661</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45661</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45661</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45661</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45661</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45661</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45661</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45661</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45661</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45661</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45661</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45661</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45661</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45661</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45661</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45661</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45661</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45661</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45661</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45661</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45661</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45661</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45661</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45661</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45661</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45661</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45661</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45661</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45661</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45661</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45661</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45661</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45661</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45661</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45661</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45661</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45661</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45661</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45661</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45661</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45661</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45661</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45661</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45661</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45661</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45661</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45661</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45661</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45661</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45661</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45661</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45661</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45661</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45661</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45661</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45661</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45661</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45661</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45661</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45661</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45661</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45661</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45661</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45661</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45661</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45661</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45661</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45661</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45661</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45661</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45661</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45661</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45661</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45661</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45661</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45661</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45661</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45661</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45661</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45661</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45661</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45661</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45661</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45661</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45661</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45661</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45661</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45661</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45661</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45661</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45661</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45661</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45661</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45661</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45661</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45661</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45661</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45661</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45661</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45661</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45661</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45661</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45661</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45661</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45661</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45661</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45661</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45661</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45661</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45661</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45661</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45661</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45661</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45661</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45661</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45661</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45661</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45661</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45661</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45661</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45661</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45661</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45661</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45661</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45661</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45661</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45661</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45661</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45661</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45661</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45661</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45661</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45661</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45661</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45661</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45661</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45661</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45661</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45661</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45661</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45661</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45661</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45661</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45661</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45661</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45661</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45661</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45661</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45661</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45661</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45661</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45661</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45661</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45661</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45661</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45661</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45661</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45661</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45661</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45661</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45661</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45661</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45661</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45661</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45661</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45661</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45661</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45661</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45661</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45661</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45661</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45661</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45661</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45661</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45661</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45661</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45661</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45661</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45661</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45661</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45661</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45661</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45661</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45661</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45661</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45661</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45661</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45661</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45661</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45661</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45661</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45661</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45661</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45661</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45661</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45661</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45661</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45661</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45661</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45661</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45661</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45661</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45661</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45661</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45661</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45661</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45661</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45661</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45661</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45661</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45661</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45661</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45661</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45661</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45661</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45661</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45661</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45661</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45661</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45661</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45661</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45661</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45661</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45661</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45661</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45661</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45661</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45661</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45661</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45661</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45661</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45661</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45661</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45661</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45661</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45661</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45661</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45661</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45661</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45661</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45661</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45661</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45661</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45661</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45661</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45661</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45661</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45661</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45661</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45661</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45661</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45661</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45661</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45661</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45661</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45661</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45661</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45661</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45661</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45661</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45661</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45661</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45661</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45661</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45661</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45661</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45661</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45661</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45661</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45661</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45661</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45661</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45661</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45661</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45661</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45661</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45661</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45661</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45661</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45661</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45661</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45661</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45661</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45661</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45661</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45661</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45661</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45661</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45661</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45661</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45661</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45661</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45661</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45661</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45661</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45661</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45661</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45661</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45661</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45661</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45661</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45661</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45661</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45661</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45661</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45661</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45661</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45661</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45661</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45661</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45661</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45661</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45661</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45661</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45661</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45661</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45661</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45661</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45661</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45661</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45661</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45661</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45661</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45661</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45661</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45661</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45661</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45661</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45661</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45661</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45661</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45661</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45661</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45661</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45661</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45661</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45661</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45661</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45661</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45661</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45661</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45661</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45661</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45661</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45661</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45661</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45661</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45661</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45661</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45661</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45661</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45661</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45661</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45661</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45661</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45661</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45661</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45661</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45661</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45661</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45661</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45661</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45661</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45661</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45661</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45661</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45661</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45661</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45661</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45661</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45661</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45661</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45661</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45661</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45661</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45661</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45661</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45661</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45661</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45661</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45661</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45661</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45661</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45661</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45661</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45661</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45661</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45661</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45661</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45661</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45661</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45661</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45661</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45661</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45661</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45661</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45661</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45661</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45661</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45661</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45661</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45661</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45661</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45661</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45661</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45661</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45661</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45661</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45661</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45661</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45661</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45661</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45661</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45661</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45661</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45661</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45661</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45661</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45661</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45661</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45661</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45661</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45661</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45661</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45661</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45661</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45661</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45661</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45661</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45661</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45661</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45661</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45661</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45661</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45661</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45661</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45661</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45661</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45661</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45661</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45661</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45661</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45661</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45661</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45661</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45661</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45661</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45661</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45661</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45661</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45661</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45661</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45661</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45661</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45661</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45661</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45661</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45661</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45661</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45661</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45661</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45661</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45661</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45661</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45661</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45661</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45661</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45661</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45661</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45661</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45661</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45661</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45661</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45661</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45661</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45661</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45661</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45661</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45661</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45661</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45661</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45661</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45661</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45661</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45661</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45661</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45661</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45661</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45661</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45661</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45661</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45661</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45661</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45661</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45661</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45661</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45661</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45661</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45661</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45661</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45661</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45661</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45661</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45661</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45661</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45661</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45661</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45661</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45661</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45661</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45661</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45661</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45661</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45661</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45661</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45661</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45661</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45661</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45661</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45661</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45661</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45661</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45661</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45661</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45661</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45661</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45661</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45661</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45661</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45661</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45661</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45661</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45661</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45661</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45661</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45661</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45661</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45661</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45661</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45661</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45661</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45661</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45661</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45661</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45661</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45661</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45661</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45661</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45661</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45661</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45661</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45661</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45661</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45661</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45661</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45661</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45661</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45661</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45661</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45661</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45661</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45661</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45661</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45661</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45661</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45661</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45661</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45661</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45661</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45661</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45661</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45661</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45661</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45661</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45661</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45661</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45661</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45661</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45661</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45661</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45661</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45661</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45661</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45661</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45661</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45661</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45661</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45661</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45661</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45661</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45661</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45661</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45661</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45661</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45661</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45661</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45661</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45661</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45661</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45661</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45661</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45661</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45661</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45661</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45661</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45661</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45661</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45661</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45661</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45661</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45661</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45661</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45661</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45661</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45661</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45661</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45661</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45661</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45661</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45661</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45661</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45661</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45661</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45661</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45661</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45661</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45661</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45661</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45661</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45661</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45661</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45661</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45661</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45661</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45661</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45661</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45661</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45661</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45661</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45661</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45661</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45661</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45661</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45661</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45661</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45661</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45661</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45661</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45661</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45661</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45661</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45661</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45661</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45661</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45661</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45661</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45661</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45661</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45661</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45661</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45661</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45661</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45661</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45661</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45661</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45661</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45661</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45661</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45661</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45661</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45661</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45661</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45661</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45661</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45661</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45661</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45661</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45661</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45661</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45661</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45661</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45661</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45661</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45661</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45661</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45661</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45661</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45661</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45661</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45661</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45661</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45661</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45661</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45661</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45661</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45661</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45661</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45661</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45661</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45661</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45661</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45661</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45661</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45661</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45661</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45661</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45661</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45661</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45661</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45661</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45661</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45661</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45661</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45661</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45661</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45661</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45661</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45661</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45661</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45661</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45661</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45661</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45661</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45661</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45661</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45661</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45661</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45661</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45661</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45661</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45661</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45661</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45661</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45661</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45661</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45661</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45661</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45661</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45661</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45661</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45661</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45661</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45661</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45661</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45661</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45661</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45661</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45661</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45661</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45661</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45661</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45661</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45661</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45661</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45661</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45661</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45661</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45661</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45661</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45661</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45661</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45661</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45661</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45661</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45661</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45661</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45661</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45661</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45661</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45661</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45661</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45661</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45661</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45661</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45661</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45661</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45661</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45661</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45661</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45661</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45661</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45661</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45661</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45661</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45661</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45661</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45661</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45661</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45661</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45661</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45661</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45661</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45661</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45661</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45661</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45661</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45661</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45661</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45661</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45661</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45661</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45661</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45661</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45661</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45661</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45661</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45661</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45661</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45661</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45661</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45661</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45661</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45661</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45661</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45661</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45661</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45661</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45661</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45661</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45661</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45661</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45661</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45661</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45661</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45661</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45661</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45661</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45661</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45661</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45661</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45661</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45661</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45661</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45661</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45661</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45661</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45661</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45661</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45661</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45661</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45661</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45661</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45661</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45661</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45661</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45661</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45661</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45661</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45661</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45661</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45661</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45661</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45661</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45661</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45661</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45661</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45661</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45661</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45661</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45661</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45661</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45661</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45661</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45661</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45661</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45661</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45661</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45661</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45661</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45661</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45661</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45661</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45661</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45661</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45661</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45661</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45661</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45661</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45661</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45661</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45661</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45661</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45661</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45661</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45661</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45661</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45661</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45661</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45661</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45661</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45661</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45661</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45661</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45661</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45661</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45661</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45661</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45661</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45661</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45661</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45661</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45661</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45661</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45661</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45661</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45661</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45661</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45661</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45661</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45661</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45661</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45661</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45661</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45661</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45661</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45661</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45661</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45661</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45661</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45661</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45661</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45661</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45661</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45661</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45661</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45661</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45661</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45661</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45661</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45661</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45661</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45661</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45661</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45661</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45661</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45661</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45661</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45661</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45661</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45661</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45661</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45661</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45661</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45661</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45661</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45661</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45661</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45661</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45661</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45661</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45661</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45661</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45661</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45661</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45661</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45661</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45661</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45661</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45661</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45661</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45661</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45661</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45661</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45661</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45661</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45661</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45661</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45661</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45661</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45661</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45661</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45661</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45661</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45661</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45661</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45661</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45661</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45661</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45661</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45661</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45661</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45661</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45661</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45661</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45661</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45661</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45661</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45661</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45661</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45661</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45661</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45661</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45661</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45661</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45661</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45661</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45661</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45661</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45661</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45661</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45661</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45661</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45661</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45661</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45661</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45661</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45661</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45661</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45661</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45661</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45661</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45661</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45661</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45661</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45661</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45661</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45661</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45661</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45661</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45661</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45661</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45661</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45661</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45661</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45661</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45661</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45661</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45661</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45661</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45661</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45661</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45661</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45661</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45661</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45661</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45661</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45661</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45661</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45661</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45661</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45661</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45661</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45661</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45661</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45661</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45661</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45661</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45661</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45661</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45661</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45661</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45661</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45661</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45661</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45661</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45661</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45661</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45661</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45661</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45661</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45661</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45661</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45661</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45661</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45661</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45661</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45661</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45661</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45661</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45661</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45661</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45661</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45661</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45661</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45661</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45661</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45661</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45661</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45661</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45661</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45661</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45661</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45661</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45661</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45661</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45661</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45661</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45661</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45661</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45661</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45661</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45661</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45661</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45661</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45661</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45661</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45661</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45661</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45661</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45661</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45661</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45661</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57948-2024</t>
        </is>
      </c>
      <c r="B4835" s="1" t="n">
        <v>45631</v>
      </c>
      <c r="C4835" s="1" t="n">
        <v>45661</v>
      </c>
      <c r="D4835" t="inlineStr">
        <is>
          <t>VÄSTMANLANDS LÄN</t>
        </is>
      </c>
      <c r="E4835" t="inlineStr">
        <is>
          <t>SALA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57975-2024</t>
        </is>
      </c>
      <c r="B4836" s="1" t="n">
        <v>45631</v>
      </c>
      <c r="C4836" s="1" t="n">
        <v>45661</v>
      </c>
      <c r="D4836" t="inlineStr">
        <is>
          <t>VÄSTMANLANDS LÄN</t>
        </is>
      </c>
      <c r="E4836" t="inlineStr">
        <is>
          <t>VÄSTERÅS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57990-2024</t>
        </is>
      </c>
      <c r="B4837" s="1" t="n">
        <v>45631</v>
      </c>
      <c r="C4837" s="1" t="n">
        <v>45661</v>
      </c>
      <c r="D4837" t="inlineStr">
        <is>
          <t>VÄSTMANLANDS LÄN</t>
        </is>
      </c>
      <c r="E4837" t="inlineStr">
        <is>
          <t>NORBERG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45661</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58126-2024</t>
        </is>
      </c>
      <c r="B4839" s="1" t="n">
        <v>45632</v>
      </c>
      <c r="C4839" s="1" t="n">
        <v>45661</v>
      </c>
      <c r="D4839" t="inlineStr">
        <is>
          <t>VÄSTMANLANDS LÄN</t>
        </is>
      </c>
      <c r="E4839" t="inlineStr">
        <is>
          <t>SALA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58262-2024</t>
        </is>
      </c>
      <c r="B4840" s="1" t="n">
        <v>45632</v>
      </c>
      <c r="C4840" s="1" t="n">
        <v>45661</v>
      </c>
      <c r="D4840" t="inlineStr">
        <is>
          <t>VÄSTMANLANDS LÄN</t>
        </is>
      </c>
      <c r="E4840" t="inlineStr">
        <is>
          <t>ARBOGA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58305-2024</t>
        </is>
      </c>
      <c r="B4841" s="1" t="n">
        <v>45632</v>
      </c>
      <c r="C4841" s="1" t="n">
        <v>45661</v>
      </c>
      <c r="D4841" t="inlineStr">
        <is>
          <t>VÄSTMANLANDS LÄN</t>
        </is>
      </c>
      <c r="E4841" t="inlineStr">
        <is>
          <t>FAGERSTA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58241-2024</t>
        </is>
      </c>
      <c r="B4842" s="1" t="n">
        <v>45632</v>
      </c>
      <c r="C4842" s="1" t="n">
        <v>45661</v>
      </c>
      <c r="D4842" t="inlineStr">
        <is>
          <t>VÄSTMANLANDS LÄN</t>
        </is>
      </c>
      <c r="E4842" t="inlineStr">
        <is>
          <t>ARBOGA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58310-2024</t>
        </is>
      </c>
      <c r="B4843" s="1" t="n">
        <v>45632</v>
      </c>
      <c r="C4843" s="1" t="n">
        <v>45661</v>
      </c>
      <c r="D4843" t="inlineStr">
        <is>
          <t>VÄSTMANLANDS LÄN</t>
        </is>
      </c>
      <c r="E4843" t="inlineStr">
        <is>
          <t>FAGERSTA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45661</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45661</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45661</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45661</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45661</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45661</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45661</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45661</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45661</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45661</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45661</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45661</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45661</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45661</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59740-2024</t>
        </is>
      </c>
      <c r="B4858" s="1" t="n">
        <v>45639</v>
      </c>
      <c r="C4858" s="1" t="n">
        <v>45661</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59741-2024</t>
        </is>
      </c>
      <c r="B4859" s="1" t="n">
        <v>45639</v>
      </c>
      <c r="C4859" s="1" t="n">
        <v>45661</v>
      </c>
      <c r="D4859" t="inlineStr">
        <is>
          <t>VÄSTMANLANDS LÄN</t>
        </is>
      </c>
      <c r="E4859" t="inlineStr">
        <is>
          <t>VÄSTERÅS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59805-2024</t>
        </is>
      </c>
      <c r="B4860" s="1" t="n">
        <v>45639</v>
      </c>
      <c r="C4860" s="1" t="n">
        <v>45661</v>
      </c>
      <c r="D4860" t="inlineStr">
        <is>
          <t>VÄSTMANLANDS LÄN</t>
        </is>
      </c>
      <c r="E4860" t="inlineStr">
        <is>
          <t>KUNGSÖR</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59705-2024</t>
        </is>
      </c>
      <c r="B4861" s="1" t="n">
        <v>45639</v>
      </c>
      <c r="C4861" s="1" t="n">
        <v>45661</v>
      </c>
      <c r="D4861" t="inlineStr">
        <is>
          <t>VÄSTMANLANDS LÄN</t>
        </is>
      </c>
      <c r="E4861" t="inlineStr">
        <is>
          <t>NORBERG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59747-2024</t>
        </is>
      </c>
      <c r="B4862" s="1" t="n">
        <v>45639</v>
      </c>
      <c r="C4862" s="1" t="n">
        <v>45661</v>
      </c>
      <c r="D4862" t="inlineStr">
        <is>
          <t>VÄSTMANLANDS LÄN</t>
        </is>
      </c>
      <c r="E4862" t="inlineStr">
        <is>
          <t>VÄSTERÅS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45661</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45661</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60030-2024</t>
        </is>
      </c>
      <c r="B4865" s="1" t="n">
        <v>45642</v>
      </c>
      <c r="C4865" s="1" t="n">
        <v>45661</v>
      </c>
      <c r="D4865" t="inlineStr">
        <is>
          <t>VÄSTMANLANDS LÄN</t>
        </is>
      </c>
      <c r="E4865" t="inlineStr">
        <is>
          <t>SURAHAMMAR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60034-2024</t>
        </is>
      </c>
      <c r="B4866" s="1" t="n">
        <v>45642</v>
      </c>
      <c r="C4866" s="1" t="n">
        <v>45661</v>
      </c>
      <c r="D4866" t="inlineStr">
        <is>
          <t>VÄSTMANLANDS LÄN</t>
        </is>
      </c>
      <c r="E4866" t="inlineStr">
        <is>
          <t>SALA</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45661</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45661</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60541-2024</t>
        </is>
      </c>
      <c r="B4869" s="1" t="n">
        <v>45643</v>
      </c>
      <c r="C4869" s="1" t="n">
        <v>45661</v>
      </c>
      <c r="D4869" t="inlineStr">
        <is>
          <t>VÄSTMANLANDS LÄN</t>
        </is>
      </c>
      <c r="E4869" t="inlineStr">
        <is>
          <t>SALA</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60545-2024</t>
        </is>
      </c>
      <c r="B4870" s="1" t="n">
        <v>45643</v>
      </c>
      <c r="C4870" s="1" t="n">
        <v>45661</v>
      </c>
      <c r="D4870" t="inlineStr">
        <is>
          <t>VÄSTMANLANDS LÄN</t>
        </is>
      </c>
      <c r="E4870" t="inlineStr">
        <is>
          <t>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60550-2024</t>
        </is>
      </c>
      <c r="B4871" s="1" t="n">
        <v>45643</v>
      </c>
      <c r="C4871" s="1" t="n">
        <v>45661</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60547-2024</t>
        </is>
      </c>
      <c r="B4872" s="1" t="n">
        <v>45643</v>
      </c>
      <c r="C4872" s="1" t="n">
        <v>45661</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60548-2024</t>
        </is>
      </c>
      <c r="B4873" s="1" t="n">
        <v>45643</v>
      </c>
      <c r="C4873" s="1" t="n">
        <v>45661</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60754-2024</t>
        </is>
      </c>
      <c r="B4874" s="1" t="n">
        <v>45644</v>
      </c>
      <c r="C4874" s="1" t="n">
        <v>45661</v>
      </c>
      <c r="D4874" t="inlineStr">
        <is>
          <t>VÄSTMANLANDS LÄN</t>
        </is>
      </c>
      <c r="E4874" t="inlineStr">
        <is>
          <t>KUNGSÖR</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60818-2024</t>
        </is>
      </c>
      <c r="B4875" s="1" t="n">
        <v>45644</v>
      </c>
      <c r="C4875" s="1" t="n">
        <v>45661</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60852-2024</t>
        </is>
      </c>
      <c r="B4876" s="1" t="n">
        <v>45644</v>
      </c>
      <c r="C4876" s="1" t="n">
        <v>45661</v>
      </c>
      <c r="D4876" t="inlineStr">
        <is>
          <t>VÄSTMANLANDS LÄN</t>
        </is>
      </c>
      <c r="E4876" t="inlineStr">
        <is>
          <t>SALA</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45661</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45661</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60764-2024</t>
        </is>
      </c>
      <c r="B4879" s="1" t="n">
        <v>45644</v>
      </c>
      <c r="C4879" s="1" t="n">
        <v>45661</v>
      </c>
      <c r="D4879" t="inlineStr">
        <is>
          <t>VÄSTMANLANDS LÄN</t>
        </is>
      </c>
      <c r="E4879" t="inlineStr">
        <is>
          <t>KUNGSÖR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61026-2024</t>
        </is>
      </c>
      <c r="B4880" s="1" t="n">
        <v>45645</v>
      </c>
      <c r="C4880" s="1" t="n">
        <v>45661</v>
      </c>
      <c r="D4880" t="inlineStr">
        <is>
          <t>VÄSTMANLANDS LÄN</t>
        </is>
      </c>
      <c r="E4880" t="inlineStr">
        <is>
          <t>ARBOGA</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61006-2024</t>
        </is>
      </c>
      <c r="B4881" s="1" t="n">
        <v>45645</v>
      </c>
      <c r="C4881" s="1" t="n">
        <v>45661</v>
      </c>
      <c r="D4881" t="inlineStr">
        <is>
          <t>VÄSTMANLANDS LÄN</t>
        </is>
      </c>
      <c r="E4881" t="inlineStr">
        <is>
          <t>ARBOGA</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61029-2024</t>
        </is>
      </c>
      <c r="B4882" s="1" t="n">
        <v>45645</v>
      </c>
      <c r="C4882" s="1" t="n">
        <v>45661</v>
      </c>
      <c r="D4882" t="inlineStr">
        <is>
          <t>VÄSTMANLANDS LÄN</t>
        </is>
      </c>
      <c r="E4882" t="inlineStr">
        <is>
          <t>VÄSTERÅS</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61059-2024</t>
        </is>
      </c>
      <c r="B4883" s="1" t="n">
        <v>45645</v>
      </c>
      <c r="C4883" s="1" t="n">
        <v>45661</v>
      </c>
      <c r="D4883" t="inlineStr">
        <is>
          <t>VÄSTMANLANDS LÄN</t>
        </is>
      </c>
      <c r="E4883" t="inlineStr">
        <is>
          <t>VÄSTERÅS</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61223-2024</t>
        </is>
      </c>
      <c r="B4884" s="1" t="n">
        <v>45645</v>
      </c>
      <c r="C4884" s="1" t="n">
        <v>45661</v>
      </c>
      <c r="D4884" t="inlineStr">
        <is>
          <t>VÄSTMANLANDS LÄN</t>
        </is>
      </c>
      <c r="E4884" t="inlineStr">
        <is>
          <t>KUNGSÖR</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61262-2024</t>
        </is>
      </c>
      <c r="B4885" s="1" t="n">
        <v>45645</v>
      </c>
      <c r="C4885" s="1" t="n">
        <v>45661</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61264-2024</t>
        </is>
      </c>
      <c r="B4886" s="1" t="n">
        <v>45645</v>
      </c>
      <c r="C4886" s="1" t="n">
        <v>45661</v>
      </c>
      <c r="D4886" t="inlineStr">
        <is>
          <t>VÄSTMANLANDS LÄN</t>
        </is>
      </c>
      <c r="E4886" t="inlineStr">
        <is>
          <t>KUNGSÖR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45661</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61001-2024</t>
        </is>
      </c>
      <c r="B4888" s="1" t="n">
        <v>45645</v>
      </c>
      <c r="C4888" s="1" t="n">
        <v>45661</v>
      </c>
      <c r="D4888" t="inlineStr">
        <is>
          <t>VÄSTMANLANDS LÄN</t>
        </is>
      </c>
      <c r="E4888" t="inlineStr">
        <is>
          <t>VÄSTERÅS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61018-2024</t>
        </is>
      </c>
      <c r="B4889" s="1" t="n">
        <v>45645</v>
      </c>
      <c r="C4889" s="1" t="n">
        <v>45661</v>
      </c>
      <c r="D4889" t="inlineStr">
        <is>
          <t>VÄSTMANLANDS LÄN</t>
        </is>
      </c>
      <c r="E4889" t="inlineStr">
        <is>
          <t>ARBOGA</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45661</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45661</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45661</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61681-2024</t>
        </is>
      </c>
      <c r="B4893" s="1" t="n">
        <v>45647</v>
      </c>
      <c r="C4893" s="1" t="n">
        <v>45661</v>
      </c>
      <c r="D4893" t="inlineStr">
        <is>
          <t>VÄSTMANLANDS LÄN</t>
        </is>
      </c>
      <c r="E4893" t="inlineStr">
        <is>
          <t>SALA</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45661</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45661</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45661</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45661</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45661</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45661</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45661</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62057-2024</t>
        </is>
      </c>
      <c r="B4901" s="1" t="n">
        <v>45656</v>
      </c>
      <c r="C4901" s="1" t="n">
        <v>45661</v>
      </c>
      <c r="D4901" t="inlineStr">
        <is>
          <t>VÄSTMANLANDS LÄN</t>
        </is>
      </c>
      <c r="E4901" t="inlineStr">
        <is>
          <t>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322-2025</t>
        </is>
      </c>
      <c r="B4902" s="1" t="n">
        <v>45656</v>
      </c>
      <c r="C4902" s="1" t="n">
        <v>45661</v>
      </c>
      <c r="D4902" t="inlineStr">
        <is>
          <t>VÄSTMANLANDS LÄN</t>
        </is>
      </c>
      <c r="E4902" t="inlineStr">
        <is>
          <t>SKINNSKATTEBERG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327-2025</t>
        </is>
      </c>
      <c r="B4903" s="1" t="n">
        <v>45657</v>
      </c>
      <c r="C4903" s="1" t="n">
        <v>45661</v>
      </c>
      <c r="D4903" t="inlineStr">
        <is>
          <t>VÄSTMANLANDS LÄN</t>
        </is>
      </c>
      <c r="E4903" t="inlineStr">
        <is>
          <t>SALA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194-2025</t>
        </is>
      </c>
      <c r="B4904" s="1" t="n">
        <v>45659</v>
      </c>
      <c r="C4904" s="1" t="n">
        <v>45661</v>
      </c>
      <c r="D4904" t="inlineStr">
        <is>
          <t>VÄSTMANLANDS LÄN</t>
        </is>
      </c>
      <c r="E4904" t="inlineStr">
        <is>
          <t>FAGERSTA</t>
        </is>
      </c>
      <c r="G4904" t="n">
        <v>2.3</v>
      </c>
      <c r="H4904" t="n">
        <v>0</v>
      </c>
      <c r="I4904" t="n">
        <v>0</v>
      </c>
      <c r="J4904" t="n">
        <v>0</v>
      </c>
      <c r="K4904" t="n">
        <v>0</v>
      </c>
      <c r="L4904" t="n">
        <v>0</v>
      </c>
      <c r="M4904" t="n">
        <v>0</v>
      </c>
      <c r="N4904" t="n">
        <v>0</v>
      </c>
      <c r="O4904" t="n">
        <v>0</v>
      </c>
      <c r="P4904" t="n">
        <v>0</v>
      </c>
      <c r="Q4904" t="n">
        <v>0</v>
      </c>
      <c r="R4904" s="2" t="inlineStr"/>
    </row>
    <row r="4905">
      <c r="A4905" t="inlineStr">
        <is>
          <t>A 199-2025</t>
        </is>
      </c>
      <c r="B4905" s="1" t="n">
        <v>45659</v>
      </c>
      <c r="C4905" s="1" t="n">
        <v>45661</v>
      </c>
      <c r="D4905" t="inlineStr">
        <is>
          <t>VÄSTMANLANDS LÄN</t>
        </is>
      </c>
      <c r="E4905" t="inlineStr">
        <is>
          <t>KÖPING</t>
        </is>
      </c>
      <c r="G4905" t="n">
        <v>2.7</v>
      </c>
      <c r="H4905" t="n">
        <v>0</v>
      </c>
      <c r="I4905" t="n">
        <v>0</v>
      </c>
      <c r="J4905" t="n">
        <v>0</v>
      </c>
      <c r="K4905" t="n">
        <v>0</v>
      </c>
      <c r="L4905" t="n">
        <v>0</v>
      </c>
      <c r="M4905" t="n">
        <v>0</v>
      </c>
      <c r="N4905" t="n">
        <v>0</v>
      </c>
      <c r="O4905" t="n">
        <v>0</v>
      </c>
      <c r="P4905" t="n">
        <v>0</v>
      </c>
      <c r="Q4905" t="n">
        <v>0</v>
      </c>
      <c r="R4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2025-01-04T16:07:04Z</dcterms:created>
  <dcterms:modified xmlns:dcterms="http://purl.org/dc/terms/" xmlns:xsi="http://www.w3.org/2001/XMLSchema-instance" xsi:type="dcterms:W3CDTF">2025-01-04T16:07:09Z</dcterms:modified>
</cp:coreProperties>
</file>