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45668</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45668</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45668</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45668</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45668</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45668</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45668</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45668</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45668</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45668</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45668</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45668</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45668</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45668</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45668</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45668</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45668</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45668</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45668</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45668</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45668</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45668</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45668</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45668</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45668</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45668</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45668</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45668</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45668</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45668</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45668</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45668</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45668</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45668</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45668</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45668</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45668</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45668</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45668</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45668</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45668</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45668</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45668</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45668</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45668</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45668</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45668</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45668</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45668</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45668</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45668</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45668</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45668</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45668</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45668</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45668</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45668</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45668</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45668</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45668</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45668</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45668</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45668</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45668</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45668</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45668</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45668</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45668</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45668</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45668</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45668</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45668</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45668</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45668</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45668</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45668</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45668</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45668</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45668</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45668</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45668</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45668</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45668</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45668</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45668</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45668</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45668</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45668</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45668</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45668</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45668</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45668</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45668</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45668</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45668</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45668</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45668</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45668</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45668</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45668</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45668</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45668</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45668</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45668</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45668</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45668</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45668</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45668</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45668</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45668</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45668</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45668</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45668</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45668</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45668</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45668</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45668</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45668</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45668</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45668</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45668</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45668</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45668</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45668</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45668</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45668</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45668</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45668</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45668</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45668</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45668</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45668</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45668</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45668</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45668</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45668</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45668</v>
      </c>
      <c r="D148" t="inlineStr">
        <is>
          <t>VÄSTMANLANDS LÄN</t>
        </is>
      </c>
      <c r="E148" t="inlineStr">
        <is>
          <t>SALA</t>
        </is>
      </c>
      <c r="G148" t="n">
        <v>8.5</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45668</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45668</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45668</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45668</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45668</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45668</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45668</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45668</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45668</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45668</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45668</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45668</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45668</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45668</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45668</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45668</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45668</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45668</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45668</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45668</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45668</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18717-2021</t>
        </is>
      </c>
      <c r="B170" s="1" t="n">
        <v>44306</v>
      </c>
      <c r="C170" s="1" t="n">
        <v>45668</v>
      </c>
      <c r="D170" t="inlineStr">
        <is>
          <t>VÄSTMANLANDS LÄN</t>
        </is>
      </c>
      <c r="E170" t="inlineStr">
        <is>
          <t>SURAHAMMAR</t>
        </is>
      </c>
      <c r="F170" t="inlineStr">
        <is>
          <t>Bergvik skog väst AB</t>
        </is>
      </c>
      <c r="G170" t="n">
        <v>18</v>
      </c>
      <c r="H170" t="n">
        <v>2</v>
      </c>
      <c r="I170" t="n">
        <v>0</v>
      </c>
      <c r="J170" t="n">
        <v>0</v>
      </c>
      <c r="K170" t="n">
        <v>0</v>
      </c>
      <c r="L170" t="n">
        <v>0</v>
      </c>
      <c r="M170" t="n">
        <v>0</v>
      </c>
      <c r="N170" t="n">
        <v>0</v>
      </c>
      <c r="O170" t="n">
        <v>0</v>
      </c>
      <c r="P170" t="n">
        <v>0</v>
      </c>
      <c r="Q170" t="n">
        <v>2</v>
      </c>
      <c r="R170" s="2" t="inlineStr">
        <is>
          <t>Lopplummer
Revlummer</t>
        </is>
      </c>
      <c r="S170">
        <f>HYPERLINK("https://klasma.github.io/Logging_1907/artfynd/A 18717-2021 artfynd.xlsx", "A 18717-2021")</f>
        <v/>
      </c>
      <c r="T170">
        <f>HYPERLINK("https://klasma.github.io/Logging_1907/kartor/A 18717-2021 karta.png", "A 18717-2021")</f>
        <v/>
      </c>
      <c r="V170">
        <f>HYPERLINK("https://klasma.github.io/Logging_1907/klagomål/A 18717-2021 FSC-klagomål.docx", "A 18717-2021")</f>
        <v/>
      </c>
      <c r="W170">
        <f>HYPERLINK("https://klasma.github.io/Logging_1907/klagomålsmail/A 18717-2021 FSC-klagomål mail.docx", "A 18717-2021")</f>
        <v/>
      </c>
      <c r="X170">
        <f>HYPERLINK("https://klasma.github.io/Logging_1907/tillsyn/A 18717-2021 tillsynsbegäran.docx", "A 18717-2021")</f>
        <v/>
      </c>
      <c r="Y170">
        <f>HYPERLINK("https://klasma.github.io/Logging_1907/tillsynsmail/A 18717-2021 tillsynsbegäran mail.docx", "A 18717-2021")</f>
        <v/>
      </c>
    </row>
    <row r="171" ht="15" customHeight="1">
      <c r="A171" t="inlineStr">
        <is>
          <t>A 21825-2021</t>
        </is>
      </c>
      <c r="B171" s="1" t="n">
        <v>44322</v>
      </c>
      <c r="C171" s="1" t="n">
        <v>45668</v>
      </c>
      <c r="D171" t="inlineStr">
        <is>
          <t>VÄSTMANLANDS LÄN</t>
        </is>
      </c>
      <c r="E171" t="inlineStr">
        <is>
          <t>SURAHAMMAR</t>
        </is>
      </c>
      <c r="G171" t="n">
        <v>4.7</v>
      </c>
      <c r="H171" t="n">
        <v>1</v>
      </c>
      <c r="I171" t="n">
        <v>0</v>
      </c>
      <c r="J171" t="n">
        <v>1</v>
      </c>
      <c r="K171" t="n">
        <v>0</v>
      </c>
      <c r="L171" t="n">
        <v>0</v>
      </c>
      <c r="M171" t="n">
        <v>0</v>
      </c>
      <c r="N171" t="n">
        <v>0</v>
      </c>
      <c r="O171" t="n">
        <v>1</v>
      </c>
      <c r="P171" t="n">
        <v>0</v>
      </c>
      <c r="Q171" t="n">
        <v>2</v>
      </c>
      <c r="R171" s="2" t="inlineStr">
        <is>
          <t>Svinrot
Blåsippa</t>
        </is>
      </c>
      <c r="S171">
        <f>HYPERLINK("https://klasma.github.io/Logging_1907/artfynd/A 21825-2021 artfynd.xlsx", "A 21825-2021")</f>
        <v/>
      </c>
      <c r="T171">
        <f>HYPERLINK("https://klasma.github.io/Logging_1907/kartor/A 21825-2021 karta.png", "A 21825-2021")</f>
        <v/>
      </c>
      <c r="V171">
        <f>HYPERLINK("https://klasma.github.io/Logging_1907/klagomål/A 21825-2021 FSC-klagomål.docx", "A 21825-2021")</f>
        <v/>
      </c>
      <c r="W171">
        <f>HYPERLINK("https://klasma.github.io/Logging_1907/klagomålsmail/A 21825-2021 FSC-klagomål mail.docx", "A 21825-2021")</f>
        <v/>
      </c>
      <c r="X171">
        <f>HYPERLINK("https://klasma.github.io/Logging_1907/tillsyn/A 21825-2021 tillsynsbegäran.docx", "A 21825-2021")</f>
        <v/>
      </c>
      <c r="Y171">
        <f>HYPERLINK("https://klasma.github.io/Logging_1907/tillsynsmail/A 21825-2021 tillsynsbegäran mail.docx", "A 21825-2021")</f>
        <v/>
      </c>
    </row>
    <row r="172" ht="15" customHeight="1">
      <c r="A172" t="inlineStr">
        <is>
          <t>A 24228-2021</t>
        </is>
      </c>
      <c r="B172" s="1" t="n">
        <v>44336</v>
      </c>
      <c r="C172" s="1" t="n">
        <v>45668</v>
      </c>
      <c r="D172" t="inlineStr">
        <is>
          <t>VÄSTMANLANDS LÄN</t>
        </is>
      </c>
      <c r="E172" t="inlineStr">
        <is>
          <t>VÄSTERÅS</t>
        </is>
      </c>
      <c r="F172" t="inlineStr">
        <is>
          <t>Sveaskog</t>
        </is>
      </c>
      <c r="G172" t="n">
        <v>6.7</v>
      </c>
      <c r="H172" t="n">
        <v>0</v>
      </c>
      <c r="I172" t="n">
        <v>1</v>
      </c>
      <c r="J172" t="n">
        <v>1</v>
      </c>
      <c r="K172" t="n">
        <v>0</v>
      </c>
      <c r="L172" t="n">
        <v>0</v>
      </c>
      <c r="M172" t="n">
        <v>0</v>
      </c>
      <c r="N172" t="n">
        <v>0</v>
      </c>
      <c r="O172" t="n">
        <v>1</v>
      </c>
      <c r="P172" t="n">
        <v>0</v>
      </c>
      <c r="Q172" t="n">
        <v>2</v>
      </c>
      <c r="R172" s="2" t="inlineStr">
        <is>
          <t>Ullticka
Gullgröppa</t>
        </is>
      </c>
      <c r="S172">
        <f>HYPERLINK("https://klasma.github.io/Logging_1980/artfynd/A 24228-2021 artfynd.xlsx", "A 24228-2021")</f>
        <v/>
      </c>
      <c r="T172">
        <f>HYPERLINK("https://klasma.github.io/Logging_1980/kartor/A 24228-2021 karta.png", "A 24228-2021")</f>
        <v/>
      </c>
      <c r="V172">
        <f>HYPERLINK("https://klasma.github.io/Logging_1980/klagomål/A 24228-2021 FSC-klagomål.docx", "A 24228-2021")</f>
        <v/>
      </c>
      <c r="W172">
        <f>HYPERLINK("https://klasma.github.io/Logging_1980/klagomålsmail/A 24228-2021 FSC-klagomål mail.docx", "A 24228-2021")</f>
        <v/>
      </c>
      <c r="X172">
        <f>HYPERLINK("https://klasma.github.io/Logging_1980/tillsyn/A 24228-2021 tillsynsbegäran.docx", "A 24228-2021")</f>
        <v/>
      </c>
      <c r="Y172">
        <f>HYPERLINK("https://klasma.github.io/Logging_1980/tillsynsmail/A 24228-2021 tillsynsbegäran mail.docx", "A 24228-2021")</f>
        <v/>
      </c>
    </row>
    <row r="173" ht="15" customHeight="1">
      <c r="A173" t="inlineStr">
        <is>
          <t>A 26898-2021</t>
        </is>
      </c>
      <c r="B173" s="1" t="n">
        <v>44349</v>
      </c>
      <c r="C173" s="1" t="n">
        <v>45668</v>
      </c>
      <c r="D173" t="inlineStr">
        <is>
          <t>VÄSTMANLANDS LÄN</t>
        </is>
      </c>
      <c r="E173" t="inlineStr">
        <is>
          <t>KÖPING</t>
        </is>
      </c>
      <c r="G173" t="n">
        <v>11.9</v>
      </c>
      <c r="H173" t="n">
        <v>0</v>
      </c>
      <c r="I173" t="n">
        <v>0</v>
      </c>
      <c r="J173" t="n">
        <v>1</v>
      </c>
      <c r="K173" t="n">
        <v>1</v>
      </c>
      <c r="L173" t="n">
        <v>0</v>
      </c>
      <c r="M173" t="n">
        <v>0</v>
      </c>
      <c r="N173" t="n">
        <v>0</v>
      </c>
      <c r="O173" t="n">
        <v>2</v>
      </c>
      <c r="P173" t="n">
        <v>1</v>
      </c>
      <c r="Q173" t="n">
        <v>2</v>
      </c>
      <c r="R173" s="2" t="inlineStr">
        <is>
          <t>Rynkskinn
Ullticka</t>
        </is>
      </c>
      <c r="S173">
        <f>HYPERLINK("https://klasma.github.io/Logging_1983/artfynd/A 26898-2021 artfynd.xlsx", "A 26898-2021")</f>
        <v/>
      </c>
      <c r="T173">
        <f>HYPERLINK("https://klasma.github.io/Logging_1983/kartor/A 26898-2021 karta.png", "A 26898-2021")</f>
        <v/>
      </c>
      <c r="V173">
        <f>HYPERLINK("https://klasma.github.io/Logging_1983/klagomål/A 26898-2021 FSC-klagomål.docx", "A 26898-2021")</f>
        <v/>
      </c>
      <c r="W173">
        <f>HYPERLINK("https://klasma.github.io/Logging_1983/klagomålsmail/A 26898-2021 FSC-klagomål mail.docx", "A 26898-2021")</f>
        <v/>
      </c>
      <c r="X173">
        <f>HYPERLINK("https://klasma.github.io/Logging_1983/tillsyn/A 26898-2021 tillsynsbegäran.docx", "A 26898-2021")</f>
        <v/>
      </c>
      <c r="Y173">
        <f>HYPERLINK("https://klasma.github.io/Logging_1983/tillsynsmail/A 26898-2021 tillsynsbegäran mail.docx", "A 26898-2021")</f>
        <v/>
      </c>
    </row>
    <row r="174" ht="15" customHeight="1">
      <c r="A174" t="inlineStr">
        <is>
          <t>A 37801-2021</t>
        </is>
      </c>
      <c r="B174" s="1" t="n">
        <v>44402</v>
      </c>
      <c r="C174" s="1" t="n">
        <v>45668</v>
      </c>
      <c r="D174" t="inlineStr">
        <is>
          <t>VÄSTMANLANDS LÄN</t>
        </is>
      </c>
      <c r="E174" t="inlineStr">
        <is>
          <t>SURAHAMMAR</t>
        </is>
      </c>
      <c r="F174" t="inlineStr">
        <is>
          <t>Kommuner</t>
        </is>
      </c>
      <c r="G174" t="n">
        <v>2.3</v>
      </c>
      <c r="H174" t="n">
        <v>1</v>
      </c>
      <c r="I174" t="n">
        <v>0</v>
      </c>
      <c r="J174" t="n">
        <v>1</v>
      </c>
      <c r="K174" t="n">
        <v>0</v>
      </c>
      <c r="L174" t="n">
        <v>0</v>
      </c>
      <c r="M174" t="n">
        <v>0</v>
      </c>
      <c r="N174" t="n">
        <v>0</v>
      </c>
      <c r="O174" t="n">
        <v>1</v>
      </c>
      <c r="P174" t="n">
        <v>0</v>
      </c>
      <c r="Q174" t="n">
        <v>2</v>
      </c>
      <c r="R174" s="2" t="inlineStr">
        <is>
          <t>Veckticka
Nattviol</t>
        </is>
      </c>
      <c r="S174">
        <f>HYPERLINK("https://klasma.github.io/Logging_1907/artfynd/A 37801-2021 artfynd.xlsx", "A 37801-2021")</f>
        <v/>
      </c>
      <c r="T174">
        <f>HYPERLINK("https://klasma.github.io/Logging_1907/kartor/A 37801-2021 karta.png", "A 37801-2021")</f>
        <v/>
      </c>
      <c r="V174">
        <f>HYPERLINK("https://klasma.github.io/Logging_1907/klagomål/A 37801-2021 FSC-klagomål.docx", "A 37801-2021")</f>
        <v/>
      </c>
      <c r="W174">
        <f>HYPERLINK("https://klasma.github.io/Logging_1907/klagomålsmail/A 37801-2021 FSC-klagomål mail.docx", "A 37801-2021")</f>
        <v/>
      </c>
      <c r="X174">
        <f>HYPERLINK("https://klasma.github.io/Logging_1907/tillsyn/A 37801-2021 tillsynsbegäran.docx", "A 37801-2021")</f>
        <v/>
      </c>
      <c r="Y174">
        <f>HYPERLINK("https://klasma.github.io/Logging_1907/tillsynsmail/A 37801-2021 tillsynsbegäran mail.docx", "A 37801-2021")</f>
        <v/>
      </c>
    </row>
    <row r="175" ht="15" customHeight="1">
      <c r="A175" t="inlineStr">
        <is>
          <t>A 37800-2021</t>
        </is>
      </c>
      <c r="B175" s="1" t="n">
        <v>44402</v>
      </c>
      <c r="C175" s="1" t="n">
        <v>45668</v>
      </c>
      <c r="D175" t="inlineStr">
        <is>
          <t>VÄSTMANLANDS LÄN</t>
        </is>
      </c>
      <c r="E175" t="inlineStr">
        <is>
          <t>SURAHAMMAR</t>
        </is>
      </c>
      <c r="F175" t="inlineStr">
        <is>
          <t>Kommuner</t>
        </is>
      </c>
      <c r="G175" t="n">
        <v>1.3</v>
      </c>
      <c r="H175" t="n">
        <v>1</v>
      </c>
      <c r="I175" t="n">
        <v>0</v>
      </c>
      <c r="J175" t="n">
        <v>1</v>
      </c>
      <c r="K175" t="n">
        <v>0</v>
      </c>
      <c r="L175" t="n">
        <v>0</v>
      </c>
      <c r="M175" t="n">
        <v>0</v>
      </c>
      <c r="N175" t="n">
        <v>0</v>
      </c>
      <c r="O175" t="n">
        <v>1</v>
      </c>
      <c r="P175" t="n">
        <v>0</v>
      </c>
      <c r="Q175" t="n">
        <v>2</v>
      </c>
      <c r="R175" s="2" t="inlineStr">
        <is>
          <t>Svinrot
Grönvit nattviol</t>
        </is>
      </c>
      <c r="S175">
        <f>HYPERLINK("https://klasma.github.io/Logging_1907/artfynd/A 37800-2021 artfynd.xlsx", "A 37800-2021")</f>
        <v/>
      </c>
      <c r="T175">
        <f>HYPERLINK("https://klasma.github.io/Logging_1907/kartor/A 37800-2021 karta.png", "A 37800-2021")</f>
        <v/>
      </c>
      <c r="V175">
        <f>HYPERLINK("https://klasma.github.io/Logging_1907/klagomål/A 37800-2021 FSC-klagomål.docx", "A 37800-2021")</f>
        <v/>
      </c>
      <c r="W175">
        <f>HYPERLINK("https://klasma.github.io/Logging_1907/klagomålsmail/A 37800-2021 FSC-klagomål mail.docx", "A 37800-2021")</f>
        <v/>
      </c>
      <c r="X175">
        <f>HYPERLINK("https://klasma.github.io/Logging_1907/tillsyn/A 37800-2021 tillsynsbegäran.docx", "A 37800-2021")</f>
        <v/>
      </c>
      <c r="Y175">
        <f>HYPERLINK("https://klasma.github.io/Logging_1907/tillsynsmail/A 37800-2021 tillsynsbegäran mail.docx", "A 37800-2021")</f>
        <v/>
      </c>
    </row>
    <row r="176" ht="15" customHeight="1">
      <c r="A176" t="inlineStr">
        <is>
          <t>A 54555-2021</t>
        </is>
      </c>
      <c r="B176" s="1" t="n">
        <v>44473</v>
      </c>
      <c r="C176" s="1" t="n">
        <v>45668</v>
      </c>
      <c r="D176" t="inlineStr">
        <is>
          <t>VÄSTMANLANDS LÄN</t>
        </is>
      </c>
      <c r="E176" t="inlineStr">
        <is>
          <t>SALA</t>
        </is>
      </c>
      <c r="G176" t="n">
        <v>13</v>
      </c>
      <c r="H176" t="n">
        <v>0</v>
      </c>
      <c r="I176" t="n">
        <v>1</v>
      </c>
      <c r="J176" t="n">
        <v>1</v>
      </c>
      <c r="K176" t="n">
        <v>0</v>
      </c>
      <c r="L176" t="n">
        <v>0</v>
      </c>
      <c r="M176" t="n">
        <v>0</v>
      </c>
      <c r="N176" t="n">
        <v>0</v>
      </c>
      <c r="O176" t="n">
        <v>1</v>
      </c>
      <c r="P176" t="n">
        <v>0</v>
      </c>
      <c r="Q176" t="n">
        <v>2</v>
      </c>
      <c r="R176" s="2" t="inlineStr">
        <is>
          <t>Storgröe
Stubbspretmossa</t>
        </is>
      </c>
      <c r="S176">
        <f>HYPERLINK("https://klasma.github.io/Logging_1981/artfynd/A 54555-2021 artfynd.xlsx", "A 54555-2021")</f>
        <v/>
      </c>
      <c r="T176">
        <f>HYPERLINK("https://klasma.github.io/Logging_1981/kartor/A 54555-2021 karta.png", "A 54555-2021")</f>
        <v/>
      </c>
      <c r="V176">
        <f>HYPERLINK("https://klasma.github.io/Logging_1981/klagomål/A 54555-2021 FSC-klagomål.docx", "A 54555-2021")</f>
        <v/>
      </c>
      <c r="W176">
        <f>HYPERLINK("https://klasma.github.io/Logging_1981/klagomålsmail/A 54555-2021 FSC-klagomål mail.docx", "A 54555-2021")</f>
        <v/>
      </c>
      <c r="X176">
        <f>HYPERLINK("https://klasma.github.io/Logging_1981/tillsyn/A 54555-2021 tillsynsbegäran.docx", "A 54555-2021")</f>
        <v/>
      </c>
      <c r="Y176">
        <f>HYPERLINK("https://klasma.github.io/Logging_1981/tillsynsmail/A 54555-2021 tillsynsbegäran mail.docx", "A 54555-2021")</f>
        <v/>
      </c>
    </row>
    <row r="177" ht="15" customHeight="1">
      <c r="A177" t="inlineStr">
        <is>
          <t>A 57168-2021</t>
        </is>
      </c>
      <c r="B177" s="1" t="n">
        <v>44482</v>
      </c>
      <c r="C177" s="1" t="n">
        <v>45668</v>
      </c>
      <c r="D177" t="inlineStr">
        <is>
          <t>VÄSTMANLANDS LÄN</t>
        </is>
      </c>
      <c r="E177" t="inlineStr">
        <is>
          <t>SURAHAMMAR</t>
        </is>
      </c>
      <c r="G177" t="n">
        <v>1.7</v>
      </c>
      <c r="H177" t="n">
        <v>0</v>
      </c>
      <c r="I177" t="n">
        <v>0</v>
      </c>
      <c r="J177" t="n">
        <v>1</v>
      </c>
      <c r="K177" t="n">
        <v>0</v>
      </c>
      <c r="L177" t="n">
        <v>1</v>
      </c>
      <c r="M177" t="n">
        <v>0</v>
      </c>
      <c r="N177" t="n">
        <v>0</v>
      </c>
      <c r="O177" t="n">
        <v>2</v>
      </c>
      <c r="P177" t="n">
        <v>1</v>
      </c>
      <c r="Q177" t="n">
        <v>2</v>
      </c>
      <c r="R177" s="2" t="inlineStr">
        <is>
          <t>Ask
Svartöra</t>
        </is>
      </c>
      <c r="S177">
        <f>HYPERLINK("https://klasma.github.io/Logging_1907/artfynd/A 57168-2021 artfynd.xlsx", "A 57168-2021")</f>
        <v/>
      </c>
      <c r="T177">
        <f>HYPERLINK("https://klasma.github.io/Logging_1907/kartor/A 57168-2021 karta.png", "A 57168-2021")</f>
        <v/>
      </c>
      <c r="V177">
        <f>HYPERLINK("https://klasma.github.io/Logging_1907/klagomål/A 57168-2021 FSC-klagomål.docx", "A 57168-2021")</f>
        <v/>
      </c>
      <c r="W177">
        <f>HYPERLINK("https://klasma.github.io/Logging_1907/klagomålsmail/A 57168-2021 FSC-klagomål mail.docx", "A 57168-2021")</f>
        <v/>
      </c>
      <c r="X177">
        <f>HYPERLINK("https://klasma.github.io/Logging_1907/tillsyn/A 57168-2021 tillsynsbegäran.docx", "A 57168-2021")</f>
        <v/>
      </c>
      <c r="Y177">
        <f>HYPERLINK("https://klasma.github.io/Logging_1907/tillsynsmail/A 57168-2021 tillsynsbegäran mail.docx", "A 57168-2021")</f>
        <v/>
      </c>
    </row>
    <row r="178" ht="15" customHeight="1">
      <c r="A178" t="inlineStr">
        <is>
          <t>A 65300-2021</t>
        </is>
      </c>
      <c r="B178" s="1" t="n">
        <v>44515</v>
      </c>
      <c r="C178" s="1" t="n">
        <v>45668</v>
      </c>
      <c r="D178" t="inlineStr">
        <is>
          <t>VÄSTMANLANDS LÄN</t>
        </is>
      </c>
      <c r="E178" t="inlineStr">
        <is>
          <t>SKINNSKATTEBERG</t>
        </is>
      </c>
      <c r="G178" t="n">
        <v>30.2</v>
      </c>
      <c r="H178" t="n">
        <v>1</v>
      </c>
      <c r="I178" t="n">
        <v>1</v>
      </c>
      <c r="J178" t="n">
        <v>0</v>
      </c>
      <c r="K178" t="n">
        <v>0</v>
      </c>
      <c r="L178" t="n">
        <v>0</v>
      </c>
      <c r="M178" t="n">
        <v>0</v>
      </c>
      <c r="N178" t="n">
        <v>0</v>
      </c>
      <c r="O178" t="n">
        <v>0</v>
      </c>
      <c r="P178" t="n">
        <v>0</v>
      </c>
      <c r="Q178" t="n">
        <v>2</v>
      </c>
      <c r="R178" s="2" t="inlineStr">
        <is>
          <t>Platt fjädermossa
Blåsippa</t>
        </is>
      </c>
      <c r="S178">
        <f>HYPERLINK("https://klasma.github.io/Logging_1904/artfynd/A 65300-2021 artfynd.xlsx", "A 65300-2021")</f>
        <v/>
      </c>
      <c r="T178">
        <f>HYPERLINK("https://klasma.github.io/Logging_1904/kartor/A 65300-2021 karta.png", "A 65300-2021")</f>
        <v/>
      </c>
      <c r="V178">
        <f>HYPERLINK("https://klasma.github.io/Logging_1904/klagomål/A 65300-2021 FSC-klagomål.docx", "A 65300-2021")</f>
        <v/>
      </c>
      <c r="W178">
        <f>HYPERLINK("https://klasma.github.io/Logging_1904/klagomålsmail/A 65300-2021 FSC-klagomål mail.docx", "A 65300-2021")</f>
        <v/>
      </c>
      <c r="X178">
        <f>HYPERLINK("https://klasma.github.io/Logging_1904/tillsyn/A 65300-2021 tillsynsbegäran.docx", "A 65300-2021")</f>
        <v/>
      </c>
      <c r="Y178">
        <f>HYPERLINK("https://klasma.github.io/Logging_1904/tillsynsmail/A 65300-2021 tillsynsbegäran mail.docx", "A 65300-2021")</f>
        <v/>
      </c>
    </row>
    <row r="179" ht="15" customHeight="1">
      <c r="A179" t="inlineStr">
        <is>
          <t>A 66343-2021</t>
        </is>
      </c>
      <c r="B179" s="1" t="n">
        <v>44518</v>
      </c>
      <c r="C179" s="1" t="n">
        <v>45668</v>
      </c>
      <c r="D179" t="inlineStr">
        <is>
          <t>VÄSTMANLANDS LÄN</t>
        </is>
      </c>
      <c r="E179" t="inlineStr">
        <is>
          <t>SURAHAMMAR</t>
        </is>
      </c>
      <c r="F179" t="inlineStr">
        <is>
          <t>Sveaskog</t>
        </is>
      </c>
      <c r="G179" t="n">
        <v>2.5</v>
      </c>
      <c r="H179" t="n">
        <v>0</v>
      </c>
      <c r="I179" t="n">
        <v>1</v>
      </c>
      <c r="J179" t="n">
        <v>0</v>
      </c>
      <c r="K179" t="n">
        <v>1</v>
      </c>
      <c r="L179" t="n">
        <v>0</v>
      </c>
      <c r="M179" t="n">
        <v>0</v>
      </c>
      <c r="N179" t="n">
        <v>0</v>
      </c>
      <c r="O179" t="n">
        <v>1</v>
      </c>
      <c r="P179" t="n">
        <v>1</v>
      </c>
      <c r="Q179" t="n">
        <v>2</v>
      </c>
      <c r="R179" s="2" t="inlineStr">
        <is>
          <t>Torrmusseron
Blåmossa</t>
        </is>
      </c>
      <c r="S179">
        <f>HYPERLINK("https://klasma.github.io/Logging_1907/artfynd/A 66343-2021 artfynd.xlsx", "A 66343-2021")</f>
        <v/>
      </c>
      <c r="T179">
        <f>HYPERLINK("https://klasma.github.io/Logging_1907/kartor/A 66343-2021 karta.png", "A 66343-2021")</f>
        <v/>
      </c>
      <c r="V179">
        <f>HYPERLINK("https://klasma.github.io/Logging_1907/klagomål/A 66343-2021 FSC-klagomål.docx", "A 66343-2021")</f>
        <v/>
      </c>
      <c r="W179">
        <f>HYPERLINK("https://klasma.github.io/Logging_1907/klagomålsmail/A 66343-2021 FSC-klagomål mail.docx", "A 66343-2021")</f>
        <v/>
      </c>
      <c r="X179">
        <f>HYPERLINK("https://klasma.github.io/Logging_1907/tillsyn/A 66343-2021 tillsynsbegäran.docx", "A 66343-2021")</f>
        <v/>
      </c>
      <c r="Y179">
        <f>HYPERLINK("https://klasma.github.io/Logging_1907/tillsynsmail/A 66343-2021 tillsynsbegäran mail.docx", "A 66343-2021")</f>
        <v/>
      </c>
    </row>
    <row r="180" ht="15" customHeight="1">
      <c r="A180" t="inlineStr">
        <is>
          <t>A 73598-2021</t>
        </is>
      </c>
      <c r="B180" s="1" t="n">
        <v>44552</v>
      </c>
      <c r="C180" s="1" t="n">
        <v>45668</v>
      </c>
      <c r="D180" t="inlineStr">
        <is>
          <t>VÄSTMANLANDS LÄN</t>
        </is>
      </c>
      <c r="E180" t="inlineStr">
        <is>
          <t>SALA</t>
        </is>
      </c>
      <c r="G180" t="n">
        <v>1.3</v>
      </c>
      <c r="H180" t="n">
        <v>1</v>
      </c>
      <c r="I180" t="n">
        <v>1</v>
      </c>
      <c r="J180" t="n">
        <v>0</v>
      </c>
      <c r="K180" t="n">
        <v>0</v>
      </c>
      <c r="L180" t="n">
        <v>0</v>
      </c>
      <c r="M180" t="n">
        <v>0</v>
      </c>
      <c r="N180" t="n">
        <v>0</v>
      </c>
      <c r="O180" t="n">
        <v>0</v>
      </c>
      <c r="P180" t="n">
        <v>0</v>
      </c>
      <c r="Q180" t="n">
        <v>2</v>
      </c>
      <c r="R180" s="2" t="inlineStr">
        <is>
          <t>Kryddspindling
Blåsippa</t>
        </is>
      </c>
      <c r="S180">
        <f>HYPERLINK("https://klasma.github.io/Logging_1981/artfynd/A 73598-2021 artfynd.xlsx", "A 73598-2021")</f>
        <v/>
      </c>
      <c r="T180">
        <f>HYPERLINK("https://klasma.github.io/Logging_1981/kartor/A 73598-2021 karta.png", "A 73598-2021")</f>
        <v/>
      </c>
      <c r="V180">
        <f>HYPERLINK("https://klasma.github.io/Logging_1981/klagomål/A 73598-2021 FSC-klagomål.docx", "A 73598-2021")</f>
        <v/>
      </c>
      <c r="W180">
        <f>HYPERLINK("https://klasma.github.io/Logging_1981/klagomålsmail/A 73598-2021 FSC-klagomål mail.docx", "A 73598-2021")</f>
        <v/>
      </c>
      <c r="X180">
        <f>HYPERLINK("https://klasma.github.io/Logging_1981/tillsyn/A 73598-2021 tillsynsbegäran.docx", "A 73598-2021")</f>
        <v/>
      </c>
      <c r="Y180">
        <f>HYPERLINK("https://klasma.github.io/Logging_1981/tillsynsmail/A 73598-2021 tillsynsbegäran mail.docx", "A 73598-2021")</f>
        <v/>
      </c>
    </row>
    <row r="181" ht="15" customHeight="1">
      <c r="A181" t="inlineStr">
        <is>
          <t>A 1500-2022</t>
        </is>
      </c>
      <c r="B181" s="1" t="n">
        <v>44573</v>
      </c>
      <c r="C181" s="1" t="n">
        <v>45668</v>
      </c>
      <c r="D181" t="inlineStr">
        <is>
          <t>VÄSTMANLANDS LÄN</t>
        </is>
      </c>
      <c r="E181" t="inlineStr">
        <is>
          <t>SALA</t>
        </is>
      </c>
      <c r="G181" t="n">
        <v>5.8</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1500-2022 artfynd.xlsx", "A 1500-2022")</f>
        <v/>
      </c>
      <c r="T181">
        <f>HYPERLINK("https://klasma.github.io/Logging_1981/kartor/A 1500-2022 karta.png", "A 1500-2022")</f>
        <v/>
      </c>
      <c r="U181">
        <f>HYPERLINK("https://klasma.github.io/Logging_1981/knärot/A 1500-2022 karta knärot.png", "A 1500-2022")</f>
        <v/>
      </c>
      <c r="V181">
        <f>HYPERLINK("https://klasma.github.io/Logging_1981/klagomål/A 1500-2022 FSC-klagomål.docx", "A 1500-2022")</f>
        <v/>
      </c>
      <c r="W181">
        <f>HYPERLINK("https://klasma.github.io/Logging_1981/klagomålsmail/A 1500-2022 FSC-klagomål mail.docx", "A 1500-2022")</f>
        <v/>
      </c>
      <c r="X181">
        <f>HYPERLINK("https://klasma.github.io/Logging_1981/tillsyn/A 1500-2022 tillsynsbegäran.docx", "A 1500-2022")</f>
        <v/>
      </c>
      <c r="Y181">
        <f>HYPERLINK("https://klasma.github.io/Logging_1981/tillsynsmail/A 1500-2022 tillsynsbegäran mail.docx", "A 1500-2022")</f>
        <v/>
      </c>
    </row>
    <row r="182" ht="15" customHeight="1">
      <c r="A182" t="inlineStr">
        <is>
          <t>A 7845-2022</t>
        </is>
      </c>
      <c r="B182" s="1" t="n">
        <v>44608</v>
      </c>
      <c r="C182" s="1" t="n">
        <v>45668</v>
      </c>
      <c r="D182" t="inlineStr">
        <is>
          <t>VÄSTMANLANDS LÄN</t>
        </is>
      </c>
      <c r="E182" t="inlineStr">
        <is>
          <t>SURAHAMMAR</t>
        </is>
      </c>
      <c r="G182" t="n">
        <v>3</v>
      </c>
      <c r="H182" t="n">
        <v>1</v>
      </c>
      <c r="I182" t="n">
        <v>1</v>
      </c>
      <c r="J182" t="n">
        <v>0</v>
      </c>
      <c r="K182" t="n">
        <v>1</v>
      </c>
      <c r="L182" t="n">
        <v>0</v>
      </c>
      <c r="M182" t="n">
        <v>0</v>
      </c>
      <c r="N182" t="n">
        <v>0</v>
      </c>
      <c r="O182" t="n">
        <v>1</v>
      </c>
      <c r="P182" t="n">
        <v>1</v>
      </c>
      <c r="Q182" t="n">
        <v>2</v>
      </c>
      <c r="R182" s="2" t="inlineStr">
        <is>
          <t>Knärot
Vedticka</t>
        </is>
      </c>
      <c r="S182">
        <f>HYPERLINK("https://klasma.github.io/Logging_1907/artfynd/A 7845-2022 artfynd.xlsx", "A 7845-2022")</f>
        <v/>
      </c>
      <c r="T182">
        <f>HYPERLINK("https://klasma.github.io/Logging_1907/kartor/A 7845-2022 karta.png", "A 7845-2022")</f>
        <v/>
      </c>
      <c r="U182">
        <f>HYPERLINK("https://klasma.github.io/Logging_1907/knärot/A 7845-2022 karta knärot.png", "A 7845-2022")</f>
        <v/>
      </c>
      <c r="V182">
        <f>HYPERLINK("https://klasma.github.io/Logging_1907/klagomål/A 7845-2022 FSC-klagomål.docx", "A 7845-2022")</f>
        <v/>
      </c>
      <c r="W182">
        <f>HYPERLINK("https://klasma.github.io/Logging_1907/klagomålsmail/A 7845-2022 FSC-klagomål mail.docx", "A 7845-2022")</f>
        <v/>
      </c>
      <c r="X182">
        <f>HYPERLINK("https://klasma.github.io/Logging_1907/tillsyn/A 7845-2022 tillsynsbegäran.docx", "A 7845-2022")</f>
        <v/>
      </c>
      <c r="Y182">
        <f>HYPERLINK("https://klasma.github.io/Logging_1907/tillsynsmail/A 7845-2022 tillsynsbegäran mail.docx", "A 7845-2022")</f>
        <v/>
      </c>
    </row>
    <row r="183" ht="15" customHeight="1">
      <c r="A183" t="inlineStr">
        <is>
          <t>A 9956-2022</t>
        </is>
      </c>
      <c r="B183" s="1" t="n">
        <v>44621</v>
      </c>
      <c r="C183" s="1" t="n">
        <v>45668</v>
      </c>
      <c r="D183" t="inlineStr">
        <is>
          <t>VÄSTMANLANDS LÄN</t>
        </is>
      </c>
      <c r="E183" t="inlineStr">
        <is>
          <t>FAGERSTA</t>
        </is>
      </c>
      <c r="F183" t="inlineStr">
        <is>
          <t>Kommuner</t>
        </is>
      </c>
      <c r="G183" t="n">
        <v>6.4</v>
      </c>
      <c r="H183" t="n">
        <v>1</v>
      </c>
      <c r="I183" t="n">
        <v>1</v>
      </c>
      <c r="J183" t="n">
        <v>0</v>
      </c>
      <c r="K183" t="n">
        <v>0</v>
      </c>
      <c r="L183" t="n">
        <v>0</v>
      </c>
      <c r="M183" t="n">
        <v>0</v>
      </c>
      <c r="N183" t="n">
        <v>0</v>
      </c>
      <c r="O183" t="n">
        <v>0</v>
      </c>
      <c r="P183" t="n">
        <v>0</v>
      </c>
      <c r="Q183" t="n">
        <v>2</v>
      </c>
      <c r="R183" s="2" t="inlineStr">
        <is>
          <t>Ögonpyrola
Fläcknycklar</t>
        </is>
      </c>
      <c r="S183">
        <f>HYPERLINK("https://klasma.github.io/Logging_1982/artfynd/A 9956-2022 artfynd.xlsx", "A 9956-2022")</f>
        <v/>
      </c>
      <c r="T183">
        <f>HYPERLINK("https://klasma.github.io/Logging_1982/kartor/A 9956-2022 karta.png", "A 9956-2022")</f>
        <v/>
      </c>
      <c r="V183">
        <f>HYPERLINK("https://klasma.github.io/Logging_1982/klagomål/A 9956-2022 FSC-klagomål.docx", "A 9956-2022")</f>
        <v/>
      </c>
      <c r="W183">
        <f>HYPERLINK("https://klasma.github.io/Logging_1982/klagomålsmail/A 9956-2022 FSC-klagomål mail.docx", "A 9956-2022")</f>
        <v/>
      </c>
      <c r="X183">
        <f>HYPERLINK("https://klasma.github.io/Logging_1982/tillsyn/A 9956-2022 tillsynsbegäran.docx", "A 9956-2022")</f>
        <v/>
      </c>
      <c r="Y183">
        <f>HYPERLINK("https://klasma.github.io/Logging_1982/tillsynsmail/A 9956-2022 tillsynsbegäran mail.docx", "A 9956-2022")</f>
        <v/>
      </c>
    </row>
    <row r="184" ht="15" customHeight="1">
      <c r="A184" t="inlineStr">
        <is>
          <t>A 12894-2022</t>
        </is>
      </c>
      <c r="B184" s="1" t="n">
        <v>44641</v>
      </c>
      <c r="C184" s="1" t="n">
        <v>45668</v>
      </c>
      <c r="D184" t="inlineStr">
        <is>
          <t>VÄSTMANLANDS LÄN</t>
        </is>
      </c>
      <c r="E184" t="inlineStr">
        <is>
          <t>VÄSTERÅS</t>
        </is>
      </c>
      <c r="F184" t="inlineStr">
        <is>
          <t>Övriga Aktiebolag</t>
        </is>
      </c>
      <c r="G184" t="n">
        <v>15.5</v>
      </c>
      <c r="H184" t="n">
        <v>1</v>
      </c>
      <c r="I184" t="n">
        <v>0</v>
      </c>
      <c r="J184" t="n">
        <v>1</v>
      </c>
      <c r="K184" t="n">
        <v>0</v>
      </c>
      <c r="L184" t="n">
        <v>1</v>
      </c>
      <c r="M184" t="n">
        <v>0</v>
      </c>
      <c r="N184" t="n">
        <v>0</v>
      </c>
      <c r="O184" t="n">
        <v>2</v>
      </c>
      <c r="P184" t="n">
        <v>1</v>
      </c>
      <c r="Q184" t="n">
        <v>2</v>
      </c>
      <c r="R184" s="2" t="inlineStr">
        <is>
          <t>Ask
Drillsnäppa</t>
        </is>
      </c>
      <c r="S184">
        <f>HYPERLINK("https://klasma.github.io/Logging_1980/artfynd/A 12894-2022 artfynd.xlsx", "A 12894-2022")</f>
        <v/>
      </c>
      <c r="T184">
        <f>HYPERLINK("https://klasma.github.io/Logging_1980/kartor/A 12894-2022 karta.png", "A 12894-2022")</f>
        <v/>
      </c>
      <c r="V184">
        <f>HYPERLINK("https://klasma.github.io/Logging_1980/klagomål/A 12894-2022 FSC-klagomål.docx", "A 12894-2022")</f>
        <v/>
      </c>
      <c r="W184">
        <f>HYPERLINK("https://klasma.github.io/Logging_1980/klagomålsmail/A 12894-2022 FSC-klagomål mail.docx", "A 12894-2022")</f>
        <v/>
      </c>
      <c r="X184">
        <f>HYPERLINK("https://klasma.github.io/Logging_1980/tillsyn/A 12894-2022 tillsynsbegäran.docx", "A 12894-2022")</f>
        <v/>
      </c>
      <c r="Y184">
        <f>HYPERLINK("https://klasma.github.io/Logging_1980/tillsynsmail/A 12894-2022 tillsynsbegäran mail.docx", "A 12894-2022")</f>
        <v/>
      </c>
    </row>
    <row r="185" ht="15" customHeight="1">
      <c r="A185" t="inlineStr">
        <is>
          <t>A 40042-2022</t>
        </is>
      </c>
      <c r="B185" s="1" t="n">
        <v>44819</v>
      </c>
      <c r="C185" s="1" t="n">
        <v>45668</v>
      </c>
      <c r="D185" t="inlineStr">
        <is>
          <t>VÄSTMANLANDS LÄN</t>
        </is>
      </c>
      <c r="E185" t="inlineStr">
        <is>
          <t>SALA</t>
        </is>
      </c>
      <c r="G185" t="n">
        <v>1.7</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40042-2022 artfynd.xlsx", "A 40042-2022")</f>
        <v/>
      </c>
      <c r="T185">
        <f>HYPERLINK("https://klasma.github.io/Logging_1981/kartor/A 40042-2022 karta.png", "A 40042-2022")</f>
        <v/>
      </c>
      <c r="U185">
        <f>HYPERLINK("https://klasma.github.io/Logging_1981/knärot/A 40042-2022 karta knärot.png", "A 40042-2022")</f>
        <v/>
      </c>
      <c r="V185">
        <f>HYPERLINK("https://klasma.github.io/Logging_1981/klagomål/A 40042-2022 FSC-klagomål.docx", "A 40042-2022")</f>
        <v/>
      </c>
      <c r="W185">
        <f>HYPERLINK("https://klasma.github.io/Logging_1981/klagomålsmail/A 40042-2022 FSC-klagomål mail.docx", "A 40042-2022")</f>
        <v/>
      </c>
      <c r="X185">
        <f>HYPERLINK("https://klasma.github.io/Logging_1981/tillsyn/A 40042-2022 tillsynsbegäran.docx", "A 40042-2022")</f>
        <v/>
      </c>
      <c r="Y185">
        <f>HYPERLINK("https://klasma.github.io/Logging_1981/tillsynsmail/A 40042-2022 tillsynsbegäran mail.docx", "A 40042-2022")</f>
        <v/>
      </c>
    </row>
    <row r="186" ht="15" customHeight="1">
      <c r="A186" t="inlineStr">
        <is>
          <t>A 42017-2022</t>
        </is>
      </c>
      <c r="B186" s="1" t="n">
        <v>44830</v>
      </c>
      <c r="C186" s="1" t="n">
        <v>45668</v>
      </c>
      <c r="D186" t="inlineStr">
        <is>
          <t>VÄSTMANLANDS LÄN</t>
        </is>
      </c>
      <c r="E186" t="inlineStr">
        <is>
          <t>VÄSTERÅS</t>
        </is>
      </c>
      <c r="G186" t="n">
        <v>10.4</v>
      </c>
      <c r="H186" t="n">
        <v>2</v>
      </c>
      <c r="I186" t="n">
        <v>0</v>
      </c>
      <c r="J186" t="n">
        <v>0</v>
      </c>
      <c r="K186" t="n">
        <v>0</v>
      </c>
      <c r="L186" t="n">
        <v>0</v>
      </c>
      <c r="M186" t="n">
        <v>0</v>
      </c>
      <c r="N186" t="n">
        <v>0</v>
      </c>
      <c r="O186" t="n">
        <v>0</v>
      </c>
      <c r="P186" t="n">
        <v>0</v>
      </c>
      <c r="Q186" t="n">
        <v>2</v>
      </c>
      <c r="R186" s="2" t="inlineStr">
        <is>
          <t>Gröngöling
Kopparödla</t>
        </is>
      </c>
      <c r="S186">
        <f>HYPERLINK("https://klasma.github.io/Logging_1980/artfynd/A 42017-2022 artfynd.xlsx", "A 42017-2022")</f>
        <v/>
      </c>
      <c r="T186">
        <f>HYPERLINK("https://klasma.github.io/Logging_1980/kartor/A 42017-2022 karta.png", "A 42017-2022")</f>
        <v/>
      </c>
      <c r="V186">
        <f>HYPERLINK("https://klasma.github.io/Logging_1980/klagomål/A 42017-2022 FSC-klagomål.docx", "A 42017-2022")</f>
        <v/>
      </c>
      <c r="W186">
        <f>HYPERLINK("https://klasma.github.io/Logging_1980/klagomålsmail/A 42017-2022 FSC-klagomål mail.docx", "A 42017-2022")</f>
        <v/>
      </c>
      <c r="X186">
        <f>HYPERLINK("https://klasma.github.io/Logging_1980/tillsyn/A 42017-2022 tillsynsbegäran.docx", "A 42017-2022")</f>
        <v/>
      </c>
      <c r="Y186">
        <f>HYPERLINK("https://klasma.github.io/Logging_1980/tillsynsmail/A 42017-2022 tillsynsbegäran mail.docx", "A 42017-2022")</f>
        <v/>
      </c>
      <c r="Z186">
        <f>HYPERLINK("https://klasma.github.io/Logging_1980/fåglar/A 42017-2022 prioriterade fågelarter.docx", "A 42017-2022")</f>
        <v/>
      </c>
    </row>
    <row r="187" ht="15" customHeight="1">
      <c r="A187" t="inlineStr">
        <is>
          <t>A 47228-2022</t>
        </is>
      </c>
      <c r="B187" s="1" t="n">
        <v>44852</v>
      </c>
      <c r="C187" s="1" t="n">
        <v>45668</v>
      </c>
      <c r="D187" t="inlineStr">
        <is>
          <t>VÄSTMANLANDS LÄN</t>
        </is>
      </c>
      <c r="E187" t="inlineStr">
        <is>
          <t>VÄSTERÅS</t>
        </is>
      </c>
      <c r="G187" t="n">
        <v>11.6</v>
      </c>
      <c r="H187" t="n">
        <v>0</v>
      </c>
      <c r="I187" t="n">
        <v>0</v>
      </c>
      <c r="J187" t="n">
        <v>1</v>
      </c>
      <c r="K187" t="n">
        <v>0</v>
      </c>
      <c r="L187" t="n">
        <v>1</v>
      </c>
      <c r="M187" t="n">
        <v>0</v>
      </c>
      <c r="N187" t="n">
        <v>0</v>
      </c>
      <c r="O187" t="n">
        <v>2</v>
      </c>
      <c r="P187" t="n">
        <v>1</v>
      </c>
      <c r="Q187" t="n">
        <v>2</v>
      </c>
      <c r="R187" s="2" t="inlineStr">
        <is>
          <t>Vithornad barkskinnbagge
Xyletinus ater</t>
        </is>
      </c>
      <c r="S187">
        <f>HYPERLINK("https://klasma.github.io/Logging_1980/artfynd/A 47228-2022 artfynd.xlsx", "A 47228-2022")</f>
        <v/>
      </c>
      <c r="T187">
        <f>HYPERLINK("https://klasma.github.io/Logging_1980/kartor/A 47228-2022 karta.png", "A 47228-2022")</f>
        <v/>
      </c>
      <c r="V187">
        <f>HYPERLINK("https://klasma.github.io/Logging_1980/klagomål/A 47228-2022 FSC-klagomål.docx", "A 47228-2022")</f>
        <v/>
      </c>
      <c r="W187">
        <f>HYPERLINK("https://klasma.github.io/Logging_1980/klagomålsmail/A 47228-2022 FSC-klagomål mail.docx", "A 47228-2022")</f>
        <v/>
      </c>
      <c r="X187">
        <f>HYPERLINK("https://klasma.github.io/Logging_1980/tillsyn/A 47228-2022 tillsynsbegäran.docx", "A 47228-2022")</f>
        <v/>
      </c>
      <c r="Y187">
        <f>HYPERLINK("https://klasma.github.io/Logging_1980/tillsynsmail/A 47228-2022 tillsynsbegäran mail.docx", "A 47228-2022")</f>
        <v/>
      </c>
    </row>
    <row r="188" ht="15" customHeight="1">
      <c r="A188" t="inlineStr">
        <is>
          <t>A 52909-2022</t>
        </is>
      </c>
      <c r="B188" s="1" t="n">
        <v>44875</v>
      </c>
      <c r="C188" s="1" t="n">
        <v>45668</v>
      </c>
      <c r="D188" t="inlineStr">
        <is>
          <t>VÄSTMANLANDS LÄN</t>
        </is>
      </c>
      <c r="E188" t="inlineStr">
        <is>
          <t>SALA</t>
        </is>
      </c>
      <c r="G188" t="n">
        <v>0.5</v>
      </c>
      <c r="H188" t="n">
        <v>1</v>
      </c>
      <c r="I188" t="n">
        <v>0</v>
      </c>
      <c r="J188" t="n">
        <v>1</v>
      </c>
      <c r="K188" t="n">
        <v>0</v>
      </c>
      <c r="L188" t="n">
        <v>0</v>
      </c>
      <c r="M188" t="n">
        <v>0</v>
      </c>
      <c r="N188" t="n">
        <v>0</v>
      </c>
      <c r="O188" t="n">
        <v>1</v>
      </c>
      <c r="P188" t="n">
        <v>0</v>
      </c>
      <c r="Q188" t="n">
        <v>2</v>
      </c>
      <c r="R188" s="2" t="inlineStr">
        <is>
          <t>Svinrot
Nattviol</t>
        </is>
      </c>
      <c r="S188">
        <f>HYPERLINK("https://klasma.github.io/Logging_1981/artfynd/A 52909-2022 artfynd.xlsx", "A 52909-2022")</f>
        <v/>
      </c>
      <c r="T188">
        <f>HYPERLINK("https://klasma.github.io/Logging_1981/kartor/A 52909-2022 karta.png", "A 52909-2022")</f>
        <v/>
      </c>
      <c r="V188">
        <f>HYPERLINK("https://klasma.github.io/Logging_1981/klagomål/A 52909-2022 FSC-klagomål.docx", "A 52909-2022")</f>
        <v/>
      </c>
      <c r="W188">
        <f>HYPERLINK("https://klasma.github.io/Logging_1981/klagomålsmail/A 52909-2022 FSC-klagomål mail.docx", "A 52909-2022")</f>
        <v/>
      </c>
      <c r="X188">
        <f>HYPERLINK("https://klasma.github.io/Logging_1981/tillsyn/A 52909-2022 tillsynsbegäran.docx", "A 52909-2022")</f>
        <v/>
      </c>
      <c r="Y188">
        <f>HYPERLINK("https://klasma.github.io/Logging_1981/tillsynsmail/A 52909-2022 tillsynsbegäran mail.docx", "A 52909-2022")</f>
        <v/>
      </c>
    </row>
    <row r="189" ht="15" customHeight="1">
      <c r="A189" t="inlineStr">
        <is>
          <t>A 59332-2022</t>
        </is>
      </c>
      <c r="B189" s="1" t="n">
        <v>44904</v>
      </c>
      <c r="C189" s="1" t="n">
        <v>45668</v>
      </c>
      <c r="D189" t="inlineStr">
        <is>
          <t>VÄSTMANLANDS LÄN</t>
        </is>
      </c>
      <c r="E189" t="inlineStr">
        <is>
          <t>KUNGSÖR</t>
        </is>
      </c>
      <c r="G189" t="n">
        <v>4.8</v>
      </c>
      <c r="H189" t="n">
        <v>0</v>
      </c>
      <c r="I189" t="n">
        <v>0</v>
      </c>
      <c r="J189" t="n">
        <v>2</v>
      </c>
      <c r="K189" t="n">
        <v>0</v>
      </c>
      <c r="L189" t="n">
        <v>0</v>
      </c>
      <c r="M189" t="n">
        <v>0</v>
      </c>
      <c r="N189" t="n">
        <v>0</v>
      </c>
      <c r="O189" t="n">
        <v>2</v>
      </c>
      <c r="P189" t="n">
        <v>0</v>
      </c>
      <c r="Q189" t="n">
        <v>2</v>
      </c>
      <c r="R189" s="2" t="inlineStr">
        <is>
          <t>Ekticka
Ullticka</t>
        </is>
      </c>
      <c r="S189">
        <f>HYPERLINK("https://klasma.github.io/Logging_1960/artfynd/A 59332-2022 artfynd.xlsx", "A 59332-2022")</f>
        <v/>
      </c>
      <c r="T189">
        <f>HYPERLINK("https://klasma.github.io/Logging_1960/kartor/A 59332-2022 karta.png", "A 59332-2022")</f>
        <v/>
      </c>
      <c r="V189">
        <f>HYPERLINK("https://klasma.github.io/Logging_1960/klagomål/A 59332-2022 FSC-klagomål.docx", "A 59332-2022")</f>
        <v/>
      </c>
      <c r="W189">
        <f>HYPERLINK("https://klasma.github.io/Logging_1960/klagomålsmail/A 59332-2022 FSC-klagomål mail.docx", "A 59332-2022")</f>
        <v/>
      </c>
      <c r="X189">
        <f>HYPERLINK("https://klasma.github.io/Logging_1960/tillsyn/A 59332-2022 tillsynsbegäran.docx", "A 59332-2022")</f>
        <v/>
      </c>
      <c r="Y189">
        <f>HYPERLINK("https://klasma.github.io/Logging_1960/tillsynsmail/A 59332-2022 tillsynsbegäran mail.docx", "A 59332-2022")</f>
        <v/>
      </c>
    </row>
    <row r="190" ht="15" customHeight="1">
      <c r="A190" t="inlineStr">
        <is>
          <t>A 6182-2023</t>
        </is>
      </c>
      <c r="B190" s="1" t="n">
        <v>44964</v>
      </c>
      <c r="C190" s="1" t="n">
        <v>45668</v>
      </c>
      <c r="D190" t="inlineStr">
        <is>
          <t>VÄSTMANLANDS LÄN</t>
        </is>
      </c>
      <c r="E190" t="inlineStr">
        <is>
          <t>SKINNSKATTEBERG</t>
        </is>
      </c>
      <c r="F190" t="inlineStr">
        <is>
          <t>Sveaskog</t>
        </is>
      </c>
      <c r="G190" t="n">
        <v>6.4</v>
      </c>
      <c r="H190" t="n">
        <v>2</v>
      </c>
      <c r="I190" t="n">
        <v>0</v>
      </c>
      <c r="J190" t="n">
        <v>0</v>
      </c>
      <c r="K190" t="n">
        <v>0</v>
      </c>
      <c r="L190" t="n">
        <v>0</v>
      </c>
      <c r="M190" t="n">
        <v>0</v>
      </c>
      <c r="N190" t="n">
        <v>0</v>
      </c>
      <c r="O190" t="n">
        <v>0</v>
      </c>
      <c r="P190" t="n">
        <v>0</v>
      </c>
      <c r="Q190" t="n">
        <v>2</v>
      </c>
      <c r="R190" s="2" t="inlineStr">
        <is>
          <t>Blåsippa
Lopplummer</t>
        </is>
      </c>
      <c r="S190">
        <f>HYPERLINK("https://klasma.github.io/Logging_1904/artfynd/A 6182-2023 artfynd.xlsx", "A 6182-2023")</f>
        <v/>
      </c>
      <c r="T190">
        <f>HYPERLINK("https://klasma.github.io/Logging_1904/kartor/A 6182-2023 karta.png", "A 6182-2023")</f>
        <v/>
      </c>
      <c r="V190">
        <f>HYPERLINK("https://klasma.github.io/Logging_1904/klagomål/A 6182-2023 FSC-klagomål.docx", "A 6182-2023")</f>
        <v/>
      </c>
      <c r="W190">
        <f>HYPERLINK("https://klasma.github.io/Logging_1904/klagomålsmail/A 6182-2023 FSC-klagomål mail.docx", "A 6182-2023")</f>
        <v/>
      </c>
      <c r="X190">
        <f>HYPERLINK("https://klasma.github.io/Logging_1904/tillsyn/A 6182-2023 tillsynsbegäran.docx", "A 6182-2023")</f>
        <v/>
      </c>
      <c r="Y190">
        <f>HYPERLINK("https://klasma.github.io/Logging_1904/tillsynsmail/A 6182-2023 tillsynsbegäran mail.docx", "A 6182-2023")</f>
        <v/>
      </c>
    </row>
    <row r="191" ht="15" customHeight="1">
      <c r="A191" t="inlineStr">
        <is>
          <t>A 7747-2023</t>
        </is>
      </c>
      <c r="B191" s="1" t="n">
        <v>44973</v>
      </c>
      <c r="C191" s="1" t="n">
        <v>45668</v>
      </c>
      <c r="D191" t="inlineStr">
        <is>
          <t>VÄSTMANLANDS LÄN</t>
        </is>
      </c>
      <c r="E191" t="inlineStr">
        <is>
          <t>SALA</t>
        </is>
      </c>
      <c r="F191" t="inlineStr">
        <is>
          <t>Övriga Aktiebolag</t>
        </is>
      </c>
      <c r="G191" t="n">
        <v>3.1</v>
      </c>
      <c r="H191" t="n">
        <v>1</v>
      </c>
      <c r="I191" t="n">
        <v>0</v>
      </c>
      <c r="J191" t="n">
        <v>2</v>
      </c>
      <c r="K191" t="n">
        <v>0</v>
      </c>
      <c r="L191" t="n">
        <v>0</v>
      </c>
      <c r="M191" t="n">
        <v>0</v>
      </c>
      <c r="N191" t="n">
        <v>0</v>
      </c>
      <c r="O191" t="n">
        <v>2</v>
      </c>
      <c r="P191" t="n">
        <v>0</v>
      </c>
      <c r="Q191" t="n">
        <v>2</v>
      </c>
      <c r="R191" s="2" t="inlineStr">
        <is>
          <t>Mindre timmerman
Talltita</t>
        </is>
      </c>
      <c r="S191">
        <f>HYPERLINK("https://klasma.github.io/Logging_1981/artfynd/A 7747-2023 artfynd.xlsx", "A 7747-2023")</f>
        <v/>
      </c>
      <c r="T191">
        <f>HYPERLINK("https://klasma.github.io/Logging_1981/kartor/A 7747-2023 karta.png", "A 7747-2023")</f>
        <v/>
      </c>
      <c r="V191">
        <f>HYPERLINK("https://klasma.github.io/Logging_1981/klagomål/A 7747-2023 FSC-klagomål.docx", "A 7747-2023")</f>
        <v/>
      </c>
      <c r="W191">
        <f>HYPERLINK("https://klasma.github.io/Logging_1981/klagomålsmail/A 7747-2023 FSC-klagomål mail.docx", "A 7747-2023")</f>
        <v/>
      </c>
      <c r="X191">
        <f>HYPERLINK("https://klasma.github.io/Logging_1981/tillsyn/A 7747-2023 tillsynsbegäran.docx", "A 7747-2023")</f>
        <v/>
      </c>
      <c r="Y191">
        <f>HYPERLINK("https://klasma.github.io/Logging_1981/tillsynsmail/A 7747-2023 tillsynsbegäran mail.docx", "A 7747-2023")</f>
        <v/>
      </c>
      <c r="Z191">
        <f>HYPERLINK("https://klasma.github.io/Logging_1981/fåglar/A 7747-2023 prioriterade fågelarter.docx", "A 7747-2023")</f>
        <v/>
      </c>
    </row>
    <row r="192" ht="15" customHeight="1">
      <c r="A192" t="inlineStr">
        <is>
          <t>A 13029-2023</t>
        </is>
      </c>
      <c r="B192" s="1" t="n">
        <v>45001</v>
      </c>
      <c r="C192" s="1" t="n">
        <v>45668</v>
      </c>
      <c r="D192" t="inlineStr">
        <is>
          <t>VÄSTMANLANDS LÄN</t>
        </is>
      </c>
      <c r="E192" t="inlineStr">
        <is>
          <t>SALA</t>
        </is>
      </c>
      <c r="G192" t="n">
        <v>2</v>
      </c>
      <c r="H192" t="n">
        <v>0</v>
      </c>
      <c r="I192" t="n">
        <v>0</v>
      </c>
      <c r="J192" t="n">
        <v>2</v>
      </c>
      <c r="K192" t="n">
        <v>0</v>
      </c>
      <c r="L192" t="n">
        <v>0</v>
      </c>
      <c r="M192" t="n">
        <v>0</v>
      </c>
      <c r="N192" t="n">
        <v>0</v>
      </c>
      <c r="O192" t="n">
        <v>2</v>
      </c>
      <c r="P192" t="n">
        <v>0</v>
      </c>
      <c r="Q192" t="n">
        <v>2</v>
      </c>
      <c r="R192" s="2" t="inlineStr">
        <is>
          <t>Krusfrö
Linmåra/småsnärjmåra</t>
        </is>
      </c>
      <c r="S192">
        <f>HYPERLINK("https://klasma.github.io/Logging_1981/artfynd/A 13029-2023 artfynd.xlsx", "A 13029-2023")</f>
        <v/>
      </c>
      <c r="T192">
        <f>HYPERLINK("https://klasma.github.io/Logging_1981/kartor/A 13029-2023 karta.png", "A 13029-2023")</f>
        <v/>
      </c>
      <c r="V192">
        <f>HYPERLINK("https://klasma.github.io/Logging_1981/klagomål/A 13029-2023 FSC-klagomål.docx", "A 13029-2023")</f>
        <v/>
      </c>
      <c r="W192">
        <f>HYPERLINK("https://klasma.github.io/Logging_1981/klagomålsmail/A 13029-2023 FSC-klagomål mail.docx", "A 13029-2023")</f>
        <v/>
      </c>
      <c r="X192">
        <f>HYPERLINK("https://klasma.github.io/Logging_1981/tillsyn/A 13029-2023 tillsynsbegäran.docx", "A 13029-2023")</f>
        <v/>
      </c>
      <c r="Y192">
        <f>HYPERLINK("https://klasma.github.io/Logging_1981/tillsynsmail/A 13029-2023 tillsynsbegäran mail.docx", "A 13029-2023")</f>
        <v/>
      </c>
    </row>
    <row r="193" ht="15" customHeight="1">
      <c r="A193" t="inlineStr">
        <is>
          <t>A 16217-2023</t>
        </is>
      </c>
      <c r="B193" s="1" t="n">
        <v>45022</v>
      </c>
      <c r="C193" s="1" t="n">
        <v>45668</v>
      </c>
      <c r="D193" t="inlineStr">
        <is>
          <t>VÄSTMANLANDS LÄN</t>
        </is>
      </c>
      <c r="E193" t="inlineStr">
        <is>
          <t>SURAHAMMAR</t>
        </is>
      </c>
      <c r="G193" t="n">
        <v>2.6</v>
      </c>
      <c r="H193" t="n">
        <v>1</v>
      </c>
      <c r="I193" t="n">
        <v>1</v>
      </c>
      <c r="J193" t="n">
        <v>1</v>
      </c>
      <c r="K193" t="n">
        <v>0</v>
      </c>
      <c r="L193" t="n">
        <v>0</v>
      </c>
      <c r="M193" t="n">
        <v>0</v>
      </c>
      <c r="N193" t="n">
        <v>0</v>
      </c>
      <c r="O193" t="n">
        <v>1</v>
      </c>
      <c r="P193" t="n">
        <v>0</v>
      </c>
      <c r="Q193" t="n">
        <v>2</v>
      </c>
      <c r="R193" s="2" t="inlineStr">
        <is>
          <t>Tretåig hackspett
Gullgröppa</t>
        </is>
      </c>
      <c r="S193">
        <f>HYPERLINK("https://klasma.github.io/Logging_1907/artfynd/A 16217-2023 artfynd.xlsx", "A 16217-2023")</f>
        <v/>
      </c>
      <c r="T193">
        <f>HYPERLINK("https://klasma.github.io/Logging_1907/kartor/A 16217-2023 karta.png", "A 16217-2023")</f>
        <v/>
      </c>
      <c r="V193">
        <f>HYPERLINK("https://klasma.github.io/Logging_1907/klagomål/A 16217-2023 FSC-klagomål.docx", "A 16217-2023")</f>
        <v/>
      </c>
      <c r="W193">
        <f>HYPERLINK("https://klasma.github.io/Logging_1907/klagomålsmail/A 16217-2023 FSC-klagomål mail.docx", "A 16217-2023")</f>
        <v/>
      </c>
      <c r="X193">
        <f>HYPERLINK("https://klasma.github.io/Logging_1907/tillsyn/A 16217-2023 tillsynsbegäran.docx", "A 16217-2023")</f>
        <v/>
      </c>
      <c r="Y193">
        <f>HYPERLINK("https://klasma.github.io/Logging_1907/tillsynsmail/A 16217-2023 tillsynsbegäran mail.docx", "A 16217-2023")</f>
        <v/>
      </c>
      <c r="Z193">
        <f>HYPERLINK("https://klasma.github.io/Logging_1907/fåglar/A 16217-2023 prioriterade fågelarter.docx", "A 16217-2023")</f>
        <v/>
      </c>
    </row>
    <row r="194" ht="15" customHeight="1">
      <c r="A194" t="inlineStr">
        <is>
          <t>A 16012-2023</t>
        </is>
      </c>
      <c r="B194" s="1" t="n">
        <v>45026</v>
      </c>
      <c r="C194" s="1" t="n">
        <v>45668</v>
      </c>
      <c r="D194" t="inlineStr">
        <is>
          <t>VÄSTMANLANDS LÄN</t>
        </is>
      </c>
      <c r="E194" t="inlineStr">
        <is>
          <t>KÖPING</t>
        </is>
      </c>
      <c r="G194" t="n">
        <v>19.4</v>
      </c>
      <c r="H194" t="n">
        <v>0</v>
      </c>
      <c r="I194" t="n">
        <v>1</v>
      </c>
      <c r="J194" t="n">
        <v>1</v>
      </c>
      <c r="K194" t="n">
        <v>0</v>
      </c>
      <c r="L194" t="n">
        <v>0</v>
      </c>
      <c r="M194" t="n">
        <v>0</v>
      </c>
      <c r="N194" t="n">
        <v>0</v>
      </c>
      <c r="O194" t="n">
        <v>1</v>
      </c>
      <c r="P194" t="n">
        <v>0</v>
      </c>
      <c r="Q194" t="n">
        <v>2</v>
      </c>
      <c r="R194" s="2" t="inlineStr">
        <is>
          <t>Krusfrö
Kamjordstjärna</t>
        </is>
      </c>
      <c r="S194">
        <f>HYPERLINK("https://klasma.github.io/Logging_1983/artfynd/A 16012-2023 artfynd.xlsx", "A 16012-2023")</f>
        <v/>
      </c>
      <c r="T194">
        <f>HYPERLINK("https://klasma.github.io/Logging_1983/kartor/A 16012-2023 karta.png", "A 16012-2023")</f>
        <v/>
      </c>
      <c r="V194">
        <f>HYPERLINK("https://klasma.github.io/Logging_1983/klagomål/A 16012-2023 FSC-klagomål.docx", "A 16012-2023")</f>
        <v/>
      </c>
      <c r="W194">
        <f>HYPERLINK("https://klasma.github.io/Logging_1983/klagomålsmail/A 16012-2023 FSC-klagomål mail.docx", "A 16012-2023")</f>
        <v/>
      </c>
      <c r="X194">
        <f>HYPERLINK("https://klasma.github.io/Logging_1983/tillsyn/A 16012-2023 tillsynsbegäran.docx", "A 16012-2023")</f>
        <v/>
      </c>
      <c r="Y194">
        <f>HYPERLINK("https://klasma.github.io/Logging_1983/tillsynsmail/A 16012-2023 tillsynsbegäran mail.docx", "A 16012-2023")</f>
        <v/>
      </c>
    </row>
    <row r="195" ht="15" customHeight="1">
      <c r="A195" t="inlineStr">
        <is>
          <t>A 17082-2023</t>
        </is>
      </c>
      <c r="B195" s="1" t="n">
        <v>45034</v>
      </c>
      <c r="C195" s="1" t="n">
        <v>45668</v>
      </c>
      <c r="D195" t="inlineStr">
        <is>
          <t>VÄSTMANLANDS LÄN</t>
        </is>
      </c>
      <c r="E195" t="inlineStr">
        <is>
          <t>NORBERG</t>
        </is>
      </c>
      <c r="F195" t="inlineStr">
        <is>
          <t>Övriga Aktiebolag</t>
        </is>
      </c>
      <c r="G195" t="n">
        <v>10.6</v>
      </c>
      <c r="H195" t="n">
        <v>1</v>
      </c>
      <c r="I195" t="n">
        <v>1</v>
      </c>
      <c r="J195" t="n">
        <v>0</v>
      </c>
      <c r="K195" t="n">
        <v>1</v>
      </c>
      <c r="L195" t="n">
        <v>0</v>
      </c>
      <c r="M195" t="n">
        <v>0</v>
      </c>
      <c r="N195" t="n">
        <v>0</v>
      </c>
      <c r="O195" t="n">
        <v>1</v>
      </c>
      <c r="P195" t="n">
        <v>1</v>
      </c>
      <c r="Q195" t="n">
        <v>2</v>
      </c>
      <c r="R195" s="2" t="inlineStr">
        <is>
          <t>Knärot
Vedticka</t>
        </is>
      </c>
      <c r="S195">
        <f>HYPERLINK("https://klasma.github.io/Logging_1962/artfynd/A 17082-2023 artfynd.xlsx", "A 17082-2023")</f>
        <v/>
      </c>
      <c r="T195">
        <f>HYPERLINK("https://klasma.github.io/Logging_1962/kartor/A 17082-2023 karta.png", "A 17082-2023")</f>
        <v/>
      </c>
      <c r="U195">
        <f>HYPERLINK("https://klasma.github.io/Logging_1962/knärot/A 17082-2023 karta knärot.png", "A 17082-2023")</f>
        <v/>
      </c>
      <c r="V195">
        <f>HYPERLINK("https://klasma.github.io/Logging_1962/klagomål/A 17082-2023 FSC-klagomål.docx", "A 17082-2023")</f>
        <v/>
      </c>
      <c r="W195">
        <f>HYPERLINK("https://klasma.github.io/Logging_1962/klagomålsmail/A 17082-2023 FSC-klagomål mail.docx", "A 17082-2023")</f>
        <v/>
      </c>
      <c r="X195">
        <f>HYPERLINK("https://klasma.github.io/Logging_1962/tillsyn/A 17082-2023 tillsynsbegäran.docx", "A 17082-2023")</f>
        <v/>
      </c>
      <c r="Y195">
        <f>HYPERLINK("https://klasma.github.io/Logging_1962/tillsynsmail/A 17082-2023 tillsynsbegäran mail.docx", "A 17082-2023")</f>
        <v/>
      </c>
    </row>
    <row r="196" ht="15" customHeight="1">
      <c r="A196" t="inlineStr">
        <is>
          <t>A 28043-2023</t>
        </is>
      </c>
      <c r="B196" s="1" t="n">
        <v>45099</v>
      </c>
      <c r="C196" s="1" t="n">
        <v>45668</v>
      </c>
      <c r="D196" t="inlineStr">
        <is>
          <t>VÄSTMANLANDS LÄN</t>
        </is>
      </c>
      <c r="E196" t="inlineStr">
        <is>
          <t>SURAHAMMAR</t>
        </is>
      </c>
      <c r="F196" t="inlineStr">
        <is>
          <t>Allmännings- och besparingsskogar</t>
        </is>
      </c>
      <c r="G196" t="n">
        <v>23.9</v>
      </c>
      <c r="H196" t="n">
        <v>1</v>
      </c>
      <c r="I196" t="n">
        <v>0</v>
      </c>
      <c r="J196" t="n">
        <v>1</v>
      </c>
      <c r="K196" t="n">
        <v>0</v>
      </c>
      <c r="L196" t="n">
        <v>0</v>
      </c>
      <c r="M196" t="n">
        <v>0</v>
      </c>
      <c r="N196" t="n">
        <v>0</v>
      </c>
      <c r="O196" t="n">
        <v>1</v>
      </c>
      <c r="P196" t="n">
        <v>0</v>
      </c>
      <c r="Q196" t="n">
        <v>2</v>
      </c>
      <c r="R196" s="2" t="inlineStr">
        <is>
          <t>Gropticka
Revlummer</t>
        </is>
      </c>
      <c r="S196">
        <f>HYPERLINK("https://klasma.github.io/Logging_1907/artfynd/A 28043-2023 artfynd.xlsx", "A 28043-2023")</f>
        <v/>
      </c>
      <c r="T196">
        <f>HYPERLINK("https://klasma.github.io/Logging_1907/kartor/A 28043-2023 karta.png", "A 28043-2023")</f>
        <v/>
      </c>
      <c r="V196">
        <f>HYPERLINK("https://klasma.github.io/Logging_1907/klagomål/A 28043-2023 FSC-klagomål.docx", "A 28043-2023")</f>
        <v/>
      </c>
      <c r="W196">
        <f>HYPERLINK("https://klasma.github.io/Logging_1907/klagomålsmail/A 28043-2023 FSC-klagomål mail.docx", "A 28043-2023")</f>
        <v/>
      </c>
      <c r="X196">
        <f>HYPERLINK("https://klasma.github.io/Logging_1907/tillsyn/A 28043-2023 tillsynsbegäran.docx", "A 28043-2023")</f>
        <v/>
      </c>
      <c r="Y196">
        <f>HYPERLINK("https://klasma.github.io/Logging_1907/tillsynsmail/A 28043-2023 tillsynsbegäran mail.docx", "A 28043-2023")</f>
        <v/>
      </c>
    </row>
    <row r="197" ht="15" customHeight="1">
      <c r="A197" t="inlineStr">
        <is>
          <t>A 32563-2023</t>
        </is>
      </c>
      <c r="B197" s="1" t="n">
        <v>45121</v>
      </c>
      <c r="C197" s="1" t="n">
        <v>45668</v>
      </c>
      <c r="D197" t="inlineStr">
        <is>
          <t>VÄSTMANLANDS LÄN</t>
        </is>
      </c>
      <c r="E197" t="inlineStr">
        <is>
          <t>NORBERG</t>
        </is>
      </c>
      <c r="G197" t="n">
        <v>19.2</v>
      </c>
      <c r="H197" t="n">
        <v>1</v>
      </c>
      <c r="I197" t="n">
        <v>1</v>
      </c>
      <c r="J197" t="n">
        <v>1</v>
      </c>
      <c r="K197" t="n">
        <v>0</v>
      </c>
      <c r="L197" t="n">
        <v>0</v>
      </c>
      <c r="M197" t="n">
        <v>0</v>
      </c>
      <c r="N197" t="n">
        <v>0</v>
      </c>
      <c r="O197" t="n">
        <v>1</v>
      </c>
      <c r="P197" t="n">
        <v>0</v>
      </c>
      <c r="Q197" t="n">
        <v>2</v>
      </c>
      <c r="R197" s="2" t="inlineStr">
        <is>
          <t>Tretåig hackspett
Kambräken</t>
        </is>
      </c>
      <c r="S197">
        <f>HYPERLINK("https://klasma.github.io/Logging_1962/artfynd/A 32563-2023 artfynd.xlsx", "A 32563-2023")</f>
        <v/>
      </c>
      <c r="T197">
        <f>HYPERLINK("https://klasma.github.io/Logging_1962/kartor/A 32563-2023 karta.png", "A 32563-2023")</f>
        <v/>
      </c>
      <c r="U197">
        <f>HYPERLINK("https://klasma.github.io/Logging_1962/knärot/A 32563-2023 karta knärot.png", "A 32563-2023")</f>
        <v/>
      </c>
      <c r="V197">
        <f>HYPERLINK("https://klasma.github.io/Logging_1962/klagomål/A 32563-2023 FSC-klagomål.docx", "A 32563-2023")</f>
        <v/>
      </c>
      <c r="W197">
        <f>HYPERLINK("https://klasma.github.io/Logging_1962/klagomålsmail/A 32563-2023 FSC-klagomål mail.docx", "A 32563-2023")</f>
        <v/>
      </c>
      <c r="X197">
        <f>HYPERLINK("https://klasma.github.io/Logging_1962/tillsyn/A 32563-2023 tillsynsbegäran.docx", "A 32563-2023")</f>
        <v/>
      </c>
      <c r="Y197">
        <f>HYPERLINK("https://klasma.github.io/Logging_1962/tillsynsmail/A 32563-2023 tillsynsbegäran mail.docx", "A 32563-2023")</f>
        <v/>
      </c>
      <c r="Z197">
        <f>HYPERLINK("https://klasma.github.io/Logging_1962/fåglar/A 32563-2023 prioriterade fågelarter.docx", "A 32563-2023")</f>
        <v/>
      </c>
    </row>
    <row r="198" ht="15" customHeight="1">
      <c r="A198" t="inlineStr">
        <is>
          <t>A 33377-2023</t>
        </is>
      </c>
      <c r="B198" s="1" t="n">
        <v>45128</v>
      </c>
      <c r="C198" s="1" t="n">
        <v>45668</v>
      </c>
      <c r="D198" t="inlineStr">
        <is>
          <t>VÄSTMANLANDS LÄN</t>
        </is>
      </c>
      <c r="E198" t="inlineStr">
        <is>
          <t>NORBERG</t>
        </is>
      </c>
      <c r="F198" t="inlineStr">
        <is>
          <t>Sveaskog</t>
        </is>
      </c>
      <c r="G198" t="n">
        <v>1.7</v>
      </c>
      <c r="H198" t="n">
        <v>0</v>
      </c>
      <c r="I198" t="n">
        <v>0</v>
      </c>
      <c r="J198" t="n">
        <v>2</v>
      </c>
      <c r="K198" t="n">
        <v>0</v>
      </c>
      <c r="L198" t="n">
        <v>0</v>
      </c>
      <c r="M198" t="n">
        <v>0</v>
      </c>
      <c r="N198" t="n">
        <v>0</v>
      </c>
      <c r="O198" t="n">
        <v>2</v>
      </c>
      <c r="P198" t="n">
        <v>0</v>
      </c>
      <c r="Q198" t="n">
        <v>2</v>
      </c>
      <c r="R198" s="2" t="inlineStr">
        <is>
          <t>Dofttaggsvamp
Gul taggsvamp</t>
        </is>
      </c>
      <c r="S198">
        <f>HYPERLINK("https://klasma.github.io/Logging_1962/artfynd/A 33377-2023 artfynd.xlsx", "A 33377-2023")</f>
        <v/>
      </c>
      <c r="T198">
        <f>HYPERLINK("https://klasma.github.io/Logging_1962/kartor/A 33377-2023 karta.png", "A 33377-2023")</f>
        <v/>
      </c>
      <c r="V198">
        <f>HYPERLINK("https://klasma.github.io/Logging_1962/klagomål/A 33377-2023 FSC-klagomål.docx", "A 33377-2023")</f>
        <v/>
      </c>
      <c r="W198">
        <f>HYPERLINK("https://klasma.github.io/Logging_1962/klagomålsmail/A 33377-2023 FSC-klagomål mail.docx", "A 33377-2023")</f>
        <v/>
      </c>
      <c r="X198">
        <f>HYPERLINK("https://klasma.github.io/Logging_1962/tillsyn/A 33377-2023 tillsynsbegäran.docx", "A 33377-2023")</f>
        <v/>
      </c>
      <c r="Y198">
        <f>HYPERLINK("https://klasma.github.io/Logging_1962/tillsynsmail/A 33377-2023 tillsynsbegäran mail.docx", "A 33377-2023")</f>
        <v/>
      </c>
    </row>
    <row r="199" ht="15" customHeight="1">
      <c r="A199" t="inlineStr">
        <is>
          <t>A 34752-2023</t>
        </is>
      </c>
      <c r="B199" s="1" t="n">
        <v>45141</v>
      </c>
      <c r="C199" s="1" t="n">
        <v>45668</v>
      </c>
      <c r="D199" t="inlineStr">
        <is>
          <t>VÄSTMANLANDS LÄN</t>
        </is>
      </c>
      <c r="E199" t="inlineStr">
        <is>
          <t>SALA</t>
        </is>
      </c>
      <c r="G199" t="n">
        <v>4.9</v>
      </c>
      <c r="H199" t="n">
        <v>1</v>
      </c>
      <c r="I199" t="n">
        <v>0</v>
      </c>
      <c r="J199" t="n">
        <v>0</v>
      </c>
      <c r="K199" t="n">
        <v>2</v>
      </c>
      <c r="L199" t="n">
        <v>0</v>
      </c>
      <c r="M199" t="n">
        <v>0</v>
      </c>
      <c r="N199" t="n">
        <v>0</v>
      </c>
      <c r="O199" t="n">
        <v>2</v>
      </c>
      <c r="P199" t="n">
        <v>2</v>
      </c>
      <c r="Q199" t="n">
        <v>2</v>
      </c>
      <c r="R199" s="2" t="inlineStr">
        <is>
          <t>Knärot
Sprickporing</t>
        </is>
      </c>
      <c r="S199">
        <f>HYPERLINK("https://klasma.github.io/Logging_1981/artfynd/A 34752-2023 artfynd.xlsx", "A 34752-2023")</f>
        <v/>
      </c>
      <c r="T199">
        <f>HYPERLINK("https://klasma.github.io/Logging_1981/kartor/A 34752-2023 karta.png", "A 34752-2023")</f>
        <v/>
      </c>
      <c r="U199">
        <f>HYPERLINK("https://klasma.github.io/Logging_1981/knärot/A 34752-2023 karta knärot.png", "A 34752-2023")</f>
        <v/>
      </c>
      <c r="V199">
        <f>HYPERLINK("https://klasma.github.io/Logging_1981/klagomål/A 34752-2023 FSC-klagomål.docx", "A 34752-2023")</f>
        <v/>
      </c>
      <c r="W199">
        <f>HYPERLINK("https://klasma.github.io/Logging_1981/klagomålsmail/A 34752-2023 FSC-klagomål mail.docx", "A 34752-2023")</f>
        <v/>
      </c>
      <c r="X199">
        <f>HYPERLINK("https://klasma.github.io/Logging_1981/tillsyn/A 34752-2023 tillsynsbegäran.docx", "A 34752-2023")</f>
        <v/>
      </c>
      <c r="Y199">
        <f>HYPERLINK("https://klasma.github.io/Logging_1981/tillsynsmail/A 34752-2023 tillsynsbegäran mail.docx", "A 34752-2023")</f>
        <v/>
      </c>
    </row>
    <row r="200" ht="15" customHeight="1">
      <c r="A200" t="inlineStr">
        <is>
          <t>A 40331-2023</t>
        </is>
      </c>
      <c r="B200" s="1" t="n">
        <v>45169</v>
      </c>
      <c r="C200" s="1" t="n">
        <v>45668</v>
      </c>
      <c r="D200" t="inlineStr">
        <is>
          <t>VÄSTMANLANDS LÄN</t>
        </is>
      </c>
      <c r="E200" t="inlineStr">
        <is>
          <t>ARBOGA</t>
        </is>
      </c>
      <c r="G200" t="n">
        <v>3.4</v>
      </c>
      <c r="H200" t="n">
        <v>1</v>
      </c>
      <c r="I200" t="n">
        <v>0</v>
      </c>
      <c r="J200" t="n">
        <v>1</v>
      </c>
      <c r="K200" t="n">
        <v>0</v>
      </c>
      <c r="L200" t="n">
        <v>0</v>
      </c>
      <c r="M200" t="n">
        <v>0</v>
      </c>
      <c r="N200" t="n">
        <v>0</v>
      </c>
      <c r="O200" t="n">
        <v>1</v>
      </c>
      <c r="P200" t="n">
        <v>0</v>
      </c>
      <c r="Q200" t="n">
        <v>2</v>
      </c>
      <c r="R200" s="2" t="inlineStr">
        <is>
          <t>Ullticka
Blåsippa</t>
        </is>
      </c>
      <c r="S200">
        <f>HYPERLINK("https://klasma.github.io/Logging_1984/artfynd/A 40331-2023 artfynd.xlsx", "A 40331-2023")</f>
        <v/>
      </c>
      <c r="T200">
        <f>HYPERLINK("https://klasma.github.io/Logging_1984/kartor/A 40331-2023 karta.png", "A 40331-2023")</f>
        <v/>
      </c>
      <c r="V200">
        <f>HYPERLINK("https://klasma.github.io/Logging_1984/klagomål/A 40331-2023 FSC-klagomål.docx", "A 40331-2023")</f>
        <v/>
      </c>
      <c r="W200">
        <f>HYPERLINK("https://klasma.github.io/Logging_1984/klagomålsmail/A 40331-2023 FSC-klagomål mail.docx", "A 40331-2023")</f>
        <v/>
      </c>
      <c r="X200">
        <f>HYPERLINK("https://klasma.github.io/Logging_1984/tillsyn/A 40331-2023 tillsynsbegäran.docx", "A 40331-2023")</f>
        <v/>
      </c>
      <c r="Y200">
        <f>HYPERLINK("https://klasma.github.io/Logging_1984/tillsynsmail/A 40331-2023 tillsynsbegäran mail.docx", "A 40331-2023")</f>
        <v/>
      </c>
    </row>
    <row r="201" ht="15" customHeight="1">
      <c r="A201" t="inlineStr">
        <is>
          <t>A 41204-2023</t>
        </is>
      </c>
      <c r="B201" s="1" t="n">
        <v>45174</v>
      </c>
      <c r="C201" s="1" t="n">
        <v>45668</v>
      </c>
      <c r="D201" t="inlineStr">
        <is>
          <t>VÄSTMANLANDS LÄN</t>
        </is>
      </c>
      <c r="E201" t="inlineStr">
        <is>
          <t>SURAHAMMAR</t>
        </is>
      </c>
      <c r="G201" t="n">
        <v>1</v>
      </c>
      <c r="H201" t="n">
        <v>1</v>
      </c>
      <c r="I201" t="n">
        <v>0</v>
      </c>
      <c r="J201" t="n">
        <v>1</v>
      </c>
      <c r="K201" t="n">
        <v>1</v>
      </c>
      <c r="L201" t="n">
        <v>0</v>
      </c>
      <c r="M201" t="n">
        <v>0</v>
      </c>
      <c r="N201" t="n">
        <v>0</v>
      </c>
      <c r="O201" t="n">
        <v>2</v>
      </c>
      <c r="P201" t="n">
        <v>1</v>
      </c>
      <c r="Q201" t="n">
        <v>2</v>
      </c>
      <c r="R201" s="2" t="inlineStr">
        <is>
          <t>Knärot
Vedtrappmossa</t>
        </is>
      </c>
      <c r="S201">
        <f>HYPERLINK("https://klasma.github.io/Logging_1907/artfynd/A 41204-2023 artfynd.xlsx", "A 41204-2023")</f>
        <v/>
      </c>
      <c r="T201">
        <f>HYPERLINK("https://klasma.github.io/Logging_1907/kartor/A 41204-2023 karta.png", "A 41204-2023")</f>
        <v/>
      </c>
      <c r="U201">
        <f>HYPERLINK("https://klasma.github.io/Logging_1907/knärot/A 41204-2023 karta knärot.png", "A 41204-2023")</f>
        <v/>
      </c>
      <c r="V201">
        <f>HYPERLINK("https://klasma.github.io/Logging_1907/klagomål/A 41204-2023 FSC-klagomål.docx", "A 41204-2023")</f>
        <v/>
      </c>
      <c r="W201">
        <f>HYPERLINK("https://klasma.github.io/Logging_1907/klagomålsmail/A 41204-2023 FSC-klagomål mail.docx", "A 41204-2023")</f>
        <v/>
      </c>
      <c r="X201">
        <f>HYPERLINK("https://klasma.github.io/Logging_1907/tillsyn/A 41204-2023 tillsynsbegäran.docx", "A 41204-2023")</f>
        <v/>
      </c>
      <c r="Y201">
        <f>HYPERLINK("https://klasma.github.io/Logging_1907/tillsynsmail/A 41204-2023 tillsynsbegäran mail.docx", "A 41204-2023")</f>
        <v/>
      </c>
    </row>
    <row r="202" ht="15" customHeight="1">
      <c r="A202" t="inlineStr">
        <is>
          <t>A 42196-2023</t>
        </is>
      </c>
      <c r="B202" s="1" t="n">
        <v>45179</v>
      </c>
      <c r="C202" s="1" t="n">
        <v>45668</v>
      </c>
      <c r="D202" t="inlineStr">
        <is>
          <t>VÄSTMANLANDS LÄN</t>
        </is>
      </c>
      <c r="E202" t="inlineStr">
        <is>
          <t>NORBERG</t>
        </is>
      </c>
      <c r="F202" t="inlineStr">
        <is>
          <t>Sveaskog</t>
        </is>
      </c>
      <c r="G202" t="n">
        <v>4.4</v>
      </c>
      <c r="H202" t="n">
        <v>2</v>
      </c>
      <c r="I202" t="n">
        <v>0</v>
      </c>
      <c r="J202" t="n">
        <v>0</v>
      </c>
      <c r="K202" t="n">
        <v>0</v>
      </c>
      <c r="L202" t="n">
        <v>0</v>
      </c>
      <c r="M202" t="n">
        <v>0</v>
      </c>
      <c r="N202" t="n">
        <v>0</v>
      </c>
      <c r="O202" t="n">
        <v>0</v>
      </c>
      <c r="P202" t="n">
        <v>0</v>
      </c>
      <c r="Q202" t="n">
        <v>2</v>
      </c>
      <c r="R202" s="2" t="inlineStr">
        <is>
          <t>Mattlummer
Revlummer</t>
        </is>
      </c>
      <c r="S202">
        <f>HYPERLINK("https://klasma.github.io/Logging_1962/artfynd/A 42196-2023 artfynd.xlsx", "A 42196-2023")</f>
        <v/>
      </c>
      <c r="T202">
        <f>HYPERLINK("https://klasma.github.io/Logging_1962/kartor/A 42196-2023 karta.png", "A 42196-2023")</f>
        <v/>
      </c>
      <c r="V202">
        <f>HYPERLINK("https://klasma.github.io/Logging_1962/klagomål/A 42196-2023 FSC-klagomål.docx", "A 42196-2023")</f>
        <v/>
      </c>
      <c r="W202">
        <f>HYPERLINK("https://klasma.github.io/Logging_1962/klagomålsmail/A 42196-2023 FSC-klagomål mail.docx", "A 42196-2023")</f>
        <v/>
      </c>
      <c r="X202">
        <f>HYPERLINK("https://klasma.github.io/Logging_1962/tillsyn/A 42196-2023 tillsynsbegäran.docx", "A 42196-2023")</f>
        <v/>
      </c>
      <c r="Y202">
        <f>HYPERLINK("https://klasma.github.io/Logging_1962/tillsynsmail/A 42196-2023 tillsynsbegäran mail.docx", "A 42196-2023")</f>
        <v/>
      </c>
    </row>
    <row r="203" ht="15" customHeight="1">
      <c r="A203" t="inlineStr">
        <is>
          <t>A 46028-2023</t>
        </is>
      </c>
      <c r="B203" s="1" t="n">
        <v>45196</v>
      </c>
      <c r="C203" s="1" t="n">
        <v>45668</v>
      </c>
      <c r="D203" t="inlineStr">
        <is>
          <t>VÄSTMANLANDS LÄN</t>
        </is>
      </c>
      <c r="E203" t="inlineStr">
        <is>
          <t>NORBERG</t>
        </is>
      </c>
      <c r="F203" t="inlineStr">
        <is>
          <t>Bergvik skog väst AB</t>
        </is>
      </c>
      <c r="G203" t="n">
        <v>7.5</v>
      </c>
      <c r="H203" t="n">
        <v>0</v>
      </c>
      <c r="I203" t="n">
        <v>0</v>
      </c>
      <c r="J203" t="n">
        <v>1</v>
      </c>
      <c r="K203" t="n">
        <v>1</v>
      </c>
      <c r="L203" t="n">
        <v>0</v>
      </c>
      <c r="M203" t="n">
        <v>0</v>
      </c>
      <c r="N203" t="n">
        <v>0</v>
      </c>
      <c r="O203" t="n">
        <v>2</v>
      </c>
      <c r="P203" t="n">
        <v>1</v>
      </c>
      <c r="Q203" t="n">
        <v>2</v>
      </c>
      <c r="R203" s="2" t="inlineStr">
        <is>
          <t>Norrlandsspindling
Dofttaggsvamp</t>
        </is>
      </c>
      <c r="S203">
        <f>HYPERLINK("https://klasma.github.io/Logging_1962/artfynd/A 46028-2023 artfynd.xlsx", "A 46028-2023")</f>
        <v/>
      </c>
      <c r="T203">
        <f>HYPERLINK("https://klasma.github.io/Logging_1962/kartor/A 46028-2023 karta.png", "A 46028-2023")</f>
        <v/>
      </c>
      <c r="V203">
        <f>HYPERLINK("https://klasma.github.io/Logging_1962/klagomål/A 46028-2023 FSC-klagomål.docx", "A 46028-2023")</f>
        <v/>
      </c>
      <c r="W203">
        <f>HYPERLINK("https://klasma.github.io/Logging_1962/klagomålsmail/A 46028-2023 FSC-klagomål mail.docx", "A 46028-2023")</f>
        <v/>
      </c>
      <c r="X203">
        <f>HYPERLINK("https://klasma.github.io/Logging_1962/tillsyn/A 46028-2023 tillsynsbegäran.docx", "A 46028-2023")</f>
        <v/>
      </c>
      <c r="Y203">
        <f>HYPERLINK("https://klasma.github.io/Logging_1962/tillsynsmail/A 46028-2023 tillsynsbegäran mail.docx", "A 46028-2023")</f>
        <v/>
      </c>
    </row>
    <row r="204" ht="15" customHeight="1">
      <c r="A204" t="inlineStr">
        <is>
          <t>A 59780-2023</t>
        </is>
      </c>
      <c r="B204" s="1" t="n">
        <v>45257</v>
      </c>
      <c r="C204" s="1" t="n">
        <v>45668</v>
      </c>
      <c r="D204" t="inlineStr">
        <is>
          <t>VÄSTMANLANDS LÄN</t>
        </is>
      </c>
      <c r="E204" t="inlineStr">
        <is>
          <t>SALA</t>
        </is>
      </c>
      <c r="G204" t="n">
        <v>5.9</v>
      </c>
      <c r="H204" t="n">
        <v>1</v>
      </c>
      <c r="I204" t="n">
        <v>0</v>
      </c>
      <c r="J204" t="n">
        <v>1</v>
      </c>
      <c r="K204" t="n">
        <v>1</v>
      </c>
      <c r="L204" t="n">
        <v>0</v>
      </c>
      <c r="M204" t="n">
        <v>0</v>
      </c>
      <c r="N204" t="n">
        <v>0</v>
      </c>
      <c r="O204" t="n">
        <v>2</v>
      </c>
      <c r="P204" t="n">
        <v>1</v>
      </c>
      <c r="Q204" t="n">
        <v>2</v>
      </c>
      <c r="R204" s="2" t="inlineStr">
        <is>
          <t>Knärot
Vedtrappmossa</t>
        </is>
      </c>
      <c r="S204">
        <f>HYPERLINK("https://klasma.github.io/Logging_1981/artfynd/A 59780-2023 artfynd.xlsx", "A 59780-2023")</f>
        <v/>
      </c>
      <c r="T204">
        <f>HYPERLINK("https://klasma.github.io/Logging_1981/kartor/A 59780-2023 karta.png", "A 59780-2023")</f>
        <v/>
      </c>
      <c r="U204">
        <f>HYPERLINK("https://klasma.github.io/Logging_1981/knärot/A 59780-2023 karta knärot.png", "A 59780-2023")</f>
        <v/>
      </c>
      <c r="V204">
        <f>HYPERLINK("https://klasma.github.io/Logging_1981/klagomål/A 59780-2023 FSC-klagomål.docx", "A 59780-2023")</f>
        <v/>
      </c>
      <c r="W204">
        <f>HYPERLINK("https://klasma.github.io/Logging_1981/klagomålsmail/A 59780-2023 FSC-klagomål mail.docx", "A 59780-2023")</f>
        <v/>
      </c>
      <c r="X204">
        <f>HYPERLINK("https://klasma.github.io/Logging_1981/tillsyn/A 59780-2023 tillsynsbegäran.docx", "A 59780-2023")</f>
        <v/>
      </c>
      <c r="Y204">
        <f>HYPERLINK("https://klasma.github.io/Logging_1981/tillsynsmail/A 59780-2023 tillsynsbegäran mail.docx", "A 59780-2023")</f>
        <v/>
      </c>
    </row>
    <row r="205" ht="15" customHeight="1">
      <c r="A205" t="inlineStr">
        <is>
          <t>A 60940-2023</t>
        </is>
      </c>
      <c r="B205" s="1" t="n">
        <v>45261</v>
      </c>
      <c r="C205" s="1" t="n">
        <v>45668</v>
      </c>
      <c r="D205" t="inlineStr">
        <is>
          <t>VÄSTMANLANDS LÄN</t>
        </is>
      </c>
      <c r="E205" t="inlineStr">
        <is>
          <t>VÄSTERÅS</t>
        </is>
      </c>
      <c r="G205" t="n">
        <v>3.9</v>
      </c>
      <c r="H205" t="n">
        <v>2</v>
      </c>
      <c r="I205" t="n">
        <v>1</v>
      </c>
      <c r="J205" t="n">
        <v>1</v>
      </c>
      <c r="K205" t="n">
        <v>0</v>
      </c>
      <c r="L205" t="n">
        <v>0</v>
      </c>
      <c r="M205" t="n">
        <v>0</v>
      </c>
      <c r="N205" t="n">
        <v>0</v>
      </c>
      <c r="O205" t="n">
        <v>1</v>
      </c>
      <c r="P205" t="n">
        <v>0</v>
      </c>
      <c r="Q205" t="n">
        <v>2</v>
      </c>
      <c r="R205" s="2" t="inlineStr">
        <is>
          <t>Spillkråka
Grön sköldmossa</t>
        </is>
      </c>
      <c r="S205">
        <f>HYPERLINK("https://klasma.github.io/Logging_1980/artfynd/A 60940-2023 artfynd.xlsx", "A 60940-2023")</f>
        <v/>
      </c>
      <c r="T205">
        <f>HYPERLINK("https://klasma.github.io/Logging_1980/kartor/A 60940-2023 karta.png", "A 60940-2023")</f>
        <v/>
      </c>
      <c r="V205">
        <f>HYPERLINK("https://klasma.github.io/Logging_1980/klagomål/A 60940-2023 FSC-klagomål.docx", "A 60940-2023")</f>
        <v/>
      </c>
      <c r="W205">
        <f>HYPERLINK("https://klasma.github.io/Logging_1980/klagomålsmail/A 60940-2023 FSC-klagomål mail.docx", "A 60940-2023")</f>
        <v/>
      </c>
      <c r="X205">
        <f>HYPERLINK("https://klasma.github.io/Logging_1980/tillsyn/A 60940-2023 tillsynsbegäran.docx", "A 60940-2023")</f>
        <v/>
      </c>
      <c r="Y205">
        <f>HYPERLINK("https://klasma.github.io/Logging_1980/tillsynsmail/A 60940-2023 tillsynsbegäran mail.docx", "A 60940-2023")</f>
        <v/>
      </c>
      <c r="Z205">
        <f>HYPERLINK("https://klasma.github.io/Logging_1980/fåglar/A 60940-2023 prioriterade fågelarter.docx", "A 60940-2023")</f>
        <v/>
      </c>
    </row>
    <row r="206" ht="15" customHeight="1">
      <c r="A206" t="inlineStr">
        <is>
          <t>A 4261-2024</t>
        </is>
      </c>
      <c r="B206" s="1" t="n">
        <v>45324</v>
      </c>
      <c r="C206" s="1" t="n">
        <v>45668</v>
      </c>
      <c r="D206" t="inlineStr">
        <is>
          <t>VÄSTMANLANDS LÄN</t>
        </is>
      </c>
      <c r="E206" t="inlineStr">
        <is>
          <t>SALA</t>
        </is>
      </c>
      <c r="G206" t="n">
        <v>5.7</v>
      </c>
      <c r="H206" t="n">
        <v>0</v>
      </c>
      <c r="I206" t="n">
        <v>1</v>
      </c>
      <c r="J206" t="n">
        <v>1</v>
      </c>
      <c r="K206" t="n">
        <v>0</v>
      </c>
      <c r="L206" t="n">
        <v>0</v>
      </c>
      <c r="M206" t="n">
        <v>0</v>
      </c>
      <c r="N206" t="n">
        <v>0</v>
      </c>
      <c r="O206" t="n">
        <v>1</v>
      </c>
      <c r="P206" t="n">
        <v>0</v>
      </c>
      <c r="Q206" t="n">
        <v>2</v>
      </c>
      <c r="R206" s="2" t="inlineStr">
        <is>
          <t>Ullticka
Västlig hakmossa</t>
        </is>
      </c>
      <c r="S206">
        <f>HYPERLINK("https://klasma.github.io/Logging_1981/artfynd/A 4261-2024 artfynd.xlsx", "A 4261-2024")</f>
        <v/>
      </c>
      <c r="T206">
        <f>HYPERLINK("https://klasma.github.io/Logging_1981/kartor/A 4261-2024 karta.png", "A 4261-2024")</f>
        <v/>
      </c>
      <c r="V206">
        <f>HYPERLINK("https://klasma.github.io/Logging_1981/klagomål/A 4261-2024 FSC-klagomål.docx", "A 4261-2024")</f>
        <v/>
      </c>
      <c r="W206">
        <f>HYPERLINK("https://klasma.github.io/Logging_1981/klagomålsmail/A 4261-2024 FSC-klagomål mail.docx", "A 4261-2024")</f>
        <v/>
      </c>
      <c r="X206">
        <f>HYPERLINK("https://klasma.github.io/Logging_1981/tillsyn/A 4261-2024 tillsynsbegäran.docx", "A 4261-2024")</f>
        <v/>
      </c>
      <c r="Y206">
        <f>HYPERLINK("https://klasma.github.io/Logging_1981/tillsynsmail/A 4261-2024 tillsynsbegäran mail.docx", "A 4261-2024")</f>
        <v/>
      </c>
    </row>
    <row r="207" ht="15" customHeight="1">
      <c r="A207" t="inlineStr">
        <is>
          <t>A 7796-2024</t>
        </is>
      </c>
      <c r="B207" s="1" t="n">
        <v>45348</v>
      </c>
      <c r="C207" s="1" t="n">
        <v>45668</v>
      </c>
      <c r="D207" t="inlineStr">
        <is>
          <t>VÄSTMANLANDS LÄN</t>
        </is>
      </c>
      <c r="E207" t="inlineStr">
        <is>
          <t>SURAHAMMAR</t>
        </is>
      </c>
      <c r="G207" t="n">
        <v>10.5</v>
      </c>
      <c r="H207" t="n">
        <v>1</v>
      </c>
      <c r="I207" t="n">
        <v>1</v>
      </c>
      <c r="J207" t="n">
        <v>1</v>
      </c>
      <c r="K207" t="n">
        <v>0</v>
      </c>
      <c r="L207" t="n">
        <v>0</v>
      </c>
      <c r="M207" t="n">
        <v>0</v>
      </c>
      <c r="N207" t="n">
        <v>0</v>
      </c>
      <c r="O207" t="n">
        <v>1</v>
      </c>
      <c r="P207" t="n">
        <v>0</v>
      </c>
      <c r="Q207" t="n">
        <v>2</v>
      </c>
      <c r="R207" s="2" t="inlineStr">
        <is>
          <t>Ullticka
Plattlummer</t>
        </is>
      </c>
      <c r="S207">
        <f>HYPERLINK("https://klasma.github.io/Logging_1907/artfynd/A 7796-2024 artfynd.xlsx", "A 7796-2024")</f>
        <v/>
      </c>
      <c r="T207">
        <f>HYPERLINK("https://klasma.github.io/Logging_1907/kartor/A 7796-2024 karta.png", "A 7796-2024")</f>
        <v/>
      </c>
      <c r="V207">
        <f>HYPERLINK("https://klasma.github.io/Logging_1907/klagomål/A 7796-2024 FSC-klagomål.docx", "A 7796-2024")</f>
        <v/>
      </c>
      <c r="W207">
        <f>HYPERLINK("https://klasma.github.io/Logging_1907/klagomålsmail/A 7796-2024 FSC-klagomål mail.docx", "A 7796-2024")</f>
        <v/>
      </c>
      <c r="X207">
        <f>HYPERLINK("https://klasma.github.io/Logging_1907/tillsyn/A 7796-2024 tillsynsbegäran.docx", "A 7796-2024")</f>
        <v/>
      </c>
      <c r="Y207">
        <f>HYPERLINK("https://klasma.github.io/Logging_1907/tillsynsmail/A 7796-2024 tillsynsbegäran mail.docx", "A 7796-2024")</f>
        <v/>
      </c>
    </row>
    <row r="208" ht="15" customHeight="1">
      <c r="A208" t="inlineStr">
        <is>
          <t>A 9921-2024</t>
        </is>
      </c>
      <c r="B208" s="1" t="n">
        <v>45363</v>
      </c>
      <c r="C208" s="1" t="n">
        <v>45668</v>
      </c>
      <c r="D208" t="inlineStr">
        <is>
          <t>VÄSTMANLANDS LÄN</t>
        </is>
      </c>
      <c r="E208" t="inlineStr">
        <is>
          <t>SALA</t>
        </is>
      </c>
      <c r="G208" t="n">
        <v>5.6</v>
      </c>
      <c r="H208" t="n">
        <v>0</v>
      </c>
      <c r="I208" t="n">
        <v>1</v>
      </c>
      <c r="J208" t="n">
        <v>1</v>
      </c>
      <c r="K208" t="n">
        <v>0</v>
      </c>
      <c r="L208" t="n">
        <v>0</v>
      </c>
      <c r="M208" t="n">
        <v>0</v>
      </c>
      <c r="N208" t="n">
        <v>0</v>
      </c>
      <c r="O208" t="n">
        <v>1</v>
      </c>
      <c r="P208" t="n">
        <v>0</v>
      </c>
      <c r="Q208" t="n">
        <v>2</v>
      </c>
      <c r="R208" s="2" t="inlineStr">
        <is>
          <t>Leptoporus erubescens
Vedticka</t>
        </is>
      </c>
      <c r="S208">
        <f>HYPERLINK("https://klasma.github.io/Logging_1981/artfynd/A 9921-2024 artfynd.xlsx", "A 9921-2024")</f>
        <v/>
      </c>
      <c r="T208">
        <f>HYPERLINK("https://klasma.github.io/Logging_1981/kartor/A 9921-2024 karta.png", "A 9921-2024")</f>
        <v/>
      </c>
      <c r="U208">
        <f>HYPERLINK("https://klasma.github.io/Logging_1981/knärot/A 9921-2024 karta knärot.png", "A 9921-2024")</f>
        <v/>
      </c>
      <c r="V208">
        <f>HYPERLINK("https://klasma.github.io/Logging_1981/klagomål/A 9921-2024 FSC-klagomål.docx", "A 9921-2024")</f>
        <v/>
      </c>
      <c r="W208">
        <f>HYPERLINK("https://klasma.github.io/Logging_1981/klagomålsmail/A 9921-2024 FSC-klagomål mail.docx", "A 9921-2024")</f>
        <v/>
      </c>
      <c r="X208">
        <f>HYPERLINK("https://klasma.github.io/Logging_1981/tillsyn/A 9921-2024 tillsynsbegäran.docx", "A 9921-2024")</f>
        <v/>
      </c>
      <c r="Y208">
        <f>HYPERLINK("https://klasma.github.io/Logging_1981/tillsynsmail/A 9921-2024 tillsynsbegäran mail.docx", "A 9921-2024")</f>
        <v/>
      </c>
    </row>
    <row r="209" ht="15" customHeight="1">
      <c r="A209" t="inlineStr">
        <is>
          <t>A 10552-2024</t>
        </is>
      </c>
      <c r="B209" s="1" t="n">
        <v>45366</v>
      </c>
      <c r="C209" s="1" t="n">
        <v>45668</v>
      </c>
      <c r="D209" t="inlineStr">
        <is>
          <t>VÄSTMANLANDS LÄN</t>
        </is>
      </c>
      <c r="E209" t="inlineStr">
        <is>
          <t>SALA</t>
        </is>
      </c>
      <c r="G209" t="n">
        <v>6.5</v>
      </c>
      <c r="H209" t="n">
        <v>2</v>
      </c>
      <c r="I209" t="n">
        <v>1</v>
      </c>
      <c r="J209" t="n">
        <v>0</v>
      </c>
      <c r="K209" t="n">
        <v>0</v>
      </c>
      <c r="L209" t="n">
        <v>0</v>
      </c>
      <c r="M209" t="n">
        <v>0</v>
      </c>
      <c r="N209" t="n">
        <v>0</v>
      </c>
      <c r="O209" t="n">
        <v>0</v>
      </c>
      <c r="P209" t="n">
        <v>0</v>
      </c>
      <c r="Q209" t="n">
        <v>2</v>
      </c>
      <c r="R209" s="2" t="inlineStr">
        <is>
          <t>Plattlummer
Fläcknycklar</t>
        </is>
      </c>
      <c r="S209">
        <f>HYPERLINK("https://klasma.github.io/Logging_1981/artfynd/A 10552-2024 artfynd.xlsx", "A 10552-2024")</f>
        <v/>
      </c>
      <c r="T209">
        <f>HYPERLINK("https://klasma.github.io/Logging_1981/kartor/A 10552-2024 karta.png", "A 10552-2024")</f>
        <v/>
      </c>
      <c r="V209">
        <f>HYPERLINK("https://klasma.github.io/Logging_1981/klagomål/A 10552-2024 FSC-klagomål.docx", "A 10552-2024")</f>
        <v/>
      </c>
      <c r="W209">
        <f>HYPERLINK("https://klasma.github.io/Logging_1981/klagomålsmail/A 10552-2024 FSC-klagomål mail.docx", "A 10552-2024")</f>
        <v/>
      </c>
      <c r="X209">
        <f>HYPERLINK("https://klasma.github.io/Logging_1981/tillsyn/A 10552-2024 tillsynsbegäran.docx", "A 10552-2024")</f>
        <v/>
      </c>
      <c r="Y209">
        <f>HYPERLINK("https://klasma.github.io/Logging_1981/tillsynsmail/A 10552-2024 tillsynsbegäran mail.docx", "A 10552-2024")</f>
        <v/>
      </c>
    </row>
    <row r="210" ht="15" customHeight="1">
      <c r="A210" t="inlineStr">
        <is>
          <t>A 11846-2024</t>
        </is>
      </c>
      <c r="B210" s="1" t="n">
        <v>45376</v>
      </c>
      <c r="C210" s="1" t="n">
        <v>45668</v>
      </c>
      <c r="D210" t="inlineStr">
        <is>
          <t>VÄSTMANLANDS LÄN</t>
        </is>
      </c>
      <c r="E210" t="inlineStr">
        <is>
          <t>SALA</t>
        </is>
      </c>
      <c r="G210" t="n">
        <v>8</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HYPERLINK("https://klasma.github.io/Logging_1981/artfynd/A 11846-2024 artfynd.xlsx", "A 11846-2024")</f>
        <v/>
      </c>
      <c r="T210">
        <f>HYPERLINK("https://klasma.github.io/Logging_1981/kartor/A 11846-2024 karta.png", "A 11846-2024")</f>
        <v/>
      </c>
      <c r="V210">
        <f>HYPERLINK("https://klasma.github.io/Logging_1981/klagomål/A 11846-2024 FSC-klagomål.docx", "A 11846-2024")</f>
        <v/>
      </c>
      <c r="W210">
        <f>HYPERLINK("https://klasma.github.io/Logging_1981/klagomålsmail/A 11846-2024 FSC-klagomål mail.docx", "A 11846-2024")</f>
        <v/>
      </c>
      <c r="X210">
        <f>HYPERLINK("https://klasma.github.io/Logging_1981/tillsyn/A 11846-2024 tillsynsbegäran.docx", "A 11846-2024")</f>
        <v/>
      </c>
      <c r="Y210">
        <f>HYPERLINK("https://klasma.github.io/Logging_1981/tillsynsmail/A 11846-2024 tillsynsbegäran mail.docx", "A 11846-2024")</f>
        <v/>
      </c>
    </row>
    <row r="211" ht="15" customHeight="1">
      <c r="A211" t="inlineStr">
        <is>
          <t>A 12444-2024</t>
        </is>
      </c>
      <c r="B211" s="1" t="n">
        <v>45379</v>
      </c>
      <c r="C211" s="1" t="n">
        <v>45668</v>
      </c>
      <c r="D211" t="inlineStr">
        <is>
          <t>VÄSTMANLANDS LÄN</t>
        </is>
      </c>
      <c r="E211" t="inlineStr">
        <is>
          <t>SALA</t>
        </is>
      </c>
      <c r="G211" t="n">
        <v>5.5</v>
      </c>
      <c r="H211" t="n">
        <v>0</v>
      </c>
      <c r="I211" t="n">
        <v>1</v>
      </c>
      <c r="J211" t="n">
        <v>1</v>
      </c>
      <c r="K211" t="n">
        <v>0</v>
      </c>
      <c r="L211" t="n">
        <v>0</v>
      </c>
      <c r="M211" t="n">
        <v>0</v>
      </c>
      <c r="N211" t="n">
        <v>0</v>
      </c>
      <c r="O211" t="n">
        <v>1</v>
      </c>
      <c r="P211" t="n">
        <v>0</v>
      </c>
      <c r="Q211" t="n">
        <v>2</v>
      </c>
      <c r="R211" s="2" t="inlineStr">
        <is>
          <t>Ullticka
Stuplav</t>
        </is>
      </c>
      <c r="S211">
        <f>HYPERLINK("https://klasma.github.io/Logging_1981/artfynd/A 12444-2024 artfynd.xlsx", "A 12444-2024")</f>
        <v/>
      </c>
      <c r="T211">
        <f>HYPERLINK("https://klasma.github.io/Logging_1981/kartor/A 12444-2024 karta.png", "A 12444-2024")</f>
        <v/>
      </c>
      <c r="U211">
        <f>HYPERLINK("https://klasma.github.io/Logging_1981/knärot/A 12444-2024 karta knärot.png", "A 12444-2024")</f>
        <v/>
      </c>
      <c r="V211">
        <f>HYPERLINK("https://klasma.github.io/Logging_1981/klagomål/A 12444-2024 FSC-klagomål.docx", "A 12444-2024")</f>
        <v/>
      </c>
      <c r="W211">
        <f>HYPERLINK("https://klasma.github.io/Logging_1981/klagomålsmail/A 12444-2024 FSC-klagomål mail.docx", "A 12444-2024")</f>
        <v/>
      </c>
      <c r="X211">
        <f>HYPERLINK("https://klasma.github.io/Logging_1981/tillsyn/A 12444-2024 tillsynsbegäran.docx", "A 12444-2024")</f>
        <v/>
      </c>
      <c r="Y211">
        <f>HYPERLINK("https://klasma.github.io/Logging_1981/tillsynsmail/A 12444-2024 tillsynsbegäran mail.docx", "A 12444-2024")</f>
        <v/>
      </c>
    </row>
    <row r="212" ht="15" customHeight="1">
      <c r="A212" t="inlineStr">
        <is>
          <t>A 19120-2024</t>
        </is>
      </c>
      <c r="B212" s="1" t="n">
        <v>45428</v>
      </c>
      <c r="C212" s="1" t="n">
        <v>45668</v>
      </c>
      <c r="D212" t="inlineStr">
        <is>
          <t>VÄSTMANLANDS LÄN</t>
        </is>
      </c>
      <c r="E212" t="inlineStr">
        <is>
          <t>SURAHAMMAR</t>
        </is>
      </c>
      <c r="F212" t="inlineStr">
        <is>
          <t>Allmännings- och besparingsskogar</t>
        </is>
      </c>
      <c r="G212" t="n">
        <v>17.5</v>
      </c>
      <c r="H212" t="n">
        <v>0</v>
      </c>
      <c r="I212" t="n">
        <v>1</v>
      </c>
      <c r="J212" t="n">
        <v>1</v>
      </c>
      <c r="K212" t="n">
        <v>0</v>
      </c>
      <c r="L212" t="n">
        <v>0</v>
      </c>
      <c r="M212" t="n">
        <v>0</v>
      </c>
      <c r="N212" t="n">
        <v>0</v>
      </c>
      <c r="O212" t="n">
        <v>1</v>
      </c>
      <c r="P212" t="n">
        <v>0</v>
      </c>
      <c r="Q212" t="n">
        <v>2</v>
      </c>
      <c r="R212" s="2" t="inlineStr">
        <is>
          <t>Tallticka
Vedticka</t>
        </is>
      </c>
      <c r="S212">
        <f>HYPERLINK("https://klasma.github.io/Logging_1907/artfynd/A 19120-2024 artfynd.xlsx", "A 19120-2024")</f>
        <v/>
      </c>
      <c r="T212">
        <f>HYPERLINK("https://klasma.github.io/Logging_1907/kartor/A 19120-2024 karta.png", "A 19120-2024")</f>
        <v/>
      </c>
      <c r="V212">
        <f>HYPERLINK("https://klasma.github.io/Logging_1907/klagomål/A 19120-2024 FSC-klagomål.docx", "A 19120-2024")</f>
        <v/>
      </c>
      <c r="W212">
        <f>HYPERLINK("https://klasma.github.io/Logging_1907/klagomålsmail/A 19120-2024 FSC-klagomål mail.docx", "A 19120-2024")</f>
        <v/>
      </c>
      <c r="X212">
        <f>HYPERLINK("https://klasma.github.io/Logging_1907/tillsyn/A 19120-2024 tillsynsbegäran.docx", "A 19120-2024")</f>
        <v/>
      </c>
      <c r="Y212">
        <f>HYPERLINK("https://klasma.github.io/Logging_1907/tillsynsmail/A 19120-2024 tillsynsbegäran mail.docx", "A 19120-2024")</f>
        <v/>
      </c>
    </row>
    <row r="213" ht="15" customHeight="1">
      <c r="A213" t="inlineStr">
        <is>
          <t>A 20705-2024</t>
        </is>
      </c>
      <c r="B213" s="1" t="n">
        <v>45436</v>
      </c>
      <c r="C213" s="1" t="n">
        <v>45668</v>
      </c>
      <c r="D213" t="inlineStr">
        <is>
          <t>VÄSTMANLANDS LÄN</t>
        </is>
      </c>
      <c r="E213" t="inlineStr">
        <is>
          <t>SURAHAMMAR</t>
        </is>
      </c>
      <c r="F213" t="inlineStr">
        <is>
          <t>Bergvik skog väst AB</t>
        </is>
      </c>
      <c r="G213" t="n">
        <v>4</v>
      </c>
      <c r="H213" t="n">
        <v>0</v>
      </c>
      <c r="I213" t="n">
        <v>1</v>
      </c>
      <c r="J213" t="n">
        <v>1</v>
      </c>
      <c r="K213" t="n">
        <v>0</v>
      </c>
      <c r="L213" t="n">
        <v>0</v>
      </c>
      <c r="M213" t="n">
        <v>0</v>
      </c>
      <c r="N213" t="n">
        <v>0</v>
      </c>
      <c r="O213" t="n">
        <v>1</v>
      </c>
      <c r="P213" t="n">
        <v>0</v>
      </c>
      <c r="Q213" t="n">
        <v>2</v>
      </c>
      <c r="R213" s="2" t="inlineStr">
        <is>
          <t>Kandelabersvamp
Rävticka</t>
        </is>
      </c>
      <c r="S213">
        <f>HYPERLINK("https://klasma.github.io/Logging_1907/artfynd/A 20705-2024 artfynd.xlsx", "A 20705-2024")</f>
        <v/>
      </c>
      <c r="T213">
        <f>HYPERLINK("https://klasma.github.io/Logging_1907/kartor/A 20705-2024 karta.png", "A 20705-2024")</f>
        <v/>
      </c>
      <c r="V213">
        <f>HYPERLINK("https://klasma.github.io/Logging_1907/klagomål/A 20705-2024 FSC-klagomål.docx", "A 20705-2024")</f>
        <v/>
      </c>
      <c r="W213">
        <f>HYPERLINK("https://klasma.github.io/Logging_1907/klagomålsmail/A 20705-2024 FSC-klagomål mail.docx", "A 20705-2024")</f>
        <v/>
      </c>
      <c r="X213">
        <f>HYPERLINK("https://klasma.github.io/Logging_1907/tillsyn/A 20705-2024 tillsynsbegäran.docx", "A 20705-2024")</f>
        <v/>
      </c>
      <c r="Y213">
        <f>HYPERLINK("https://klasma.github.io/Logging_1907/tillsynsmail/A 20705-2024 tillsynsbegäran mail.docx", "A 20705-2024")</f>
        <v/>
      </c>
    </row>
    <row r="214" ht="15" customHeight="1">
      <c r="A214" t="inlineStr">
        <is>
          <t>A 24538-2024</t>
        </is>
      </c>
      <c r="B214" s="1" t="n">
        <v>45460</v>
      </c>
      <c r="C214" s="1" t="n">
        <v>45668</v>
      </c>
      <c r="D214" t="inlineStr">
        <is>
          <t>VÄSTMANLANDS LÄN</t>
        </is>
      </c>
      <c r="E214" t="inlineStr">
        <is>
          <t>SURAHAMMAR</t>
        </is>
      </c>
      <c r="G214" t="n">
        <v>2.5</v>
      </c>
      <c r="H214" t="n">
        <v>1</v>
      </c>
      <c r="I214" t="n">
        <v>1</v>
      </c>
      <c r="J214" t="n">
        <v>0</v>
      </c>
      <c r="K214" t="n">
        <v>1</v>
      </c>
      <c r="L214" t="n">
        <v>0</v>
      </c>
      <c r="M214" t="n">
        <v>0</v>
      </c>
      <c r="N214" t="n">
        <v>0</v>
      </c>
      <c r="O214" t="n">
        <v>1</v>
      </c>
      <c r="P214" t="n">
        <v>1</v>
      </c>
      <c r="Q214" t="n">
        <v>2</v>
      </c>
      <c r="R214" s="2" t="inlineStr">
        <is>
          <t>Knärot
Vedticka</t>
        </is>
      </c>
      <c r="S214">
        <f>HYPERLINK("https://klasma.github.io/Logging_1907/artfynd/A 24538-2024 artfynd.xlsx", "A 24538-2024")</f>
        <v/>
      </c>
      <c r="T214">
        <f>HYPERLINK("https://klasma.github.io/Logging_1907/kartor/A 24538-2024 karta.png", "A 24538-2024")</f>
        <v/>
      </c>
      <c r="U214">
        <f>HYPERLINK("https://klasma.github.io/Logging_1907/knärot/A 24538-2024 karta knärot.png", "A 24538-2024")</f>
        <v/>
      </c>
      <c r="V214">
        <f>HYPERLINK("https://klasma.github.io/Logging_1907/klagomål/A 24538-2024 FSC-klagomål.docx", "A 24538-2024")</f>
        <v/>
      </c>
      <c r="W214">
        <f>HYPERLINK("https://klasma.github.io/Logging_1907/klagomålsmail/A 24538-2024 FSC-klagomål mail.docx", "A 24538-2024")</f>
        <v/>
      </c>
      <c r="X214">
        <f>HYPERLINK("https://klasma.github.io/Logging_1907/tillsyn/A 24538-2024 tillsynsbegäran.docx", "A 24538-2024")</f>
        <v/>
      </c>
      <c r="Y214">
        <f>HYPERLINK("https://klasma.github.io/Logging_1907/tillsynsmail/A 24538-2024 tillsynsbegäran mail.docx", "A 24538-2024")</f>
        <v/>
      </c>
    </row>
    <row r="215" ht="15" customHeight="1">
      <c r="A215" t="inlineStr">
        <is>
          <t>A 24779-2024</t>
        </is>
      </c>
      <c r="B215" s="1" t="n">
        <v>45460</v>
      </c>
      <c r="C215" s="1" t="n">
        <v>45668</v>
      </c>
      <c r="D215" t="inlineStr">
        <is>
          <t>VÄSTMANLANDS LÄN</t>
        </is>
      </c>
      <c r="E215" t="inlineStr">
        <is>
          <t>VÄSTERÅS</t>
        </is>
      </c>
      <c r="F215" t="inlineStr">
        <is>
          <t>Kommuner</t>
        </is>
      </c>
      <c r="G215" t="n">
        <v>3.3</v>
      </c>
      <c r="H215" t="n">
        <v>0</v>
      </c>
      <c r="I215" t="n">
        <v>2</v>
      </c>
      <c r="J215" t="n">
        <v>0</v>
      </c>
      <c r="K215" t="n">
        <v>0</v>
      </c>
      <c r="L215" t="n">
        <v>0</v>
      </c>
      <c r="M215" t="n">
        <v>0</v>
      </c>
      <c r="N215" t="n">
        <v>0</v>
      </c>
      <c r="O215" t="n">
        <v>0</v>
      </c>
      <c r="P215" t="n">
        <v>0</v>
      </c>
      <c r="Q215" t="n">
        <v>2</v>
      </c>
      <c r="R215" s="2" t="inlineStr">
        <is>
          <t>Scharlakansskål
Scharlakansvårskål agg.</t>
        </is>
      </c>
      <c r="S215">
        <f>HYPERLINK("https://klasma.github.io/Logging_1980/artfynd/A 24779-2024 artfynd.xlsx", "A 24779-2024")</f>
        <v/>
      </c>
      <c r="T215">
        <f>HYPERLINK("https://klasma.github.io/Logging_1980/kartor/A 24779-2024 karta.png", "A 24779-2024")</f>
        <v/>
      </c>
      <c r="V215">
        <f>HYPERLINK("https://klasma.github.io/Logging_1980/klagomål/A 24779-2024 FSC-klagomål.docx", "A 24779-2024")</f>
        <v/>
      </c>
      <c r="W215">
        <f>HYPERLINK("https://klasma.github.io/Logging_1980/klagomålsmail/A 24779-2024 FSC-klagomål mail.docx", "A 24779-2024")</f>
        <v/>
      </c>
      <c r="X215">
        <f>HYPERLINK("https://klasma.github.io/Logging_1980/tillsyn/A 24779-2024 tillsynsbegäran.docx", "A 24779-2024")</f>
        <v/>
      </c>
      <c r="Y215">
        <f>HYPERLINK("https://klasma.github.io/Logging_1980/tillsynsmail/A 24779-2024 tillsynsbegäran mail.docx", "A 24779-2024")</f>
        <v/>
      </c>
    </row>
    <row r="216" ht="15" customHeight="1">
      <c r="A216" t="inlineStr">
        <is>
          <t>A 24945-2024</t>
        </is>
      </c>
      <c r="B216" s="1" t="n">
        <v>45461</v>
      </c>
      <c r="C216" s="1" t="n">
        <v>45668</v>
      </c>
      <c r="D216" t="inlineStr">
        <is>
          <t>VÄSTMANLANDS LÄN</t>
        </is>
      </c>
      <c r="E216" t="inlineStr">
        <is>
          <t>VÄSTERÅS</t>
        </is>
      </c>
      <c r="F216" t="inlineStr">
        <is>
          <t>Kommuner</t>
        </is>
      </c>
      <c r="G216" t="n">
        <v>1.2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HYPERLINK("https://klasma.github.io/Logging_1980/artfynd/A 24945-2024 artfynd.xlsx", "A 24945-2024")</f>
        <v/>
      </c>
      <c r="T216">
        <f>HYPERLINK("https://klasma.github.io/Logging_1980/kartor/A 24945-2024 karta.png", "A 24945-2024")</f>
        <v/>
      </c>
      <c r="V216">
        <f>HYPERLINK("https://klasma.github.io/Logging_1980/klagomål/A 24945-2024 FSC-klagomål.docx", "A 24945-2024")</f>
        <v/>
      </c>
      <c r="W216">
        <f>HYPERLINK("https://klasma.github.io/Logging_1980/klagomålsmail/A 24945-2024 FSC-klagomål mail.docx", "A 24945-2024")</f>
        <v/>
      </c>
      <c r="X216">
        <f>HYPERLINK("https://klasma.github.io/Logging_1980/tillsyn/A 24945-2024 tillsynsbegäran.docx", "A 24945-2024")</f>
        <v/>
      </c>
      <c r="Y216">
        <f>HYPERLINK("https://klasma.github.io/Logging_1980/tillsynsmail/A 24945-2024 tillsynsbegäran mail.docx", "A 24945-2024")</f>
        <v/>
      </c>
    </row>
    <row r="217" ht="15" customHeight="1">
      <c r="A217" t="inlineStr">
        <is>
          <t>A 31187-2024</t>
        </is>
      </c>
      <c r="B217" s="1" t="n">
        <v>45503</v>
      </c>
      <c r="C217" s="1" t="n">
        <v>45668</v>
      </c>
      <c r="D217" t="inlineStr">
        <is>
          <t>VÄSTMANLANDS LÄN</t>
        </is>
      </c>
      <c r="E217" t="inlineStr">
        <is>
          <t>HALLSTAHAMMAR</t>
        </is>
      </c>
      <c r="F217" t="inlineStr">
        <is>
          <t>Allmännings- och besparingsskogar</t>
        </is>
      </c>
      <c r="G217" t="n">
        <v>6.1</v>
      </c>
      <c r="H217" t="n">
        <v>0</v>
      </c>
      <c r="I217" t="n">
        <v>0</v>
      </c>
      <c r="J217" t="n">
        <v>2</v>
      </c>
      <c r="K217" t="n">
        <v>0</v>
      </c>
      <c r="L217" t="n">
        <v>0</v>
      </c>
      <c r="M217" t="n">
        <v>0</v>
      </c>
      <c r="N217" t="n">
        <v>0</v>
      </c>
      <c r="O217" t="n">
        <v>2</v>
      </c>
      <c r="P217" t="n">
        <v>0</v>
      </c>
      <c r="Q217" t="n">
        <v>2</v>
      </c>
      <c r="R217" s="2" t="inlineStr">
        <is>
          <t>Krusfrö
Svinrot</t>
        </is>
      </c>
      <c r="S217">
        <f>HYPERLINK("https://klasma.github.io/Logging_1961/artfynd/A 31187-2024 artfynd.xlsx", "A 31187-2024")</f>
        <v/>
      </c>
      <c r="T217">
        <f>HYPERLINK("https://klasma.github.io/Logging_1961/kartor/A 31187-2024 karta.png", "A 31187-2024")</f>
        <v/>
      </c>
      <c r="V217">
        <f>HYPERLINK("https://klasma.github.io/Logging_1961/klagomål/A 31187-2024 FSC-klagomål.docx", "A 31187-2024")</f>
        <v/>
      </c>
      <c r="W217">
        <f>HYPERLINK("https://klasma.github.io/Logging_1961/klagomålsmail/A 31187-2024 FSC-klagomål mail.docx", "A 31187-2024")</f>
        <v/>
      </c>
      <c r="X217">
        <f>HYPERLINK("https://klasma.github.io/Logging_1961/tillsyn/A 31187-2024 tillsynsbegäran.docx", "A 31187-2024")</f>
        <v/>
      </c>
      <c r="Y217">
        <f>HYPERLINK("https://klasma.github.io/Logging_1961/tillsynsmail/A 31187-2024 tillsynsbegäran mail.docx", "A 31187-2024")</f>
        <v/>
      </c>
    </row>
    <row r="218" ht="15" customHeight="1">
      <c r="A218" t="inlineStr">
        <is>
          <t>A 39250-2024</t>
        </is>
      </c>
      <c r="B218" s="1" t="n">
        <v>45551</v>
      </c>
      <c r="C218" s="1" t="n">
        <v>45668</v>
      </c>
      <c r="D218" t="inlineStr">
        <is>
          <t>VÄSTMANLANDS LÄN</t>
        </is>
      </c>
      <c r="E218" t="inlineStr">
        <is>
          <t>NORBERG</t>
        </is>
      </c>
      <c r="F218" t="inlineStr">
        <is>
          <t>Bergvik skog väst AB</t>
        </is>
      </c>
      <c r="G218" t="n">
        <v>8.9</v>
      </c>
      <c r="H218" t="n">
        <v>0</v>
      </c>
      <c r="I218" t="n">
        <v>0</v>
      </c>
      <c r="J218" t="n">
        <v>2</v>
      </c>
      <c r="K218" t="n">
        <v>0</v>
      </c>
      <c r="L218" t="n">
        <v>0</v>
      </c>
      <c r="M218" t="n">
        <v>0</v>
      </c>
      <c r="N218" t="n">
        <v>0</v>
      </c>
      <c r="O218" t="n">
        <v>2</v>
      </c>
      <c r="P218" t="n">
        <v>0</v>
      </c>
      <c r="Q218" t="n">
        <v>2</v>
      </c>
      <c r="R218" s="2" t="inlineStr">
        <is>
          <t>Motaggsvamp
Tallticka</t>
        </is>
      </c>
      <c r="S218">
        <f>HYPERLINK("https://klasma.github.io/Logging_1962/artfynd/A 39250-2024 artfynd.xlsx", "A 39250-2024")</f>
        <v/>
      </c>
      <c r="T218">
        <f>HYPERLINK("https://klasma.github.io/Logging_1962/kartor/A 39250-2024 karta.png", "A 39250-2024")</f>
        <v/>
      </c>
      <c r="V218">
        <f>HYPERLINK("https://klasma.github.io/Logging_1962/klagomål/A 39250-2024 FSC-klagomål.docx", "A 39250-2024")</f>
        <v/>
      </c>
      <c r="W218">
        <f>HYPERLINK("https://klasma.github.io/Logging_1962/klagomålsmail/A 39250-2024 FSC-klagomål mail.docx", "A 39250-2024")</f>
        <v/>
      </c>
      <c r="X218">
        <f>HYPERLINK("https://klasma.github.io/Logging_1962/tillsyn/A 39250-2024 tillsynsbegäran.docx", "A 39250-2024")</f>
        <v/>
      </c>
      <c r="Y218">
        <f>HYPERLINK("https://klasma.github.io/Logging_1962/tillsynsmail/A 39250-2024 tillsynsbegäran mail.docx", "A 39250-2024")</f>
        <v/>
      </c>
    </row>
    <row r="219" ht="15" customHeight="1">
      <c r="A219" t="inlineStr">
        <is>
          <t>A 40493-2024</t>
        </is>
      </c>
      <c r="B219" s="1" t="n">
        <v>45555</v>
      </c>
      <c r="C219" s="1" t="n">
        <v>45668</v>
      </c>
      <c r="D219" t="inlineStr">
        <is>
          <t>VÄSTMANLANDS LÄN</t>
        </is>
      </c>
      <c r="E219" t="inlineStr">
        <is>
          <t>SALA</t>
        </is>
      </c>
      <c r="G219" t="n">
        <v>3.8</v>
      </c>
      <c r="H219" t="n">
        <v>0</v>
      </c>
      <c r="I219" t="n">
        <v>1</v>
      </c>
      <c r="J219" t="n">
        <v>1</v>
      </c>
      <c r="K219" t="n">
        <v>0</v>
      </c>
      <c r="L219" t="n">
        <v>0</v>
      </c>
      <c r="M219" t="n">
        <v>0</v>
      </c>
      <c r="N219" t="n">
        <v>0</v>
      </c>
      <c r="O219" t="n">
        <v>1</v>
      </c>
      <c r="P219" t="n">
        <v>0</v>
      </c>
      <c r="Q219" t="n">
        <v>2</v>
      </c>
      <c r="R219" s="2" t="inlineStr">
        <is>
          <t>Vedskivlav
Dropptaggsvamp</t>
        </is>
      </c>
      <c r="S219">
        <f>HYPERLINK("https://klasma.github.io/Logging_1981/artfynd/A 40493-2024 artfynd.xlsx", "A 40493-2024")</f>
        <v/>
      </c>
      <c r="T219">
        <f>HYPERLINK("https://klasma.github.io/Logging_1981/kartor/A 40493-2024 karta.png", "A 40493-2024")</f>
        <v/>
      </c>
      <c r="V219">
        <f>HYPERLINK("https://klasma.github.io/Logging_1981/klagomål/A 40493-2024 FSC-klagomål.docx", "A 40493-2024")</f>
        <v/>
      </c>
      <c r="W219">
        <f>HYPERLINK("https://klasma.github.io/Logging_1981/klagomålsmail/A 40493-2024 FSC-klagomål mail.docx", "A 40493-2024")</f>
        <v/>
      </c>
      <c r="X219">
        <f>HYPERLINK("https://klasma.github.io/Logging_1981/tillsyn/A 40493-2024 tillsynsbegäran.docx", "A 40493-2024")</f>
        <v/>
      </c>
      <c r="Y219">
        <f>HYPERLINK("https://klasma.github.io/Logging_1981/tillsynsmail/A 40493-2024 tillsynsbegäran mail.docx", "A 40493-2024")</f>
        <v/>
      </c>
    </row>
    <row r="220" ht="15" customHeight="1">
      <c r="A220" t="inlineStr">
        <is>
          <t>A 41618-2024</t>
        </is>
      </c>
      <c r="B220" s="1" t="n">
        <v>45560</v>
      </c>
      <c r="C220" s="1" t="n">
        <v>45668</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45668</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45668</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45668</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45668</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45668</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18948-2019</t>
        </is>
      </c>
      <c r="B226" s="1" t="n">
        <v>43563</v>
      </c>
      <c r="C226" s="1" t="n">
        <v>45668</v>
      </c>
      <c r="D226" t="inlineStr">
        <is>
          <t>VÄSTMANLANDS LÄN</t>
        </is>
      </c>
      <c r="E226" t="inlineStr">
        <is>
          <t>SURAHAMMAR</t>
        </is>
      </c>
      <c r="F226" t="inlineStr">
        <is>
          <t>Övriga Aktiebolag</t>
        </is>
      </c>
      <c r="G226" t="n">
        <v>1.9</v>
      </c>
      <c r="H226" t="n">
        <v>0</v>
      </c>
      <c r="I226" t="n">
        <v>0</v>
      </c>
      <c r="J226" t="n">
        <v>0</v>
      </c>
      <c r="K226" t="n">
        <v>0</v>
      </c>
      <c r="L226" t="n">
        <v>1</v>
      </c>
      <c r="M226" t="n">
        <v>0</v>
      </c>
      <c r="N226" t="n">
        <v>0</v>
      </c>
      <c r="O226" t="n">
        <v>1</v>
      </c>
      <c r="P226" t="n">
        <v>1</v>
      </c>
      <c r="Q226" t="n">
        <v>1</v>
      </c>
      <c r="R226" s="2" t="inlineStr">
        <is>
          <t>Ask</t>
        </is>
      </c>
      <c r="S226">
        <f>HYPERLINK("https://klasma.github.io/Logging_1907/artfynd/A 18948-2019 artfynd.xlsx", "A 18948-2019")</f>
        <v/>
      </c>
      <c r="T226">
        <f>HYPERLINK("https://klasma.github.io/Logging_1907/kartor/A 18948-2019 karta.png", "A 18948-2019")</f>
        <v/>
      </c>
      <c r="V226">
        <f>HYPERLINK("https://klasma.github.io/Logging_1907/klagomål/A 18948-2019 FSC-klagomål.docx", "A 18948-2019")</f>
        <v/>
      </c>
      <c r="W226">
        <f>HYPERLINK("https://klasma.github.io/Logging_1907/klagomålsmail/A 18948-2019 FSC-klagomål mail.docx", "A 18948-2019")</f>
        <v/>
      </c>
      <c r="X226">
        <f>HYPERLINK("https://klasma.github.io/Logging_1907/tillsyn/A 18948-2019 tillsynsbegäran.docx", "A 18948-2019")</f>
        <v/>
      </c>
      <c r="Y226">
        <f>HYPERLINK("https://klasma.github.io/Logging_1907/tillsynsmail/A 18948-2019 tillsynsbegäran mail.docx", "A 18948-2019")</f>
        <v/>
      </c>
    </row>
    <row r="227" ht="15" customHeight="1">
      <c r="A227" t="inlineStr">
        <is>
          <t>A 20797-2019</t>
        </is>
      </c>
      <c r="B227" s="1" t="n">
        <v>43573</v>
      </c>
      <c r="C227" s="1" t="n">
        <v>45668</v>
      </c>
      <c r="D227" t="inlineStr">
        <is>
          <t>VÄSTMANLANDS LÄN</t>
        </is>
      </c>
      <c r="E227" t="inlineStr">
        <is>
          <t>ARBOGA</t>
        </is>
      </c>
      <c r="G227" t="n">
        <v>9.800000000000001</v>
      </c>
      <c r="H227" t="n">
        <v>0</v>
      </c>
      <c r="I227" t="n">
        <v>0</v>
      </c>
      <c r="J227" t="n">
        <v>0</v>
      </c>
      <c r="K227" t="n">
        <v>0</v>
      </c>
      <c r="L227" t="n">
        <v>1</v>
      </c>
      <c r="M227" t="n">
        <v>0</v>
      </c>
      <c r="N227" t="n">
        <v>0</v>
      </c>
      <c r="O227" t="n">
        <v>1</v>
      </c>
      <c r="P227" t="n">
        <v>1</v>
      </c>
      <c r="Q227" t="n">
        <v>1</v>
      </c>
      <c r="R227" s="2" t="inlineStr">
        <is>
          <t>Ask</t>
        </is>
      </c>
      <c r="S227">
        <f>HYPERLINK("https://klasma.github.io/Logging_1984/artfynd/A 20797-2019 artfynd.xlsx", "A 20797-2019")</f>
        <v/>
      </c>
      <c r="T227">
        <f>HYPERLINK("https://klasma.github.io/Logging_1984/kartor/A 20797-2019 karta.png", "A 20797-2019")</f>
        <v/>
      </c>
      <c r="V227">
        <f>HYPERLINK("https://klasma.github.io/Logging_1984/klagomål/A 20797-2019 FSC-klagomål.docx", "A 20797-2019")</f>
        <v/>
      </c>
      <c r="W227">
        <f>HYPERLINK("https://klasma.github.io/Logging_1984/klagomålsmail/A 20797-2019 FSC-klagomål mail.docx", "A 20797-2019")</f>
        <v/>
      </c>
      <c r="X227">
        <f>HYPERLINK("https://klasma.github.io/Logging_1984/tillsyn/A 20797-2019 tillsynsbegäran.docx", "A 20797-2019")</f>
        <v/>
      </c>
      <c r="Y227">
        <f>HYPERLINK("https://klasma.github.io/Logging_1984/tillsynsmail/A 20797-2019 tillsynsbegäran mail.docx", "A 20797-2019")</f>
        <v/>
      </c>
    </row>
    <row r="228" ht="15" customHeight="1">
      <c r="A228" t="inlineStr">
        <is>
          <t>A 20831-2019</t>
        </is>
      </c>
      <c r="B228" s="1" t="n">
        <v>43574</v>
      </c>
      <c r="C228" s="1" t="n">
        <v>45668</v>
      </c>
      <c r="D228" t="inlineStr">
        <is>
          <t>VÄSTMANLANDS LÄN</t>
        </is>
      </c>
      <c r="E228" t="inlineStr">
        <is>
          <t>FAGERSTA</t>
        </is>
      </c>
      <c r="G228" t="n">
        <v>13.1</v>
      </c>
      <c r="H228" t="n">
        <v>0</v>
      </c>
      <c r="I228" t="n">
        <v>1</v>
      </c>
      <c r="J228" t="n">
        <v>0</v>
      </c>
      <c r="K228" t="n">
        <v>0</v>
      </c>
      <c r="L228" t="n">
        <v>0</v>
      </c>
      <c r="M228" t="n">
        <v>0</v>
      </c>
      <c r="N228" t="n">
        <v>0</v>
      </c>
      <c r="O228" t="n">
        <v>0</v>
      </c>
      <c r="P228" t="n">
        <v>0</v>
      </c>
      <c r="Q228" t="n">
        <v>1</v>
      </c>
      <c r="R228" s="2" t="inlineStr">
        <is>
          <t>Vedticka</t>
        </is>
      </c>
      <c r="S228">
        <f>HYPERLINK("https://klasma.github.io/Logging_1982/artfynd/A 20831-2019 artfynd.xlsx", "A 20831-2019")</f>
        <v/>
      </c>
      <c r="T228">
        <f>HYPERLINK("https://klasma.github.io/Logging_1982/kartor/A 20831-2019 karta.png", "A 20831-2019")</f>
        <v/>
      </c>
      <c r="V228">
        <f>HYPERLINK("https://klasma.github.io/Logging_1982/klagomål/A 20831-2019 FSC-klagomål.docx", "A 20831-2019")</f>
        <v/>
      </c>
      <c r="W228">
        <f>HYPERLINK("https://klasma.github.io/Logging_1982/klagomålsmail/A 20831-2019 FSC-klagomål mail.docx", "A 20831-2019")</f>
        <v/>
      </c>
      <c r="X228">
        <f>HYPERLINK("https://klasma.github.io/Logging_1982/tillsyn/A 20831-2019 tillsynsbegäran.docx", "A 20831-2019")</f>
        <v/>
      </c>
      <c r="Y228">
        <f>HYPERLINK("https://klasma.github.io/Logging_1982/tillsynsmail/A 20831-2019 tillsynsbegäran mail.docx", "A 20831-2019")</f>
        <v/>
      </c>
    </row>
    <row r="229" ht="15" customHeight="1">
      <c r="A229" t="inlineStr">
        <is>
          <t>A 28276-2019</t>
        </is>
      </c>
      <c r="B229" s="1" t="n">
        <v>43623</v>
      </c>
      <c r="C229" s="1" t="n">
        <v>45668</v>
      </c>
      <c r="D229" t="inlineStr">
        <is>
          <t>VÄSTMANLANDS LÄN</t>
        </is>
      </c>
      <c r="E229" t="inlineStr">
        <is>
          <t>SURAHAMMAR</t>
        </is>
      </c>
      <c r="F229" t="inlineStr">
        <is>
          <t>Allmännings- och besparingsskogar</t>
        </is>
      </c>
      <c r="G229" t="n">
        <v>8.4</v>
      </c>
      <c r="H229" t="n">
        <v>0</v>
      </c>
      <c r="I229" t="n">
        <v>0</v>
      </c>
      <c r="J229" t="n">
        <v>1</v>
      </c>
      <c r="K229" t="n">
        <v>0</v>
      </c>
      <c r="L229" t="n">
        <v>0</v>
      </c>
      <c r="M229" t="n">
        <v>0</v>
      </c>
      <c r="N229" t="n">
        <v>0</v>
      </c>
      <c r="O229" t="n">
        <v>1</v>
      </c>
      <c r="P229" t="n">
        <v>0</v>
      </c>
      <c r="Q229" t="n">
        <v>1</v>
      </c>
      <c r="R229" s="2" t="inlineStr">
        <is>
          <t>Hapalopilus aurantiacus</t>
        </is>
      </c>
      <c r="S229">
        <f>HYPERLINK("https://klasma.github.io/Logging_1907/artfynd/A 28276-2019 artfynd.xlsx", "A 28276-2019")</f>
        <v/>
      </c>
      <c r="T229">
        <f>HYPERLINK("https://klasma.github.io/Logging_1907/kartor/A 28276-2019 karta.png", "A 28276-2019")</f>
        <v/>
      </c>
      <c r="V229">
        <f>HYPERLINK("https://klasma.github.io/Logging_1907/klagomål/A 28276-2019 FSC-klagomål.docx", "A 28276-2019")</f>
        <v/>
      </c>
      <c r="W229">
        <f>HYPERLINK("https://klasma.github.io/Logging_1907/klagomålsmail/A 28276-2019 FSC-klagomål mail.docx", "A 28276-2019")</f>
        <v/>
      </c>
      <c r="X229">
        <f>HYPERLINK("https://klasma.github.io/Logging_1907/tillsyn/A 28276-2019 tillsynsbegäran.docx", "A 28276-2019")</f>
        <v/>
      </c>
      <c r="Y229">
        <f>HYPERLINK("https://klasma.github.io/Logging_1907/tillsynsmail/A 28276-2019 tillsynsbegäran mail.docx", "A 28276-2019")</f>
        <v/>
      </c>
    </row>
    <row r="230" ht="15" customHeight="1">
      <c r="A230" t="inlineStr">
        <is>
          <t>A 28360-2019</t>
        </is>
      </c>
      <c r="B230" s="1" t="n">
        <v>43625</v>
      </c>
      <c r="C230" s="1" t="n">
        <v>45668</v>
      </c>
      <c r="D230" t="inlineStr">
        <is>
          <t>VÄSTMANLANDS LÄN</t>
        </is>
      </c>
      <c r="E230" t="inlineStr">
        <is>
          <t>KÖPING</t>
        </is>
      </c>
      <c r="F230" t="inlineStr">
        <is>
          <t>Sveaskog</t>
        </is>
      </c>
      <c r="G230" t="n">
        <v>2.6</v>
      </c>
      <c r="H230" t="n">
        <v>0</v>
      </c>
      <c r="I230" t="n">
        <v>1</v>
      </c>
      <c r="J230" t="n">
        <v>0</v>
      </c>
      <c r="K230" t="n">
        <v>0</v>
      </c>
      <c r="L230" t="n">
        <v>0</v>
      </c>
      <c r="M230" t="n">
        <v>0</v>
      </c>
      <c r="N230" t="n">
        <v>0</v>
      </c>
      <c r="O230" t="n">
        <v>0</v>
      </c>
      <c r="P230" t="n">
        <v>0</v>
      </c>
      <c r="Q230" t="n">
        <v>1</v>
      </c>
      <c r="R230" s="2" t="inlineStr">
        <is>
          <t>Trådticka</t>
        </is>
      </c>
      <c r="S230">
        <f>HYPERLINK("https://klasma.github.io/Logging_1983/artfynd/A 28360-2019 artfynd.xlsx", "A 28360-2019")</f>
        <v/>
      </c>
      <c r="T230">
        <f>HYPERLINK("https://klasma.github.io/Logging_1983/kartor/A 28360-2019 karta.png", "A 28360-2019")</f>
        <v/>
      </c>
      <c r="V230">
        <f>HYPERLINK("https://klasma.github.io/Logging_1983/klagomål/A 28360-2019 FSC-klagomål.docx", "A 28360-2019")</f>
        <v/>
      </c>
      <c r="W230">
        <f>HYPERLINK("https://klasma.github.io/Logging_1983/klagomålsmail/A 28360-2019 FSC-klagomål mail.docx", "A 28360-2019")</f>
        <v/>
      </c>
      <c r="X230">
        <f>HYPERLINK("https://klasma.github.io/Logging_1983/tillsyn/A 28360-2019 tillsynsbegäran.docx", "A 28360-2019")</f>
        <v/>
      </c>
      <c r="Y230">
        <f>HYPERLINK("https://klasma.github.io/Logging_1983/tillsynsmail/A 28360-2019 tillsynsbegäran mail.docx", "A 28360-2019")</f>
        <v/>
      </c>
    </row>
    <row r="231" ht="15" customHeight="1">
      <c r="A231" t="inlineStr">
        <is>
          <t>A 33879-2019</t>
        </is>
      </c>
      <c r="B231" s="1" t="n">
        <v>43653</v>
      </c>
      <c r="C231" s="1" t="n">
        <v>45668</v>
      </c>
      <c r="D231" t="inlineStr">
        <is>
          <t>VÄSTMANLANDS LÄN</t>
        </is>
      </c>
      <c r="E231" t="inlineStr">
        <is>
          <t>SURAHAMMAR</t>
        </is>
      </c>
      <c r="F231" t="inlineStr">
        <is>
          <t>Kyrkan</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HYPERLINK("https://klasma.github.io/Logging_1907/artfynd/A 33879-2019 artfynd.xlsx", "A 33879-2019")</f>
        <v/>
      </c>
      <c r="T231">
        <f>HYPERLINK("https://klasma.github.io/Logging_1907/kartor/A 33879-2019 karta.png", "A 33879-2019")</f>
        <v/>
      </c>
      <c r="V231">
        <f>HYPERLINK("https://klasma.github.io/Logging_1907/klagomål/A 33879-2019 FSC-klagomål.docx", "A 33879-2019")</f>
        <v/>
      </c>
      <c r="W231">
        <f>HYPERLINK("https://klasma.github.io/Logging_1907/klagomålsmail/A 33879-2019 FSC-klagomål mail.docx", "A 33879-2019")</f>
        <v/>
      </c>
      <c r="X231">
        <f>HYPERLINK("https://klasma.github.io/Logging_1907/tillsyn/A 33879-2019 tillsynsbegäran.docx", "A 33879-2019")</f>
        <v/>
      </c>
      <c r="Y231">
        <f>HYPERLINK("https://klasma.github.io/Logging_1907/tillsynsmail/A 33879-2019 tillsynsbegäran mail.docx", "A 33879-2019")</f>
        <v/>
      </c>
    </row>
    <row r="232" ht="15" customHeight="1">
      <c r="A232" t="inlineStr">
        <is>
          <t>A 39755-2019</t>
        </is>
      </c>
      <c r="B232" s="1" t="n">
        <v>43692</v>
      </c>
      <c r="C232" s="1" t="n">
        <v>45668</v>
      </c>
      <c r="D232" t="inlineStr">
        <is>
          <t>VÄSTMANLANDS LÄN</t>
        </is>
      </c>
      <c r="E232" t="inlineStr">
        <is>
          <t>SURAHAMMAR</t>
        </is>
      </c>
      <c r="F232" t="inlineStr">
        <is>
          <t>Övriga Aktiebolag</t>
        </is>
      </c>
      <c r="G232" t="n">
        <v>11.8</v>
      </c>
      <c r="H232" t="n">
        <v>1</v>
      </c>
      <c r="I232" t="n">
        <v>0</v>
      </c>
      <c r="J232" t="n">
        <v>0</v>
      </c>
      <c r="K232" t="n">
        <v>0</v>
      </c>
      <c r="L232" t="n">
        <v>0</v>
      </c>
      <c r="M232" t="n">
        <v>0</v>
      </c>
      <c r="N232" t="n">
        <v>0</v>
      </c>
      <c r="O232" t="n">
        <v>0</v>
      </c>
      <c r="P232" t="n">
        <v>0</v>
      </c>
      <c r="Q232" t="n">
        <v>1</v>
      </c>
      <c r="R232" s="2" t="inlineStr">
        <is>
          <t>Kopparödla</t>
        </is>
      </c>
      <c r="S232">
        <f>HYPERLINK("https://klasma.github.io/Logging_1907/artfynd/A 39755-2019 artfynd.xlsx", "A 39755-2019")</f>
        <v/>
      </c>
      <c r="T232">
        <f>HYPERLINK("https://klasma.github.io/Logging_1907/kartor/A 39755-2019 karta.png", "A 39755-2019")</f>
        <v/>
      </c>
      <c r="V232">
        <f>HYPERLINK("https://klasma.github.io/Logging_1907/klagomål/A 39755-2019 FSC-klagomål.docx", "A 39755-2019")</f>
        <v/>
      </c>
      <c r="W232">
        <f>HYPERLINK("https://klasma.github.io/Logging_1907/klagomålsmail/A 39755-2019 FSC-klagomål mail.docx", "A 39755-2019")</f>
        <v/>
      </c>
      <c r="X232">
        <f>HYPERLINK("https://klasma.github.io/Logging_1907/tillsyn/A 39755-2019 tillsynsbegäran.docx", "A 39755-2019")</f>
        <v/>
      </c>
      <c r="Y232">
        <f>HYPERLINK("https://klasma.github.io/Logging_1907/tillsynsmail/A 39755-2019 tillsynsbegäran mail.docx", "A 39755-2019")</f>
        <v/>
      </c>
    </row>
    <row r="233" ht="15" customHeight="1">
      <c r="A233" t="inlineStr">
        <is>
          <t>A 47716-2019</t>
        </is>
      </c>
      <c r="B233" s="1" t="n">
        <v>43724</v>
      </c>
      <c r="C233" s="1" t="n">
        <v>45668</v>
      </c>
      <c r="D233" t="inlineStr">
        <is>
          <t>VÄSTMANLANDS LÄN</t>
        </is>
      </c>
      <c r="E233" t="inlineStr">
        <is>
          <t>SALA</t>
        </is>
      </c>
      <c r="G233" t="n">
        <v>5</v>
      </c>
      <c r="H233" t="n">
        <v>0</v>
      </c>
      <c r="I233" t="n">
        <v>0</v>
      </c>
      <c r="J233" t="n">
        <v>0</v>
      </c>
      <c r="K233" t="n">
        <v>0</v>
      </c>
      <c r="L233" t="n">
        <v>0</v>
      </c>
      <c r="M233" t="n">
        <v>1</v>
      </c>
      <c r="N233" t="n">
        <v>0</v>
      </c>
      <c r="O233" t="n">
        <v>1</v>
      </c>
      <c r="P233" t="n">
        <v>1</v>
      </c>
      <c r="Q233" t="n">
        <v>1</v>
      </c>
      <c r="R233" s="2" t="inlineStr">
        <is>
          <t>Skogsalm</t>
        </is>
      </c>
      <c r="S233">
        <f>HYPERLINK("https://klasma.github.io/Logging_1981/artfynd/A 47716-2019 artfynd.xlsx", "A 47716-2019")</f>
        <v/>
      </c>
      <c r="T233">
        <f>HYPERLINK("https://klasma.github.io/Logging_1981/kartor/A 47716-2019 karta.png", "A 47716-2019")</f>
        <v/>
      </c>
      <c r="V233">
        <f>HYPERLINK("https://klasma.github.io/Logging_1981/klagomål/A 47716-2019 FSC-klagomål.docx", "A 47716-2019")</f>
        <v/>
      </c>
      <c r="W233">
        <f>HYPERLINK("https://klasma.github.io/Logging_1981/klagomålsmail/A 47716-2019 FSC-klagomål mail.docx", "A 47716-2019")</f>
        <v/>
      </c>
      <c r="X233">
        <f>HYPERLINK("https://klasma.github.io/Logging_1981/tillsyn/A 47716-2019 tillsynsbegäran.docx", "A 47716-2019")</f>
        <v/>
      </c>
      <c r="Y233">
        <f>HYPERLINK("https://klasma.github.io/Logging_1981/tillsynsmail/A 47716-2019 tillsynsbegäran mail.docx", "A 47716-2019")</f>
        <v/>
      </c>
    </row>
    <row r="234" ht="15" customHeight="1">
      <c r="A234" t="inlineStr">
        <is>
          <t>A 50786-2019</t>
        </is>
      </c>
      <c r="B234" s="1" t="n">
        <v>43738</v>
      </c>
      <c r="C234" s="1" t="n">
        <v>45668</v>
      </c>
      <c r="D234" t="inlineStr">
        <is>
          <t>VÄSTMANLANDS LÄN</t>
        </is>
      </c>
      <c r="E234" t="inlineStr">
        <is>
          <t>ARBOGA</t>
        </is>
      </c>
      <c r="G234" t="n">
        <v>2.1</v>
      </c>
      <c r="H234" t="n">
        <v>1</v>
      </c>
      <c r="I234" t="n">
        <v>0</v>
      </c>
      <c r="J234" t="n">
        <v>0</v>
      </c>
      <c r="K234" t="n">
        <v>0</v>
      </c>
      <c r="L234" t="n">
        <v>0</v>
      </c>
      <c r="M234" t="n">
        <v>0</v>
      </c>
      <c r="N234" t="n">
        <v>0</v>
      </c>
      <c r="O234" t="n">
        <v>0</v>
      </c>
      <c r="P234" t="n">
        <v>0</v>
      </c>
      <c r="Q234" t="n">
        <v>1</v>
      </c>
      <c r="R234" s="2" t="inlineStr">
        <is>
          <t>Mindre vattensalamander</t>
        </is>
      </c>
      <c r="S234">
        <f>HYPERLINK("https://klasma.github.io/Logging_1984/artfynd/A 50786-2019 artfynd.xlsx", "A 50786-2019")</f>
        <v/>
      </c>
      <c r="T234">
        <f>HYPERLINK("https://klasma.github.io/Logging_1984/kartor/A 50786-2019 karta.png", "A 50786-2019")</f>
        <v/>
      </c>
      <c r="V234">
        <f>HYPERLINK("https://klasma.github.io/Logging_1984/klagomål/A 50786-2019 FSC-klagomål.docx", "A 50786-2019")</f>
        <v/>
      </c>
      <c r="W234">
        <f>HYPERLINK("https://klasma.github.io/Logging_1984/klagomålsmail/A 50786-2019 FSC-klagomål mail.docx", "A 50786-2019")</f>
        <v/>
      </c>
      <c r="X234">
        <f>HYPERLINK("https://klasma.github.io/Logging_1984/tillsyn/A 50786-2019 tillsynsbegäran.docx", "A 50786-2019")</f>
        <v/>
      </c>
      <c r="Y234">
        <f>HYPERLINK("https://klasma.github.io/Logging_1984/tillsynsmail/A 50786-2019 tillsynsbegäran mail.docx", "A 50786-2019")</f>
        <v/>
      </c>
    </row>
    <row r="235" ht="15" customHeight="1">
      <c r="A235" t="inlineStr">
        <is>
          <t>A 52753-2019</t>
        </is>
      </c>
      <c r="B235" s="1" t="n">
        <v>43739</v>
      </c>
      <c r="C235" s="1" t="n">
        <v>45668</v>
      </c>
      <c r="D235" t="inlineStr">
        <is>
          <t>VÄSTMANLANDS LÄN</t>
        </is>
      </c>
      <c r="E235" t="inlineStr">
        <is>
          <t>SALA</t>
        </is>
      </c>
      <c r="G235" t="n">
        <v>4.9</v>
      </c>
      <c r="H235" t="n">
        <v>1</v>
      </c>
      <c r="I235" t="n">
        <v>0</v>
      </c>
      <c r="J235" t="n">
        <v>0</v>
      </c>
      <c r="K235" t="n">
        <v>1</v>
      </c>
      <c r="L235" t="n">
        <v>0</v>
      </c>
      <c r="M235" t="n">
        <v>0</v>
      </c>
      <c r="N235" t="n">
        <v>0</v>
      </c>
      <c r="O235" t="n">
        <v>1</v>
      </c>
      <c r="P235" t="n">
        <v>1</v>
      </c>
      <c r="Q235" t="n">
        <v>1</v>
      </c>
      <c r="R235" s="2" t="inlineStr">
        <is>
          <t>Knärot</t>
        </is>
      </c>
      <c r="S235">
        <f>HYPERLINK("https://klasma.github.io/Logging_1981/artfynd/A 52753-2019 artfynd.xlsx", "A 52753-2019")</f>
        <v/>
      </c>
      <c r="T235">
        <f>HYPERLINK("https://klasma.github.io/Logging_1981/kartor/A 52753-2019 karta.png", "A 52753-2019")</f>
        <v/>
      </c>
      <c r="U235">
        <f>HYPERLINK("https://klasma.github.io/Logging_1981/knärot/A 52753-2019 karta knärot.png", "A 52753-2019")</f>
        <v/>
      </c>
      <c r="V235">
        <f>HYPERLINK("https://klasma.github.io/Logging_1981/klagomål/A 52753-2019 FSC-klagomål.docx", "A 52753-2019")</f>
        <v/>
      </c>
      <c r="W235">
        <f>HYPERLINK("https://klasma.github.io/Logging_1981/klagomålsmail/A 52753-2019 FSC-klagomål mail.docx", "A 52753-2019")</f>
        <v/>
      </c>
      <c r="X235">
        <f>HYPERLINK("https://klasma.github.io/Logging_1981/tillsyn/A 52753-2019 tillsynsbegäran.docx", "A 52753-2019")</f>
        <v/>
      </c>
      <c r="Y235">
        <f>HYPERLINK("https://klasma.github.io/Logging_1981/tillsynsmail/A 52753-2019 tillsynsbegäran mail.docx", "A 52753-2019")</f>
        <v/>
      </c>
    </row>
    <row r="236" ht="15" customHeight="1">
      <c r="A236" t="inlineStr">
        <is>
          <t>A 51400-2019</t>
        </is>
      </c>
      <c r="B236" s="1" t="n">
        <v>43740</v>
      </c>
      <c r="C236" s="1" t="n">
        <v>45668</v>
      </c>
      <c r="D236" t="inlineStr">
        <is>
          <t>VÄSTMANLANDS LÄN</t>
        </is>
      </c>
      <c r="E236" t="inlineStr">
        <is>
          <t>SKINNSKATTEBERG</t>
        </is>
      </c>
      <c r="F236" t="inlineStr">
        <is>
          <t>Sveaskog</t>
        </is>
      </c>
      <c r="G236" t="n">
        <v>2.4</v>
      </c>
      <c r="H236" t="n">
        <v>0</v>
      </c>
      <c r="I236" t="n">
        <v>0</v>
      </c>
      <c r="J236" t="n">
        <v>1</v>
      </c>
      <c r="K236" t="n">
        <v>0</v>
      </c>
      <c r="L236" t="n">
        <v>0</v>
      </c>
      <c r="M236" t="n">
        <v>0</v>
      </c>
      <c r="N236" t="n">
        <v>0</v>
      </c>
      <c r="O236" t="n">
        <v>1</v>
      </c>
      <c r="P236" t="n">
        <v>0</v>
      </c>
      <c r="Q236" t="n">
        <v>1</v>
      </c>
      <c r="R236" s="2" t="inlineStr">
        <is>
          <t>Motaggsvamp</t>
        </is>
      </c>
      <c r="S236">
        <f>HYPERLINK("https://klasma.github.io/Logging_1904/artfynd/A 51400-2019 artfynd.xlsx", "A 51400-2019")</f>
        <v/>
      </c>
      <c r="T236">
        <f>HYPERLINK("https://klasma.github.io/Logging_1904/kartor/A 51400-2019 karta.png", "A 51400-2019")</f>
        <v/>
      </c>
      <c r="V236">
        <f>HYPERLINK("https://klasma.github.io/Logging_1904/klagomål/A 51400-2019 FSC-klagomål.docx", "A 51400-2019")</f>
        <v/>
      </c>
      <c r="W236">
        <f>HYPERLINK("https://klasma.github.io/Logging_1904/klagomålsmail/A 51400-2019 FSC-klagomål mail.docx", "A 51400-2019")</f>
        <v/>
      </c>
      <c r="X236">
        <f>HYPERLINK("https://klasma.github.io/Logging_1904/tillsyn/A 51400-2019 tillsynsbegäran.docx", "A 51400-2019")</f>
        <v/>
      </c>
      <c r="Y236">
        <f>HYPERLINK("https://klasma.github.io/Logging_1904/tillsynsmail/A 51400-2019 tillsynsbegäran mail.docx", "A 51400-2019")</f>
        <v/>
      </c>
    </row>
    <row r="237" ht="15" customHeight="1">
      <c r="A237" t="inlineStr">
        <is>
          <t>A 58427-2019</t>
        </is>
      </c>
      <c r="B237" s="1" t="n">
        <v>43773</v>
      </c>
      <c r="C237" s="1" t="n">
        <v>45668</v>
      </c>
      <c r="D237" t="inlineStr">
        <is>
          <t>VÄSTMANLANDS LÄN</t>
        </is>
      </c>
      <c r="E237" t="inlineStr">
        <is>
          <t>VÄSTERÅS</t>
        </is>
      </c>
      <c r="F237" t="inlineStr">
        <is>
          <t>Kommuner</t>
        </is>
      </c>
      <c r="G237" t="n">
        <v>2.6</v>
      </c>
      <c r="H237" t="n">
        <v>1</v>
      </c>
      <c r="I237" t="n">
        <v>0</v>
      </c>
      <c r="J237" t="n">
        <v>0</v>
      </c>
      <c r="K237" t="n">
        <v>1</v>
      </c>
      <c r="L237" t="n">
        <v>0</v>
      </c>
      <c r="M237" t="n">
        <v>0</v>
      </c>
      <c r="N237" t="n">
        <v>0</v>
      </c>
      <c r="O237" t="n">
        <v>1</v>
      </c>
      <c r="P237" t="n">
        <v>1</v>
      </c>
      <c r="Q237" t="n">
        <v>1</v>
      </c>
      <c r="R237" s="2" t="inlineStr">
        <is>
          <t>Bombmurkla</t>
        </is>
      </c>
      <c r="S237">
        <f>HYPERLINK("https://klasma.github.io/Logging_1980/artfynd/A 58427-2019 artfynd.xlsx", "A 58427-2019")</f>
        <v/>
      </c>
      <c r="T237">
        <f>HYPERLINK("https://klasma.github.io/Logging_1980/kartor/A 58427-2019 karta.png", "A 58427-2019")</f>
        <v/>
      </c>
      <c r="V237">
        <f>HYPERLINK("https://klasma.github.io/Logging_1980/klagomål/A 58427-2019 FSC-klagomål.docx", "A 58427-2019")</f>
        <v/>
      </c>
      <c r="W237">
        <f>HYPERLINK("https://klasma.github.io/Logging_1980/klagomålsmail/A 58427-2019 FSC-klagomål mail.docx", "A 58427-2019")</f>
        <v/>
      </c>
      <c r="X237">
        <f>HYPERLINK("https://klasma.github.io/Logging_1980/tillsyn/A 58427-2019 tillsynsbegäran.docx", "A 58427-2019")</f>
        <v/>
      </c>
      <c r="Y237">
        <f>HYPERLINK("https://klasma.github.io/Logging_1980/tillsynsmail/A 58427-2019 tillsynsbegäran mail.docx", "A 58427-2019")</f>
        <v/>
      </c>
    </row>
    <row r="238" ht="15" customHeight="1">
      <c r="A238" t="inlineStr">
        <is>
          <t>A 59891-2019</t>
        </is>
      </c>
      <c r="B238" s="1" t="n">
        <v>43774</v>
      </c>
      <c r="C238" s="1" t="n">
        <v>45668</v>
      </c>
      <c r="D238" t="inlineStr">
        <is>
          <t>VÄSTMANLANDS LÄN</t>
        </is>
      </c>
      <c r="E238" t="inlineStr">
        <is>
          <t>NORBERG</t>
        </is>
      </c>
      <c r="G238" t="n">
        <v>2.6</v>
      </c>
      <c r="H238" t="n">
        <v>0</v>
      </c>
      <c r="I238" t="n">
        <v>1</v>
      </c>
      <c r="J238" t="n">
        <v>0</v>
      </c>
      <c r="K238" t="n">
        <v>0</v>
      </c>
      <c r="L238" t="n">
        <v>0</v>
      </c>
      <c r="M238" t="n">
        <v>0</v>
      </c>
      <c r="N238" t="n">
        <v>0</v>
      </c>
      <c r="O238" t="n">
        <v>0</v>
      </c>
      <c r="P238" t="n">
        <v>0</v>
      </c>
      <c r="Q238" t="n">
        <v>1</v>
      </c>
      <c r="R238" s="2" t="inlineStr">
        <is>
          <t>Bollvitmossa</t>
        </is>
      </c>
      <c r="S238">
        <f>HYPERLINK("https://klasma.github.io/Logging_1962/artfynd/A 59891-2019 artfynd.xlsx", "A 59891-2019")</f>
        <v/>
      </c>
      <c r="T238">
        <f>HYPERLINK("https://klasma.github.io/Logging_1962/kartor/A 59891-2019 karta.png", "A 59891-2019")</f>
        <v/>
      </c>
      <c r="V238">
        <f>HYPERLINK("https://klasma.github.io/Logging_1962/klagomål/A 59891-2019 FSC-klagomål.docx", "A 59891-2019")</f>
        <v/>
      </c>
      <c r="W238">
        <f>HYPERLINK("https://klasma.github.io/Logging_1962/klagomålsmail/A 59891-2019 FSC-klagomål mail.docx", "A 59891-2019")</f>
        <v/>
      </c>
      <c r="X238">
        <f>HYPERLINK("https://klasma.github.io/Logging_1962/tillsyn/A 59891-2019 tillsynsbegäran.docx", "A 59891-2019")</f>
        <v/>
      </c>
      <c r="Y238">
        <f>HYPERLINK("https://klasma.github.io/Logging_1962/tillsynsmail/A 59891-2019 tillsynsbegäran mail.docx", "A 59891-2019")</f>
        <v/>
      </c>
    </row>
    <row r="239" ht="15" customHeight="1">
      <c r="A239" t="inlineStr">
        <is>
          <t>A 59346-2019</t>
        </is>
      </c>
      <c r="B239" s="1" t="n">
        <v>43775</v>
      </c>
      <c r="C239" s="1" t="n">
        <v>45668</v>
      </c>
      <c r="D239" t="inlineStr">
        <is>
          <t>VÄSTMANLANDS LÄN</t>
        </is>
      </c>
      <c r="E239" t="inlineStr">
        <is>
          <t>SKINNSKATTEBERG</t>
        </is>
      </c>
      <c r="F239" t="inlineStr">
        <is>
          <t>Sveaskog</t>
        </is>
      </c>
      <c r="G239" t="n">
        <v>5</v>
      </c>
      <c r="H239" t="n">
        <v>0</v>
      </c>
      <c r="I239" t="n">
        <v>0</v>
      </c>
      <c r="J239" t="n">
        <v>1</v>
      </c>
      <c r="K239" t="n">
        <v>0</v>
      </c>
      <c r="L239" t="n">
        <v>0</v>
      </c>
      <c r="M239" t="n">
        <v>0</v>
      </c>
      <c r="N239" t="n">
        <v>0</v>
      </c>
      <c r="O239" t="n">
        <v>1</v>
      </c>
      <c r="P239" t="n">
        <v>0</v>
      </c>
      <c r="Q239" t="n">
        <v>1</v>
      </c>
      <c r="R239" s="2" t="inlineStr">
        <is>
          <t>Bandad skulderbock</t>
        </is>
      </c>
      <c r="S239">
        <f>HYPERLINK("https://klasma.github.io/Logging_1904/artfynd/A 59346-2019 artfynd.xlsx", "A 59346-2019")</f>
        <v/>
      </c>
      <c r="T239">
        <f>HYPERLINK("https://klasma.github.io/Logging_1904/kartor/A 59346-2019 karta.png", "A 59346-2019")</f>
        <v/>
      </c>
      <c r="V239">
        <f>HYPERLINK("https://klasma.github.io/Logging_1904/klagomål/A 59346-2019 FSC-klagomål.docx", "A 59346-2019")</f>
        <v/>
      </c>
      <c r="W239">
        <f>HYPERLINK("https://klasma.github.io/Logging_1904/klagomålsmail/A 59346-2019 FSC-klagomål mail.docx", "A 59346-2019")</f>
        <v/>
      </c>
      <c r="X239">
        <f>HYPERLINK("https://klasma.github.io/Logging_1904/tillsyn/A 59346-2019 tillsynsbegäran.docx", "A 59346-2019")</f>
        <v/>
      </c>
      <c r="Y239">
        <f>HYPERLINK("https://klasma.github.io/Logging_1904/tillsynsmail/A 59346-2019 tillsynsbegäran mail.docx", "A 59346-2019")</f>
        <v/>
      </c>
    </row>
    <row r="240" ht="15" customHeight="1">
      <c r="A240" t="inlineStr">
        <is>
          <t>A 2708-2020</t>
        </is>
      </c>
      <c r="B240" s="1" t="n">
        <v>43850</v>
      </c>
      <c r="C240" s="1" t="n">
        <v>45668</v>
      </c>
      <c r="D240" t="inlineStr">
        <is>
          <t>VÄSTMANLANDS LÄN</t>
        </is>
      </c>
      <c r="E240" t="inlineStr">
        <is>
          <t>SURAHAMMAR</t>
        </is>
      </c>
      <c r="F240" t="inlineStr">
        <is>
          <t>Övriga Aktiebolag</t>
        </is>
      </c>
      <c r="G240" t="n">
        <v>29.7</v>
      </c>
      <c r="H240" t="n">
        <v>0</v>
      </c>
      <c r="I240" t="n">
        <v>0</v>
      </c>
      <c r="J240" t="n">
        <v>1</v>
      </c>
      <c r="K240" t="n">
        <v>0</v>
      </c>
      <c r="L240" t="n">
        <v>0</v>
      </c>
      <c r="M240" t="n">
        <v>0</v>
      </c>
      <c r="N240" t="n">
        <v>0</v>
      </c>
      <c r="O240" t="n">
        <v>1</v>
      </c>
      <c r="P240" t="n">
        <v>0</v>
      </c>
      <c r="Q240" t="n">
        <v>1</v>
      </c>
      <c r="R240" s="2" t="inlineStr">
        <is>
          <t>Ullticka</t>
        </is>
      </c>
      <c r="S240">
        <f>HYPERLINK("https://klasma.github.io/Logging_1907/artfynd/A 2708-2020 artfynd.xlsx", "A 2708-2020")</f>
        <v/>
      </c>
      <c r="T240">
        <f>HYPERLINK("https://klasma.github.io/Logging_1907/kartor/A 2708-2020 karta.png", "A 2708-2020")</f>
        <v/>
      </c>
      <c r="V240">
        <f>HYPERLINK("https://klasma.github.io/Logging_1907/klagomål/A 2708-2020 FSC-klagomål.docx", "A 2708-2020")</f>
        <v/>
      </c>
      <c r="W240">
        <f>HYPERLINK("https://klasma.github.io/Logging_1907/klagomålsmail/A 2708-2020 FSC-klagomål mail.docx", "A 2708-2020")</f>
        <v/>
      </c>
      <c r="X240">
        <f>HYPERLINK("https://klasma.github.io/Logging_1907/tillsyn/A 2708-2020 tillsynsbegäran.docx", "A 2708-2020")</f>
        <v/>
      </c>
      <c r="Y240">
        <f>HYPERLINK("https://klasma.github.io/Logging_1907/tillsynsmail/A 2708-2020 tillsynsbegäran mail.docx", "A 2708-2020")</f>
        <v/>
      </c>
    </row>
    <row r="241" ht="15" customHeight="1">
      <c r="A241" t="inlineStr">
        <is>
          <t>A 6514-2020</t>
        </is>
      </c>
      <c r="B241" s="1" t="n">
        <v>43867</v>
      </c>
      <c r="C241" s="1" t="n">
        <v>45668</v>
      </c>
      <c r="D241" t="inlineStr">
        <is>
          <t>VÄSTMANLANDS LÄN</t>
        </is>
      </c>
      <c r="E241" t="inlineStr">
        <is>
          <t>SURAHAMMAR</t>
        </is>
      </c>
      <c r="G241" t="n">
        <v>2.2</v>
      </c>
      <c r="H241" t="n">
        <v>1</v>
      </c>
      <c r="I241" t="n">
        <v>0</v>
      </c>
      <c r="J241" t="n">
        <v>0</v>
      </c>
      <c r="K241" t="n">
        <v>1</v>
      </c>
      <c r="L241" t="n">
        <v>0</v>
      </c>
      <c r="M241" t="n">
        <v>0</v>
      </c>
      <c r="N241" t="n">
        <v>0</v>
      </c>
      <c r="O241" t="n">
        <v>1</v>
      </c>
      <c r="P241" t="n">
        <v>1</v>
      </c>
      <c r="Q241" t="n">
        <v>1</v>
      </c>
      <c r="R241" s="2" t="inlineStr">
        <is>
          <t>Bombmurkla</t>
        </is>
      </c>
      <c r="S241">
        <f>HYPERLINK("https://klasma.github.io/Logging_1907/artfynd/A 6514-2020 artfynd.xlsx", "A 6514-2020")</f>
        <v/>
      </c>
      <c r="T241">
        <f>HYPERLINK("https://klasma.github.io/Logging_1907/kartor/A 6514-2020 karta.png", "A 6514-2020")</f>
        <v/>
      </c>
      <c r="V241">
        <f>HYPERLINK("https://klasma.github.io/Logging_1907/klagomål/A 6514-2020 FSC-klagomål.docx", "A 6514-2020")</f>
        <v/>
      </c>
      <c r="W241">
        <f>HYPERLINK("https://klasma.github.io/Logging_1907/klagomålsmail/A 6514-2020 FSC-klagomål mail.docx", "A 6514-2020")</f>
        <v/>
      </c>
      <c r="X241">
        <f>HYPERLINK("https://klasma.github.io/Logging_1907/tillsyn/A 6514-2020 tillsynsbegäran.docx", "A 6514-2020")</f>
        <v/>
      </c>
      <c r="Y241">
        <f>HYPERLINK("https://klasma.github.io/Logging_1907/tillsynsmail/A 6514-2020 tillsynsbegäran mail.docx", "A 6514-2020")</f>
        <v/>
      </c>
    </row>
    <row r="242" ht="15" customHeight="1">
      <c r="A242" t="inlineStr">
        <is>
          <t>A 8432-2020</t>
        </is>
      </c>
      <c r="B242" s="1" t="n">
        <v>43875</v>
      </c>
      <c r="C242" s="1" t="n">
        <v>45668</v>
      </c>
      <c r="D242" t="inlineStr">
        <is>
          <t>VÄSTMANLANDS LÄN</t>
        </is>
      </c>
      <c r="E242" t="inlineStr">
        <is>
          <t>SALA</t>
        </is>
      </c>
      <c r="G242" t="n">
        <v>2</v>
      </c>
      <c r="H242" t="n">
        <v>1</v>
      </c>
      <c r="I242" t="n">
        <v>0</v>
      </c>
      <c r="J242" t="n">
        <v>0</v>
      </c>
      <c r="K242" t="n">
        <v>1</v>
      </c>
      <c r="L242" t="n">
        <v>0</v>
      </c>
      <c r="M242" t="n">
        <v>0</v>
      </c>
      <c r="N242" t="n">
        <v>0</v>
      </c>
      <c r="O242" t="n">
        <v>1</v>
      </c>
      <c r="P242" t="n">
        <v>1</v>
      </c>
      <c r="Q242" t="n">
        <v>1</v>
      </c>
      <c r="R242" s="2" t="inlineStr">
        <is>
          <t>Bombmurkla</t>
        </is>
      </c>
      <c r="S242">
        <f>HYPERLINK("https://klasma.github.io/Logging_1981/artfynd/A 8432-2020 artfynd.xlsx", "A 8432-2020")</f>
        <v/>
      </c>
      <c r="T242">
        <f>HYPERLINK("https://klasma.github.io/Logging_1981/kartor/A 8432-2020 karta.png", "A 8432-2020")</f>
        <v/>
      </c>
      <c r="V242">
        <f>HYPERLINK("https://klasma.github.io/Logging_1981/klagomål/A 8432-2020 FSC-klagomål.docx", "A 8432-2020")</f>
        <v/>
      </c>
      <c r="W242">
        <f>HYPERLINK("https://klasma.github.io/Logging_1981/klagomålsmail/A 8432-2020 FSC-klagomål mail.docx", "A 8432-2020")</f>
        <v/>
      </c>
      <c r="X242">
        <f>HYPERLINK("https://klasma.github.io/Logging_1981/tillsyn/A 8432-2020 tillsynsbegäran.docx", "A 8432-2020")</f>
        <v/>
      </c>
      <c r="Y242">
        <f>HYPERLINK("https://klasma.github.io/Logging_1981/tillsynsmail/A 8432-2020 tillsynsbegäran mail.docx", "A 8432-2020")</f>
        <v/>
      </c>
    </row>
    <row r="243" ht="15" customHeight="1">
      <c r="A243" t="inlineStr">
        <is>
          <t>A 12592-2020</t>
        </is>
      </c>
      <c r="B243" s="1" t="n">
        <v>43899</v>
      </c>
      <c r="C243" s="1" t="n">
        <v>45668</v>
      </c>
      <c r="D243" t="inlineStr">
        <is>
          <t>VÄSTMANLANDS LÄN</t>
        </is>
      </c>
      <c r="E243" t="inlineStr">
        <is>
          <t>SKINNSKATTEBERG</t>
        </is>
      </c>
      <c r="F243" t="inlineStr">
        <is>
          <t>Sveaskog</t>
        </is>
      </c>
      <c r="G243" t="n">
        <v>6.5</v>
      </c>
      <c r="H243" t="n">
        <v>1</v>
      </c>
      <c r="I243" t="n">
        <v>0</v>
      </c>
      <c r="J243" t="n">
        <v>0</v>
      </c>
      <c r="K243" t="n">
        <v>0</v>
      </c>
      <c r="L243" t="n">
        <v>0</v>
      </c>
      <c r="M243" t="n">
        <v>0</v>
      </c>
      <c r="N243" t="n">
        <v>0</v>
      </c>
      <c r="O243" t="n">
        <v>0</v>
      </c>
      <c r="P243" t="n">
        <v>0</v>
      </c>
      <c r="Q243" t="n">
        <v>1</v>
      </c>
      <c r="R243" s="2" t="inlineStr">
        <is>
          <t>Fläcknycklar</t>
        </is>
      </c>
      <c r="S243">
        <f>HYPERLINK("https://klasma.github.io/Logging_1904/artfynd/A 12592-2020 artfynd.xlsx", "A 12592-2020")</f>
        <v/>
      </c>
      <c r="T243">
        <f>HYPERLINK("https://klasma.github.io/Logging_1904/kartor/A 12592-2020 karta.png", "A 12592-2020")</f>
        <v/>
      </c>
      <c r="V243">
        <f>HYPERLINK("https://klasma.github.io/Logging_1904/klagomål/A 12592-2020 FSC-klagomål.docx", "A 12592-2020")</f>
        <v/>
      </c>
      <c r="W243">
        <f>HYPERLINK("https://klasma.github.io/Logging_1904/klagomålsmail/A 12592-2020 FSC-klagomål mail.docx", "A 12592-2020")</f>
        <v/>
      </c>
      <c r="X243">
        <f>HYPERLINK("https://klasma.github.io/Logging_1904/tillsyn/A 12592-2020 tillsynsbegäran.docx", "A 12592-2020")</f>
        <v/>
      </c>
      <c r="Y243">
        <f>HYPERLINK("https://klasma.github.io/Logging_1904/tillsynsmail/A 12592-2020 tillsynsbegäran mail.docx", "A 12592-2020")</f>
        <v/>
      </c>
    </row>
    <row r="244" ht="15" customHeight="1">
      <c r="A244" t="inlineStr">
        <is>
          <t>A 13671-2020</t>
        </is>
      </c>
      <c r="B244" s="1" t="n">
        <v>43903</v>
      </c>
      <c r="C244" s="1" t="n">
        <v>45668</v>
      </c>
      <c r="D244" t="inlineStr">
        <is>
          <t>VÄSTMANLANDS LÄN</t>
        </is>
      </c>
      <c r="E244" t="inlineStr">
        <is>
          <t>SALA</t>
        </is>
      </c>
      <c r="G244" t="n">
        <v>2.5</v>
      </c>
      <c r="H244" t="n">
        <v>1</v>
      </c>
      <c r="I244" t="n">
        <v>0</v>
      </c>
      <c r="J244" t="n">
        <v>0</v>
      </c>
      <c r="K244" t="n">
        <v>0</v>
      </c>
      <c r="L244" t="n">
        <v>0</v>
      </c>
      <c r="M244" t="n">
        <v>0</v>
      </c>
      <c r="N244" t="n">
        <v>0</v>
      </c>
      <c r="O244" t="n">
        <v>0</v>
      </c>
      <c r="P244" t="n">
        <v>0</v>
      </c>
      <c r="Q244" t="n">
        <v>1</v>
      </c>
      <c r="R244" s="2" t="inlineStr">
        <is>
          <t>Revlummer</t>
        </is>
      </c>
      <c r="S244">
        <f>HYPERLINK("https://klasma.github.io/Logging_1981/artfynd/A 13671-2020 artfynd.xlsx", "A 13671-2020")</f>
        <v/>
      </c>
      <c r="T244">
        <f>HYPERLINK("https://klasma.github.io/Logging_1981/kartor/A 13671-2020 karta.png", "A 13671-2020")</f>
        <v/>
      </c>
      <c r="V244">
        <f>HYPERLINK("https://klasma.github.io/Logging_1981/klagomål/A 13671-2020 FSC-klagomål.docx", "A 13671-2020")</f>
        <v/>
      </c>
      <c r="W244">
        <f>HYPERLINK("https://klasma.github.io/Logging_1981/klagomålsmail/A 13671-2020 FSC-klagomål mail.docx", "A 13671-2020")</f>
        <v/>
      </c>
      <c r="X244">
        <f>HYPERLINK("https://klasma.github.io/Logging_1981/tillsyn/A 13671-2020 tillsynsbegäran.docx", "A 13671-2020")</f>
        <v/>
      </c>
      <c r="Y244">
        <f>HYPERLINK("https://klasma.github.io/Logging_1981/tillsynsmail/A 13671-2020 tillsynsbegäran mail.docx", "A 13671-2020")</f>
        <v/>
      </c>
    </row>
    <row r="245" ht="15" customHeight="1">
      <c r="A245" t="inlineStr">
        <is>
          <t>A 21817-2020</t>
        </is>
      </c>
      <c r="B245" s="1" t="n">
        <v>43958</v>
      </c>
      <c r="C245" s="1" t="n">
        <v>45668</v>
      </c>
      <c r="D245" t="inlineStr">
        <is>
          <t>VÄSTMANLANDS LÄN</t>
        </is>
      </c>
      <c r="E245" t="inlineStr">
        <is>
          <t>VÄSTERÅS</t>
        </is>
      </c>
      <c r="F245" t="inlineStr">
        <is>
          <t>Kyrkan</t>
        </is>
      </c>
      <c r="G245" t="n">
        <v>9.5</v>
      </c>
      <c r="H245" t="n">
        <v>0</v>
      </c>
      <c r="I245" t="n">
        <v>1</v>
      </c>
      <c r="J245" t="n">
        <v>0</v>
      </c>
      <c r="K245" t="n">
        <v>0</v>
      </c>
      <c r="L245" t="n">
        <v>0</v>
      </c>
      <c r="M245" t="n">
        <v>0</v>
      </c>
      <c r="N245" t="n">
        <v>0</v>
      </c>
      <c r="O245" t="n">
        <v>0</v>
      </c>
      <c r="P245" t="n">
        <v>0</v>
      </c>
      <c r="Q245" t="n">
        <v>1</v>
      </c>
      <c r="R245" s="2" t="inlineStr">
        <is>
          <t>Trubbfjädermossa</t>
        </is>
      </c>
      <c r="S245">
        <f>HYPERLINK("https://klasma.github.io/Logging_1980/artfynd/A 21817-2020 artfynd.xlsx", "A 21817-2020")</f>
        <v/>
      </c>
      <c r="T245">
        <f>HYPERLINK("https://klasma.github.io/Logging_1980/kartor/A 21817-2020 karta.png", "A 21817-2020")</f>
        <v/>
      </c>
      <c r="V245">
        <f>HYPERLINK("https://klasma.github.io/Logging_1980/klagomål/A 21817-2020 FSC-klagomål.docx", "A 21817-2020")</f>
        <v/>
      </c>
      <c r="W245">
        <f>HYPERLINK("https://klasma.github.io/Logging_1980/klagomålsmail/A 21817-2020 FSC-klagomål mail.docx", "A 21817-2020")</f>
        <v/>
      </c>
      <c r="X245">
        <f>HYPERLINK("https://klasma.github.io/Logging_1980/tillsyn/A 21817-2020 tillsynsbegäran.docx", "A 21817-2020")</f>
        <v/>
      </c>
      <c r="Y245">
        <f>HYPERLINK("https://klasma.github.io/Logging_1980/tillsynsmail/A 21817-2020 tillsynsbegäran mail.docx", "A 21817-2020")</f>
        <v/>
      </c>
    </row>
    <row r="246" ht="15" customHeight="1">
      <c r="A246" t="inlineStr">
        <is>
          <t>A 32604-2020</t>
        </is>
      </c>
      <c r="B246" s="1" t="n">
        <v>44019</v>
      </c>
      <c r="C246" s="1" t="n">
        <v>45668</v>
      </c>
      <c r="D246" t="inlineStr">
        <is>
          <t>VÄSTMANLANDS LÄN</t>
        </is>
      </c>
      <c r="E246" t="inlineStr">
        <is>
          <t>KÖPING</t>
        </is>
      </c>
      <c r="F246" t="inlineStr">
        <is>
          <t>Sveaskog</t>
        </is>
      </c>
      <c r="G246" t="n">
        <v>5.5</v>
      </c>
      <c r="H246" t="n">
        <v>0</v>
      </c>
      <c r="I246" t="n">
        <v>0</v>
      </c>
      <c r="J246" t="n">
        <v>1</v>
      </c>
      <c r="K246" t="n">
        <v>0</v>
      </c>
      <c r="L246" t="n">
        <v>0</v>
      </c>
      <c r="M246" t="n">
        <v>0</v>
      </c>
      <c r="N246" t="n">
        <v>0</v>
      </c>
      <c r="O246" t="n">
        <v>1</v>
      </c>
      <c r="P246" t="n">
        <v>0</v>
      </c>
      <c r="Q246" t="n">
        <v>1</v>
      </c>
      <c r="R246" s="2" t="inlineStr">
        <is>
          <t>Motaggsvamp</t>
        </is>
      </c>
      <c r="S246">
        <f>HYPERLINK("https://klasma.github.io/Logging_1983/artfynd/A 32604-2020 artfynd.xlsx", "A 32604-2020")</f>
        <v/>
      </c>
      <c r="T246">
        <f>HYPERLINK("https://klasma.github.io/Logging_1983/kartor/A 32604-2020 karta.png", "A 32604-2020")</f>
        <v/>
      </c>
      <c r="V246">
        <f>HYPERLINK("https://klasma.github.io/Logging_1983/klagomål/A 32604-2020 FSC-klagomål.docx", "A 32604-2020")</f>
        <v/>
      </c>
      <c r="W246">
        <f>HYPERLINK("https://klasma.github.io/Logging_1983/klagomålsmail/A 32604-2020 FSC-klagomål mail.docx", "A 32604-2020")</f>
        <v/>
      </c>
      <c r="X246">
        <f>HYPERLINK("https://klasma.github.io/Logging_1983/tillsyn/A 32604-2020 tillsynsbegäran.docx", "A 32604-2020")</f>
        <v/>
      </c>
      <c r="Y246">
        <f>HYPERLINK("https://klasma.github.io/Logging_1983/tillsynsmail/A 32604-2020 tillsynsbegäran mail.docx", "A 32604-2020")</f>
        <v/>
      </c>
    </row>
    <row r="247" ht="15" customHeight="1">
      <c r="A247" t="inlineStr">
        <is>
          <t>A 33393-2020</t>
        </is>
      </c>
      <c r="B247" s="1" t="n">
        <v>44022</v>
      </c>
      <c r="C247" s="1" t="n">
        <v>45668</v>
      </c>
      <c r="D247" t="inlineStr">
        <is>
          <t>VÄSTMANLANDS LÄN</t>
        </is>
      </c>
      <c r="E247" t="inlineStr">
        <is>
          <t>SKINNSKATTEBERG</t>
        </is>
      </c>
      <c r="F247" t="inlineStr">
        <is>
          <t>Sveaskog</t>
        </is>
      </c>
      <c r="G247" t="n">
        <v>2.7</v>
      </c>
      <c r="H247" t="n">
        <v>0</v>
      </c>
      <c r="I247" t="n">
        <v>1</v>
      </c>
      <c r="J247" t="n">
        <v>0</v>
      </c>
      <c r="K247" t="n">
        <v>0</v>
      </c>
      <c r="L247" t="n">
        <v>0</v>
      </c>
      <c r="M247" t="n">
        <v>0</v>
      </c>
      <c r="N247" t="n">
        <v>0</v>
      </c>
      <c r="O247" t="n">
        <v>0</v>
      </c>
      <c r="P247" t="n">
        <v>0</v>
      </c>
      <c r="Q247" t="n">
        <v>1</v>
      </c>
      <c r="R247" s="2" t="inlineStr">
        <is>
          <t>Svart trolldruva</t>
        </is>
      </c>
      <c r="S247">
        <f>HYPERLINK("https://klasma.github.io/Logging_1904/artfynd/A 33393-2020 artfynd.xlsx", "A 33393-2020")</f>
        <v/>
      </c>
      <c r="T247">
        <f>HYPERLINK("https://klasma.github.io/Logging_1904/kartor/A 33393-2020 karta.png", "A 33393-2020")</f>
        <v/>
      </c>
      <c r="V247">
        <f>HYPERLINK("https://klasma.github.io/Logging_1904/klagomål/A 33393-2020 FSC-klagomål.docx", "A 33393-2020")</f>
        <v/>
      </c>
      <c r="W247">
        <f>HYPERLINK("https://klasma.github.io/Logging_1904/klagomålsmail/A 33393-2020 FSC-klagomål mail.docx", "A 33393-2020")</f>
        <v/>
      </c>
      <c r="X247">
        <f>HYPERLINK("https://klasma.github.io/Logging_1904/tillsyn/A 33393-2020 tillsynsbegäran.docx", "A 33393-2020")</f>
        <v/>
      </c>
      <c r="Y247">
        <f>HYPERLINK("https://klasma.github.io/Logging_1904/tillsynsmail/A 33393-2020 tillsynsbegäran mail.docx", "A 33393-2020")</f>
        <v/>
      </c>
    </row>
    <row r="248" ht="15" customHeight="1">
      <c r="A248" t="inlineStr">
        <is>
          <t>A 34062-2020</t>
        </is>
      </c>
      <c r="B248" s="1" t="n">
        <v>44028</v>
      </c>
      <c r="C248" s="1" t="n">
        <v>45668</v>
      </c>
      <c r="D248" t="inlineStr">
        <is>
          <t>VÄSTMANLANDS LÄN</t>
        </is>
      </c>
      <c r="E248" t="inlineStr">
        <is>
          <t>KÖPING</t>
        </is>
      </c>
      <c r="F248" t="inlineStr">
        <is>
          <t>Sveaskog</t>
        </is>
      </c>
      <c r="G248" t="n">
        <v>2.8</v>
      </c>
      <c r="H248" t="n">
        <v>0</v>
      </c>
      <c r="I248" t="n">
        <v>0</v>
      </c>
      <c r="J248" t="n">
        <v>1</v>
      </c>
      <c r="K248" t="n">
        <v>0</v>
      </c>
      <c r="L248" t="n">
        <v>0</v>
      </c>
      <c r="M248" t="n">
        <v>0</v>
      </c>
      <c r="N248" t="n">
        <v>0</v>
      </c>
      <c r="O248" t="n">
        <v>1</v>
      </c>
      <c r="P248" t="n">
        <v>0</v>
      </c>
      <c r="Q248" t="n">
        <v>1</v>
      </c>
      <c r="R248" s="2" t="inlineStr">
        <is>
          <t>Ullticka</t>
        </is>
      </c>
      <c r="S248">
        <f>HYPERLINK("https://klasma.github.io/Logging_1983/artfynd/A 34062-2020 artfynd.xlsx", "A 34062-2020")</f>
        <v/>
      </c>
      <c r="T248">
        <f>HYPERLINK("https://klasma.github.io/Logging_1983/kartor/A 34062-2020 karta.png", "A 34062-2020")</f>
        <v/>
      </c>
      <c r="V248">
        <f>HYPERLINK("https://klasma.github.io/Logging_1983/klagomål/A 34062-2020 FSC-klagomål.docx", "A 34062-2020")</f>
        <v/>
      </c>
      <c r="W248">
        <f>HYPERLINK("https://klasma.github.io/Logging_1983/klagomålsmail/A 34062-2020 FSC-klagomål mail.docx", "A 34062-2020")</f>
        <v/>
      </c>
      <c r="X248">
        <f>HYPERLINK("https://klasma.github.io/Logging_1983/tillsyn/A 34062-2020 tillsynsbegäran.docx", "A 34062-2020")</f>
        <v/>
      </c>
      <c r="Y248">
        <f>HYPERLINK("https://klasma.github.io/Logging_1983/tillsynsmail/A 34062-2020 tillsynsbegäran mail.docx", "A 34062-2020")</f>
        <v/>
      </c>
    </row>
    <row r="249" ht="15" customHeight="1">
      <c r="A249" t="inlineStr">
        <is>
          <t>A 34064-2020</t>
        </is>
      </c>
      <c r="B249" s="1" t="n">
        <v>44028</v>
      </c>
      <c r="C249" s="1" t="n">
        <v>45668</v>
      </c>
      <c r="D249" t="inlineStr">
        <is>
          <t>VÄSTMANLANDS LÄN</t>
        </is>
      </c>
      <c r="E249" t="inlineStr">
        <is>
          <t>KÖPING</t>
        </is>
      </c>
      <c r="F249" t="inlineStr">
        <is>
          <t>Sveaskog</t>
        </is>
      </c>
      <c r="G249" t="n">
        <v>3</v>
      </c>
      <c r="H249" t="n">
        <v>0</v>
      </c>
      <c r="I249" t="n">
        <v>1</v>
      </c>
      <c r="J249" t="n">
        <v>0</v>
      </c>
      <c r="K249" t="n">
        <v>0</v>
      </c>
      <c r="L249" t="n">
        <v>0</v>
      </c>
      <c r="M249" t="n">
        <v>0</v>
      </c>
      <c r="N249" t="n">
        <v>0</v>
      </c>
      <c r="O249" t="n">
        <v>0</v>
      </c>
      <c r="P249" t="n">
        <v>0</v>
      </c>
      <c r="Q249" t="n">
        <v>1</v>
      </c>
      <c r="R249" s="2" t="inlineStr">
        <is>
          <t>Bollvitmossa</t>
        </is>
      </c>
      <c r="S249">
        <f>HYPERLINK("https://klasma.github.io/Logging_1983/artfynd/A 34064-2020 artfynd.xlsx", "A 34064-2020")</f>
        <v/>
      </c>
      <c r="T249">
        <f>HYPERLINK("https://klasma.github.io/Logging_1983/kartor/A 34064-2020 karta.png", "A 34064-2020")</f>
        <v/>
      </c>
      <c r="V249">
        <f>HYPERLINK("https://klasma.github.io/Logging_1983/klagomål/A 34064-2020 FSC-klagomål.docx", "A 34064-2020")</f>
        <v/>
      </c>
      <c r="W249">
        <f>HYPERLINK("https://klasma.github.io/Logging_1983/klagomålsmail/A 34064-2020 FSC-klagomål mail.docx", "A 34064-2020")</f>
        <v/>
      </c>
      <c r="X249">
        <f>HYPERLINK("https://klasma.github.io/Logging_1983/tillsyn/A 34064-2020 tillsynsbegäran.docx", "A 34064-2020")</f>
        <v/>
      </c>
      <c r="Y249">
        <f>HYPERLINK("https://klasma.github.io/Logging_1983/tillsynsmail/A 34064-2020 tillsynsbegäran mail.docx", "A 34064-2020")</f>
        <v/>
      </c>
    </row>
    <row r="250" ht="15" customHeight="1">
      <c r="A250" t="inlineStr">
        <is>
          <t>A 35708-2020</t>
        </is>
      </c>
      <c r="B250" s="1" t="n">
        <v>44032</v>
      </c>
      <c r="C250" s="1" t="n">
        <v>45668</v>
      </c>
      <c r="D250" t="inlineStr">
        <is>
          <t>VÄSTMANLANDS LÄN</t>
        </is>
      </c>
      <c r="E250" t="inlineStr">
        <is>
          <t>VÄSTERÅS</t>
        </is>
      </c>
      <c r="G250" t="n">
        <v>2.2</v>
      </c>
      <c r="H250" t="n">
        <v>0</v>
      </c>
      <c r="I250" t="n">
        <v>0</v>
      </c>
      <c r="J250" t="n">
        <v>1</v>
      </c>
      <c r="K250" t="n">
        <v>0</v>
      </c>
      <c r="L250" t="n">
        <v>0</v>
      </c>
      <c r="M250" t="n">
        <v>0</v>
      </c>
      <c r="N250" t="n">
        <v>0</v>
      </c>
      <c r="O250" t="n">
        <v>1</v>
      </c>
      <c r="P250" t="n">
        <v>0</v>
      </c>
      <c r="Q250" t="n">
        <v>1</v>
      </c>
      <c r="R250" s="2" t="inlineStr">
        <is>
          <t>Garnlav</t>
        </is>
      </c>
      <c r="S250">
        <f>HYPERLINK("https://klasma.github.io/Logging_1980/artfynd/A 35708-2020 artfynd.xlsx", "A 35708-2020")</f>
        <v/>
      </c>
      <c r="T250">
        <f>HYPERLINK("https://klasma.github.io/Logging_1980/kartor/A 35708-2020 karta.png", "A 35708-2020")</f>
        <v/>
      </c>
      <c r="V250">
        <f>HYPERLINK("https://klasma.github.io/Logging_1980/klagomål/A 35708-2020 FSC-klagomål.docx", "A 35708-2020")</f>
        <v/>
      </c>
      <c r="W250">
        <f>HYPERLINK("https://klasma.github.io/Logging_1980/klagomålsmail/A 35708-2020 FSC-klagomål mail.docx", "A 35708-2020")</f>
        <v/>
      </c>
      <c r="X250">
        <f>HYPERLINK("https://klasma.github.io/Logging_1980/tillsyn/A 35708-2020 tillsynsbegäran.docx", "A 35708-2020")</f>
        <v/>
      </c>
      <c r="Y250">
        <f>HYPERLINK("https://klasma.github.io/Logging_1980/tillsynsmail/A 35708-2020 tillsynsbegäran mail.docx", "A 35708-2020")</f>
        <v/>
      </c>
    </row>
    <row r="251" ht="15" customHeight="1">
      <c r="A251" t="inlineStr">
        <is>
          <t>A 36828-2020</t>
        </is>
      </c>
      <c r="B251" s="1" t="n">
        <v>44053</v>
      </c>
      <c r="C251" s="1" t="n">
        <v>45668</v>
      </c>
      <c r="D251" t="inlineStr">
        <is>
          <t>VÄSTMANLANDS LÄN</t>
        </is>
      </c>
      <c r="E251" t="inlineStr">
        <is>
          <t>KÖPING</t>
        </is>
      </c>
      <c r="G251" t="n">
        <v>2</v>
      </c>
      <c r="H251" t="n">
        <v>0</v>
      </c>
      <c r="I251" t="n">
        <v>0</v>
      </c>
      <c r="J251" t="n">
        <v>1</v>
      </c>
      <c r="K251" t="n">
        <v>0</v>
      </c>
      <c r="L251" t="n">
        <v>0</v>
      </c>
      <c r="M251" t="n">
        <v>0</v>
      </c>
      <c r="N251" t="n">
        <v>0</v>
      </c>
      <c r="O251" t="n">
        <v>1</v>
      </c>
      <c r="P251" t="n">
        <v>0</v>
      </c>
      <c r="Q251" t="n">
        <v>1</v>
      </c>
      <c r="R251" s="2" t="inlineStr">
        <is>
          <t>Skumticka</t>
        </is>
      </c>
      <c r="S251">
        <f>HYPERLINK("https://klasma.github.io/Logging_1983/artfynd/A 36828-2020 artfynd.xlsx", "A 36828-2020")</f>
        <v/>
      </c>
      <c r="T251">
        <f>HYPERLINK("https://klasma.github.io/Logging_1983/kartor/A 36828-2020 karta.png", "A 36828-2020")</f>
        <v/>
      </c>
      <c r="V251">
        <f>HYPERLINK("https://klasma.github.io/Logging_1983/klagomål/A 36828-2020 FSC-klagomål.docx", "A 36828-2020")</f>
        <v/>
      </c>
      <c r="W251">
        <f>HYPERLINK("https://klasma.github.io/Logging_1983/klagomålsmail/A 36828-2020 FSC-klagomål mail.docx", "A 36828-2020")</f>
        <v/>
      </c>
      <c r="X251">
        <f>HYPERLINK("https://klasma.github.io/Logging_1983/tillsyn/A 36828-2020 tillsynsbegäran.docx", "A 36828-2020")</f>
        <v/>
      </c>
      <c r="Y251">
        <f>HYPERLINK("https://klasma.github.io/Logging_1983/tillsynsmail/A 36828-2020 tillsynsbegäran mail.docx", "A 36828-2020")</f>
        <v/>
      </c>
    </row>
    <row r="252" ht="15" customHeight="1">
      <c r="A252" t="inlineStr">
        <is>
          <t>A 37469-2020</t>
        </is>
      </c>
      <c r="B252" s="1" t="n">
        <v>44055</v>
      </c>
      <c r="C252" s="1" t="n">
        <v>45668</v>
      </c>
      <c r="D252" t="inlineStr">
        <is>
          <t>VÄSTMANLANDS LÄN</t>
        </is>
      </c>
      <c r="E252" t="inlineStr">
        <is>
          <t>KÖPING</t>
        </is>
      </c>
      <c r="F252" t="inlineStr">
        <is>
          <t>Kyrkan</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HYPERLINK("https://klasma.github.io/Logging_1983/artfynd/A 37469-2020 artfynd.xlsx", "A 37469-2020")</f>
        <v/>
      </c>
      <c r="T252">
        <f>HYPERLINK("https://klasma.github.io/Logging_1983/kartor/A 37469-2020 karta.png", "A 37469-2020")</f>
        <v/>
      </c>
      <c r="V252">
        <f>HYPERLINK("https://klasma.github.io/Logging_1983/klagomål/A 37469-2020 FSC-klagomål.docx", "A 37469-2020")</f>
        <v/>
      </c>
      <c r="W252">
        <f>HYPERLINK("https://klasma.github.io/Logging_1983/klagomålsmail/A 37469-2020 FSC-klagomål mail.docx", "A 37469-2020")</f>
        <v/>
      </c>
      <c r="X252">
        <f>HYPERLINK("https://klasma.github.io/Logging_1983/tillsyn/A 37469-2020 tillsynsbegäran.docx", "A 37469-2020")</f>
        <v/>
      </c>
      <c r="Y252">
        <f>HYPERLINK("https://klasma.github.io/Logging_1983/tillsynsmail/A 37469-2020 tillsynsbegäran mail.docx", "A 37469-2020")</f>
        <v/>
      </c>
    </row>
    <row r="253" ht="15" customHeight="1">
      <c r="A253" t="inlineStr">
        <is>
          <t>A 38226-2020</t>
        </is>
      </c>
      <c r="B253" s="1" t="n">
        <v>44060</v>
      </c>
      <c r="C253" s="1" t="n">
        <v>45668</v>
      </c>
      <c r="D253" t="inlineStr">
        <is>
          <t>VÄSTMANLANDS LÄN</t>
        </is>
      </c>
      <c r="E253" t="inlineStr">
        <is>
          <t>SKINNSKATTEBERG</t>
        </is>
      </c>
      <c r="G253" t="n">
        <v>3.4</v>
      </c>
      <c r="H253" t="n">
        <v>1</v>
      </c>
      <c r="I253" t="n">
        <v>0</v>
      </c>
      <c r="J253" t="n">
        <v>0</v>
      </c>
      <c r="K253" t="n">
        <v>0</v>
      </c>
      <c r="L253" t="n">
        <v>0</v>
      </c>
      <c r="M253" t="n">
        <v>0</v>
      </c>
      <c r="N253" t="n">
        <v>0</v>
      </c>
      <c r="O253" t="n">
        <v>0</v>
      </c>
      <c r="P253" t="n">
        <v>0</v>
      </c>
      <c r="Q253" t="n">
        <v>1</v>
      </c>
      <c r="R253" s="2" t="inlineStr">
        <is>
          <t>Kopparödla</t>
        </is>
      </c>
      <c r="S253">
        <f>HYPERLINK("https://klasma.github.io/Logging_1904/artfynd/A 38226-2020 artfynd.xlsx", "A 38226-2020")</f>
        <v/>
      </c>
      <c r="T253">
        <f>HYPERLINK("https://klasma.github.io/Logging_1904/kartor/A 38226-2020 karta.png", "A 38226-2020")</f>
        <v/>
      </c>
      <c r="V253">
        <f>HYPERLINK("https://klasma.github.io/Logging_1904/klagomål/A 38226-2020 FSC-klagomål.docx", "A 38226-2020")</f>
        <v/>
      </c>
      <c r="W253">
        <f>HYPERLINK("https://klasma.github.io/Logging_1904/klagomålsmail/A 38226-2020 FSC-klagomål mail.docx", "A 38226-2020")</f>
        <v/>
      </c>
      <c r="X253">
        <f>HYPERLINK("https://klasma.github.io/Logging_1904/tillsyn/A 38226-2020 tillsynsbegäran.docx", "A 38226-2020")</f>
        <v/>
      </c>
      <c r="Y253">
        <f>HYPERLINK("https://klasma.github.io/Logging_1904/tillsynsmail/A 38226-2020 tillsynsbegäran mail.docx", "A 38226-2020")</f>
        <v/>
      </c>
    </row>
    <row r="254" ht="15" customHeight="1">
      <c r="A254" t="inlineStr">
        <is>
          <t>A 39800-2020</t>
        </is>
      </c>
      <c r="B254" s="1" t="n">
        <v>44067</v>
      </c>
      <c r="C254" s="1" t="n">
        <v>45668</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39800-2020 artfynd.xlsx", "A 39800-2020")</f>
        <v/>
      </c>
      <c r="T254">
        <f>HYPERLINK("https://klasma.github.io/Logging_1981/kartor/A 39800-2020 karta.png", "A 39800-2020")</f>
        <v/>
      </c>
      <c r="V254">
        <f>HYPERLINK("https://klasma.github.io/Logging_1981/klagomål/A 39800-2020 FSC-klagomål.docx", "A 39800-2020")</f>
        <v/>
      </c>
      <c r="W254">
        <f>HYPERLINK("https://klasma.github.io/Logging_1981/klagomålsmail/A 39800-2020 FSC-klagomål mail.docx", "A 39800-2020")</f>
        <v/>
      </c>
      <c r="X254">
        <f>HYPERLINK("https://klasma.github.io/Logging_1981/tillsyn/A 39800-2020 tillsynsbegäran.docx", "A 39800-2020")</f>
        <v/>
      </c>
      <c r="Y254">
        <f>HYPERLINK("https://klasma.github.io/Logging_1981/tillsynsmail/A 39800-2020 tillsynsbegäran mail.docx", "A 39800-2020")</f>
        <v/>
      </c>
    </row>
    <row r="255" ht="15" customHeight="1">
      <c r="A255" t="inlineStr">
        <is>
          <t>A 39807-2020</t>
        </is>
      </c>
      <c r="B255" s="1" t="n">
        <v>44067</v>
      </c>
      <c r="C255" s="1" t="n">
        <v>45668</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39807-2020 artfynd.xlsx", "A 39807-2020")</f>
        <v/>
      </c>
      <c r="T255">
        <f>HYPERLINK("https://klasma.github.io/Logging_1981/kartor/A 39807-2020 karta.png", "A 39807-2020")</f>
        <v/>
      </c>
      <c r="V255">
        <f>HYPERLINK("https://klasma.github.io/Logging_1981/klagomål/A 39807-2020 FSC-klagomål.docx", "A 39807-2020")</f>
        <v/>
      </c>
      <c r="W255">
        <f>HYPERLINK("https://klasma.github.io/Logging_1981/klagomålsmail/A 39807-2020 FSC-klagomål mail.docx", "A 39807-2020")</f>
        <v/>
      </c>
      <c r="X255">
        <f>HYPERLINK("https://klasma.github.io/Logging_1981/tillsyn/A 39807-2020 tillsynsbegäran.docx", "A 39807-2020")</f>
        <v/>
      </c>
      <c r="Y255">
        <f>HYPERLINK("https://klasma.github.io/Logging_1981/tillsynsmail/A 39807-2020 tillsynsbegäran mail.docx", "A 39807-2020")</f>
        <v/>
      </c>
    </row>
    <row r="256" ht="15" customHeight="1">
      <c r="A256" t="inlineStr">
        <is>
          <t>A 42352-2020</t>
        </is>
      </c>
      <c r="B256" s="1" t="n">
        <v>44076</v>
      </c>
      <c r="C256" s="1" t="n">
        <v>45668</v>
      </c>
      <c r="D256" t="inlineStr">
        <is>
          <t>VÄSTMANLANDS LÄN</t>
        </is>
      </c>
      <c r="E256" t="inlineStr">
        <is>
          <t>SALA</t>
        </is>
      </c>
      <c r="G256" t="n">
        <v>8.6</v>
      </c>
      <c r="H256" t="n">
        <v>1</v>
      </c>
      <c r="I256" t="n">
        <v>0</v>
      </c>
      <c r="J256" t="n">
        <v>0</v>
      </c>
      <c r="K256" t="n">
        <v>0</v>
      </c>
      <c r="L256" t="n">
        <v>0</v>
      </c>
      <c r="M256" t="n">
        <v>0</v>
      </c>
      <c r="N256" t="n">
        <v>0</v>
      </c>
      <c r="O256" t="n">
        <v>0</v>
      </c>
      <c r="P256" t="n">
        <v>0</v>
      </c>
      <c r="Q256" t="n">
        <v>1</v>
      </c>
      <c r="R256" s="2" t="inlineStr">
        <is>
          <t>Mattlummer</t>
        </is>
      </c>
      <c r="S256">
        <f>HYPERLINK("https://klasma.github.io/Logging_1981/artfynd/A 42352-2020 artfynd.xlsx", "A 42352-2020")</f>
        <v/>
      </c>
      <c r="T256">
        <f>HYPERLINK("https://klasma.github.io/Logging_1981/kartor/A 42352-2020 karta.png", "A 42352-2020")</f>
        <v/>
      </c>
      <c r="V256">
        <f>HYPERLINK("https://klasma.github.io/Logging_1981/klagomål/A 42352-2020 FSC-klagomål.docx", "A 42352-2020")</f>
        <v/>
      </c>
      <c r="W256">
        <f>HYPERLINK("https://klasma.github.io/Logging_1981/klagomålsmail/A 42352-2020 FSC-klagomål mail.docx", "A 42352-2020")</f>
        <v/>
      </c>
      <c r="X256">
        <f>HYPERLINK("https://klasma.github.io/Logging_1981/tillsyn/A 42352-2020 tillsynsbegäran.docx", "A 42352-2020")</f>
        <v/>
      </c>
      <c r="Y256">
        <f>HYPERLINK("https://klasma.github.io/Logging_1981/tillsynsmail/A 42352-2020 tillsynsbegäran mail.docx", "A 42352-2020")</f>
        <v/>
      </c>
    </row>
    <row r="257" ht="15" customHeight="1">
      <c r="A257" t="inlineStr">
        <is>
          <t>A 56014-2020</t>
        </is>
      </c>
      <c r="B257" s="1" t="n">
        <v>44132</v>
      </c>
      <c r="C257" s="1" t="n">
        <v>45668</v>
      </c>
      <c r="D257" t="inlineStr">
        <is>
          <t>VÄSTMANLANDS LÄN</t>
        </is>
      </c>
      <c r="E257" t="inlineStr">
        <is>
          <t>SALA</t>
        </is>
      </c>
      <c r="G257" t="n">
        <v>5.6</v>
      </c>
      <c r="H257" t="n">
        <v>0</v>
      </c>
      <c r="I257" t="n">
        <v>0</v>
      </c>
      <c r="J257" t="n">
        <v>0</v>
      </c>
      <c r="K257" t="n">
        <v>1</v>
      </c>
      <c r="L257" t="n">
        <v>0</v>
      </c>
      <c r="M257" t="n">
        <v>0</v>
      </c>
      <c r="N257" t="n">
        <v>0</v>
      </c>
      <c r="O257" t="n">
        <v>1</v>
      </c>
      <c r="P257" t="n">
        <v>1</v>
      </c>
      <c r="Q257" t="n">
        <v>1</v>
      </c>
      <c r="R257" s="2" t="inlineStr">
        <is>
          <t>Blackticka</t>
        </is>
      </c>
      <c r="S257">
        <f>HYPERLINK("https://klasma.github.io/Logging_1981/artfynd/A 56014-2020 artfynd.xlsx", "A 56014-2020")</f>
        <v/>
      </c>
      <c r="T257">
        <f>HYPERLINK("https://klasma.github.io/Logging_1981/kartor/A 56014-2020 karta.png", "A 56014-2020")</f>
        <v/>
      </c>
      <c r="V257">
        <f>HYPERLINK("https://klasma.github.io/Logging_1981/klagomål/A 56014-2020 FSC-klagomål.docx", "A 56014-2020")</f>
        <v/>
      </c>
      <c r="W257">
        <f>HYPERLINK("https://klasma.github.io/Logging_1981/klagomålsmail/A 56014-2020 FSC-klagomål mail.docx", "A 56014-2020")</f>
        <v/>
      </c>
      <c r="X257">
        <f>HYPERLINK("https://klasma.github.io/Logging_1981/tillsyn/A 56014-2020 tillsynsbegäran.docx", "A 56014-2020")</f>
        <v/>
      </c>
      <c r="Y257">
        <f>HYPERLINK("https://klasma.github.io/Logging_1981/tillsynsmail/A 56014-2020 tillsynsbegäran mail.docx", "A 56014-2020")</f>
        <v/>
      </c>
    </row>
    <row r="258" ht="15" customHeight="1">
      <c r="A258" t="inlineStr">
        <is>
          <t>A 69308-2020</t>
        </is>
      </c>
      <c r="B258" s="1" t="n">
        <v>44188</v>
      </c>
      <c r="C258" s="1" t="n">
        <v>45668</v>
      </c>
      <c r="D258" t="inlineStr">
        <is>
          <t>VÄSTMANLANDS LÄN</t>
        </is>
      </c>
      <c r="E258" t="inlineStr">
        <is>
          <t>VÄSTERÅS</t>
        </is>
      </c>
      <c r="F258" t="inlineStr">
        <is>
          <t>Övriga Aktiebolag</t>
        </is>
      </c>
      <c r="G258" t="n">
        <v>7.7</v>
      </c>
      <c r="H258" t="n">
        <v>0</v>
      </c>
      <c r="I258" t="n">
        <v>0</v>
      </c>
      <c r="J258" t="n">
        <v>0</v>
      </c>
      <c r="K258" t="n">
        <v>0</v>
      </c>
      <c r="L258" t="n">
        <v>1</v>
      </c>
      <c r="M258" t="n">
        <v>0</v>
      </c>
      <c r="N258" t="n">
        <v>0</v>
      </c>
      <c r="O258" t="n">
        <v>1</v>
      </c>
      <c r="P258" t="n">
        <v>1</v>
      </c>
      <c r="Q258" t="n">
        <v>1</v>
      </c>
      <c r="R258" s="2" t="inlineStr">
        <is>
          <t>Ask</t>
        </is>
      </c>
      <c r="S258">
        <f>HYPERLINK("https://klasma.github.io/Logging_1980/artfynd/A 69308-2020 artfynd.xlsx", "A 69308-2020")</f>
        <v/>
      </c>
      <c r="T258">
        <f>HYPERLINK("https://klasma.github.io/Logging_1980/kartor/A 69308-2020 karta.png", "A 69308-2020")</f>
        <v/>
      </c>
      <c r="V258">
        <f>HYPERLINK("https://klasma.github.io/Logging_1980/klagomål/A 69308-2020 FSC-klagomål.docx", "A 69308-2020")</f>
        <v/>
      </c>
      <c r="W258">
        <f>HYPERLINK("https://klasma.github.io/Logging_1980/klagomålsmail/A 69308-2020 FSC-klagomål mail.docx", "A 69308-2020")</f>
        <v/>
      </c>
      <c r="X258">
        <f>HYPERLINK("https://klasma.github.io/Logging_1980/tillsyn/A 69308-2020 tillsynsbegäran.docx", "A 69308-2020")</f>
        <v/>
      </c>
      <c r="Y258">
        <f>HYPERLINK("https://klasma.github.io/Logging_1980/tillsynsmail/A 69308-2020 tillsynsbegäran mail.docx", "A 69308-2020")</f>
        <v/>
      </c>
    </row>
    <row r="259" ht="15" customHeight="1">
      <c r="A259" t="inlineStr">
        <is>
          <t>A 69362-2020</t>
        </is>
      </c>
      <c r="B259" s="1" t="n">
        <v>44193</v>
      </c>
      <c r="C259" s="1" t="n">
        <v>45668</v>
      </c>
      <c r="D259" t="inlineStr">
        <is>
          <t>VÄSTMANLANDS LÄN</t>
        </is>
      </c>
      <c r="E259" t="inlineStr">
        <is>
          <t>SALA</t>
        </is>
      </c>
      <c r="G259" t="n">
        <v>13.7</v>
      </c>
      <c r="H259" t="n">
        <v>1</v>
      </c>
      <c r="I259" t="n">
        <v>0</v>
      </c>
      <c r="J259" t="n">
        <v>1</v>
      </c>
      <c r="K259" t="n">
        <v>0</v>
      </c>
      <c r="L259" t="n">
        <v>0</v>
      </c>
      <c r="M259" t="n">
        <v>0</v>
      </c>
      <c r="N259" t="n">
        <v>0</v>
      </c>
      <c r="O259" t="n">
        <v>1</v>
      </c>
      <c r="P259" t="n">
        <v>0</v>
      </c>
      <c r="Q259" t="n">
        <v>1</v>
      </c>
      <c r="R259" s="2" t="inlineStr">
        <is>
          <t>Havsörn</t>
        </is>
      </c>
      <c r="S259">
        <f>HYPERLINK("https://klasma.github.io/Logging_1981/artfynd/A 69362-2020 artfynd.xlsx", "A 69362-2020")</f>
        <v/>
      </c>
      <c r="T259">
        <f>HYPERLINK("https://klasma.github.io/Logging_1981/kartor/A 69362-2020 karta.png", "A 69362-2020")</f>
        <v/>
      </c>
      <c r="V259">
        <f>HYPERLINK("https://klasma.github.io/Logging_1981/klagomål/A 69362-2020 FSC-klagomål.docx", "A 69362-2020")</f>
        <v/>
      </c>
      <c r="W259">
        <f>HYPERLINK("https://klasma.github.io/Logging_1981/klagomålsmail/A 69362-2020 FSC-klagomål mail.docx", "A 69362-2020")</f>
        <v/>
      </c>
      <c r="X259">
        <f>HYPERLINK("https://klasma.github.io/Logging_1981/tillsyn/A 69362-2020 tillsynsbegäran.docx", "A 69362-2020")</f>
        <v/>
      </c>
      <c r="Y259">
        <f>HYPERLINK("https://klasma.github.io/Logging_1981/tillsynsmail/A 69362-2020 tillsynsbegäran mail.docx", "A 69362-2020")</f>
        <v/>
      </c>
      <c r="Z259">
        <f>HYPERLINK("https://klasma.github.io/Logging_1981/fåglar/A 69362-2020 prioriterade fågelarter.docx", "A 69362-2020")</f>
        <v/>
      </c>
    </row>
    <row r="260" ht="15" customHeight="1">
      <c r="A260" t="inlineStr">
        <is>
          <t>A 10364-2021</t>
        </is>
      </c>
      <c r="B260" s="1" t="n">
        <v>44257</v>
      </c>
      <c r="C260" s="1" t="n">
        <v>45668</v>
      </c>
      <c r="D260" t="inlineStr">
        <is>
          <t>VÄSTMANLANDS LÄN</t>
        </is>
      </c>
      <c r="E260" t="inlineStr">
        <is>
          <t>ARBOGA</t>
        </is>
      </c>
      <c r="F260" t="inlineStr">
        <is>
          <t>Sveaskog</t>
        </is>
      </c>
      <c r="G260" t="n">
        <v>2</v>
      </c>
      <c r="H260" t="n">
        <v>0</v>
      </c>
      <c r="I260" t="n">
        <v>0</v>
      </c>
      <c r="J260" t="n">
        <v>1</v>
      </c>
      <c r="K260" t="n">
        <v>0</v>
      </c>
      <c r="L260" t="n">
        <v>0</v>
      </c>
      <c r="M260" t="n">
        <v>0</v>
      </c>
      <c r="N260" t="n">
        <v>0</v>
      </c>
      <c r="O260" t="n">
        <v>1</v>
      </c>
      <c r="P260" t="n">
        <v>0</v>
      </c>
      <c r="Q260" t="n">
        <v>1</v>
      </c>
      <c r="R260" s="2" t="inlineStr">
        <is>
          <t>Mindre timmerman</t>
        </is>
      </c>
      <c r="S260">
        <f>HYPERLINK("https://klasma.github.io/Logging_1984/artfynd/A 10364-2021 artfynd.xlsx", "A 10364-2021")</f>
        <v/>
      </c>
      <c r="T260">
        <f>HYPERLINK("https://klasma.github.io/Logging_1984/kartor/A 10364-2021 karta.png", "A 10364-2021")</f>
        <v/>
      </c>
      <c r="V260">
        <f>HYPERLINK("https://klasma.github.io/Logging_1984/klagomål/A 10364-2021 FSC-klagomål.docx", "A 10364-2021")</f>
        <v/>
      </c>
      <c r="W260">
        <f>HYPERLINK("https://klasma.github.io/Logging_1984/klagomålsmail/A 10364-2021 FSC-klagomål mail.docx", "A 10364-2021")</f>
        <v/>
      </c>
      <c r="X260">
        <f>HYPERLINK("https://klasma.github.io/Logging_1984/tillsyn/A 10364-2021 tillsynsbegäran.docx", "A 10364-2021")</f>
        <v/>
      </c>
      <c r="Y260">
        <f>HYPERLINK("https://klasma.github.io/Logging_1984/tillsynsmail/A 10364-2021 tillsynsbegäran mail.docx", "A 10364-2021")</f>
        <v/>
      </c>
    </row>
    <row r="261" ht="15" customHeight="1">
      <c r="A261" t="inlineStr">
        <is>
          <t>A 13973-2021</t>
        </is>
      </c>
      <c r="B261" s="1" t="n">
        <v>44277</v>
      </c>
      <c r="C261" s="1" t="n">
        <v>45668</v>
      </c>
      <c r="D261" t="inlineStr">
        <is>
          <t>VÄSTMANLANDS LÄN</t>
        </is>
      </c>
      <c r="E261" t="inlineStr">
        <is>
          <t>SALA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HYPERLINK("https://klasma.github.io/Logging_1981/artfynd/A 13973-2021 artfynd.xlsx", "A 13973-2021")</f>
        <v/>
      </c>
      <c r="T261">
        <f>HYPERLINK("https://klasma.github.io/Logging_1981/kartor/A 13973-2021 karta.png", "A 13973-2021")</f>
        <v/>
      </c>
      <c r="V261">
        <f>HYPERLINK("https://klasma.github.io/Logging_1981/klagomål/A 13973-2021 FSC-klagomål.docx", "A 13973-2021")</f>
        <v/>
      </c>
      <c r="W261">
        <f>HYPERLINK("https://klasma.github.io/Logging_1981/klagomålsmail/A 13973-2021 FSC-klagomål mail.docx", "A 13973-2021")</f>
        <v/>
      </c>
      <c r="X261">
        <f>HYPERLINK("https://klasma.github.io/Logging_1981/tillsyn/A 13973-2021 tillsynsbegäran.docx", "A 13973-2021")</f>
        <v/>
      </c>
      <c r="Y261">
        <f>HYPERLINK("https://klasma.github.io/Logging_1981/tillsynsmail/A 13973-2021 tillsynsbegäran mail.docx", "A 13973-2021")</f>
        <v/>
      </c>
    </row>
    <row r="262" ht="15" customHeight="1">
      <c r="A262" t="inlineStr">
        <is>
          <t>A 20479-2021</t>
        </is>
      </c>
      <c r="B262" s="1" t="n">
        <v>44315</v>
      </c>
      <c r="C262" s="1" t="n">
        <v>45668</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45668</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45668</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45668</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45668</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45668</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45668</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45668</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45668</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45668</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45668</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45668</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45668</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45668</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45668</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45668</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45668</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45668</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45668</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45668</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45668</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45668</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45668</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45668</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45668</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45668</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45668</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45668</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45668</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45668</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45668</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45668</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45668</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45668</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45668</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45668</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45668</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45668</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45668</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45668</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45668</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45668</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45668</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45668</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45668</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45668</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45668</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45668</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45668</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45668</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45668</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45668</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7731-2023</t>
        </is>
      </c>
      <c r="B314" s="1" t="n">
        <v>44973</v>
      </c>
      <c r="C314" s="1" t="n">
        <v>45668</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45668</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45668</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45668</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45668</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45668</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45668</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45668</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45668</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45668</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45668</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45668</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45668</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45668</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45668</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45668</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45668</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45668</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45668</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45668</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45668</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45668</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45668</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45668</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45668</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45668</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45668</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45668</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45668</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45668</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45668</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45668</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45668</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45668</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45668</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45668</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45668</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45668</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45668</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45668</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45668</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45668</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45668</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45668</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45668</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45668</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45668</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45668</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45668</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45668</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45668</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45668</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45668</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45668</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45668</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45668</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45668</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45668</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45668</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45668</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45668</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45668</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45668</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45668</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45668</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45668</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45668</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45668</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45668</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45668</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45668</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45668</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45668</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45668</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45668</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45668</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45668</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45668</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45668</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45668</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45668</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45668</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45668</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45668</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45668</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45668</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45668</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45668</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45668</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45668</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45668</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45668</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45668</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61577-2024</t>
        </is>
      </c>
      <c r="B407" s="1" t="n">
        <v>45646</v>
      </c>
      <c r="C407" s="1" t="n">
        <v>45668</v>
      </c>
      <c r="D407" t="inlineStr">
        <is>
          <t>VÄSTMANLANDS LÄN</t>
        </is>
      </c>
      <c r="E407" t="inlineStr">
        <is>
          <t>KÖPING</t>
        </is>
      </c>
      <c r="G407" t="n">
        <v>5.6</v>
      </c>
      <c r="H407" t="n">
        <v>1</v>
      </c>
      <c r="I407" t="n">
        <v>0</v>
      </c>
      <c r="J407" t="n">
        <v>0</v>
      </c>
      <c r="K407" t="n">
        <v>0</v>
      </c>
      <c r="L407" t="n">
        <v>0</v>
      </c>
      <c r="M407" t="n">
        <v>0</v>
      </c>
      <c r="N407" t="n">
        <v>0</v>
      </c>
      <c r="O407" t="n">
        <v>0</v>
      </c>
      <c r="P407" t="n">
        <v>0</v>
      </c>
      <c r="Q407" t="n">
        <v>1</v>
      </c>
      <c r="R407" s="2" t="inlineStr">
        <is>
          <t>Skogsödla</t>
        </is>
      </c>
      <c r="S407">
        <f>HYPERLINK("https://klasma.github.io/Logging_1983/artfynd/A 61577-2024 artfynd.xlsx", "A 61577-2024")</f>
        <v/>
      </c>
      <c r="T407">
        <f>HYPERLINK("https://klasma.github.io/Logging_1983/kartor/A 61577-2024 karta.png", "A 61577-2024")</f>
        <v/>
      </c>
      <c r="V407">
        <f>HYPERLINK("https://klasma.github.io/Logging_1983/klagomål/A 61577-2024 FSC-klagomål.docx", "A 61577-2024")</f>
        <v/>
      </c>
      <c r="W407">
        <f>HYPERLINK("https://klasma.github.io/Logging_1983/klagomålsmail/A 61577-2024 FSC-klagomål mail.docx", "A 61577-2024")</f>
        <v/>
      </c>
      <c r="X407">
        <f>HYPERLINK("https://klasma.github.io/Logging_1983/tillsyn/A 61577-2024 tillsynsbegäran.docx", "A 61577-2024")</f>
        <v/>
      </c>
      <c r="Y407">
        <f>HYPERLINK("https://klasma.github.io/Logging_1983/tillsynsmail/A 61577-2024 tillsynsbegäran mail.docx", "A 61577-2024")</f>
        <v/>
      </c>
    </row>
    <row r="408" ht="15" customHeight="1">
      <c r="A408" t="inlineStr">
        <is>
          <t>A 62097-2024</t>
        </is>
      </c>
      <c r="B408" s="1" t="n">
        <v>45646</v>
      </c>
      <c r="C408" s="1" t="n">
        <v>45668</v>
      </c>
      <c r="D408" t="inlineStr">
        <is>
          <t>VÄSTMANLANDS LÄN</t>
        </is>
      </c>
      <c r="E408" t="inlineStr">
        <is>
          <t>SURAHAMMAR</t>
        </is>
      </c>
      <c r="F408" t="inlineStr">
        <is>
          <t>Bergvik skog väst AB</t>
        </is>
      </c>
      <c r="G408" t="n">
        <v>21.7</v>
      </c>
      <c r="H408" t="n">
        <v>1</v>
      </c>
      <c r="I408" t="n">
        <v>0</v>
      </c>
      <c r="J408" t="n">
        <v>0</v>
      </c>
      <c r="K408" t="n">
        <v>0</v>
      </c>
      <c r="L408" t="n">
        <v>0</v>
      </c>
      <c r="M408" t="n">
        <v>0</v>
      </c>
      <c r="N408" t="n">
        <v>0</v>
      </c>
      <c r="O408" t="n">
        <v>0</v>
      </c>
      <c r="P408" t="n">
        <v>0</v>
      </c>
      <c r="Q408" t="n">
        <v>1</v>
      </c>
      <c r="R408" s="2" t="inlineStr">
        <is>
          <t>Revlummer</t>
        </is>
      </c>
      <c r="S408">
        <f>HYPERLINK("https://klasma.github.io/Logging_1907/artfynd/A 62097-2024 artfynd.xlsx", "A 62097-2024")</f>
        <v/>
      </c>
      <c r="T408">
        <f>HYPERLINK("https://klasma.github.io/Logging_1907/kartor/A 62097-2024 karta.png", "A 62097-2024")</f>
        <v/>
      </c>
      <c r="V408">
        <f>HYPERLINK("https://klasma.github.io/Logging_1907/klagomål/A 62097-2024 FSC-klagomål.docx", "A 62097-2024")</f>
        <v/>
      </c>
      <c r="W408">
        <f>HYPERLINK("https://klasma.github.io/Logging_1907/klagomålsmail/A 62097-2024 FSC-klagomål mail.docx", "A 62097-2024")</f>
        <v/>
      </c>
      <c r="X408">
        <f>HYPERLINK("https://klasma.github.io/Logging_1907/tillsyn/A 62097-2024 tillsynsbegäran.docx", "A 62097-2024")</f>
        <v/>
      </c>
      <c r="Y408">
        <f>HYPERLINK("https://klasma.github.io/Logging_1907/tillsynsmail/A 62097-2024 tillsynsbegäran mail.docx", "A 62097-2024")</f>
        <v/>
      </c>
    </row>
    <row r="409" ht="15" customHeight="1">
      <c r="A409" t="inlineStr">
        <is>
          <t>A 62156-2024</t>
        </is>
      </c>
      <c r="B409" s="1" t="n">
        <v>45656</v>
      </c>
      <c r="C409" s="1" t="n">
        <v>45668</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45668</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45668</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45668</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45668</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45668</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45668</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45668</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45668</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45668</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45668</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45668</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45668</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45668</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45668</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45668</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45668</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45668</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45668</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45668</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45668</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45668</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45668</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45668</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45668</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45668</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45668</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45668</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45668</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45668</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45668</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45668</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45668</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45668</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45668</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45668</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45668</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45668</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45668</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45668</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45668</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45668</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45668</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45668</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45668</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45668</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45668</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45668</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45668</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45668</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45668</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45668</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45668</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45668</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45668</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45668</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45668</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45668</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45668</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45668</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45668</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45668</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45668</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45668</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45668</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45668</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45668</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45668</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45668</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45668</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45668</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45668</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45668</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45668</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45668</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45668</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45668</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45668</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45668</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45668</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45668</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45668</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45668</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45668</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45668</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45668</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45668</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45668</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45668</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45668</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45668</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45668</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45668</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45668</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45668</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45668</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45668</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45668</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45668</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45668</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45668</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45668</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45668</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45668</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45668</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45668</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45668</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45668</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45668</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45668</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45668</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45668</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45668</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45668</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45668</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45668</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45668</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45668</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45668</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45668</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45668</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45668</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45668</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45668</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45668</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45668</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45668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45668</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45668</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45668</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45668</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45668</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45668</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45668</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45668</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45668</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45668</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45668</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45668</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45668</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45668</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45668</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45668</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45668</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45668</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45668</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45668</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45668</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45668</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45668</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45668</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45668</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45668</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45668</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45668</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45668</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45668</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45668</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45668</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45668</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45668</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45668</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45668</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45668</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45668</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45668</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45668</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45668</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45668</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45668</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45668</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45668</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45668</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45668</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45668</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45668</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45668</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45668</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45668</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45668</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45668</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45668</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45668</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45668</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45668</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45668</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45668</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45668</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45668</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45668</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45668</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45668</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45668</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45668</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45668</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45668</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45668</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45668</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45668</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45668</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45668</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45668</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45668</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45668</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45668</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45668</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45668</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45668</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45668</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45668</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45668</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45668</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45668</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45668</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45668</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45668</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45668</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45668</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45668</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45668</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45668</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45668</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45668</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45668</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45668</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45668</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45668</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45668</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45668</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45668</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45668</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45668</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45668</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45668</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45668</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45668</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45668</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45668</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45668</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45668</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45668</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45668</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45668</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45668</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45668</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45668</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45668</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45668</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45668</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45668</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45668</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45668</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45668</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45668</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45668</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45668</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45668</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45668</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45668</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45668</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45668</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45668</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45668</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45668</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45668</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45668</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45668</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45668</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45668</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45668</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45668</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45668</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45668</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45668</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45668</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45668</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45668</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45668</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45668</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45668</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45668</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45668</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45668</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45668</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45668</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45668</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45668</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45668</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45668</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45668</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45668</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45668</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45668</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45668</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45668</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45668</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45668</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45668</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45668</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45668</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45668</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45668</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45668</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45668</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45668</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45668</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45668</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45668</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45668</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45668</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45668</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45668</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45668</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45668</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45668</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45668</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45668</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45668</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45668</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45668</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45668</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45668</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45668</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45668</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45668</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45668</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45668</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45668</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45668</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45668</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45668</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45668</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45668</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45668</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45668</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45668</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45668</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45668</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45668</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45668</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45668</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45668</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45668</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45668</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45668</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45668</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45668</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45668</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45668</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45668</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45668</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45668</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45668</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45668</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45668</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45668</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45668</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45668</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45668</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45668</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45668</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45668</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45668</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45668</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45668</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45668</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45668</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45668</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45668</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45668</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45668</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45668</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45668</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45668</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45668</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45668</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45668</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45668</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45668</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45668</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45668</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45668</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45668</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45668</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45668</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45668</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45668</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45668</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45668</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45668</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45668</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45668</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45668</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45668</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45668</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45668</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45668</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45668</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45668</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45668</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45668</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45668</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45668</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45668</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45668</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45668</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45668</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45668</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45668</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45668</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45668</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45668</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45668</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45668</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45668</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45668</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45668</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45668</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45668</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45668</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45668</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45668</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45668</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45668</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45668</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45668</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45668</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45668</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45668</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45668</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45668</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45668</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45668</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45668</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45668</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45668</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45668</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45668</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45668</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45668</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45668</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45668</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45668</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45668</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45668</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45668</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45668</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45668</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45668</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45668</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45668</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45668</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45668</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45668</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45668</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45668</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45668</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45668</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45668</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45668</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45668</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45668</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45668</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45668</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45668</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45668</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45668</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45668</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45668</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45668</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45668</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45668</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45668</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45668</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45668</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45668</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45668</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45668</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45668</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45668</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45668</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45668</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45668</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45668</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45668</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45668</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45668</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45668</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45668</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45668</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45668</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45668</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45668</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45668</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45668</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45668</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45668</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45668</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45668</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45668</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45668</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45668</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45668</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45668</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45668</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45668</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45668</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45668</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45668</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45668</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45668</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45668</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45668</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45668</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45668</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45668</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45668</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45668</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45668</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45668</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45668</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45668</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45668</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45668</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45668</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45668</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45668</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45668</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45668</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45668</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45668</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45668</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45668</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45668</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45668</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45668</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45668</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45668</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45668</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45668</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45668</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45668</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45668</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45668</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45668</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45668</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45668</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45668</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45668</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45668</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45668</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45668</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45668</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45668</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45668</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45668</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45668</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45668</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45668</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45668</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45668</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45668</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45668</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45668</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45668</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45668</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45668</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45668</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45668</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45668</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45668</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45668</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45668</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45668</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45668</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45668</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45668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45668</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45668</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45668</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45668</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45668</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45668</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45668</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45668</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45668</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45668</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45668</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45668</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45668</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45668</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45668</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45668</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45668</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45668</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45668</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45668</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45668</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45668</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45668</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45668</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45668</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45668</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45668</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45668</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45668</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45668</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45668</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45668</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45668</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45668</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45668</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45668</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45668</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45668</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45668</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45668</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45668</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45668</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45668</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45668</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45668</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45668</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45668</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45668</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45668</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45668</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45668</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45668</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45668</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45668</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45668</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45668</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45668</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45668</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45668</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45668</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45668</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45668</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45668</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45668</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45668</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45668</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45668</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45668</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45668</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45668</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45668</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45668</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45668</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45668</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45668</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45668</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45668</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45668</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45668</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45668</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45668</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45668</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45668</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45668</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45668</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45668</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45668</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45668</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45668</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45668</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45668</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45668</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45668</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45668</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45668</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45668</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45668</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45668</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45668</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45668</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45668</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45668</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45668</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45668</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45668</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45668</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45668</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45668</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45668</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45668</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45668</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45668</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45668</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45668</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45668</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45668</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45668</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45668</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45668</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45668</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45668</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45668</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45668</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45668</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45668</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45668</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45668</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45668</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45668</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45668</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45668</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45668</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45668</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45668</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45668</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45668</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45668</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45668</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45668</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45668</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45668</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45668</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45668</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45668</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45668</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45668</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45668</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45668</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45668</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45668</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45668</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45668</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45668</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45668</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45668</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45668</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45668</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45668</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45668</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45668</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45668</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45668</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45668</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45668</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45668</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45668</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45668</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45668</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45668</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45668</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45668</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45668</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45668</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45668</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45668</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45668</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45668</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45668</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45668</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45668</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45668</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45668</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45668</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45668</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45668</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45668</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45668</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45668</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45668</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45668</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45668</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45668</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45668</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45668</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45668</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45668</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45668</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45668</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45668</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45668</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45668</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45668</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45668</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45668</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45668</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45668</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45668</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45668</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45668</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45668</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45668</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45668</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45668</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45668</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45668</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45668</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45668</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45668</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45668</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45668</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45668</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45668</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45668</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45668</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45668</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45668</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45668</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45668</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45668</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45668</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45668</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45668</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45668</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45668</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45668</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45668</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45668</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45668</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45668</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45668</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45668</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45668</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45668</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45668</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45668</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45668</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45668</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45668</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45668</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45668</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45668</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45668</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45668</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45668</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45668</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45668</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45668</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45668</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45668</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45668</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45668</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45668</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45668</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45668</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45668</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45668</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45668</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45668</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45668</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45668</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45668</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45668</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45668</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45668</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45668</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45668</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45668</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45668</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45668</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45668</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45668</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45668</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45668</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45668</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45668</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45668</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45668</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45668</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45668</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45668</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45668</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45668</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45668</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45668</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45668</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45668</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45668</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45668</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45668</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45668</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45668</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45668</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45668</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45668</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45668</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45668</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45668</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45668</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45668</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45668</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45668</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45668</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45668</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45668</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45668</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45668</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45668</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45668</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45668</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45668</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45668</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45668</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45668</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45668</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45668</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45668</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45668</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45668</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45668</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45668</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45668</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45668</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45668</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45668</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45668</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45668</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45668</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45668</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45668</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45668</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45668</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45668</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45668</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45668</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45668</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45668</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45668</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45668</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45668</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45668</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45668</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45668</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45668</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45668</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45668</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45668</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45668</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45668</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45668</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45668</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45668</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45668</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45668</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45668</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45668</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45668</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45668</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45668</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45668</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45668</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45668</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45668</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45668</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45668</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45668</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45668</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45668</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45668</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45668</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45668</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45668</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45668</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45668</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45668</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45668</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45668</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45668</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45668</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45668</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45668</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45668</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45668</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45668</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45668</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45668</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45668</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45668</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45668</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45668</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45668</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45668</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45668</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45668</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45668</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45668</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45668</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45668</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45668</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45668</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45668</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45668</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45668</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45668</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45668</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45668</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45668</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45668</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45668</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45668</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45668</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45668</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45668</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45668</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45668</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45668</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45668</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45668</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45668</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45668</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45668</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45668</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45668</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45668</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45668</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45668</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45668</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45668</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45668</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45668</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45668</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45668</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45668</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45668</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45668</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45668</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45668</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45668</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45668</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45668</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45668</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45668</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45668</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45668</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45668</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45668</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45668</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45668</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45668</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45668</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45668</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45668</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45668</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45668</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45668</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45668</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45668</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45668</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45668</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45668</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45668</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45668</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45668</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45668</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45668</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45668</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45668</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45668</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45668</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45668</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45668</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45668</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45668</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45668</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45668</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45668</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45668</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45668</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45668</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45668</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45668</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45668</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45668</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45668</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45668</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45668</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45668</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45668</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45668</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45668</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45668</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45668</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45668</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45668</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45668</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45668</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45668</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45668</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45668</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45668</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45668</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45668</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45668</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45668</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45668</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45668</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45668</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45668</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45668</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45668</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45668</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45668</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45668</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45668</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45668</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45668</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45668</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45668</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45668</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45668</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45668</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45668</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45668</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45668</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45668</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45668</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45668</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45668</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45668</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45668</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45668</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45668</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45668</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45668</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45668</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45668</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45668</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45668</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45668</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45668</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45668</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45668</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45668</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45668</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45668</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45668</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45668</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45668</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45668</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45668</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45668</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45668</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45668</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45668</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45668</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45668</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45668</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45668</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45668</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45668</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45668</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45668</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45668</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45668</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45668</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45668</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45668</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45668</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45668</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45668</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45668</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45668</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45668</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45668</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45668</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45668</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45668</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45668</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45668</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45668</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45668</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45668</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45668</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45668</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45668</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45668</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45668</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45668</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45668</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45668</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45668</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45668</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45668</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45668</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45668</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45668</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45668</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45668</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45668</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45668</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45668</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45668</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45668</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45668</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45668</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45668</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45668</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45668</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45668</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45668</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45668</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45668</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45668</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45668</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45668</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45668</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45668</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45668</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45668</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45668</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45668</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45668</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45668</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45668</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45668</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45668</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45668</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45668</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45668</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45668</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45668</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45668</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45668</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45668</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45668</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45668</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45668</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45668</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45668</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45668</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45668</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45668</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45668</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45668</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45668</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45668</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45668</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45668</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45668</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45668</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45668</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45668</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45668</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45668</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45668</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45668</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45668</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45668</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45668</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45668</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45668</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45668</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45668</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45668</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45668</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45668</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45668</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45668</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45668</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45668</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45668</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45668</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45668</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45668</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45668</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45668</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45668</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45668</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45668</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45668</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45668</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45668</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45668</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45668</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45668</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45668</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45668</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45668</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45668</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45668</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45668</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45668</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45668</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45668</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45668</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45668</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45668</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45668</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45668</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45668</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45668</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45668</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45668</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45668</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45668</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45668</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45668</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45668</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45668</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45668</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45668</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45668</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45668</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45668</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45668</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45668</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45668</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45668</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45668</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45668</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45668</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45668</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45668</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45668</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45668</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45668</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45668</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45668</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45668</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45668</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45668</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45668</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45668</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45668</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45668</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45668</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45668</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45668</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45668</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45668</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45668</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45668</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45668</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45668</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45668</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45668</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45668</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45668</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45668</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45668</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45668</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45668</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45668</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45668</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45668</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45668</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45668</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45668</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45668</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45668</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45668</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45668</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45668</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45668</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45668</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45668</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45668</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45668</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45668</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45668</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45668</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45668</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45668</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45668</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45668</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45668</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45668</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45668</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45668</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45668</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45668</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45668</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45668</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45668</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45668</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45668</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45668</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45668</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45668</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45668</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45668</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45668</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45668</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45668</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45668</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45668</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45668</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45668</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45668</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45668</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45668</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45668</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45668</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45668</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45668</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45668</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45668</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45668</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45668</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45668</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45668</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45668</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45668</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45668</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45668</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45668</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45668</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45668</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45668</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45668</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45668</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45668</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45668</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45668</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45668</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45668</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45668</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45668</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45668</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45668</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45668</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45668</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45668</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45668</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45668</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45668</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45668</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45668</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45668</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45668</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45668</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45668</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45668</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45668</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45668</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45668</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45668</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45668</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45668</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45668</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45668</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45668</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45668</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45668</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45668</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45668</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45668</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45668</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45668</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45668</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45668</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45668</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45668</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45668</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45668</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45668</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45668</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45668</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45668</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45668</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45668</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45668</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45668</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45668</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45668</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45668</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45668</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45668</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45668</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45668</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45668</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45668</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45668</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45668</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45668</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45668</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45668</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45668</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45668</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45668</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45668</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45668</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45668</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45668</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45668</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45668</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45668</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45668</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45668</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45668</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45668</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45668</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45668</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45668</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45668</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45668</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45668</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45668</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45668</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45668</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45668</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45668</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45668</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45668</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45668</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45668</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45668</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45668</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45668</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45668</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45668</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45668</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45668</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45668</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45668</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45668</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45668</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45668</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45668</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45668</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45668</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45668</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45668</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45668</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45668</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45668</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45668</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45668</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45668</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45668</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45668</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45668</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45668</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45668</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45668</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45668</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45668</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45668</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45668</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45668</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45668</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45668</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45668</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45668</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45668</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45668</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45668</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45668</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45668</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45668</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45668</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45668</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45668</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45668</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45668</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45668</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45668</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45668</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45668</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45668</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45668</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45668</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45668</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45668</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45668</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45668</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45668</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45668</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45668</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45668</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45668</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45668</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45668</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45668</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45668</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45668</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45668</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45668</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45668</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45668</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45668</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45668</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45668</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45668</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45668</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45668</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45668</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45668</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45668</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45668</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45668</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45668</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45668</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45668</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45668</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45668</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45668</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45668</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45668</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45668</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45668</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45668</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45668</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45668</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45668</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45668</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45668</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45668</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45668</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45668</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45668</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45668</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45668</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45668</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45668</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45668</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45668</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45668</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45668</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45668</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45668</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45668</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45668</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45668</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45668</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45668</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45668</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45668</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45668</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45668</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45668</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45668</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45668</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45668</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45668</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45668</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45668</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45668</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45668</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45668</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45668</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45668</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45668</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45668</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45668</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45668</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45668</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45668</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45668</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45668</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45668</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45668</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45668</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45668</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45668</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45668</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45668</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45668</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45668</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45668</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45668</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45668</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45668</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45668</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45668</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45668</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45668</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45668</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45668</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45668</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45668</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45668</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45668</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45668</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45668</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45668</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45668</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45668</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45668</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45668</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45668</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45668</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45668</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45668</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45668</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45668</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45668</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45668</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45668</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45668</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45668</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45668</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45668</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45668</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45668</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45668</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45668</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45668</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45668</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45668</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45668</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45668</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45668</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45668</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45668</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45668</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45668</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45668</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45668</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45668</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45668</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45668</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45668</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45668</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45668</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45668</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45668</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45668</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45668</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45668</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45668</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45668</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45668</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45668</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45668</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45668</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45668</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45668</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45668</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45668</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45668</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45668</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45668</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45668</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45668</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45668</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45668</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45668</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45668</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45668</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45668</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45668</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45668</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45668</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45668</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45668</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45668</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45668</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45668</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45668</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45668</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45668</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45668</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45668</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45668</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45668</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45668</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45668</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45668</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45668</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45668</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45668</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45668</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45668</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45668</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45668</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45668</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45668</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45668</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45668</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45668</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45668</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45668</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45668</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45668</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45668</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45668</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45668</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45668</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45668</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45668</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45668</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45668</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45668</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45668</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45668</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45668</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45668</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45668</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45668</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45668</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45668</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45668</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45668</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45668</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45668</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45668</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45668</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45668</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45668</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45668</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45668</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45668</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45668</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45668</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45668</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45668</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45668</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45668</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45668</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45668</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45668</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45668</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45668</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45668</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45668</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45668</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45668</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45668</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45668</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45668</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45668</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45668</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45668</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45668</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45668</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45668</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45668</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45668</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45668</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45668</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45668</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45668</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45668</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45668</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45668</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45668</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45668</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45668</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45668</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45668</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45668</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45668</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45668</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45668</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45668</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45668</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45668</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45668</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45668</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45668</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45668</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45668</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45668</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45668</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45668</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45668</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45668</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45668</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45668</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45668</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45668</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45668</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45668</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45668</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45668</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45668</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45668</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45668</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45668</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45668</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45668</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45668</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45668</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45668</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45668</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45668</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45668</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45668</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45668</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45668</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45668</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45668</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45668</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45668</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45668</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45668</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45668</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45668</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45668</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45668</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45668</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45668</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45668</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45668</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45668</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45668</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45668</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45668</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45668</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45668</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45668</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45668</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45668</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45668</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45668</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45668</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45668</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45668</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45668</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45668</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45668</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45668</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45668</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45668</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45668</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45668</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45668</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45668</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45668</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45668</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45668</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45668</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45668</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45668</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45668</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45668</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45668</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45668</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45668</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45668</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45668</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45668</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45668</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45668</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45668</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45668</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45668</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45668</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45668</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45668</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45668</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45668</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45668</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45668</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45668</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45668</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45668</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45668</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45668</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45668</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45668</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45668</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45668</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45668</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45668</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45668</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45668</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45668</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45668</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45668</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45668</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45668</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45668</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45668</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45668</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45668</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45668</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45668</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45668</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45668</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45668</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45668</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45668</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45668</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45668</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45668</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45668</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45668</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45668</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45668</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45668</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45668</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45668</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45668</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45668</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45668</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45668</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45668</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45668</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45668</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45668</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45668</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45668</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45668</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45668</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45668</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45668</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45668</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45668</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45668</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45668</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45668</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45668</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45668</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45668</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45668</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45668</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45668</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45668</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45668</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45668</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45668</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45668</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45668</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45668</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45668</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45668</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45668</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45668</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45668</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45668</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45668</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45668</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45668</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45668</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45668</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45668</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45668</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45668</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45668</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45668</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45668</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45668</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45668</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45668</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45668</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45668</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45668</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45668</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45668</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45668</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45668</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45668</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45668</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45668</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45668</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45668</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45668</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45668</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45668</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45668</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45668</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45668</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45668</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45668</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45668</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45668</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45668</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45668</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45668</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45668</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45668</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45668</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45668</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45668</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45668</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45668</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45668</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45668</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45668</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45668</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45668</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45668</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45668</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45668</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45668</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45668</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45668</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45668</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45668</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45668</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45668</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45668</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45668</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45668</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45668</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45668</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45668</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45668</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45668</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45668</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45668</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45668</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45668</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45668</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45668</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45668</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45668</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45668</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45668</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45668</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45668</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45668</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45668</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45668</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45668</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45668</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45668</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45668</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45668</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45668</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45668</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45668</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45668</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45668</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45668</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45668</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45668</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45668</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45668</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45668</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45668</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45668</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45668</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45668</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45668</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45668</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45668</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45668</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45668</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45668</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45668</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45668</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45668</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45668</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45668</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45668</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45668</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45668</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45668</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45668</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45668</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45668</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45668</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45668</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45668</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45668</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45668</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45668</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45668</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45668</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45668</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45668</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45668</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45668</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45668</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45668</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45668</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45668</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45668</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45668</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45668</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45668</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45668</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45668</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45668</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45668</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45668</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45668</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45668</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45668</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45668</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45668</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45668</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45668</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45668</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45668</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45668</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45668</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45668</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45668</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45668</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45668</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45668</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45668</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45668</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45668</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45668</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45668</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45668</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45668</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45668</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45668</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45668</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45668</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45668</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45668</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45668</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45668</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45668</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45668</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45668</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45668</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45668</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45668</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45668</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45668</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45668</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45668</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45668</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45668</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45668</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45668</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45668</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45668</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45668</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45668</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45668</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45668</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45668</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45668</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45668</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45668</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45668</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45668</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45668</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45668</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45668</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45668</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45668</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45668</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45668</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45668</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45668</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45668</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45668</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45668</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45668</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45668</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45668</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45668</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45668</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45668</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45668</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45668</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45668</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45668</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45668</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45668</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45668</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45668</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45668</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45668</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45668</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45668</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45668</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45668</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45668</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45668</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45668</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45668</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45668</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45668</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45668</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45668</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45668</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45668</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45668</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45668</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45668</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45668</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45668</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45668</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45668</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45668</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45668</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45668</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45668</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45668</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45668</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45668</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45668</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45668</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45668</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45668</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45668</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45668</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45668</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45668</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45668</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45668</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45668</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45668</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45668</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45668</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45668</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45668</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45668</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45668</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45668</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45668</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45668</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45668</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45668</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45668</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45668</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45668</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45668</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45668</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45668</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45668</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45668</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45668</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45668</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45668</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45668</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45668</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45668</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45668</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45668</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45668</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45668</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45668</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45668</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45668</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45668</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45668</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45668</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45668</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45668</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45668</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45668</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45668</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45668</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45668</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45668</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45668</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45668</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45668</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45668</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45668</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45668</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45668</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45668</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45668</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45668</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45668</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45668</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45668</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45668</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45668</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45668</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45668</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45668</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45668</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45668</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45668</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45668</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45668</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45668</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45668</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45668</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45668</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45668</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45668</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45668</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45668</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45668</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45668</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45668</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45668</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45668</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45668</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45668</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45668</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45668</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45668</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45668</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45668</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45668</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45668</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45668</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45668</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45668</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45668</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45668</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45668</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45668</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45668</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45668</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45668</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45668</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45668</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45668</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45668</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45668</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45668</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45668</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45668</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45668</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45668</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45668</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45668</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45668</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45668</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45668</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45668</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45668</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45668</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45668</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45668</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45668</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45668</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45668</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45668</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45668</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45668</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45668</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45668</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45668</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45668</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45668</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45668</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45668</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45668</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45668</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45668</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45668</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45668</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45668</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45668</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45668</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45668</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45668</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45668</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45668</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45668</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45668</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45668</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45668</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45668</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45668</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45668</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45668</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45668</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45668</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45668</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45668</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45668</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45668</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45668</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45668</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45668</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45668</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45668</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45668</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45668</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45668</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45668</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45668</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45668</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45668</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45668</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45668</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45668</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45668</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45668</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45668</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45668</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45668</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45668</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45668</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45668</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45668</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45668</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45668</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45668</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45668</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45668</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45668</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45668</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45668</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45668</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45668</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45668</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45668</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45668</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45668</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45668</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45668</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45668</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45668</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45668</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45668</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45668</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45668</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45668</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45668</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45668</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45668</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45668</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45668</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45668</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45668</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45668</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45668</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45668</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45668</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45668</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45668</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45668</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45668</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45668</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45668</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45668</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45668</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45668</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45668</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45668</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45668</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45668</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45668</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45668</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45668</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45668</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45668</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45668</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45668</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45668</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45668</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45668</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45668</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45668</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45668</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45668</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45668</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45668</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45668</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45668</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45668</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45668</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45668</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45668</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45668</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45668</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45668</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45668</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45668</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45668</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45668</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45668</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45668</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45668</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45668</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45668</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45668</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45668</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45668</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45668</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45668</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45668</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45668</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45668</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45668</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45668</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45668</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45668</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45668</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45668</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45668</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45668</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45668</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45668</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45668</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45668</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45668</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45668</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45668</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45668</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45668</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45668</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45668</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45668</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45668</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45668</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45668</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45668</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45668</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45668</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45668</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45668</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45668</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45668</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45668</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45668</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45668</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45668</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45668</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45668</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45668</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45668</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45668</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45668</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45668</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45668</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45668</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45668</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45668</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45668</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45668</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45668</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45668</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45668</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45668</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45668</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45668</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45668</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45668</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45668</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45668</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45668</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45668</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45668</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45668</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45668</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45668</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45668</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45668</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45668</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45668</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45668</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45668</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45668</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45668</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45668</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45668</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45668</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45668</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45668</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45668</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45668</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45668</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45668</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45668</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45668</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45668</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45668</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45668</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45668</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45668</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45668</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45668</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45668</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45668</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45668</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45668</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45668</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45668</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45668</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45668</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45668</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45668</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45668</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45668</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45668</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45668</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45668</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45668</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45668</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45668</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45668</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45668</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45668</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45668</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45668</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45668</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45668</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45668</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45668</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45668</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45668</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45668</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45668</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45668</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45668</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45668</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45668</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45668</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45668</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45668</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45668</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45668</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45668</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45668</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45668</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45668</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45668</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45668</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45668</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45668</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45668</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45668</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45668</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45668</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45668</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45668</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45668</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45668</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45668</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45668</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45668</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45668</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45668</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45668</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45668</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45668</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45668</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45668</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45668</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45668</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45668</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45668</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45668</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45668</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45668</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45668</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45668</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45668</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45668</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45668</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45668</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45668</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45668</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45668</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45668</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45668</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45668</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45668</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45668</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45668</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45668</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45668</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45668</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45668</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45668</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45668</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45668</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45668</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45668</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45668</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45668</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45668</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45668</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45668</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45668</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45668</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45668</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45668</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45668</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45668</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45668</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45668</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45668</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45668</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45668</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45668</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45668</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45668</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45668</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45668</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45668</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45668</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45668</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45668</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45668</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45668</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45668</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45668</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45668</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45668</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45668</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45668</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45668</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45668</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45668</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45668</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45668</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45668</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45668</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45668</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45668</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45668</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45668</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45668</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45668</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45668</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45668</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45668</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45668</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45668</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45668</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45668</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45668</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45668</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45668</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45668</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45668</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45668</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45668</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45668</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45668</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45668</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45668</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45668</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45668</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45668</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45668</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45668</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45668</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45668</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45668</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45668</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45668</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45668</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45668</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45668</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45668</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45668</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45668</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45668</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45668</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45668</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45668</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45668</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45668</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45668</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45668</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45668</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45668</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45668</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45668</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45668</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45668</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45668</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45668</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45668</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45668</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45668</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45668</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45668</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45668</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45668</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45668</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45668</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45668</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45668</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45668</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45668</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45668</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45668</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45668</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45668</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45668</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45668</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45668</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45668</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45668</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45668</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45668</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45668</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45668</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45668</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45668</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45668</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45668</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45668</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45668</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45668</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45668</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45668</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45668</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45668</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45668</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45668</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45668</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45668</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45668</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45668</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45668</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45668</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45668</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45668</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45668</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45668</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45668</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45668</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45668</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45668</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45668</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45668</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45668</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45668</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45668</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45668</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45668</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45668</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45668</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45668</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45668</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45668</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45668</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45668</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45668</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45668</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45668</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45668</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45668</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45668</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45668</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45668</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45668</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45668</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45668</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45668</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45668</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45668</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45668</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45668</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45668</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45668</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45668</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45668</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45668</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45668</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45668</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45668</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45668</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45668</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45668</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45668</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45668</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45668</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45668</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45668</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45668</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45668</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45668</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45668</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45668</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45668</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45668</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45668</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45668</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45668</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45668</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45668</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45668</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45668</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45668</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45668</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45668</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45668</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45668</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45668</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45668</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45668</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45668</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45668</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45668</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45668</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45668</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45668</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45668</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45668</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45668</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45668</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45668</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45668</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45668</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45668</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45668</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45668</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45668</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45668</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45668</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45668</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45668</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45668</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45668</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45668</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45668</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45668</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45668</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45668</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45668</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45668</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45668</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45668</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45668</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45668</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45668</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45668</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45668</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45668</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45668</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45668</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45668</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45668</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45668</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45668</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45668</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45668</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45668</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45668</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45668</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45668</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45668</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45668</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45668</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45668</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45668</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45668</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45668</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45668</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45668</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45668</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45668</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45668</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45668</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45668</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45668</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45668</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45668</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45668</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45668</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45668</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45668</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45668</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45668</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45668</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45668</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45668</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45668</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45668</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45668</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45668</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45668</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45668</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45668</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45668</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45668</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45668</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45668</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45668</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45668</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45668</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45668</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45668</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45668</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45668</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45668</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45668</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45668</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45668</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45668</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45668</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45668</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45668</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45668</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45668</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45668</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45668</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45668</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45668</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45668</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45668</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45668</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45668</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45668</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45668</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45668</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45668</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45668</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45668</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45668</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45668</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45668</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45668</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45668</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45668</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45668</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45668</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45668</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45668</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45668</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45668</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45668</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45668</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45668</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45668</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45668</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45668</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45668</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45668</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45668</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45668</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45668</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45668</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45668</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45668</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45668</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45668</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45668</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45668</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45668</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45668</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45668</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45668</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45668</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45668</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45668</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45668</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45668</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45668</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45668</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45668</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45668</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45668</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45668</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45668</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45668</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45668</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45668</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45668</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45668</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45668</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45668</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45668</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45668</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45668</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45668</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45668</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45668</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45668</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45668</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45668</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45668</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45668</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45668</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45668</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45668</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45668</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45668</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45668</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45668</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45668</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45668</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45668</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45668</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45668</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45668</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45668</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45668</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45668</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45668</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45668</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45668</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45668</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45668</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45668</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45668</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45668</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45668</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45668</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45668</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45668</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45668</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45668</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45668</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45668</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45668</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45668</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45668</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45668</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45668</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45668</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45668</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45668</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45668</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45668</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45668</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45668</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45668</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45668</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45668</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45668</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45668</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45668</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45668</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45668</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45668</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45668</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45668</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45668</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45668</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45668</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45668</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45668</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45668</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45668</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45668</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45668</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45668</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45668</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45668</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45668</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45668</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45668</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45668</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45668</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45668</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45668</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45668</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45668</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45668</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45668</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45668</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45668</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45668</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45668</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45668</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45668</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45668</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45668</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45668</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45668</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45668</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45668</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45668</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45668</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45668</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45668</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45668</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45668</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45668</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45668</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45668</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45668</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45668</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45668</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45668</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45668</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45668</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45668</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45668</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45668</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45668</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45668</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45668</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45668</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45668</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45668</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45668</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45668</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45668</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45668</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45668</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45668</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45668</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45668</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45668</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45668</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45668</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45668</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45668</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45668</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45668</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45668</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45668</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45668</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45668</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45668</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45668</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45668</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45668</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45668</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45668</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45668</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45668</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45668</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45668</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45668</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45668</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45668</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45668</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45668</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45668</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45668</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45668</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45668</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45668</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45668</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45668</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45668</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45668</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45668</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45668</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45668</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45668</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45668</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45668</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45668</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45668</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45668</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45668</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45668</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45668</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45668</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45668</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45668</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45668</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45668</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45668</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45668</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45668</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45668</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45668</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45668</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45668</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45668</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45668</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45668</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45668</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45668</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45668</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45668</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45668</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45668</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45668</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45668</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45668</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45668</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45668</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45668</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45668</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45668</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45668</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45668</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45668</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45668</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45668</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45668</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45668</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45668</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45668</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45668</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45668</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45668</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45668</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45668</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45668</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45668</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45668</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45668</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45668</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45668</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45668</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45668</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45668</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45668</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45668</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45668</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45668</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45668</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45668</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45668</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45668</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45668</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45668</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45668</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45668</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45668</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45668</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45668</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45668</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45668</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45668</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45668</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45668</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45668</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45668</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45668</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45668</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45668</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45668</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45668</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45668</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45668</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45668</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45668</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45668</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45668</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45668</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45668</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45668</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45668</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45668</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45668</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45668</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45668</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45668</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45668</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45668</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45668</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45668</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45668</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45668</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45668</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45668</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45668</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45668</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45668</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45668</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45668</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45668</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45668</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45668</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45668</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45668</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45668</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45668</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45668</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45668</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45668</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45668</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45668</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45668</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45668</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45668</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45668</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45668</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45668</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45668</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45668</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45668</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45668</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45668</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45668</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45668</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45668</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45668</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45668</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45668</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45668</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45668</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45668</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45668</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45668</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45668</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45668</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45668</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45668</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45668</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45668</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45668</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45668</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45668</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45668</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45668</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45668</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45668</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45668</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45668</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45668</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45668</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45668</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45668</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45668</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45668</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45668</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45668</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45668</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45668</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45668</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45668</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45668</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45668</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45668</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45668</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45668</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45668</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45668</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45668</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45668</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45668</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45668</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45668</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45668</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45668</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45668</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45668</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45668</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45668</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45668</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45668</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45668</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45668</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45668</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45668</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45668</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45668</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45668</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45668</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45668</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45668</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45668</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45668</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45668</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45668</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45668</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45668</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45668</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45668</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45668</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45668</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45668</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45668</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45668</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45668</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45668</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45668</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45668</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45668</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45668</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45668</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45668</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45668</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45668</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45668</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45668</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45668</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45668</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45668</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45668</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45668</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45668</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45668</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45668</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45668</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45668</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45668</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45668</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45668</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45668</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45668</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45668</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45668</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45668</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45668</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45668</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45668</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45668</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45668</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45668</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45668</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45668</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45668</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45668</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45668</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45668</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45668</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45668</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45668</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45668</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45668</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45668</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45668</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45668</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45668</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45668</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45668</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45668</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45668</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45668</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45668</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45668</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45668</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45668</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45668</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45668</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45668</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45668</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45668</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45668</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45668</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45668</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45668</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45668</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45668</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45668</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45668</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45668</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45668</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45668</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45668</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45668</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45668</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45668</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45668</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45668</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45668</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45668</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45668</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45668</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45668</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45668</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45668</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45668</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45668</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45668</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45668</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45668</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45668</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45668</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45668</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45668</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45668</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45668</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45668</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45668</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45668</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45668</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45668</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45668</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45668</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45668</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45668</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45668</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45668</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45668</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45668</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45668</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45668</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45668</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45668</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45668</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45668</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45668</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45668</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45668</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45668</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45668</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45668</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45668</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45668</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45668</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45668</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45668</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45668</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45668</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45668</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45668</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45668</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45668</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45668</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45668</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45668</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45668</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45668</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45668</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45668</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45668</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45668</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45668</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45668</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45668</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45668</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45668</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45668</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45668</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45668</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45668</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45668</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45668</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45668</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45668</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45668</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45668</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45668</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45668</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45668</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45668</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45668</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45668</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45668</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45668</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45668</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45668</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45668</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45668</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45668</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45668</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45668</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45668</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45668</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45668</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45668</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45668</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45668</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45668</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45668</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45668</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45668</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45668</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45668</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45668</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45668</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45668</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45668</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45668</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45668</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45668</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45668</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45668</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45668</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45668</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45668</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45668</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45668</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45668</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45668</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45668</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45668</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45668</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45668</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45668</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45668</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45668</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45668</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45668</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45668</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45668</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45668</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45668</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45668</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45668</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45668</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45668</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45668</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45668</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45668</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45668</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45668</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45668</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45668</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45668</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45668</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45668</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45668</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45668</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45668</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45668</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45668</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45668</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45668</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45668</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45668</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45668</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45668</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45668</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45668</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45668</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45668</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45668</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45668</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45668</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45668</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45668</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45668</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45668</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45668</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45668</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45668</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45668</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45668</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45668</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45668</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45668</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45668</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45668</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45668</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45668</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45668</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45668</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45668</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45668</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45668</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45668</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45668</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45668</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45668</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45668</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45668</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45668</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45668</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45668</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45668</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45668</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45668</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45668</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45668</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45668</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45668</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45668</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45668</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45668</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45668</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45668</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45668</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45668</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45668</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45668</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45668</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45668</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45668</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45668</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45668</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45668</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45668</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45668</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45668</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45668</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45668</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45668</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45668</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45668</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45668</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45668</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45668</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45668</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45668</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45668</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45668</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45668</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45668</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45668</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45668</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45668</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45668</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45668</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45668</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45668</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45668</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45668</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45668</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45668</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45668</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45668</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45668</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45668</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45668</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45668</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45668</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45668</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45668</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45668</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45668</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45668</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45668</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45668</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45668</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45668</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45668</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45668</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45668</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45668</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45668</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45668</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45668</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45668</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45668</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45668</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45668</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45668</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45668</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45668</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45668</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45668</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45668</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45668</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45668</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45668</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45668</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45668</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45668</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45668</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45668</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45668</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45668</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45668</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45668</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45668</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45668</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45668</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45668</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45668</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45668</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45668</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45668</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45668</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45668</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45668</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45668</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45668</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45668</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45668</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45668</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45668</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45668</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45668</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45668</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45668</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45668</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45668</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45668</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45668</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45668</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45668</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45668</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45668</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45668</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45668</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45668</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45668</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45668</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45668</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45668</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45668</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45668</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45668</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45668</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45668</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45668</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45668</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45668</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45668</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45668</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45668</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45668</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45668</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45668</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45668</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45668</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45668</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45668</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45668</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45668</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45668</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45668</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45668</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45668</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45668</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45668</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45668</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45668</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45668</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45668</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45668</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45668</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45668</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45668</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45668</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45668</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45668</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45668</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45668</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45668</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45668</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45668</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45668</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45668</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45668</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45668</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45668</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45668</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45668</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45668</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45668</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45668</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45668</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45668</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45668</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45668</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45668</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45668</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45668</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45668</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45668</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45668</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45668</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45668</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45668</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45668</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45668</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45668</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45668</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45668</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45668</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45668</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45668</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45668</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45668</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45668</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45668</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45668</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45668</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45668</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45668</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45668</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45668</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45668</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45668</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45668</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45668</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45668</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45668</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45668</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45668</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45668</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45668</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45668</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45668</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45668</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45668</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45668</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45668</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45668</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45668</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45668</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45668</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45668</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45668</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45668</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45668</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45668</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45668</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45668</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45668</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45668</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45668</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45668</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45668</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45668</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45668</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45668</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45668</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45668</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45668</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45668</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45668</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45668</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45668</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45668</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45668</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45668</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45668</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45668</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45668</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45668</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45668</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45668</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45668</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45668</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45668</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45668</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45668</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45668</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45668</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45668</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45668</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45668</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45668</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45668</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45668</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45668</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45668</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45668</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45668</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45668</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45668</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45668</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45668</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45668</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45668</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45668</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45668</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45668</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45668</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45668</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45668</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45668</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45668</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45668</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45668</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45668</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45668</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45668</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45668</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45668</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45668</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45668</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45668</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45668</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45668</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45668</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45668</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45668</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45668</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45668</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45668</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45668</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45668</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45668</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45668</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45668</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45668</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45668</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45668</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45668</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45668</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45668</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45668</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45668</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45668</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45668</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45668</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45668</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45668</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45668</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45668</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45668</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45668</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45668</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45668</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45668</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45668</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45668</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45668</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45668</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45668</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45668</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45668</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45668</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45668</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45668</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45668</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45668</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45668</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45668</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45668</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45668</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45668</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45668</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45668</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45668</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45668</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45668</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45668</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45668</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45668</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45668</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45668</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45668</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45668</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45668</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45668</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45668</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45668</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45668</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45668</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45668</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45668</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45668</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45668</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45668</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45668</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45668</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45668</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45668</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45668</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45668</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45668</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45668</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45668</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45668</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45668</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45668</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45668</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45668</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45668</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45668</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45668</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45668</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45668</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45668</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45668</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45668</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45668</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45668</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45668</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45668</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45668</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45668</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45668</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45668</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45668</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45668</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45668</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45668</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45668</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45668</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45668</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45668</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45668</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45668</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45668</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45668</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45668</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45668</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45668</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45668</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45668</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45668</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45668</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45668</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45668</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45668</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45668</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45668</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45668</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45668</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45668</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45668</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45668</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45668</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45668</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45668</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45668</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45668</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45668</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45668</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45668</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45668</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45668</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45668</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45668</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45668</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45668</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45668</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45668</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45668</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45668</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45668</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45668</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45668</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45668</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45668</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45668</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45668</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45668</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45668</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45668</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45668</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45668</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45668</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45668</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45668</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45668</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45668</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45668</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45668</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45668</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45668</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45668</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45668</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45668</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45668</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45668</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45668</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45668</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45668</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45668</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45668</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45668</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45668</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45668</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45668</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45668</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45668</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45668</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45668</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45668</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45668</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45668</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45668</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45668</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45668</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45668</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45668</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45668</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45668</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45668</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45668</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45668</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45668</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45668</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45668</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45668</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45668</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45668</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45668</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45668</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45668</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45668</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45668</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45668</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45668</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45668</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45668</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45668</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45668</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45668</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45668</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45668</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45668</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45668</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45668</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45668</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45668</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45668</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45668</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45668</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45668</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45668</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45668</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45668</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45668</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45668</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45668</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45668</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45668</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45668</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45668</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45668</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45668</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45668</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45668</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45668</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45668</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45668</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45668</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45668</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45668</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45668</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45668</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45668</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45668</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45668</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45668</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45668</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45668</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45668</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45668</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45668</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45668</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45668</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45668</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45668</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45668</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45668</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45668</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45668</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45668</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45668</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45668</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45668</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45668</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45668</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45668</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45668</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45668</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45668</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45668</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45668</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45668</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45668</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45668</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45668</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45668</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45668</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45668</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45668</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45668</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45668</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45668</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45668</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45668</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45668</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45668</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45668</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45668</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45668</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45668</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45668</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45668</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45668</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45668</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45668</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45668</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45668</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45668</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45668</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45668</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45668</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45668</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45668</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45668</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45668</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45668</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45668</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45668</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45668</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45668</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45668</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45668</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45668</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45668</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45668</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45668</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45668</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45668</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45668</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45668</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45668</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45668</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45668</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45668</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45668</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45668</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45668</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45668</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45668</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45668</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45668</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45668</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59705-2024</t>
        </is>
      </c>
      <c r="B4861" s="1" t="n">
        <v>45639</v>
      </c>
      <c r="C4861" s="1" t="n">
        <v>45668</v>
      </c>
      <c r="D4861" t="inlineStr">
        <is>
          <t>VÄSTMANLANDS LÄN</t>
        </is>
      </c>
      <c r="E4861" t="inlineStr">
        <is>
          <t>NORBERG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59747-2024</t>
        </is>
      </c>
      <c r="B4862" s="1" t="n">
        <v>45639</v>
      </c>
      <c r="C4862" s="1" t="n">
        <v>45668</v>
      </c>
      <c r="D4862" t="inlineStr">
        <is>
          <t>VÄSTMANLANDS LÄN</t>
        </is>
      </c>
      <c r="E4862" t="inlineStr">
        <is>
          <t>VÄSTERÅS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59740-2024</t>
        </is>
      </c>
      <c r="B4863" s="1" t="n">
        <v>45639</v>
      </c>
      <c r="C4863" s="1" t="n">
        <v>45668</v>
      </c>
      <c r="D4863" t="inlineStr">
        <is>
          <t>VÄSTMANLANDS LÄN</t>
        </is>
      </c>
      <c r="E4863" t="inlineStr">
        <is>
          <t>VÄSTERÅS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45668</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45668</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45668</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60030-2024</t>
        </is>
      </c>
      <c r="B4867" s="1" t="n">
        <v>45642</v>
      </c>
      <c r="C4867" s="1" t="n">
        <v>45668</v>
      </c>
      <c r="D4867" t="inlineStr">
        <is>
          <t>VÄSTMANLANDS LÄN</t>
        </is>
      </c>
      <c r="E4867" t="inlineStr">
        <is>
          <t>SURAHAMMAR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60034-2024</t>
        </is>
      </c>
      <c r="B4868" s="1" t="n">
        <v>45642</v>
      </c>
      <c r="C4868" s="1" t="n">
        <v>45668</v>
      </c>
      <c r="D4868" t="inlineStr">
        <is>
          <t>VÄSTMANLANDS LÄN</t>
        </is>
      </c>
      <c r="E4868" t="inlineStr">
        <is>
          <t>SALA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60036-2024</t>
        </is>
      </c>
      <c r="B4869" s="1" t="n">
        <v>45642</v>
      </c>
      <c r="C4869" s="1" t="n">
        <v>45668</v>
      </c>
      <c r="D4869" t="inlineStr">
        <is>
          <t>VÄSTMANLANDS LÄN</t>
        </is>
      </c>
      <c r="E4869" t="inlineStr">
        <is>
          <t>SALA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60355-2024</t>
        </is>
      </c>
      <c r="B4870" s="1" t="n">
        <v>45643</v>
      </c>
      <c r="C4870" s="1" t="n">
        <v>45668</v>
      </c>
      <c r="D4870" t="inlineStr">
        <is>
          <t>VÄSTMANLANDS LÄN</t>
        </is>
      </c>
      <c r="E4870" t="inlineStr">
        <is>
          <t>SKINNSKATTEBERG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45668</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60541-2024</t>
        </is>
      </c>
      <c r="B4872" s="1" t="n">
        <v>45643</v>
      </c>
      <c r="C4872" s="1" t="n">
        <v>45668</v>
      </c>
      <c r="D4872" t="inlineStr">
        <is>
          <t>VÄSTMANLANDS LÄN</t>
        </is>
      </c>
      <c r="E4872" t="inlineStr">
        <is>
          <t>SALA</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60545-2024</t>
        </is>
      </c>
      <c r="B4873" s="1" t="n">
        <v>45643</v>
      </c>
      <c r="C4873" s="1" t="n">
        <v>45668</v>
      </c>
      <c r="D4873" t="inlineStr">
        <is>
          <t>VÄSTMANLANDS LÄN</t>
        </is>
      </c>
      <c r="E4873" t="inlineStr">
        <is>
          <t>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45668</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60550-2024</t>
        </is>
      </c>
      <c r="B4875" s="1" t="n">
        <v>45643</v>
      </c>
      <c r="C4875" s="1" t="n">
        <v>45668</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60547-2024</t>
        </is>
      </c>
      <c r="B4876" s="1" t="n">
        <v>45643</v>
      </c>
      <c r="C4876" s="1" t="n">
        <v>45668</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60736-2024</t>
        </is>
      </c>
      <c r="B4877" s="1" t="n">
        <v>45644</v>
      </c>
      <c r="C4877" s="1" t="n">
        <v>45668</v>
      </c>
      <c r="D4877" t="inlineStr">
        <is>
          <t>VÄSTMANLANDS LÄN</t>
        </is>
      </c>
      <c r="E4877" t="inlineStr">
        <is>
          <t>KUNGSÖR</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60754-2024</t>
        </is>
      </c>
      <c r="B4878" s="1" t="n">
        <v>45644</v>
      </c>
      <c r="C4878" s="1" t="n">
        <v>45668</v>
      </c>
      <c r="D4878" t="inlineStr">
        <is>
          <t>VÄSTMANLANDS LÄN</t>
        </is>
      </c>
      <c r="E4878" t="inlineStr">
        <is>
          <t>KUNGSÖR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45668</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60852-2024</t>
        </is>
      </c>
      <c r="B4880" s="1" t="n">
        <v>45644</v>
      </c>
      <c r="C4880" s="1" t="n">
        <v>45668</v>
      </c>
      <c r="D4880" t="inlineStr">
        <is>
          <t>VÄSTMANLANDS LÄN</t>
        </is>
      </c>
      <c r="E4880" t="inlineStr">
        <is>
          <t>SALA</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45668</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45668</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61001-2024</t>
        </is>
      </c>
      <c r="B4883" s="1" t="n">
        <v>45645</v>
      </c>
      <c r="C4883" s="1" t="n">
        <v>45668</v>
      </c>
      <c r="D4883" t="inlineStr">
        <is>
          <t>VÄSTMANLANDS LÄN</t>
        </is>
      </c>
      <c r="E4883" t="inlineStr">
        <is>
          <t>VÄSTERÅS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61018-2024</t>
        </is>
      </c>
      <c r="B4884" s="1" t="n">
        <v>45645</v>
      </c>
      <c r="C4884" s="1" t="n">
        <v>45668</v>
      </c>
      <c r="D4884" t="inlineStr">
        <is>
          <t>VÄSTMANLANDS LÄN</t>
        </is>
      </c>
      <c r="E4884" t="inlineStr">
        <is>
          <t>ARBOGA</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61006-2024</t>
        </is>
      </c>
      <c r="B4885" s="1" t="n">
        <v>45645</v>
      </c>
      <c r="C4885" s="1" t="n">
        <v>45668</v>
      </c>
      <c r="D4885" t="inlineStr">
        <is>
          <t>VÄSTMANLANDS LÄN</t>
        </is>
      </c>
      <c r="E4885" t="inlineStr">
        <is>
          <t>ARBOGA</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61029-2024</t>
        </is>
      </c>
      <c r="B4886" s="1" t="n">
        <v>45645</v>
      </c>
      <c r="C4886" s="1" t="n">
        <v>45668</v>
      </c>
      <c r="D4886" t="inlineStr">
        <is>
          <t>VÄSTMANLANDS LÄN</t>
        </is>
      </c>
      <c r="E4886" t="inlineStr">
        <is>
          <t>VÄSTERÅS</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61223-2024</t>
        </is>
      </c>
      <c r="B4887" s="1" t="n">
        <v>45645</v>
      </c>
      <c r="C4887" s="1" t="n">
        <v>45668</v>
      </c>
      <c r="D4887" t="inlineStr">
        <is>
          <t>VÄSTMANLANDS LÄN</t>
        </is>
      </c>
      <c r="E4887" t="inlineStr">
        <is>
          <t>KUNGSÖR</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61262-2024</t>
        </is>
      </c>
      <c r="B4888" s="1" t="n">
        <v>45645</v>
      </c>
      <c r="C4888" s="1" t="n">
        <v>45668</v>
      </c>
      <c r="D4888" t="inlineStr">
        <is>
          <t>VÄSTMANLANDS LÄN</t>
        </is>
      </c>
      <c r="E4888" t="inlineStr">
        <is>
          <t>KUNGSÖR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61026-2024</t>
        </is>
      </c>
      <c r="B4889" s="1" t="n">
        <v>45645</v>
      </c>
      <c r="C4889" s="1" t="n">
        <v>45668</v>
      </c>
      <c r="D4889" t="inlineStr">
        <is>
          <t>VÄSTMANLANDS LÄN</t>
        </is>
      </c>
      <c r="E4889" t="inlineStr">
        <is>
          <t>ARBOGA</t>
        </is>
      </c>
      <c r="F4889" t="inlineStr">
        <is>
          <t>Sveaskog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45668</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61264-2024</t>
        </is>
      </c>
      <c r="B4891" s="1" t="n">
        <v>45645</v>
      </c>
      <c r="C4891" s="1" t="n">
        <v>45668</v>
      </c>
      <c r="D4891" t="inlineStr">
        <is>
          <t>VÄSTMANLANDS LÄN</t>
        </is>
      </c>
      <c r="E4891" t="inlineStr">
        <is>
          <t>KUNGSÖR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45668</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61342-2024</t>
        </is>
      </c>
      <c r="B4893" s="1" t="n">
        <v>45646</v>
      </c>
      <c r="C4893" s="1" t="n">
        <v>45668</v>
      </c>
      <c r="D4893" t="inlineStr">
        <is>
          <t>VÄSTMANLANDS LÄN</t>
        </is>
      </c>
      <c r="E4893" t="inlineStr">
        <is>
          <t>KÖPING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61444-2024</t>
        </is>
      </c>
      <c r="B4894" s="1" t="n">
        <v>45646</v>
      </c>
      <c r="C4894" s="1" t="n">
        <v>45668</v>
      </c>
      <c r="D4894" t="inlineStr">
        <is>
          <t>VÄSTMANLANDS LÄN</t>
        </is>
      </c>
      <c r="E4894" t="inlineStr">
        <is>
          <t>SALA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61618-2024</t>
        </is>
      </c>
      <c r="B4895" s="1" t="n">
        <v>45646</v>
      </c>
      <c r="C4895" s="1" t="n">
        <v>45668</v>
      </c>
      <c r="D4895" t="inlineStr">
        <is>
          <t>VÄSTMANLANDS LÄN</t>
        </is>
      </c>
      <c r="E4895" t="inlineStr">
        <is>
          <t>KÖPING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61681-2024</t>
        </is>
      </c>
      <c r="B4896" s="1" t="n">
        <v>45647</v>
      </c>
      <c r="C4896" s="1" t="n">
        <v>45668</v>
      </c>
      <c r="D4896" t="inlineStr">
        <is>
          <t>VÄSTMANLANDS LÄN</t>
        </is>
      </c>
      <c r="E4896" t="inlineStr">
        <is>
          <t>SALA</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61683-2024</t>
        </is>
      </c>
      <c r="B4897" s="1" t="n">
        <v>45647</v>
      </c>
      <c r="C4897" s="1" t="n">
        <v>45668</v>
      </c>
      <c r="D4897" t="inlineStr">
        <is>
          <t>VÄSTMANLANDS LÄN</t>
        </is>
      </c>
      <c r="E4897" t="inlineStr">
        <is>
          <t>SALA</t>
        </is>
      </c>
      <c r="F4897" t="inlineStr">
        <is>
          <t>Kommuner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61717-2024</t>
        </is>
      </c>
      <c r="B4898" s="1" t="n">
        <v>45648</v>
      </c>
      <c r="C4898" s="1" t="n">
        <v>45668</v>
      </c>
      <c r="D4898" t="inlineStr">
        <is>
          <t>VÄSTMANLANDS LÄN</t>
        </is>
      </c>
      <c r="E4898" t="inlineStr">
        <is>
          <t>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45668</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45668</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45668</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45668</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45668</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322-2025</t>
        </is>
      </c>
      <c r="B4904" s="1" t="n">
        <v>45656</v>
      </c>
      <c r="C4904" s="1" t="n">
        <v>45668</v>
      </c>
      <c r="D4904" t="inlineStr">
        <is>
          <t>VÄSTMANLANDS LÄN</t>
        </is>
      </c>
      <c r="E4904" t="inlineStr">
        <is>
          <t>SKINNSKATTEBERG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45668</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45668</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199-2025</t>
        </is>
      </c>
      <c r="B4907" s="1" t="n">
        <v>45659</v>
      </c>
      <c r="C4907" s="1" t="n">
        <v>45668</v>
      </c>
      <c r="D4907" t="inlineStr">
        <is>
          <t>VÄSTMANLANDS LÄN</t>
        </is>
      </c>
      <c r="E4907" t="inlineStr">
        <is>
          <t>KÖPING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194-2025</t>
        </is>
      </c>
      <c r="B4908" s="1" t="n">
        <v>45659</v>
      </c>
      <c r="C4908" s="1" t="n">
        <v>45668</v>
      </c>
      <c r="D4908" t="inlineStr">
        <is>
          <t>VÄSTMANLANDS LÄN</t>
        </is>
      </c>
      <c r="E4908" t="inlineStr">
        <is>
          <t>FAGERSTA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494-2025</t>
        </is>
      </c>
      <c r="B4909" s="1" t="n">
        <v>45660</v>
      </c>
      <c r="C4909" s="1" t="n">
        <v>45668</v>
      </c>
      <c r="D4909" t="inlineStr">
        <is>
          <t>VÄSTMANLANDS LÄN</t>
        </is>
      </c>
      <c r="E4909" t="inlineStr">
        <is>
          <t>ARBOGA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508-2025</t>
        </is>
      </c>
      <c r="B4910" s="1" t="n">
        <v>45660</v>
      </c>
      <c r="C4910" s="1" t="n">
        <v>45668</v>
      </c>
      <c r="D4910" t="inlineStr">
        <is>
          <t>VÄSTMANLANDS LÄN</t>
        </is>
      </c>
      <c r="E4910" t="inlineStr">
        <is>
          <t>ARBOGA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45668</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45668</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744-2025</t>
        </is>
      </c>
      <c r="B4913" s="1" t="n">
        <v>45665</v>
      </c>
      <c r="C4913" s="1" t="n">
        <v>45668</v>
      </c>
      <c r="D4913" t="inlineStr">
        <is>
          <t>VÄSTMANLANDS LÄN</t>
        </is>
      </c>
      <c r="E4913" t="inlineStr">
        <is>
          <t>ARBOGA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813-2025</t>
        </is>
      </c>
      <c r="B4914" s="1" t="n">
        <v>45665</v>
      </c>
      <c r="C4914" s="1" t="n">
        <v>45668</v>
      </c>
      <c r="D4914" t="inlineStr">
        <is>
          <t>VÄSTMANLANDS LÄN</t>
        </is>
      </c>
      <c r="E4914" t="inlineStr">
        <is>
          <t>KÖPING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857-2025</t>
        </is>
      </c>
      <c r="B4915" s="1" t="n">
        <v>45665</v>
      </c>
      <c r="C4915" s="1" t="n">
        <v>45668</v>
      </c>
      <c r="D4915" t="inlineStr">
        <is>
          <t>VÄSTMANLANDS LÄN</t>
        </is>
      </c>
      <c r="E4915" t="inlineStr">
        <is>
          <t>KÖPING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815-2025</t>
        </is>
      </c>
      <c r="B4916" s="1" t="n">
        <v>45665</v>
      </c>
      <c r="C4916" s="1" t="n">
        <v>45668</v>
      </c>
      <c r="D4916" t="inlineStr">
        <is>
          <t>VÄSTMANLANDS LÄN</t>
        </is>
      </c>
      <c r="E4916" t="inlineStr">
        <is>
          <t>KÖPING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922-2025</t>
        </is>
      </c>
      <c r="B4917" s="1" t="n">
        <v>45665</v>
      </c>
      <c r="C4917" s="1" t="n">
        <v>45668</v>
      </c>
      <c r="D4917" t="inlineStr">
        <is>
          <t>VÄSTMANLANDS LÄN</t>
        </is>
      </c>
      <c r="E4917" t="inlineStr">
        <is>
          <t>SALA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895-2025</t>
        </is>
      </c>
      <c r="B4918" s="1" t="n">
        <v>45665</v>
      </c>
      <c r="C4918" s="1" t="n">
        <v>45668</v>
      </c>
      <c r="D4918" t="inlineStr">
        <is>
          <t>VÄSTMANLANDS LÄN</t>
        </is>
      </c>
      <c r="E4918" t="inlineStr">
        <is>
          <t>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818-2025</t>
        </is>
      </c>
      <c r="B4919" s="1" t="n">
        <v>45665</v>
      </c>
      <c r="C4919" s="1" t="n">
        <v>45668</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876-2025</t>
        </is>
      </c>
      <c r="B4920" s="1" t="n">
        <v>45665</v>
      </c>
      <c r="C4920" s="1" t="n">
        <v>45668</v>
      </c>
      <c r="D4920" t="inlineStr">
        <is>
          <t>VÄSTMANLANDS LÄN</t>
        </is>
      </c>
      <c r="E4920" t="inlineStr">
        <is>
          <t>SALA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1043-2025</t>
        </is>
      </c>
      <c r="B4921" s="1" t="n">
        <v>45666</v>
      </c>
      <c r="C4921" s="1" t="n">
        <v>45668</v>
      </c>
      <c r="D4921" t="inlineStr">
        <is>
          <t>VÄSTMANLANDS LÄN</t>
        </is>
      </c>
      <c r="E4921" t="inlineStr">
        <is>
          <t>KUNGSÖR</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1128-2025</t>
        </is>
      </c>
      <c r="B4922" s="1" t="n">
        <v>45666</v>
      </c>
      <c r="C4922" s="1" t="n">
        <v>45668</v>
      </c>
      <c r="D4922" t="inlineStr">
        <is>
          <t>VÄSTMANLANDS LÄN</t>
        </is>
      </c>
      <c r="E4922" t="inlineStr">
        <is>
          <t>SALA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947-2025</t>
        </is>
      </c>
      <c r="B4923" s="1" t="n">
        <v>45666</v>
      </c>
      <c r="C4923" s="1" t="n">
        <v>45668</v>
      </c>
      <c r="D4923" t="inlineStr">
        <is>
          <t>VÄSTMANLANDS LÄN</t>
        </is>
      </c>
      <c r="E4923" t="inlineStr">
        <is>
          <t>ARBOGA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1042-2025</t>
        </is>
      </c>
      <c r="B4924" s="1" t="n">
        <v>45666</v>
      </c>
      <c r="C4924" s="1" t="n">
        <v>45668</v>
      </c>
      <c r="D4924" t="inlineStr">
        <is>
          <t>VÄSTMANLANDS LÄN</t>
        </is>
      </c>
      <c r="E4924" t="inlineStr">
        <is>
          <t>KUNGSÖR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988-2025</t>
        </is>
      </c>
      <c r="B4925" s="1" t="n">
        <v>45666</v>
      </c>
      <c r="C4925" s="1" t="n">
        <v>45668</v>
      </c>
      <c r="D4925" t="inlineStr">
        <is>
          <t>VÄSTMANLANDS LÄN</t>
        </is>
      </c>
      <c r="E4925" t="inlineStr">
        <is>
          <t>SALA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996-2025</t>
        </is>
      </c>
      <c r="B4926" s="1" t="n">
        <v>45666</v>
      </c>
      <c r="C4926" s="1" t="n">
        <v>45668</v>
      </c>
      <c r="D4926" t="inlineStr">
        <is>
          <t>VÄSTMANLANDS LÄN</t>
        </is>
      </c>
      <c r="E4926" t="inlineStr">
        <is>
          <t>SALA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1040-2025</t>
        </is>
      </c>
      <c r="B4927" s="1" t="n">
        <v>45666</v>
      </c>
      <c r="C4927" s="1" t="n">
        <v>45668</v>
      </c>
      <c r="D4927" t="inlineStr">
        <is>
          <t>VÄSTMANLANDS LÄN</t>
        </is>
      </c>
      <c r="E4927" t="inlineStr">
        <is>
          <t>KUNGSÖR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1181-2025</t>
        </is>
      </c>
      <c r="B4928" s="1" t="n">
        <v>45667</v>
      </c>
      <c r="C4928" s="1" t="n">
        <v>45668</v>
      </c>
      <c r="D4928" t="inlineStr">
        <is>
          <t>VÄSTMANLANDS LÄN</t>
        </is>
      </c>
      <c r="E4928" t="inlineStr">
        <is>
          <t>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1363-2025</t>
        </is>
      </c>
      <c r="B4929" s="1" t="n">
        <v>45667</v>
      </c>
      <c r="C4929" s="1" t="n">
        <v>45668</v>
      </c>
      <c r="D4929" t="inlineStr">
        <is>
          <t>VÄSTMANLANDS LÄN</t>
        </is>
      </c>
      <c r="E4929" t="inlineStr">
        <is>
          <t>ARBOGA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1375-2025</t>
        </is>
      </c>
      <c r="B4930" s="1" t="n">
        <v>45667</v>
      </c>
      <c r="C4930" s="1" t="n">
        <v>45668</v>
      </c>
      <c r="D4930" t="inlineStr">
        <is>
          <t>VÄSTMANLANDS LÄN</t>
        </is>
      </c>
      <c r="E4930" t="inlineStr">
        <is>
          <t>ARBOGA</t>
        </is>
      </c>
      <c r="G4930" t="n">
        <v>0.8</v>
      </c>
      <c r="H4930" t="n">
        <v>0</v>
      </c>
      <c r="I4930" t="n">
        <v>0</v>
      </c>
      <c r="J4930" t="n">
        <v>0</v>
      </c>
      <c r="K4930" t="n">
        <v>0</v>
      </c>
      <c r="L4930" t="n">
        <v>0</v>
      </c>
      <c r="M4930" t="n">
        <v>0</v>
      </c>
      <c r="N4930" t="n">
        <v>0</v>
      </c>
      <c r="O4930" t="n">
        <v>0</v>
      </c>
      <c r="P4930" t="n">
        <v>0</v>
      </c>
      <c r="Q4930" t="n">
        <v>0</v>
      </c>
      <c r="R4930" s="2" t="inlineStr"/>
    </row>
    <row r="4931">
      <c r="A4931" t="inlineStr">
        <is>
          <t>A 1387-2025</t>
        </is>
      </c>
      <c r="B4931" s="1" t="n">
        <v>45667</v>
      </c>
      <c r="C4931" s="1" t="n">
        <v>45668</v>
      </c>
      <c r="D4931" t="inlineStr">
        <is>
          <t>VÄSTMANLANDS LÄN</t>
        </is>
      </c>
      <c r="E4931" t="inlineStr">
        <is>
          <t>KÖPING</t>
        </is>
      </c>
      <c r="G4931" t="n">
        <v>1.5</v>
      </c>
      <c r="H4931" t="n">
        <v>0</v>
      </c>
      <c r="I4931" t="n">
        <v>0</v>
      </c>
      <c r="J4931" t="n">
        <v>0</v>
      </c>
      <c r="K4931" t="n">
        <v>0</v>
      </c>
      <c r="L4931" t="n">
        <v>0</v>
      </c>
      <c r="M4931" t="n">
        <v>0</v>
      </c>
      <c r="N4931" t="n">
        <v>0</v>
      </c>
      <c r="O4931" t="n">
        <v>0</v>
      </c>
      <c r="P4931" t="n">
        <v>0</v>
      </c>
      <c r="Q4931" t="n">
        <v>0</v>
      </c>
      <c r="R4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2025-01-11T15:52:45Z</dcterms:created>
  <dcterms:modified xmlns:dcterms="http://purl.org/dc/terms/" xmlns:xsi="http://www.w3.org/2001/XMLSchema-instance" xsi:type="dcterms:W3CDTF">2025-01-11T15:52:50Z</dcterms:modified>
</cp:coreProperties>
</file>