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45821</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45821</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45821</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45821</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45821</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45821</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45821</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45821</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45821</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45821</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45821</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45821</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45821</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45821</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45821</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45821</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45821</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45821</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45821</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45821</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45821</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45821</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45821</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45821</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45821</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45821</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45821</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45821</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45821</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45821</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45821</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45821</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45821</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45821</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45821</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45821</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45821</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45821</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45821</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45821</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45821</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45821</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45821</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45821</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45821</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45821</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45821</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45821</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45821</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45821</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45821</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45821</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45821</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45821</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45821</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45821</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45821</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45821</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45821</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45821</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45821</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45821</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45821</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45821</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45821</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45821</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45821</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45821</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45821</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45821</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45821</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45821</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45821</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45821</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45821</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45821</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45821</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45821</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45821</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45821</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45821</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45821</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45821</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45821</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45821</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45821</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45821</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45821</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45821</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45821</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45821</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45821</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45821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45821</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45821</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45821</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45821</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45821</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45821</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45821</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45821</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45821</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45821</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45821</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45821</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45821</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45821</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45821</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45821</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45821</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45821</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45821</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45821</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45821</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45821</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45821</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45821</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45821</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45821</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45821</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45821</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45821</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45821</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45821</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45821</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45821</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45821</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45821</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45821</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45821</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45821</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45821</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45821</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45821</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45821</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45821</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45821</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45821</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45821</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45821</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45821</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45821</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45821</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45821</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45821</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45821</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45821</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45821</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45821</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45821</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45821</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45821</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45821</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45821</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45821</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45821</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45821</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45821</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45821</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45821</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45821</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45821</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45821</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45821</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45821</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45821</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45821</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45821</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45821</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45821</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45821</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45821</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45821</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45821</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45821</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45821</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45821</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45821</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45821</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45821</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45821</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45821</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45821</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45821</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45821</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45821</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45821</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45821</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45821</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45821</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45821</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45821</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45821</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45821</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45821</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45821</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45821</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45821</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45821</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45821</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45821</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45821</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45821</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45821</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45821</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45821</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45821</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45821</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45821</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45821</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45821</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45821</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45821</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45821</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45821</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45821</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45821</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45821</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45821</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45821</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45821</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45821</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45821</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45821</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45821</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45821</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45821</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45821</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45821</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45821</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45821</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45821</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45821</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45821</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45821</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45821</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45821</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45821</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45821</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45821</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45821</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45821</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45821</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45821</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45821</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26700-2022</t>
        </is>
      </c>
      <c r="B324" s="1" t="n">
        <v>44739</v>
      </c>
      <c r="C324" s="1" t="n">
        <v>45821</v>
      </c>
      <c r="D324" t="inlineStr">
        <is>
          <t>VÄSTMANLANDS LÄN</t>
        </is>
      </c>
      <c r="E324" t="inlineStr">
        <is>
          <t>SURAHAMMAR</t>
        </is>
      </c>
      <c r="F324" t="inlineStr">
        <is>
          <t>Kommuner</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HYPERLINK("https://klasma.github.io/Logging_1907/artfynd/A 26700-2022 artfynd.xlsx", "A 26700-2022")</f>
        <v/>
      </c>
      <c r="T324">
        <f>HYPERLINK("https://klasma.github.io/Logging_1907/kartor/A 26700-2022 karta.png", "A 26700-2022")</f>
        <v/>
      </c>
      <c r="V324">
        <f>HYPERLINK("https://klasma.github.io/Logging_1907/klagomål/A 26700-2022 FSC-klagomål.docx", "A 26700-2022")</f>
        <v/>
      </c>
      <c r="W324">
        <f>HYPERLINK("https://klasma.github.io/Logging_1907/klagomålsmail/A 26700-2022 FSC-klagomål mail.docx", "A 26700-2022")</f>
        <v/>
      </c>
      <c r="X324">
        <f>HYPERLINK("https://klasma.github.io/Logging_1907/tillsyn/A 26700-2022 tillsynsbegäran.docx", "A 26700-2022")</f>
        <v/>
      </c>
      <c r="Y324">
        <f>HYPERLINK("https://klasma.github.io/Logging_1907/tillsynsmail/A 26700-2022 tillsynsbegäran mail.docx", "A 26700-2022")</f>
        <v/>
      </c>
    </row>
    <row r="325" ht="15" customHeight="1">
      <c r="A325" t="inlineStr">
        <is>
          <t>A 28435-2022</t>
        </is>
      </c>
      <c r="B325" s="1" t="n">
        <v>44747</v>
      </c>
      <c r="C325" s="1" t="n">
        <v>45821</v>
      </c>
      <c r="D325" t="inlineStr">
        <is>
          <t>VÄSTMANLANDS LÄN</t>
        </is>
      </c>
      <c r="E325" t="inlineStr">
        <is>
          <t>FAGERSTA</t>
        </is>
      </c>
      <c r="F325" t="inlineStr">
        <is>
          <t>Sveaskog</t>
        </is>
      </c>
      <c r="G325" t="n">
        <v>0.9</v>
      </c>
      <c r="H325" t="n">
        <v>0</v>
      </c>
      <c r="I325" t="n">
        <v>0</v>
      </c>
      <c r="J325" t="n">
        <v>1</v>
      </c>
      <c r="K325" t="n">
        <v>0</v>
      </c>
      <c r="L325" t="n">
        <v>0</v>
      </c>
      <c r="M325" t="n">
        <v>0</v>
      </c>
      <c r="N325" t="n">
        <v>0</v>
      </c>
      <c r="O325" t="n">
        <v>1</v>
      </c>
      <c r="P325" t="n">
        <v>0</v>
      </c>
      <c r="Q325" t="n">
        <v>1</v>
      </c>
      <c r="R325" s="2" t="inlineStr">
        <is>
          <t>Stjärntagging</t>
        </is>
      </c>
      <c r="S325">
        <f>HYPERLINK("https://klasma.github.io/Logging_1982/artfynd/A 28435-2022 artfynd.xlsx", "A 28435-2022")</f>
        <v/>
      </c>
      <c r="T325">
        <f>HYPERLINK("https://klasma.github.io/Logging_1982/kartor/A 28435-2022 karta.png", "A 28435-2022")</f>
        <v/>
      </c>
      <c r="V325">
        <f>HYPERLINK("https://klasma.github.io/Logging_1982/klagomål/A 28435-2022 FSC-klagomål.docx", "A 28435-2022")</f>
        <v/>
      </c>
      <c r="W325">
        <f>HYPERLINK("https://klasma.github.io/Logging_1982/klagomålsmail/A 28435-2022 FSC-klagomål mail.docx", "A 28435-2022")</f>
        <v/>
      </c>
      <c r="X325">
        <f>HYPERLINK("https://klasma.github.io/Logging_1982/tillsyn/A 28435-2022 tillsynsbegäran.docx", "A 28435-2022")</f>
        <v/>
      </c>
      <c r="Y325">
        <f>HYPERLINK("https://klasma.github.io/Logging_1982/tillsynsmail/A 28435-2022 tillsynsbegäran mail.docx", "A 28435-2022")</f>
        <v/>
      </c>
    </row>
    <row r="326" ht="15" customHeight="1">
      <c r="A326" t="inlineStr">
        <is>
          <t>A 29532-2022</t>
        </is>
      </c>
      <c r="B326" s="1" t="n">
        <v>44753</v>
      </c>
      <c r="C326" s="1" t="n">
        <v>45821</v>
      </c>
      <c r="D326" t="inlineStr">
        <is>
          <t>VÄSTMANLANDS LÄN</t>
        </is>
      </c>
      <c r="E326" t="inlineStr">
        <is>
          <t>FAGERSTA</t>
        </is>
      </c>
      <c r="G326" t="n">
        <v>4.7</v>
      </c>
      <c r="H326" t="n">
        <v>0</v>
      </c>
      <c r="I326" t="n">
        <v>1</v>
      </c>
      <c r="J326" t="n">
        <v>0</v>
      </c>
      <c r="K326" t="n">
        <v>0</v>
      </c>
      <c r="L326" t="n">
        <v>0</v>
      </c>
      <c r="M326" t="n">
        <v>0</v>
      </c>
      <c r="N326" t="n">
        <v>0</v>
      </c>
      <c r="O326" t="n">
        <v>0</v>
      </c>
      <c r="P326" t="n">
        <v>0</v>
      </c>
      <c r="Q326" t="n">
        <v>1</v>
      </c>
      <c r="R326" s="2" t="inlineStr">
        <is>
          <t>Hagfingersvamp</t>
        </is>
      </c>
      <c r="S326">
        <f>HYPERLINK("https://klasma.github.io/Logging_1982/artfynd/A 29532-2022 artfynd.xlsx", "A 29532-2022")</f>
        <v/>
      </c>
      <c r="T326">
        <f>HYPERLINK("https://klasma.github.io/Logging_1982/kartor/A 29532-2022 karta.png", "A 29532-2022")</f>
        <v/>
      </c>
      <c r="V326">
        <f>HYPERLINK("https://klasma.github.io/Logging_1982/klagomål/A 29532-2022 FSC-klagomål.docx", "A 29532-2022")</f>
        <v/>
      </c>
      <c r="W326">
        <f>HYPERLINK("https://klasma.github.io/Logging_1982/klagomålsmail/A 29532-2022 FSC-klagomål mail.docx", "A 29532-2022")</f>
        <v/>
      </c>
      <c r="X326">
        <f>HYPERLINK("https://klasma.github.io/Logging_1982/tillsyn/A 29532-2022 tillsynsbegäran.docx", "A 29532-2022")</f>
        <v/>
      </c>
      <c r="Y326">
        <f>HYPERLINK("https://klasma.github.io/Logging_1982/tillsynsmail/A 29532-2022 tillsynsbegäran mail.docx", "A 29532-2022")</f>
        <v/>
      </c>
    </row>
    <row r="327" ht="15" customHeight="1">
      <c r="A327" t="inlineStr">
        <is>
          <t>A 29985-2022</t>
        </is>
      </c>
      <c r="B327" s="1" t="n">
        <v>44756</v>
      </c>
      <c r="C327" s="1" t="n">
        <v>45821</v>
      </c>
      <c r="D327" t="inlineStr">
        <is>
          <t>VÄSTMANLANDS LÄN</t>
        </is>
      </c>
      <c r="E327" t="inlineStr">
        <is>
          <t>SALA</t>
        </is>
      </c>
      <c r="F327" t="inlineStr">
        <is>
          <t>Kommuner</t>
        </is>
      </c>
      <c r="G327" t="n">
        <v>1</v>
      </c>
      <c r="H327" t="n">
        <v>1</v>
      </c>
      <c r="I327" t="n">
        <v>1</v>
      </c>
      <c r="J327" t="n">
        <v>0</v>
      </c>
      <c r="K327" t="n">
        <v>0</v>
      </c>
      <c r="L327" t="n">
        <v>0</v>
      </c>
      <c r="M327" t="n">
        <v>0</v>
      </c>
      <c r="N327" t="n">
        <v>0</v>
      </c>
      <c r="O327" t="n">
        <v>0</v>
      </c>
      <c r="P327" t="n">
        <v>0</v>
      </c>
      <c r="Q327" t="n">
        <v>1</v>
      </c>
      <c r="R327" s="2" t="inlineStr">
        <is>
          <t>Skogsknipprot</t>
        </is>
      </c>
      <c r="S327">
        <f>HYPERLINK("https://klasma.github.io/Logging_1981/artfynd/A 29985-2022 artfynd.xlsx", "A 29985-2022")</f>
        <v/>
      </c>
      <c r="T327">
        <f>HYPERLINK("https://klasma.github.io/Logging_1981/kartor/A 29985-2022 karta.png", "A 29985-2022")</f>
        <v/>
      </c>
      <c r="V327">
        <f>HYPERLINK("https://klasma.github.io/Logging_1981/klagomål/A 29985-2022 FSC-klagomål.docx", "A 29985-2022")</f>
        <v/>
      </c>
      <c r="W327">
        <f>HYPERLINK("https://klasma.github.io/Logging_1981/klagomålsmail/A 29985-2022 FSC-klagomål mail.docx", "A 29985-2022")</f>
        <v/>
      </c>
      <c r="X327">
        <f>HYPERLINK("https://klasma.github.io/Logging_1981/tillsyn/A 29985-2022 tillsynsbegäran.docx", "A 29985-2022")</f>
        <v/>
      </c>
      <c r="Y327">
        <f>HYPERLINK("https://klasma.github.io/Logging_1981/tillsynsmail/A 29985-2022 tillsynsbegäran mail.docx", "A 29985-2022")</f>
        <v/>
      </c>
    </row>
    <row r="328" ht="15" customHeight="1">
      <c r="A328" t="inlineStr">
        <is>
          <t>A 30319-2022</t>
        </is>
      </c>
      <c r="B328" s="1" t="n">
        <v>44760</v>
      </c>
      <c r="C328" s="1" t="n">
        <v>45821</v>
      </c>
      <c r="D328" t="inlineStr">
        <is>
          <t>VÄSTMANLANDS LÄN</t>
        </is>
      </c>
      <c r="E328" t="inlineStr">
        <is>
          <t>VÄSTERÅS</t>
        </is>
      </c>
      <c r="G328" t="n">
        <v>4.3</v>
      </c>
      <c r="H328" t="n">
        <v>1</v>
      </c>
      <c r="I328" t="n">
        <v>0</v>
      </c>
      <c r="J328" t="n">
        <v>0</v>
      </c>
      <c r="K328" t="n">
        <v>1</v>
      </c>
      <c r="L328" t="n">
        <v>0</v>
      </c>
      <c r="M328" t="n">
        <v>0</v>
      </c>
      <c r="N328" t="n">
        <v>0</v>
      </c>
      <c r="O328" t="n">
        <v>1</v>
      </c>
      <c r="P328" t="n">
        <v>1</v>
      </c>
      <c r="Q328" t="n">
        <v>1</v>
      </c>
      <c r="R328" s="2" t="inlineStr">
        <is>
          <t>Backsippa</t>
        </is>
      </c>
      <c r="S328">
        <f>HYPERLINK("https://klasma.github.io/Logging_1980/artfynd/A 30319-2022 artfynd.xlsx", "A 30319-2022")</f>
        <v/>
      </c>
      <c r="T328">
        <f>HYPERLINK("https://klasma.github.io/Logging_1980/kartor/A 30319-2022 karta.png", "A 30319-2022")</f>
        <v/>
      </c>
      <c r="V328">
        <f>HYPERLINK("https://klasma.github.io/Logging_1980/klagomål/A 30319-2022 FSC-klagomål.docx", "A 30319-2022")</f>
        <v/>
      </c>
      <c r="W328">
        <f>HYPERLINK("https://klasma.github.io/Logging_1980/klagomålsmail/A 30319-2022 FSC-klagomål mail.docx", "A 30319-2022")</f>
        <v/>
      </c>
      <c r="X328">
        <f>HYPERLINK("https://klasma.github.io/Logging_1980/tillsyn/A 30319-2022 tillsynsbegäran.docx", "A 30319-2022")</f>
        <v/>
      </c>
      <c r="Y328">
        <f>HYPERLINK("https://klasma.github.io/Logging_1980/tillsynsmail/A 30319-2022 tillsynsbegäran mail.docx", "A 30319-2022")</f>
        <v/>
      </c>
    </row>
    <row r="329" ht="15" customHeight="1">
      <c r="A329" t="inlineStr">
        <is>
          <t>A 30759-2022</t>
        </is>
      </c>
      <c r="B329" s="1" t="n">
        <v>44764</v>
      </c>
      <c r="C329" s="1" t="n">
        <v>45821</v>
      </c>
      <c r="D329" t="inlineStr">
        <is>
          <t>VÄSTMANLANDS LÄN</t>
        </is>
      </c>
      <c r="E329" t="inlineStr">
        <is>
          <t>VÄSTERÅS</t>
        </is>
      </c>
      <c r="F329" t="inlineStr">
        <is>
          <t>Kommuner</t>
        </is>
      </c>
      <c r="G329" t="n">
        <v>0.8</v>
      </c>
      <c r="H329" t="n">
        <v>1</v>
      </c>
      <c r="I329" t="n">
        <v>0</v>
      </c>
      <c r="J329" t="n">
        <v>0</v>
      </c>
      <c r="K329" t="n">
        <v>0</v>
      </c>
      <c r="L329" t="n">
        <v>0</v>
      </c>
      <c r="M329" t="n">
        <v>0</v>
      </c>
      <c r="N329" t="n">
        <v>0</v>
      </c>
      <c r="O329" t="n">
        <v>0</v>
      </c>
      <c r="P329" t="n">
        <v>0</v>
      </c>
      <c r="Q329" t="n">
        <v>1</v>
      </c>
      <c r="R329" s="2" t="inlineStr">
        <is>
          <t>Blåsippa</t>
        </is>
      </c>
      <c r="S329">
        <f>HYPERLINK("https://klasma.github.io/Logging_1980/artfynd/A 30759-2022 artfynd.xlsx", "A 30759-2022")</f>
        <v/>
      </c>
      <c r="T329">
        <f>HYPERLINK("https://klasma.github.io/Logging_1980/kartor/A 30759-2022 karta.png", "A 30759-2022")</f>
        <v/>
      </c>
      <c r="V329">
        <f>HYPERLINK("https://klasma.github.io/Logging_1980/klagomål/A 30759-2022 FSC-klagomål.docx", "A 30759-2022")</f>
        <v/>
      </c>
      <c r="W329">
        <f>HYPERLINK("https://klasma.github.io/Logging_1980/klagomålsmail/A 30759-2022 FSC-klagomål mail.docx", "A 30759-2022")</f>
        <v/>
      </c>
      <c r="X329">
        <f>HYPERLINK("https://klasma.github.io/Logging_1980/tillsyn/A 30759-2022 tillsynsbegäran.docx", "A 30759-2022")</f>
        <v/>
      </c>
      <c r="Y329">
        <f>HYPERLINK("https://klasma.github.io/Logging_1980/tillsynsmail/A 30759-2022 tillsynsbegäran mail.docx", "A 30759-2022")</f>
        <v/>
      </c>
    </row>
    <row r="330" ht="15" customHeight="1">
      <c r="A330" t="inlineStr">
        <is>
          <t>A 31568-2022</t>
        </is>
      </c>
      <c r="B330" s="1" t="n">
        <v>44775</v>
      </c>
      <c r="C330" s="1" t="n">
        <v>45821</v>
      </c>
      <c r="D330" t="inlineStr">
        <is>
          <t>VÄSTMANLANDS LÄN</t>
        </is>
      </c>
      <c r="E330" t="inlineStr">
        <is>
          <t>VÄSTERÅS</t>
        </is>
      </c>
      <c r="F330" t="inlineStr">
        <is>
          <t>Kommuner</t>
        </is>
      </c>
      <c r="G330" t="n">
        <v>6.2</v>
      </c>
      <c r="H330" t="n">
        <v>0</v>
      </c>
      <c r="I330" t="n">
        <v>0</v>
      </c>
      <c r="J330" t="n">
        <v>1</v>
      </c>
      <c r="K330" t="n">
        <v>0</v>
      </c>
      <c r="L330" t="n">
        <v>0</v>
      </c>
      <c r="M330" t="n">
        <v>0</v>
      </c>
      <c r="N330" t="n">
        <v>0</v>
      </c>
      <c r="O330" t="n">
        <v>1</v>
      </c>
      <c r="P330" t="n">
        <v>0</v>
      </c>
      <c r="Q330" t="n">
        <v>1</v>
      </c>
      <c r="R330" s="2" t="inlineStr">
        <is>
          <t>Ekticka</t>
        </is>
      </c>
      <c r="S330">
        <f>HYPERLINK("https://klasma.github.io/Logging_1980/artfynd/A 31568-2022 artfynd.xlsx", "A 31568-2022")</f>
        <v/>
      </c>
      <c r="T330">
        <f>HYPERLINK("https://klasma.github.io/Logging_1980/kartor/A 31568-2022 karta.png", "A 31568-2022")</f>
        <v/>
      </c>
      <c r="V330">
        <f>HYPERLINK("https://klasma.github.io/Logging_1980/klagomål/A 31568-2022 FSC-klagomål.docx", "A 31568-2022")</f>
        <v/>
      </c>
      <c r="W330">
        <f>HYPERLINK("https://klasma.github.io/Logging_1980/klagomålsmail/A 31568-2022 FSC-klagomål mail.docx", "A 31568-2022")</f>
        <v/>
      </c>
      <c r="X330">
        <f>HYPERLINK("https://klasma.github.io/Logging_1980/tillsyn/A 31568-2022 tillsynsbegäran.docx", "A 31568-2022")</f>
        <v/>
      </c>
      <c r="Y330">
        <f>HYPERLINK("https://klasma.github.io/Logging_1980/tillsynsmail/A 31568-2022 tillsynsbegäran mail.docx", "A 31568-2022")</f>
        <v/>
      </c>
    </row>
    <row r="331" ht="15" customHeight="1">
      <c r="A331" t="inlineStr">
        <is>
          <t>A 39099-2022</t>
        </is>
      </c>
      <c r="B331" s="1" t="n">
        <v>44817</v>
      </c>
      <c r="C331" s="1" t="n">
        <v>45821</v>
      </c>
      <c r="D331" t="inlineStr">
        <is>
          <t>VÄSTMANLANDS LÄN</t>
        </is>
      </c>
      <c r="E331" t="inlineStr">
        <is>
          <t>SURAHAMMAR</t>
        </is>
      </c>
      <c r="F331" t="inlineStr">
        <is>
          <t>Bergvik skog väst AB</t>
        </is>
      </c>
      <c r="G331" t="n">
        <v>7.4</v>
      </c>
      <c r="H331" t="n">
        <v>0</v>
      </c>
      <c r="I331" t="n">
        <v>1</v>
      </c>
      <c r="J331" t="n">
        <v>0</v>
      </c>
      <c r="K331" t="n">
        <v>0</v>
      </c>
      <c r="L331" t="n">
        <v>0</v>
      </c>
      <c r="M331" t="n">
        <v>0</v>
      </c>
      <c r="N331" t="n">
        <v>0</v>
      </c>
      <c r="O331" t="n">
        <v>0</v>
      </c>
      <c r="P331" t="n">
        <v>0</v>
      </c>
      <c r="Q331" t="n">
        <v>1</v>
      </c>
      <c r="R331" s="2" t="inlineStr">
        <is>
          <t>Stekelbock</t>
        </is>
      </c>
      <c r="S331">
        <f>HYPERLINK("https://klasma.github.io/Logging_1907/artfynd/A 39099-2022 artfynd.xlsx", "A 39099-2022")</f>
        <v/>
      </c>
      <c r="T331">
        <f>HYPERLINK("https://klasma.github.io/Logging_1907/kartor/A 39099-2022 karta.png", "A 39099-2022")</f>
        <v/>
      </c>
      <c r="V331">
        <f>HYPERLINK("https://klasma.github.io/Logging_1907/klagomål/A 39099-2022 FSC-klagomål.docx", "A 39099-2022")</f>
        <v/>
      </c>
      <c r="W331">
        <f>HYPERLINK("https://klasma.github.io/Logging_1907/klagomålsmail/A 39099-2022 FSC-klagomål mail.docx", "A 39099-2022")</f>
        <v/>
      </c>
      <c r="X331">
        <f>HYPERLINK("https://klasma.github.io/Logging_1907/tillsyn/A 39099-2022 tillsynsbegäran.docx", "A 39099-2022")</f>
        <v/>
      </c>
      <c r="Y331">
        <f>HYPERLINK("https://klasma.github.io/Logging_1907/tillsynsmail/A 39099-2022 tillsynsbegäran mail.docx", "A 39099-2022")</f>
        <v/>
      </c>
    </row>
    <row r="332" ht="15" customHeight="1">
      <c r="A332" t="inlineStr">
        <is>
          <t>A 41745-2022</t>
        </is>
      </c>
      <c r="B332" s="1" t="n">
        <v>44827</v>
      </c>
      <c r="C332" s="1" t="n">
        <v>45821</v>
      </c>
      <c r="D332" t="inlineStr">
        <is>
          <t>VÄSTMANLANDS LÄN</t>
        </is>
      </c>
      <c r="E332" t="inlineStr">
        <is>
          <t>NORBERG</t>
        </is>
      </c>
      <c r="G332" t="n">
        <v>12.7</v>
      </c>
      <c r="H332" t="n">
        <v>1</v>
      </c>
      <c r="I332" t="n">
        <v>0</v>
      </c>
      <c r="J332" t="n">
        <v>1</v>
      </c>
      <c r="K332" t="n">
        <v>0</v>
      </c>
      <c r="L332" t="n">
        <v>0</v>
      </c>
      <c r="M332" t="n">
        <v>0</v>
      </c>
      <c r="N332" t="n">
        <v>0</v>
      </c>
      <c r="O332" t="n">
        <v>1</v>
      </c>
      <c r="P332" t="n">
        <v>0</v>
      </c>
      <c r="Q332" t="n">
        <v>1</v>
      </c>
      <c r="R332" s="2" t="inlineStr">
        <is>
          <t>Järpe</t>
        </is>
      </c>
      <c r="S332">
        <f>HYPERLINK("https://klasma.github.io/Logging_1962/artfynd/A 41745-2022 artfynd.xlsx", "A 41745-2022")</f>
        <v/>
      </c>
      <c r="T332">
        <f>HYPERLINK("https://klasma.github.io/Logging_1962/kartor/A 41745-2022 karta.png", "A 41745-2022")</f>
        <v/>
      </c>
      <c r="V332">
        <f>HYPERLINK("https://klasma.github.io/Logging_1962/klagomål/A 41745-2022 FSC-klagomål.docx", "A 41745-2022")</f>
        <v/>
      </c>
      <c r="W332">
        <f>HYPERLINK("https://klasma.github.io/Logging_1962/klagomålsmail/A 41745-2022 FSC-klagomål mail.docx", "A 41745-2022")</f>
        <v/>
      </c>
      <c r="X332">
        <f>HYPERLINK("https://klasma.github.io/Logging_1962/tillsyn/A 41745-2022 tillsynsbegäran.docx", "A 41745-2022")</f>
        <v/>
      </c>
      <c r="Y332">
        <f>HYPERLINK("https://klasma.github.io/Logging_1962/tillsynsmail/A 41745-2022 tillsynsbegäran mail.docx", "A 41745-2022")</f>
        <v/>
      </c>
      <c r="Z332">
        <f>HYPERLINK("https://klasma.github.io/Logging_1962/fåglar/A 41745-2022 prioriterade fågelarter.docx", "A 41745-2022")</f>
        <v/>
      </c>
    </row>
    <row r="333" ht="15" customHeight="1">
      <c r="A333" t="inlineStr">
        <is>
          <t>A 42765-2022</t>
        </is>
      </c>
      <c r="B333" s="1" t="n">
        <v>44832</v>
      </c>
      <c r="C333" s="1" t="n">
        <v>45821</v>
      </c>
      <c r="D333" t="inlineStr">
        <is>
          <t>VÄSTMANLANDS LÄN</t>
        </is>
      </c>
      <c r="E333" t="inlineStr">
        <is>
          <t>SURAHAMMAR</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HYPERLINK("https://klasma.github.io/Logging_1907/artfynd/A 42765-2022 artfynd.xlsx", "A 42765-2022")</f>
        <v/>
      </c>
      <c r="T333">
        <f>HYPERLINK("https://klasma.github.io/Logging_1907/kartor/A 42765-2022 karta.png", "A 42765-2022")</f>
        <v/>
      </c>
      <c r="V333">
        <f>HYPERLINK("https://klasma.github.io/Logging_1907/klagomål/A 42765-2022 FSC-klagomål.docx", "A 42765-2022")</f>
        <v/>
      </c>
      <c r="W333">
        <f>HYPERLINK("https://klasma.github.io/Logging_1907/klagomålsmail/A 42765-2022 FSC-klagomål mail.docx", "A 42765-2022")</f>
        <v/>
      </c>
      <c r="X333">
        <f>HYPERLINK("https://klasma.github.io/Logging_1907/tillsyn/A 42765-2022 tillsynsbegäran.docx", "A 42765-2022")</f>
        <v/>
      </c>
      <c r="Y333">
        <f>HYPERLINK("https://klasma.github.io/Logging_1907/tillsynsmail/A 42765-2022 tillsynsbegäran mail.docx", "A 42765-2022")</f>
        <v/>
      </c>
    </row>
    <row r="334" ht="15" customHeight="1">
      <c r="A334" t="inlineStr">
        <is>
          <t>A 43705-2022</t>
        </is>
      </c>
      <c r="B334" s="1" t="n">
        <v>44837</v>
      </c>
      <c r="C334" s="1" t="n">
        <v>45821</v>
      </c>
      <c r="D334" t="inlineStr">
        <is>
          <t>VÄSTMANLANDS LÄN</t>
        </is>
      </c>
      <c r="E334" t="inlineStr">
        <is>
          <t>SALA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HYPERLINK("https://klasma.github.io/Logging_1981/artfynd/A 43705-2022 artfynd.xlsx", "A 43705-2022")</f>
        <v/>
      </c>
      <c r="T334">
        <f>HYPERLINK("https://klasma.github.io/Logging_1981/kartor/A 43705-2022 karta.png", "A 43705-2022")</f>
        <v/>
      </c>
      <c r="U334">
        <f>HYPERLINK("https://klasma.github.io/Logging_1981/knärot/A 43705-2022 karta knärot.png", "A 43705-2022")</f>
        <v/>
      </c>
      <c r="V334">
        <f>HYPERLINK("https://klasma.github.io/Logging_1981/klagomål/A 43705-2022 FSC-klagomål.docx", "A 43705-2022")</f>
        <v/>
      </c>
      <c r="W334">
        <f>HYPERLINK("https://klasma.github.io/Logging_1981/klagomålsmail/A 43705-2022 FSC-klagomål mail.docx", "A 43705-2022")</f>
        <v/>
      </c>
      <c r="X334">
        <f>HYPERLINK("https://klasma.github.io/Logging_1981/tillsyn/A 43705-2022 tillsynsbegäran.docx", "A 43705-2022")</f>
        <v/>
      </c>
      <c r="Y334">
        <f>HYPERLINK("https://klasma.github.io/Logging_1981/tillsynsmail/A 43705-2022 tillsynsbegäran mail.docx", "A 43705-2022")</f>
        <v/>
      </c>
    </row>
    <row r="335" ht="15" customHeight="1">
      <c r="A335" t="inlineStr">
        <is>
          <t>A 46098-2022</t>
        </is>
      </c>
      <c r="B335" s="1" t="n">
        <v>44847</v>
      </c>
      <c r="C335" s="1" t="n">
        <v>45821</v>
      </c>
      <c r="D335" t="inlineStr">
        <is>
          <t>VÄSTMANLANDS LÄN</t>
        </is>
      </c>
      <c r="E335" t="inlineStr">
        <is>
          <t>VÄSTERÅS</t>
        </is>
      </c>
      <c r="G335" t="n">
        <v>5.5</v>
      </c>
      <c r="H335" t="n">
        <v>0</v>
      </c>
      <c r="I335" t="n">
        <v>0</v>
      </c>
      <c r="J335" t="n">
        <v>1</v>
      </c>
      <c r="K335" t="n">
        <v>0</v>
      </c>
      <c r="L335" t="n">
        <v>0</v>
      </c>
      <c r="M335" t="n">
        <v>0</v>
      </c>
      <c r="N335" t="n">
        <v>0</v>
      </c>
      <c r="O335" t="n">
        <v>1</v>
      </c>
      <c r="P335" t="n">
        <v>0</v>
      </c>
      <c r="Q335" t="n">
        <v>1</v>
      </c>
      <c r="R335" s="2" t="inlineStr">
        <is>
          <t>Flattoppad klubbsvamp</t>
        </is>
      </c>
      <c r="S335">
        <f>HYPERLINK("https://klasma.github.io/Logging_1980/artfynd/A 46098-2022 artfynd.xlsx", "A 46098-2022")</f>
        <v/>
      </c>
      <c r="T335">
        <f>HYPERLINK("https://klasma.github.io/Logging_1980/kartor/A 46098-2022 karta.png", "A 46098-2022")</f>
        <v/>
      </c>
      <c r="V335">
        <f>HYPERLINK("https://klasma.github.io/Logging_1980/klagomål/A 46098-2022 FSC-klagomål.docx", "A 46098-2022")</f>
        <v/>
      </c>
      <c r="W335">
        <f>HYPERLINK("https://klasma.github.io/Logging_1980/klagomålsmail/A 46098-2022 FSC-klagomål mail.docx", "A 46098-2022")</f>
        <v/>
      </c>
      <c r="X335">
        <f>HYPERLINK("https://klasma.github.io/Logging_1980/tillsyn/A 46098-2022 tillsynsbegäran.docx", "A 46098-2022")</f>
        <v/>
      </c>
      <c r="Y335">
        <f>HYPERLINK("https://klasma.github.io/Logging_1980/tillsynsmail/A 46098-2022 tillsynsbegäran mail.docx", "A 46098-2022")</f>
        <v/>
      </c>
    </row>
    <row r="336" ht="15" customHeight="1">
      <c r="A336" t="inlineStr">
        <is>
          <t>A 47207-2022</t>
        </is>
      </c>
      <c r="B336" s="1" t="n">
        <v>44852</v>
      </c>
      <c r="C336" s="1" t="n">
        <v>45821</v>
      </c>
      <c r="D336" t="inlineStr">
        <is>
          <t>VÄSTMANLANDS LÄN</t>
        </is>
      </c>
      <c r="E336" t="inlineStr">
        <is>
          <t>SURAHAMMAR</t>
        </is>
      </c>
      <c r="G336" t="n">
        <v>3.2</v>
      </c>
      <c r="H336" t="n">
        <v>0</v>
      </c>
      <c r="I336" t="n">
        <v>0</v>
      </c>
      <c r="J336" t="n">
        <v>1</v>
      </c>
      <c r="K336" t="n">
        <v>0</v>
      </c>
      <c r="L336" t="n">
        <v>0</v>
      </c>
      <c r="M336" t="n">
        <v>0</v>
      </c>
      <c r="N336" t="n">
        <v>0</v>
      </c>
      <c r="O336" t="n">
        <v>1</v>
      </c>
      <c r="P336" t="n">
        <v>0</v>
      </c>
      <c r="Q336" t="n">
        <v>1</v>
      </c>
      <c r="R336" s="2" t="inlineStr">
        <is>
          <t>Veckticka</t>
        </is>
      </c>
      <c r="S336">
        <f>HYPERLINK("https://klasma.github.io/Logging_1907/artfynd/A 47207-2022 artfynd.xlsx", "A 47207-2022")</f>
        <v/>
      </c>
      <c r="T336">
        <f>HYPERLINK("https://klasma.github.io/Logging_1907/kartor/A 47207-2022 karta.png", "A 47207-2022")</f>
        <v/>
      </c>
      <c r="V336">
        <f>HYPERLINK("https://klasma.github.io/Logging_1907/klagomål/A 47207-2022 FSC-klagomål.docx", "A 47207-2022")</f>
        <v/>
      </c>
      <c r="W336">
        <f>HYPERLINK("https://klasma.github.io/Logging_1907/klagomålsmail/A 47207-2022 FSC-klagomål mail.docx", "A 47207-2022")</f>
        <v/>
      </c>
      <c r="X336">
        <f>HYPERLINK("https://klasma.github.io/Logging_1907/tillsyn/A 47207-2022 tillsynsbegäran.docx", "A 47207-2022")</f>
        <v/>
      </c>
      <c r="Y336">
        <f>HYPERLINK("https://klasma.github.io/Logging_1907/tillsynsmail/A 47207-2022 tillsynsbegäran mail.docx", "A 47207-2022")</f>
        <v/>
      </c>
    </row>
    <row r="337" ht="15" customHeight="1">
      <c r="A337" t="inlineStr">
        <is>
          <t>A 48234-2022</t>
        </is>
      </c>
      <c r="B337" s="1" t="n">
        <v>44858</v>
      </c>
      <c r="C337" s="1" t="n">
        <v>45821</v>
      </c>
      <c r="D337" t="inlineStr">
        <is>
          <t>VÄSTMANLANDS LÄN</t>
        </is>
      </c>
      <c r="E337" t="inlineStr">
        <is>
          <t>ARBOGA</t>
        </is>
      </c>
      <c r="F337" t="inlineStr">
        <is>
          <t>Sveaskog</t>
        </is>
      </c>
      <c r="G337" t="n">
        <v>21.4</v>
      </c>
      <c r="H337" t="n">
        <v>0</v>
      </c>
      <c r="I337" t="n">
        <v>1</v>
      </c>
      <c r="J337" t="n">
        <v>0</v>
      </c>
      <c r="K337" t="n">
        <v>0</v>
      </c>
      <c r="L337" t="n">
        <v>0</v>
      </c>
      <c r="M337" t="n">
        <v>0</v>
      </c>
      <c r="N337" t="n">
        <v>0</v>
      </c>
      <c r="O337" t="n">
        <v>0</v>
      </c>
      <c r="P337" t="n">
        <v>0</v>
      </c>
      <c r="Q337" t="n">
        <v>1</v>
      </c>
      <c r="R337" s="2" t="inlineStr">
        <is>
          <t>Tibast</t>
        </is>
      </c>
      <c r="S337">
        <f>HYPERLINK("https://klasma.github.io/Logging_1984/artfynd/A 48234-2022 artfynd.xlsx", "A 48234-2022")</f>
        <v/>
      </c>
      <c r="T337">
        <f>HYPERLINK("https://klasma.github.io/Logging_1984/kartor/A 48234-2022 karta.png", "A 48234-2022")</f>
        <v/>
      </c>
      <c r="V337">
        <f>HYPERLINK("https://klasma.github.io/Logging_1984/klagomål/A 48234-2022 FSC-klagomål.docx", "A 48234-2022")</f>
        <v/>
      </c>
      <c r="W337">
        <f>HYPERLINK("https://klasma.github.io/Logging_1984/klagomålsmail/A 48234-2022 FSC-klagomål mail.docx", "A 48234-2022")</f>
        <v/>
      </c>
      <c r="X337">
        <f>HYPERLINK("https://klasma.github.io/Logging_1984/tillsyn/A 48234-2022 tillsynsbegäran.docx", "A 48234-2022")</f>
        <v/>
      </c>
      <c r="Y337">
        <f>HYPERLINK("https://klasma.github.io/Logging_1984/tillsynsmail/A 48234-2022 tillsynsbegäran mail.docx", "A 48234-2022")</f>
        <v/>
      </c>
    </row>
    <row r="338" ht="15" customHeight="1">
      <c r="A338" t="inlineStr">
        <is>
          <t>A 48269-2022</t>
        </is>
      </c>
      <c r="B338" s="1" t="n">
        <v>44858</v>
      </c>
      <c r="C338" s="1" t="n">
        <v>45821</v>
      </c>
      <c r="D338" t="inlineStr">
        <is>
          <t>VÄSTMANLANDS LÄN</t>
        </is>
      </c>
      <c r="E338" t="inlineStr">
        <is>
          <t>KÖPING</t>
        </is>
      </c>
      <c r="G338" t="n">
        <v>8.699999999999999</v>
      </c>
      <c r="H338" t="n">
        <v>0</v>
      </c>
      <c r="I338" t="n">
        <v>0</v>
      </c>
      <c r="J338" t="n">
        <v>1</v>
      </c>
      <c r="K338" t="n">
        <v>0</v>
      </c>
      <c r="L338" t="n">
        <v>0</v>
      </c>
      <c r="M338" t="n">
        <v>0</v>
      </c>
      <c r="N338" t="n">
        <v>0</v>
      </c>
      <c r="O338" t="n">
        <v>1</v>
      </c>
      <c r="P338" t="n">
        <v>0</v>
      </c>
      <c r="Q338" t="n">
        <v>1</v>
      </c>
      <c r="R338" s="2" t="inlineStr">
        <is>
          <t>Motaggsvamp</t>
        </is>
      </c>
      <c r="S338">
        <f>HYPERLINK("https://klasma.github.io/Logging_1983/artfynd/A 48269-2022 artfynd.xlsx", "A 48269-2022")</f>
        <v/>
      </c>
      <c r="T338">
        <f>HYPERLINK("https://klasma.github.io/Logging_1983/kartor/A 48269-2022 karta.png", "A 48269-2022")</f>
        <v/>
      </c>
      <c r="V338">
        <f>HYPERLINK("https://klasma.github.io/Logging_1983/klagomål/A 48269-2022 FSC-klagomål.docx", "A 48269-2022")</f>
        <v/>
      </c>
      <c r="W338">
        <f>HYPERLINK("https://klasma.github.io/Logging_1983/klagomålsmail/A 48269-2022 FSC-klagomål mail.docx", "A 48269-2022")</f>
        <v/>
      </c>
      <c r="X338">
        <f>HYPERLINK("https://klasma.github.io/Logging_1983/tillsyn/A 48269-2022 tillsynsbegäran.docx", "A 48269-2022")</f>
        <v/>
      </c>
      <c r="Y338">
        <f>HYPERLINK("https://klasma.github.io/Logging_1983/tillsynsmail/A 48269-2022 tillsynsbegäran mail.docx", "A 48269-2022")</f>
        <v/>
      </c>
    </row>
    <row r="339" ht="15" customHeight="1">
      <c r="A339" t="inlineStr">
        <is>
          <t>A 52304-2022</t>
        </is>
      </c>
      <c r="B339" s="1" t="n">
        <v>44869</v>
      </c>
      <c r="C339" s="1" t="n">
        <v>45821</v>
      </c>
      <c r="D339" t="inlineStr">
        <is>
          <t>VÄSTMANLANDS LÄN</t>
        </is>
      </c>
      <c r="E339" t="inlineStr">
        <is>
          <t>NORBERG</t>
        </is>
      </c>
      <c r="G339" t="n">
        <v>14.5</v>
      </c>
      <c r="H339" t="n">
        <v>0</v>
      </c>
      <c r="I339" t="n">
        <v>1</v>
      </c>
      <c r="J339" t="n">
        <v>0</v>
      </c>
      <c r="K339" t="n">
        <v>0</v>
      </c>
      <c r="L339" t="n">
        <v>0</v>
      </c>
      <c r="M339" t="n">
        <v>0</v>
      </c>
      <c r="N339" t="n">
        <v>0</v>
      </c>
      <c r="O339" t="n">
        <v>0</v>
      </c>
      <c r="P339" t="n">
        <v>0</v>
      </c>
      <c r="Q339" t="n">
        <v>1</v>
      </c>
      <c r="R339" s="2" t="inlineStr">
        <is>
          <t>Skarp dropptaggsvamp</t>
        </is>
      </c>
      <c r="S339">
        <f>HYPERLINK("https://klasma.github.io/Logging_1962/artfynd/A 52304-2022 artfynd.xlsx", "A 52304-2022")</f>
        <v/>
      </c>
      <c r="T339">
        <f>HYPERLINK("https://klasma.github.io/Logging_1962/kartor/A 52304-2022 karta.png", "A 52304-2022")</f>
        <v/>
      </c>
      <c r="V339">
        <f>HYPERLINK("https://klasma.github.io/Logging_1962/klagomål/A 52304-2022 FSC-klagomål.docx", "A 52304-2022")</f>
        <v/>
      </c>
      <c r="W339">
        <f>HYPERLINK("https://klasma.github.io/Logging_1962/klagomålsmail/A 52304-2022 FSC-klagomål mail.docx", "A 52304-2022")</f>
        <v/>
      </c>
      <c r="X339">
        <f>HYPERLINK("https://klasma.github.io/Logging_1962/tillsyn/A 52304-2022 tillsynsbegäran.docx", "A 52304-2022")</f>
        <v/>
      </c>
      <c r="Y339">
        <f>HYPERLINK("https://klasma.github.io/Logging_1962/tillsynsmail/A 52304-2022 tillsynsbegäran mail.docx", "A 52304-2022")</f>
        <v/>
      </c>
    </row>
    <row r="340" ht="15" customHeight="1">
      <c r="A340" t="inlineStr">
        <is>
          <t>A 53870-2022</t>
        </is>
      </c>
      <c r="B340" s="1" t="n">
        <v>44880</v>
      </c>
      <c r="C340" s="1" t="n">
        <v>45821</v>
      </c>
      <c r="D340" t="inlineStr">
        <is>
          <t>VÄSTMANLANDS LÄN</t>
        </is>
      </c>
      <c r="E340" t="inlineStr">
        <is>
          <t>KUNGSÖR</t>
        </is>
      </c>
      <c r="F340" t="inlineStr">
        <is>
          <t>Allmännings- och besparingsskogar</t>
        </is>
      </c>
      <c r="G340" t="n">
        <v>2.3</v>
      </c>
      <c r="H340" t="n">
        <v>1</v>
      </c>
      <c r="I340" t="n">
        <v>0</v>
      </c>
      <c r="J340" t="n">
        <v>0</v>
      </c>
      <c r="K340" t="n">
        <v>0</v>
      </c>
      <c r="L340" t="n">
        <v>0</v>
      </c>
      <c r="M340" t="n">
        <v>0</v>
      </c>
      <c r="N340" t="n">
        <v>0</v>
      </c>
      <c r="O340" t="n">
        <v>0</v>
      </c>
      <c r="P340" t="n">
        <v>0</v>
      </c>
      <c r="Q340" t="n">
        <v>1</v>
      </c>
      <c r="R340" s="2" t="inlineStr">
        <is>
          <t>Blåsippa</t>
        </is>
      </c>
      <c r="S340">
        <f>HYPERLINK("https://klasma.github.io/Logging_1960/artfynd/A 53870-2022 artfynd.xlsx", "A 53870-2022")</f>
        <v/>
      </c>
      <c r="T340">
        <f>HYPERLINK("https://klasma.github.io/Logging_1960/kartor/A 53870-2022 karta.png", "A 53870-2022")</f>
        <v/>
      </c>
      <c r="V340">
        <f>HYPERLINK("https://klasma.github.io/Logging_1960/klagomål/A 53870-2022 FSC-klagomål.docx", "A 53870-2022")</f>
        <v/>
      </c>
      <c r="W340">
        <f>HYPERLINK("https://klasma.github.io/Logging_1960/klagomålsmail/A 53870-2022 FSC-klagomål mail.docx", "A 53870-2022")</f>
        <v/>
      </c>
      <c r="X340">
        <f>HYPERLINK("https://klasma.github.io/Logging_1960/tillsyn/A 53870-2022 tillsynsbegäran.docx", "A 53870-2022")</f>
        <v/>
      </c>
      <c r="Y340">
        <f>HYPERLINK("https://klasma.github.io/Logging_1960/tillsynsmail/A 53870-2022 tillsynsbegäran mail.docx", "A 53870-2022")</f>
        <v/>
      </c>
    </row>
    <row r="341" ht="15" customHeight="1">
      <c r="A341" t="inlineStr">
        <is>
          <t>A 56704-2022</t>
        </is>
      </c>
      <c r="B341" s="1" t="n">
        <v>44893</v>
      </c>
      <c r="C341" s="1" t="n">
        <v>45821</v>
      </c>
      <c r="D341" t="inlineStr">
        <is>
          <t>VÄSTMANLANDS LÄN</t>
        </is>
      </c>
      <c r="E341" t="inlineStr">
        <is>
          <t>SALA</t>
        </is>
      </c>
      <c r="G341" t="n">
        <v>3.2</v>
      </c>
      <c r="H341" t="n">
        <v>1</v>
      </c>
      <c r="I341" t="n">
        <v>0</v>
      </c>
      <c r="J341" t="n">
        <v>0</v>
      </c>
      <c r="K341" t="n">
        <v>1</v>
      </c>
      <c r="L341" t="n">
        <v>0</v>
      </c>
      <c r="M341" t="n">
        <v>0</v>
      </c>
      <c r="N341" t="n">
        <v>0</v>
      </c>
      <c r="O341" t="n">
        <v>1</v>
      </c>
      <c r="P341" t="n">
        <v>1</v>
      </c>
      <c r="Q341" t="n">
        <v>1</v>
      </c>
      <c r="R341" s="2" t="inlineStr">
        <is>
          <t>Knärot</t>
        </is>
      </c>
      <c r="S341">
        <f>HYPERLINK("https://klasma.github.io/Logging_1981/artfynd/A 56704-2022 artfynd.xlsx", "A 56704-2022")</f>
        <v/>
      </c>
      <c r="T341">
        <f>HYPERLINK("https://klasma.github.io/Logging_1981/kartor/A 56704-2022 karta.png", "A 56704-2022")</f>
        <v/>
      </c>
      <c r="U341">
        <f>HYPERLINK("https://klasma.github.io/Logging_1981/knärot/A 56704-2022 karta knärot.png", "A 56704-2022")</f>
        <v/>
      </c>
      <c r="V341">
        <f>HYPERLINK("https://klasma.github.io/Logging_1981/klagomål/A 56704-2022 FSC-klagomål.docx", "A 56704-2022")</f>
        <v/>
      </c>
      <c r="W341">
        <f>HYPERLINK("https://klasma.github.io/Logging_1981/klagomålsmail/A 56704-2022 FSC-klagomål mail.docx", "A 56704-2022")</f>
        <v/>
      </c>
      <c r="X341">
        <f>HYPERLINK("https://klasma.github.io/Logging_1981/tillsyn/A 56704-2022 tillsynsbegäran.docx", "A 56704-2022")</f>
        <v/>
      </c>
      <c r="Y341">
        <f>HYPERLINK("https://klasma.github.io/Logging_1981/tillsynsmail/A 56704-2022 tillsynsbegäran mail.docx", "A 56704-2022")</f>
        <v/>
      </c>
    </row>
    <row r="342" ht="15" customHeight="1">
      <c r="A342" t="inlineStr">
        <is>
          <t>A 56823-2022</t>
        </is>
      </c>
      <c r="B342" s="1" t="n">
        <v>44894</v>
      </c>
      <c r="C342" s="1" t="n">
        <v>45821</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Talltita</t>
        </is>
      </c>
      <c r="S342">
        <f>HYPERLINK("https://klasma.github.io/Logging_1983/artfynd/A 56823-2022 artfynd.xlsx", "A 56823-2022")</f>
        <v/>
      </c>
      <c r="T342">
        <f>HYPERLINK("https://klasma.github.io/Logging_1983/kartor/A 56823-2022 karta.png", "A 56823-2022")</f>
        <v/>
      </c>
      <c r="V342">
        <f>HYPERLINK("https://klasma.github.io/Logging_1983/klagomål/A 56823-2022 FSC-klagomål.docx", "A 56823-2022")</f>
        <v/>
      </c>
      <c r="W342">
        <f>HYPERLINK("https://klasma.github.io/Logging_1983/klagomålsmail/A 56823-2022 FSC-klagomål mail.docx", "A 56823-2022")</f>
        <v/>
      </c>
      <c r="X342">
        <f>HYPERLINK("https://klasma.github.io/Logging_1983/tillsyn/A 56823-2022 tillsynsbegäran.docx", "A 56823-2022")</f>
        <v/>
      </c>
      <c r="Y342">
        <f>HYPERLINK("https://klasma.github.io/Logging_1983/tillsynsmail/A 56823-2022 tillsynsbegäran mail.docx", "A 56823-2022")</f>
        <v/>
      </c>
      <c r="Z342">
        <f>HYPERLINK("https://klasma.github.io/Logging_1983/fåglar/A 56823-2022 prioriterade fågelarter.docx", "A 56823-2022")</f>
        <v/>
      </c>
    </row>
    <row r="343" ht="15" customHeight="1">
      <c r="A343" t="inlineStr">
        <is>
          <t>A 56915-2022</t>
        </is>
      </c>
      <c r="B343" s="1" t="n">
        <v>44894</v>
      </c>
      <c r="C343" s="1" t="n">
        <v>45821</v>
      </c>
      <c r="D343" t="inlineStr">
        <is>
          <t>VÄSTMANLANDS LÄN</t>
        </is>
      </c>
      <c r="E343" t="inlineStr">
        <is>
          <t>SKINNSKATTEBERG</t>
        </is>
      </c>
      <c r="F343" t="inlineStr">
        <is>
          <t>Sveaskog</t>
        </is>
      </c>
      <c r="G343" t="n">
        <v>7.7</v>
      </c>
      <c r="H343" t="n">
        <v>0</v>
      </c>
      <c r="I343" t="n">
        <v>0</v>
      </c>
      <c r="J343" t="n">
        <v>0</v>
      </c>
      <c r="K343" t="n">
        <v>0</v>
      </c>
      <c r="L343" t="n">
        <v>1</v>
      </c>
      <c r="M343" t="n">
        <v>0</v>
      </c>
      <c r="N343" t="n">
        <v>0</v>
      </c>
      <c r="O343" t="n">
        <v>1</v>
      </c>
      <c r="P343" t="n">
        <v>1</v>
      </c>
      <c r="Q343" t="n">
        <v>1</v>
      </c>
      <c r="R343" s="2" t="inlineStr">
        <is>
          <t>Ask</t>
        </is>
      </c>
      <c r="S343">
        <f>HYPERLINK("https://klasma.github.io/Logging_1904/artfynd/A 56915-2022 artfynd.xlsx", "A 56915-2022")</f>
        <v/>
      </c>
      <c r="T343">
        <f>HYPERLINK("https://klasma.github.io/Logging_1904/kartor/A 56915-2022 karta.png", "A 56915-2022")</f>
        <v/>
      </c>
      <c r="V343">
        <f>HYPERLINK("https://klasma.github.io/Logging_1904/klagomål/A 56915-2022 FSC-klagomål.docx", "A 56915-2022")</f>
        <v/>
      </c>
      <c r="W343">
        <f>HYPERLINK("https://klasma.github.io/Logging_1904/klagomålsmail/A 56915-2022 FSC-klagomål mail.docx", "A 56915-2022")</f>
        <v/>
      </c>
      <c r="X343">
        <f>HYPERLINK("https://klasma.github.io/Logging_1904/tillsyn/A 56915-2022 tillsynsbegäran.docx", "A 56915-2022")</f>
        <v/>
      </c>
      <c r="Y343">
        <f>HYPERLINK("https://klasma.github.io/Logging_1904/tillsynsmail/A 56915-2022 tillsynsbegäran mail.docx", "A 56915-2022")</f>
        <v/>
      </c>
    </row>
    <row r="344" ht="15" customHeight="1">
      <c r="A344" t="inlineStr">
        <is>
          <t>A 56809-2022</t>
        </is>
      </c>
      <c r="B344" s="1" t="n">
        <v>44894</v>
      </c>
      <c r="C344" s="1" t="n">
        <v>45821</v>
      </c>
      <c r="D344" t="inlineStr">
        <is>
          <t>VÄSTMANLANDS LÄN</t>
        </is>
      </c>
      <c r="E344" t="inlineStr">
        <is>
          <t>KÖPING</t>
        </is>
      </c>
      <c r="G344" t="n">
        <v>1.7</v>
      </c>
      <c r="H344" t="n">
        <v>1</v>
      </c>
      <c r="I344" t="n">
        <v>0</v>
      </c>
      <c r="J344" t="n">
        <v>1</v>
      </c>
      <c r="K344" t="n">
        <v>0</v>
      </c>
      <c r="L344" t="n">
        <v>0</v>
      </c>
      <c r="M344" t="n">
        <v>0</v>
      </c>
      <c r="N344" t="n">
        <v>0</v>
      </c>
      <c r="O344" t="n">
        <v>1</v>
      </c>
      <c r="P344" t="n">
        <v>0</v>
      </c>
      <c r="Q344" t="n">
        <v>1</v>
      </c>
      <c r="R344" s="2" t="inlineStr">
        <is>
          <t>Spillkråka</t>
        </is>
      </c>
      <c r="S344">
        <f>HYPERLINK("https://klasma.github.io/Logging_1983/artfynd/A 56809-2022 artfynd.xlsx", "A 56809-2022")</f>
        <v/>
      </c>
      <c r="T344">
        <f>HYPERLINK("https://klasma.github.io/Logging_1983/kartor/A 56809-2022 karta.png", "A 56809-2022")</f>
        <v/>
      </c>
      <c r="V344">
        <f>HYPERLINK("https://klasma.github.io/Logging_1983/klagomål/A 56809-2022 FSC-klagomål.docx", "A 56809-2022")</f>
        <v/>
      </c>
      <c r="W344">
        <f>HYPERLINK("https://klasma.github.io/Logging_1983/klagomålsmail/A 56809-2022 FSC-klagomål mail.docx", "A 56809-2022")</f>
        <v/>
      </c>
      <c r="X344">
        <f>HYPERLINK("https://klasma.github.io/Logging_1983/tillsyn/A 56809-2022 tillsynsbegäran.docx", "A 56809-2022")</f>
        <v/>
      </c>
      <c r="Y344">
        <f>HYPERLINK("https://klasma.github.io/Logging_1983/tillsynsmail/A 56809-2022 tillsynsbegäran mail.docx", "A 56809-2022")</f>
        <v/>
      </c>
      <c r="Z344">
        <f>HYPERLINK("https://klasma.github.io/Logging_1983/fåglar/A 56809-2022 prioriterade fågelarter.docx", "A 56809-2022")</f>
        <v/>
      </c>
    </row>
    <row r="345" ht="15" customHeight="1">
      <c r="A345" t="inlineStr">
        <is>
          <t>A 61212-2022</t>
        </is>
      </c>
      <c r="B345" s="1" t="n">
        <v>44908</v>
      </c>
      <c r="C345" s="1" t="n">
        <v>45821</v>
      </c>
      <c r="D345" t="inlineStr">
        <is>
          <t>VÄSTMANLANDS LÄN</t>
        </is>
      </c>
      <c r="E345" t="inlineStr">
        <is>
          <t>SKINNSKATTEBERG</t>
        </is>
      </c>
      <c r="G345" t="n">
        <v>17.4</v>
      </c>
      <c r="H345" t="n">
        <v>1</v>
      </c>
      <c r="I345" t="n">
        <v>0</v>
      </c>
      <c r="J345" t="n">
        <v>0</v>
      </c>
      <c r="K345" t="n">
        <v>0</v>
      </c>
      <c r="L345" t="n">
        <v>0</v>
      </c>
      <c r="M345" t="n">
        <v>0</v>
      </c>
      <c r="N345" t="n">
        <v>0</v>
      </c>
      <c r="O345" t="n">
        <v>0</v>
      </c>
      <c r="P345" t="n">
        <v>0</v>
      </c>
      <c r="Q345" t="n">
        <v>1</v>
      </c>
      <c r="R345" s="2" t="inlineStr">
        <is>
          <t>Blåsippa</t>
        </is>
      </c>
      <c r="S345">
        <f>HYPERLINK("https://klasma.github.io/Logging_1904/artfynd/A 61212-2022 artfynd.xlsx", "A 61212-2022")</f>
        <v/>
      </c>
      <c r="T345">
        <f>HYPERLINK("https://klasma.github.io/Logging_1904/kartor/A 61212-2022 karta.png", "A 61212-2022")</f>
        <v/>
      </c>
      <c r="V345">
        <f>HYPERLINK("https://klasma.github.io/Logging_1904/klagomål/A 61212-2022 FSC-klagomål.docx", "A 61212-2022")</f>
        <v/>
      </c>
      <c r="W345">
        <f>HYPERLINK("https://klasma.github.io/Logging_1904/klagomålsmail/A 61212-2022 FSC-klagomål mail.docx", "A 61212-2022")</f>
        <v/>
      </c>
      <c r="X345">
        <f>HYPERLINK("https://klasma.github.io/Logging_1904/tillsyn/A 61212-2022 tillsynsbegäran.docx", "A 61212-2022")</f>
        <v/>
      </c>
      <c r="Y345">
        <f>HYPERLINK("https://klasma.github.io/Logging_1904/tillsynsmail/A 61212-2022 tillsynsbegäran mail.docx", "A 61212-2022")</f>
        <v/>
      </c>
    </row>
    <row r="346" ht="15" customHeight="1">
      <c r="A346" t="inlineStr">
        <is>
          <t>A 61435-2022</t>
        </is>
      </c>
      <c r="B346" s="1" t="n">
        <v>44916</v>
      </c>
      <c r="C346" s="1" t="n">
        <v>45821</v>
      </c>
      <c r="D346" t="inlineStr">
        <is>
          <t>VÄSTMANLANDS LÄN</t>
        </is>
      </c>
      <c r="E346" t="inlineStr">
        <is>
          <t>ARBOGA</t>
        </is>
      </c>
      <c r="G346" t="n">
        <v>5.7</v>
      </c>
      <c r="H346" t="n">
        <v>0</v>
      </c>
      <c r="I346" t="n">
        <v>0</v>
      </c>
      <c r="J346" t="n">
        <v>0</v>
      </c>
      <c r="K346" t="n">
        <v>0</v>
      </c>
      <c r="L346" t="n">
        <v>1</v>
      </c>
      <c r="M346" t="n">
        <v>0</v>
      </c>
      <c r="N346" t="n">
        <v>0</v>
      </c>
      <c r="O346" t="n">
        <v>1</v>
      </c>
      <c r="P346" t="n">
        <v>1</v>
      </c>
      <c r="Q346" t="n">
        <v>1</v>
      </c>
      <c r="R346" s="2" t="inlineStr">
        <is>
          <t>Ask</t>
        </is>
      </c>
      <c r="S346">
        <f>HYPERLINK("https://klasma.github.io/Logging_1984/artfynd/A 61435-2022 artfynd.xlsx", "A 61435-2022")</f>
        <v/>
      </c>
      <c r="T346">
        <f>HYPERLINK("https://klasma.github.io/Logging_1984/kartor/A 61435-2022 karta.png", "A 61435-2022")</f>
        <v/>
      </c>
      <c r="V346">
        <f>HYPERLINK("https://klasma.github.io/Logging_1984/klagomål/A 61435-2022 FSC-klagomål.docx", "A 61435-2022")</f>
        <v/>
      </c>
      <c r="W346">
        <f>HYPERLINK("https://klasma.github.io/Logging_1984/klagomålsmail/A 61435-2022 FSC-klagomål mail.docx", "A 61435-2022")</f>
        <v/>
      </c>
      <c r="X346">
        <f>HYPERLINK("https://klasma.github.io/Logging_1984/tillsyn/A 61435-2022 tillsynsbegäran.docx", "A 61435-2022")</f>
        <v/>
      </c>
      <c r="Y346">
        <f>HYPERLINK("https://klasma.github.io/Logging_1984/tillsynsmail/A 61435-2022 tillsynsbegäran mail.docx", "A 61435-2022")</f>
        <v/>
      </c>
    </row>
    <row r="347" ht="15" customHeight="1">
      <c r="A347" t="inlineStr">
        <is>
          <t>A 6182-2023</t>
        </is>
      </c>
      <c r="B347" s="1" t="n">
        <v>44964</v>
      </c>
      <c r="C347" s="1" t="n">
        <v>45821</v>
      </c>
      <c r="D347" t="inlineStr">
        <is>
          <t>VÄSTMANLANDS LÄN</t>
        </is>
      </c>
      <c r="E347" t="inlineStr">
        <is>
          <t>SKINNSKATTEBERG</t>
        </is>
      </c>
      <c r="F347" t="inlineStr">
        <is>
          <t>Sveaskog</t>
        </is>
      </c>
      <c r="G347" t="n">
        <v>6.4</v>
      </c>
      <c r="H347" t="n">
        <v>1</v>
      </c>
      <c r="I347" t="n">
        <v>0</v>
      </c>
      <c r="J347" t="n">
        <v>0</v>
      </c>
      <c r="K347" t="n">
        <v>0</v>
      </c>
      <c r="L347" t="n">
        <v>0</v>
      </c>
      <c r="M347" t="n">
        <v>0</v>
      </c>
      <c r="N347" t="n">
        <v>0</v>
      </c>
      <c r="O347" t="n">
        <v>0</v>
      </c>
      <c r="P347" t="n">
        <v>0</v>
      </c>
      <c r="Q347" t="n">
        <v>1</v>
      </c>
      <c r="R347" s="2" t="inlineStr">
        <is>
          <t>Blåsippa</t>
        </is>
      </c>
      <c r="S347">
        <f>HYPERLINK("https://klasma.github.io/Logging_1904/artfynd/A 6182-2023 artfynd.xlsx", "A 6182-2023")</f>
        <v/>
      </c>
      <c r="T347">
        <f>HYPERLINK("https://klasma.github.io/Logging_1904/kartor/A 6182-2023 karta.png", "A 6182-2023")</f>
        <v/>
      </c>
      <c r="V347">
        <f>HYPERLINK("https://klasma.github.io/Logging_1904/klagomål/A 6182-2023 FSC-klagomål.docx", "A 6182-2023")</f>
        <v/>
      </c>
      <c r="W347">
        <f>HYPERLINK("https://klasma.github.io/Logging_1904/klagomålsmail/A 6182-2023 FSC-klagomål mail.docx", "A 6182-2023")</f>
        <v/>
      </c>
      <c r="X347">
        <f>HYPERLINK("https://klasma.github.io/Logging_1904/tillsyn/A 6182-2023 tillsynsbegäran.docx", "A 6182-2023")</f>
        <v/>
      </c>
      <c r="Y347">
        <f>HYPERLINK("https://klasma.github.io/Logging_1904/tillsynsmail/A 6182-2023 tillsynsbegäran mail.docx", "A 6182-2023")</f>
        <v/>
      </c>
    </row>
    <row r="348" ht="15" customHeight="1">
      <c r="A348" t="inlineStr">
        <is>
          <t>A 7731-2023</t>
        </is>
      </c>
      <c r="B348" s="1" t="n">
        <v>44973</v>
      </c>
      <c r="C348" s="1" t="n">
        <v>45821</v>
      </c>
      <c r="D348" t="inlineStr">
        <is>
          <t>VÄSTMANLANDS LÄN</t>
        </is>
      </c>
      <c r="E348" t="inlineStr">
        <is>
          <t>SALA</t>
        </is>
      </c>
      <c r="F348" t="inlineStr">
        <is>
          <t>Bergvik skog öst AB</t>
        </is>
      </c>
      <c r="G348" t="n">
        <v>1.7</v>
      </c>
      <c r="H348" t="n">
        <v>1</v>
      </c>
      <c r="I348" t="n">
        <v>0</v>
      </c>
      <c r="J348" t="n">
        <v>1</v>
      </c>
      <c r="K348" t="n">
        <v>0</v>
      </c>
      <c r="L348" t="n">
        <v>0</v>
      </c>
      <c r="M348" t="n">
        <v>0</v>
      </c>
      <c r="N348" t="n">
        <v>0</v>
      </c>
      <c r="O348" t="n">
        <v>1</v>
      </c>
      <c r="P348" t="n">
        <v>0</v>
      </c>
      <c r="Q348" t="n">
        <v>1</v>
      </c>
      <c r="R348" s="2" t="inlineStr">
        <is>
          <t>Ävjepilört</t>
        </is>
      </c>
      <c r="S348">
        <f>HYPERLINK("https://klasma.github.io/Logging_1981/artfynd/A 7731-2023 artfynd.xlsx", "A 7731-2023")</f>
        <v/>
      </c>
      <c r="T348">
        <f>HYPERLINK("https://klasma.github.io/Logging_1981/kartor/A 7731-2023 karta.png", "A 7731-2023")</f>
        <v/>
      </c>
      <c r="V348">
        <f>HYPERLINK("https://klasma.github.io/Logging_1981/klagomål/A 7731-2023 FSC-klagomål.docx", "A 7731-2023")</f>
        <v/>
      </c>
      <c r="W348">
        <f>HYPERLINK("https://klasma.github.io/Logging_1981/klagomålsmail/A 7731-2023 FSC-klagomål mail.docx", "A 7731-2023")</f>
        <v/>
      </c>
      <c r="X348">
        <f>HYPERLINK("https://klasma.github.io/Logging_1981/tillsyn/A 7731-2023 tillsynsbegäran.docx", "A 7731-2023")</f>
        <v/>
      </c>
      <c r="Y348">
        <f>HYPERLINK("https://klasma.github.io/Logging_1981/tillsynsmail/A 7731-2023 tillsynsbegäran mail.docx", "A 7731-2023")</f>
        <v/>
      </c>
    </row>
    <row r="349" ht="15" customHeight="1">
      <c r="A349" t="inlineStr">
        <is>
          <t>A 7832-2023</t>
        </is>
      </c>
      <c r="B349" s="1" t="n">
        <v>44973</v>
      </c>
      <c r="C349" s="1" t="n">
        <v>45821</v>
      </c>
      <c r="D349" t="inlineStr">
        <is>
          <t>VÄSTMANLANDS LÄN</t>
        </is>
      </c>
      <c r="E349" t="inlineStr">
        <is>
          <t>VÄSTERÅS</t>
        </is>
      </c>
      <c r="G349" t="n">
        <v>3.1</v>
      </c>
      <c r="H349" t="n">
        <v>1</v>
      </c>
      <c r="I349" t="n">
        <v>0</v>
      </c>
      <c r="J349" t="n">
        <v>1</v>
      </c>
      <c r="K349" t="n">
        <v>0</v>
      </c>
      <c r="L349" t="n">
        <v>0</v>
      </c>
      <c r="M349" t="n">
        <v>0</v>
      </c>
      <c r="N349" t="n">
        <v>0</v>
      </c>
      <c r="O349" t="n">
        <v>1</v>
      </c>
      <c r="P349" t="n">
        <v>0</v>
      </c>
      <c r="Q349" t="n">
        <v>1</v>
      </c>
      <c r="R349" s="2" t="inlineStr">
        <is>
          <t>Talltita</t>
        </is>
      </c>
      <c r="S349">
        <f>HYPERLINK("https://klasma.github.io/Logging_1980/artfynd/A 7832-2023 artfynd.xlsx", "A 7832-2023")</f>
        <v/>
      </c>
      <c r="T349">
        <f>HYPERLINK("https://klasma.github.io/Logging_1980/kartor/A 7832-2023 karta.png", "A 7832-2023")</f>
        <v/>
      </c>
      <c r="V349">
        <f>HYPERLINK("https://klasma.github.io/Logging_1980/klagomål/A 7832-2023 FSC-klagomål.docx", "A 7832-2023")</f>
        <v/>
      </c>
      <c r="W349">
        <f>HYPERLINK("https://klasma.github.io/Logging_1980/klagomålsmail/A 7832-2023 FSC-klagomål mail.docx", "A 7832-2023")</f>
        <v/>
      </c>
      <c r="X349">
        <f>HYPERLINK("https://klasma.github.io/Logging_1980/tillsyn/A 7832-2023 tillsynsbegäran.docx", "A 7832-2023")</f>
        <v/>
      </c>
      <c r="Y349">
        <f>HYPERLINK("https://klasma.github.io/Logging_1980/tillsynsmail/A 7832-2023 tillsynsbegäran mail.docx", "A 7832-2023")</f>
        <v/>
      </c>
      <c r="Z349">
        <f>HYPERLINK("https://klasma.github.io/Logging_1980/fåglar/A 7832-2023 prioriterade fågelarter.docx", "A 7832-2023")</f>
        <v/>
      </c>
    </row>
    <row r="350" ht="15" customHeight="1">
      <c r="A350" t="inlineStr">
        <is>
          <t>A 11259-2023</t>
        </is>
      </c>
      <c r="B350" s="1" t="n">
        <v>44991</v>
      </c>
      <c r="C350" s="1" t="n">
        <v>45821</v>
      </c>
      <c r="D350" t="inlineStr">
        <is>
          <t>VÄSTMANLANDS LÄN</t>
        </is>
      </c>
      <c r="E350" t="inlineStr">
        <is>
          <t>SURAHAMMAR</t>
        </is>
      </c>
      <c r="G350" t="n">
        <v>2.4</v>
      </c>
      <c r="H350" t="n">
        <v>1</v>
      </c>
      <c r="I350" t="n">
        <v>0</v>
      </c>
      <c r="J350" t="n">
        <v>1</v>
      </c>
      <c r="K350" t="n">
        <v>0</v>
      </c>
      <c r="L350" t="n">
        <v>0</v>
      </c>
      <c r="M350" t="n">
        <v>0</v>
      </c>
      <c r="N350" t="n">
        <v>0</v>
      </c>
      <c r="O350" t="n">
        <v>1</v>
      </c>
      <c r="P350" t="n">
        <v>0</v>
      </c>
      <c r="Q350" t="n">
        <v>1</v>
      </c>
      <c r="R350" s="2" t="inlineStr">
        <is>
          <t>Spillkråka</t>
        </is>
      </c>
      <c r="S350">
        <f>HYPERLINK("https://klasma.github.io/Logging_1907/artfynd/A 11259-2023 artfynd.xlsx", "A 11259-2023")</f>
        <v/>
      </c>
      <c r="T350">
        <f>HYPERLINK("https://klasma.github.io/Logging_1907/kartor/A 11259-2023 karta.png", "A 11259-2023")</f>
        <v/>
      </c>
      <c r="V350">
        <f>HYPERLINK("https://klasma.github.io/Logging_1907/klagomål/A 11259-2023 FSC-klagomål.docx", "A 11259-2023")</f>
        <v/>
      </c>
      <c r="W350">
        <f>HYPERLINK("https://klasma.github.io/Logging_1907/klagomålsmail/A 11259-2023 FSC-klagomål mail.docx", "A 11259-2023")</f>
        <v/>
      </c>
      <c r="X350">
        <f>HYPERLINK("https://klasma.github.io/Logging_1907/tillsyn/A 11259-2023 tillsynsbegäran.docx", "A 11259-2023")</f>
        <v/>
      </c>
      <c r="Y350">
        <f>HYPERLINK("https://klasma.github.io/Logging_1907/tillsynsmail/A 11259-2023 tillsynsbegäran mail.docx", "A 11259-2023")</f>
        <v/>
      </c>
      <c r="Z350">
        <f>HYPERLINK("https://klasma.github.io/Logging_1907/fåglar/A 11259-2023 prioriterade fågelarter.docx", "A 11259-2023")</f>
        <v/>
      </c>
    </row>
    <row r="351" ht="15" customHeight="1">
      <c r="A351" t="inlineStr">
        <is>
          <t>A 13971-2023</t>
        </is>
      </c>
      <c r="B351" s="1" t="n">
        <v>45007</v>
      </c>
      <c r="C351" s="1" t="n">
        <v>45821</v>
      </c>
      <c r="D351" t="inlineStr">
        <is>
          <t>VÄSTMANLANDS LÄN</t>
        </is>
      </c>
      <c r="E351" t="inlineStr">
        <is>
          <t>SURAHAMMAR</t>
        </is>
      </c>
      <c r="F351" t="inlineStr">
        <is>
          <t>Bergvik skog väst AB</t>
        </is>
      </c>
      <c r="G351" t="n">
        <v>2.9</v>
      </c>
      <c r="H351" t="n">
        <v>1</v>
      </c>
      <c r="I351" t="n">
        <v>0</v>
      </c>
      <c r="J351" t="n">
        <v>0</v>
      </c>
      <c r="K351" t="n">
        <v>0</v>
      </c>
      <c r="L351" t="n">
        <v>0</v>
      </c>
      <c r="M351" t="n">
        <v>0</v>
      </c>
      <c r="N351" t="n">
        <v>0</v>
      </c>
      <c r="O351" t="n">
        <v>0</v>
      </c>
      <c r="P351" t="n">
        <v>0</v>
      </c>
      <c r="Q351" t="n">
        <v>1</v>
      </c>
      <c r="R351" s="2" t="inlineStr">
        <is>
          <t>Fläcknycklar</t>
        </is>
      </c>
      <c r="S351">
        <f>HYPERLINK("https://klasma.github.io/Logging_1907/artfynd/A 13971-2023 artfynd.xlsx", "A 13971-2023")</f>
        <v/>
      </c>
      <c r="T351">
        <f>HYPERLINK("https://klasma.github.io/Logging_1907/kartor/A 13971-2023 karta.png", "A 13971-2023")</f>
        <v/>
      </c>
      <c r="V351">
        <f>HYPERLINK("https://klasma.github.io/Logging_1907/klagomål/A 13971-2023 FSC-klagomål.docx", "A 13971-2023")</f>
        <v/>
      </c>
      <c r="W351">
        <f>HYPERLINK("https://klasma.github.io/Logging_1907/klagomålsmail/A 13971-2023 FSC-klagomål mail.docx", "A 13971-2023")</f>
        <v/>
      </c>
      <c r="X351">
        <f>HYPERLINK("https://klasma.github.io/Logging_1907/tillsyn/A 13971-2023 tillsynsbegäran.docx", "A 13971-2023")</f>
        <v/>
      </c>
      <c r="Y351">
        <f>HYPERLINK("https://klasma.github.io/Logging_1907/tillsynsmail/A 13971-2023 tillsynsbegäran mail.docx", "A 13971-2023")</f>
        <v/>
      </c>
    </row>
    <row r="352" ht="15" customHeight="1">
      <c r="A352" t="inlineStr">
        <is>
          <t>A 14001-2023</t>
        </is>
      </c>
      <c r="B352" s="1" t="n">
        <v>45007</v>
      </c>
      <c r="C352" s="1" t="n">
        <v>45821</v>
      </c>
      <c r="D352" t="inlineStr">
        <is>
          <t>VÄSTMANLANDS LÄN</t>
        </is>
      </c>
      <c r="E352" t="inlineStr">
        <is>
          <t>SURAHAMMAR</t>
        </is>
      </c>
      <c r="F352" t="inlineStr">
        <is>
          <t>Bergvik skog väst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HYPERLINK("https://klasma.github.io/Logging_1907/artfynd/A 14001-2023 artfynd.xlsx", "A 14001-2023")</f>
        <v/>
      </c>
      <c r="T352">
        <f>HYPERLINK("https://klasma.github.io/Logging_1907/kartor/A 14001-2023 karta.png", "A 14001-2023")</f>
        <v/>
      </c>
      <c r="V352">
        <f>HYPERLINK("https://klasma.github.io/Logging_1907/klagomål/A 14001-2023 FSC-klagomål.docx", "A 14001-2023")</f>
        <v/>
      </c>
      <c r="W352">
        <f>HYPERLINK("https://klasma.github.io/Logging_1907/klagomålsmail/A 14001-2023 FSC-klagomål mail.docx", "A 14001-2023")</f>
        <v/>
      </c>
      <c r="X352">
        <f>HYPERLINK("https://klasma.github.io/Logging_1907/tillsyn/A 14001-2023 tillsynsbegäran.docx", "A 14001-2023")</f>
        <v/>
      </c>
      <c r="Y352">
        <f>HYPERLINK("https://klasma.github.io/Logging_1907/tillsynsmail/A 14001-2023 tillsynsbegäran mail.docx", "A 14001-2023")</f>
        <v/>
      </c>
    </row>
    <row r="353" ht="15" customHeight="1">
      <c r="A353" t="inlineStr">
        <is>
          <t>A 14171-2023</t>
        </is>
      </c>
      <c r="B353" s="1" t="n">
        <v>45009</v>
      </c>
      <c r="C353" s="1" t="n">
        <v>45821</v>
      </c>
      <c r="D353" t="inlineStr">
        <is>
          <t>VÄSTMANLANDS LÄN</t>
        </is>
      </c>
      <c r="E353" t="inlineStr">
        <is>
          <t>SKINNSKATTEBERG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HYPERLINK("https://klasma.github.io/Logging_1904/artfynd/A 14171-2023 artfynd.xlsx", "A 14171-2023")</f>
        <v/>
      </c>
      <c r="T353">
        <f>HYPERLINK("https://klasma.github.io/Logging_1904/kartor/A 14171-2023 karta.png", "A 14171-2023")</f>
        <v/>
      </c>
      <c r="V353">
        <f>HYPERLINK("https://klasma.github.io/Logging_1904/klagomål/A 14171-2023 FSC-klagomål.docx", "A 14171-2023")</f>
        <v/>
      </c>
      <c r="W353">
        <f>HYPERLINK("https://klasma.github.io/Logging_1904/klagomålsmail/A 14171-2023 FSC-klagomål mail.docx", "A 14171-2023")</f>
        <v/>
      </c>
      <c r="X353">
        <f>HYPERLINK("https://klasma.github.io/Logging_1904/tillsyn/A 14171-2023 tillsynsbegäran.docx", "A 14171-2023")</f>
        <v/>
      </c>
      <c r="Y353">
        <f>HYPERLINK("https://klasma.github.io/Logging_1904/tillsynsmail/A 14171-2023 tillsynsbegäran mail.docx", "A 14171-2023")</f>
        <v/>
      </c>
    </row>
    <row r="354" ht="15" customHeight="1">
      <c r="A354" t="inlineStr">
        <is>
          <t>A 14775-2023</t>
        </is>
      </c>
      <c r="B354" s="1" t="n">
        <v>45014</v>
      </c>
      <c r="C354" s="1" t="n">
        <v>45821</v>
      </c>
      <c r="D354" t="inlineStr">
        <is>
          <t>VÄSTMANLANDS LÄN</t>
        </is>
      </c>
      <c r="E354" t="inlineStr">
        <is>
          <t>SALA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HYPERLINK("https://klasma.github.io/Logging_1981/artfynd/A 14775-2023 artfynd.xlsx", "A 14775-2023")</f>
        <v/>
      </c>
      <c r="T354">
        <f>HYPERLINK("https://klasma.github.io/Logging_1981/kartor/A 14775-2023 karta.png", "A 14775-2023")</f>
        <v/>
      </c>
      <c r="U354">
        <f>HYPERLINK("https://klasma.github.io/Logging_1981/knärot/A 14775-2023 karta knärot.png", "A 14775-2023")</f>
        <v/>
      </c>
      <c r="V354">
        <f>HYPERLINK("https://klasma.github.io/Logging_1981/klagomål/A 14775-2023 FSC-klagomål.docx", "A 14775-2023")</f>
        <v/>
      </c>
      <c r="W354">
        <f>HYPERLINK("https://klasma.github.io/Logging_1981/klagomålsmail/A 14775-2023 FSC-klagomål mail.docx", "A 14775-2023")</f>
        <v/>
      </c>
      <c r="X354">
        <f>HYPERLINK("https://klasma.github.io/Logging_1981/tillsyn/A 14775-2023 tillsynsbegäran.docx", "A 14775-2023")</f>
        <v/>
      </c>
      <c r="Y354">
        <f>HYPERLINK("https://klasma.github.io/Logging_1981/tillsynsmail/A 14775-2023 tillsynsbegäran mail.docx", "A 14775-2023")</f>
        <v/>
      </c>
    </row>
    <row r="355" ht="15" customHeight="1">
      <c r="A355" t="inlineStr">
        <is>
          <t>A 15334-2023</t>
        </is>
      </c>
      <c r="B355" s="1" t="n">
        <v>45019</v>
      </c>
      <c r="C355" s="1" t="n">
        <v>45821</v>
      </c>
      <c r="D355" t="inlineStr">
        <is>
          <t>VÄSTMANLANDS LÄN</t>
        </is>
      </c>
      <c r="E355" t="inlineStr">
        <is>
          <t>FAGERSTA</t>
        </is>
      </c>
      <c r="F355" t="inlineStr">
        <is>
          <t>Övriga Aktiebolag</t>
        </is>
      </c>
      <c r="G355" t="n">
        <v>27.3</v>
      </c>
      <c r="H355" t="n">
        <v>0</v>
      </c>
      <c r="I355" t="n">
        <v>1</v>
      </c>
      <c r="J355" t="n">
        <v>0</v>
      </c>
      <c r="K355" t="n">
        <v>0</v>
      </c>
      <c r="L355" t="n">
        <v>0</v>
      </c>
      <c r="M355" t="n">
        <v>0</v>
      </c>
      <c r="N355" t="n">
        <v>0</v>
      </c>
      <c r="O355" t="n">
        <v>0</v>
      </c>
      <c r="P355" t="n">
        <v>0</v>
      </c>
      <c r="Q355" t="n">
        <v>1</v>
      </c>
      <c r="R355" s="2" t="inlineStr">
        <is>
          <t>Grovticka</t>
        </is>
      </c>
      <c r="S355">
        <f>HYPERLINK("https://klasma.github.io/Logging_1982/artfynd/A 15334-2023 artfynd.xlsx", "A 15334-2023")</f>
        <v/>
      </c>
      <c r="T355">
        <f>HYPERLINK("https://klasma.github.io/Logging_1982/kartor/A 15334-2023 karta.png", "A 15334-2023")</f>
        <v/>
      </c>
      <c r="V355">
        <f>HYPERLINK("https://klasma.github.io/Logging_1982/klagomål/A 15334-2023 FSC-klagomål.docx", "A 15334-2023")</f>
        <v/>
      </c>
      <c r="W355">
        <f>HYPERLINK("https://klasma.github.io/Logging_1982/klagomålsmail/A 15334-2023 FSC-klagomål mail.docx", "A 15334-2023")</f>
        <v/>
      </c>
      <c r="X355">
        <f>HYPERLINK("https://klasma.github.io/Logging_1982/tillsyn/A 15334-2023 tillsynsbegäran.docx", "A 15334-2023")</f>
        <v/>
      </c>
      <c r="Y355">
        <f>HYPERLINK("https://klasma.github.io/Logging_1982/tillsynsmail/A 15334-2023 tillsynsbegäran mail.docx", "A 15334-2023")</f>
        <v/>
      </c>
    </row>
    <row r="356" ht="15" customHeight="1">
      <c r="A356" t="inlineStr">
        <is>
          <t>A 15631-2023</t>
        </is>
      </c>
      <c r="B356" s="1" t="n">
        <v>45021</v>
      </c>
      <c r="C356" s="1" t="n">
        <v>45821</v>
      </c>
      <c r="D356" t="inlineStr">
        <is>
          <t>VÄSTMANLANDS LÄN</t>
        </is>
      </c>
      <c r="E356" t="inlineStr">
        <is>
          <t>FAGERSTA</t>
        </is>
      </c>
      <c r="F356" t="inlineStr">
        <is>
          <t>Bergvik skog väst AB</t>
        </is>
      </c>
      <c r="G356" t="n">
        <v>33.1</v>
      </c>
      <c r="H356" t="n">
        <v>1</v>
      </c>
      <c r="I356" t="n">
        <v>0</v>
      </c>
      <c r="J356" t="n">
        <v>1</v>
      </c>
      <c r="K356" t="n">
        <v>0</v>
      </c>
      <c r="L356" t="n">
        <v>0</v>
      </c>
      <c r="M356" t="n">
        <v>0</v>
      </c>
      <c r="N356" t="n">
        <v>0</v>
      </c>
      <c r="O356" t="n">
        <v>1</v>
      </c>
      <c r="P356" t="n">
        <v>0</v>
      </c>
      <c r="Q356" t="n">
        <v>1</v>
      </c>
      <c r="R356" s="2" t="inlineStr">
        <is>
          <t>Kungsörn</t>
        </is>
      </c>
      <c r="S356">
        <f>HYPERLINK("https://klasma.github.io/Logging_1982/artfynd/A 15631-2023 artfynd.xlsx", "A 15631-2023")</f>
        <v/>
      </c>
      <c r="T356">
        <f>HYPERLINK("https://klasma.github.io/Logging_1982/kartor/A 15631-2023 karta.png", "A 15631-2023")</f>
        <v/>
      </c>
      <c r="V356">
        <f>HYPERLINK("https://klasma.github.io/Logging_1982/klagomål/A 15631-2023 FSC-klagomål.docx", "A 15631-2023")</f>
        <v/>
      </c>
      <c r="W356">
        <f>HYPERLINK("https://klasma.github.io/Logging_1982/klagomålsmail/A 15631-2023 FSC-klagomål mail.docx", "A 15631-2023")</f>
        <v/>
      </c>
      <c r="X356">
        <f>HYPERLINK("https://klasma.github.io/Logging_1982/tillsyn/A 15631-2023 tillsynsbegäran.docx", "A 15631-2023")</f>
        <v/>
      </c>
      <c r="Y356">
        <f>HYPERLINK("https://klasma.github.io/Logging_1982/tillsynsmail/A 15631-2023 tillsynsbegäran mail.docx", "A 15631-2023")</f>
        <v/>
      </c>
      <c r="Z356">
        <f>HYPERLINK("https://klasma.github.io/Logging_1982/fåglar/A 15631-2023 prioriterade fågelarter.docx", "A 15631-2023")</f>
        <v/>
      </c>
    </row>
    <row r="357" ht="15" customHeight="1">
      <c r="A357" t="inlineStr">
        <is>
          <t>A 16219-2023</t>
        </is>
      </c>
      <c r="B357" s="1" t="n">
        <v>45022</v>
      </c>
      <c r="C357" s="1" t="n">
        <v>45821</v>
      </c>
      <c r="D357" t="inlineStr">
        <is>
          <t>VÄSTMANLANDS LÄN</t>
        </is>
      </c>
      <c r="E357" t="inlineStr">
        <is>
          <t>SURAHAMMAR</t>
        </is>
      </c>
      <c r="G357" t="n">
        <v>5.9</v>
      </c>
      <c r="H357" t="n">
        <v>1</v>
      </c>
      <c r="I357" t="n">
        <v>0</v>
      </c>
      <c r="J357" t="n">
        <v>1</v>
      </c>
      <c r="K357" t="n">
        <v>0</v>
      </c>
      <c r="L357" t="n">
        <v>0</v>
      </c>
      <c r="M357" t="n">
        <v>0</v>
      </c>
      <c r="N357" t="n">
        <v>0</v>
      </c>
      <c r="O357" t="n">
        <v>1</v>
      </c>
      <c r="P357" t="n">
        <v>0</v>
      </c>
      <c r="Q357" t="n">
        <v>1</v>
      </c>
      <c r="R357" s="2" t="inlineStr">
        <is>
          <t>Talltita</t>
        </is>
      </c>
      <c r="S357">
        <f>HYPERLINK("https://klasma.github.io/Logging_1907/artfynd/A 16219-2023 artfynd.xlsx", "A 16219-2023")</f>
        <v/>
      </c>
      <c r="T357">
        <f>HYPERLINK("https://klasma.github.io/Logging_1907/kartor/A 16219-2023 karta.png", "A 16219-2023")</f>
        <v/>
      </c>
      <c r="V357">
        <f>HYPERLINK("https://klasma.github.io/Logging_1907/klagomål/A 16219-2023 FSC-klagomål.docx", "A 16219-2023")</f>
        <v/>
      </c>
      <c r="W357">
        <f>HYPERLINK("https://klasma.github.io/Logging_1907/klagomålsmail/A 16219-2023 FSC-klagomål mail.docx", "A 16219-2023")</f>
        <v/>
      </c>
      <c r="X357">
        <f>HYPERLINK("https://klasma.github.io/Logging_1907/tillsyn/A 16219-2023 tillsynsbegäran.docx", "A 16219-2023")</f>
        <v/>
      </c>
      <c r="Y357">
        <f>HYPERLINK("https://klasma.github.io/Logging_1907/tillsynsmail/A 16219-2023 tillsynsbegäran mail.docx", "A 16219-2023")</f>
        <v/>
      </c>
      <c r="Z357">
        <f>HYPERLINK("https://klasma.github.io/Logging_1907/fåglar/A 16219-2023 prioriterade fågelarter.docx", "A 16219-2023")</f>
        <v/>
      </c>
    </row>
    <row r="358" ht="15" customHeight="1">
      <c r="A358" t="inlineStr">
        <is>
          <t>A 18648-2023</t>
        </is>
      </c>
      <c r="B358" s="1" t="n">
        <v>45043</v>
      </c>
      <c r="C358" s="1" t="n">
        <v>45821</v>
      </c>
      <c r="D358" t="inlineStr">
        <is>
          <t>VÄSTMANLANDS LÄN</t>
        </is>
      </c>
      <c r="E358" t="inlineStr">
        <is>
          <t>SKINNSKATTEBERG</t>
        </is>
      </c>
      <c r="F358" t="inlineStr">
        <is>
          <t>Sveaskog</t>
        </is>
      </c>
      <c r="G358" t="n">
        <v>7.3</v>
      </c>
      <c r="H358" t="n">
        <v>0</v>
      </c>
      <c r="I358" t="n">
        <v>0</v>
      </c>
      <c r="J358" t="n">
        <v>1</v>
      </c>
      <c r="K358" t="n">
        <v>0</v>
      </c>
      <c r="L358" t="n">
        <v>0</v>
      </c>
      <c r="M358" t="n">
        <v>0</v>
      </c>
      <c r="N358" t="n">
        <v>0</v>
      </c>
      <c r="O358" t="n">
        <v>1</v>
      </c>
      <c r="P358" t="n">
        <v>0</v>
      </c>
      <c r="Q358" t="n">
        <v>1</v>
      </c>
      <c r="R358" s="2" t="inlineStr">
        <is>
          <t>Skogsklocka</t>
        </is>
      </c>
      <c r="S358">
        <f>HYPERLINK("https://klasma.github.io/Logging_1904/artfynd/A 18648-2023 artfynd.xlsx", "A 18648-2023")</f>
        <v/>
      </c>
      <c r="T358">
        <f>HYPERLINK("https://klasma.github.io/Logging_1904/kartor/A 18648-2023 karta.png", "A 18648-2023")</f>
        <v/>
      </c>
      <c r="V358">
        <f>HYPERLINK("https://klasma.github.io/Logging_1904/klagomål/A 18648-2023 FSC-klagomål.docx", "A 18648-2023")</f>
        <v/>
      </c>
      <c r="W358">
        <f>HYPERLINK("https://klasma.github.io/Logging_1904/klagomålsmail/A 18648-2023 FSC-klagomål mail.docx", "A 18648-2023")</f>
        <v/>
      </c>
      <c r="X358">
        <f>HYPERLINK("https://klasma.github.io/Logging_1904/tillsyn/A 18648-2023 tillsynsbegäran.docx", "A 18648-2023")</f>
        <v/>
      </c>
      <c r="Y358">
        <f>HYPERLINK("https://klasma.github.io/Logging_1904/tillsynsmail/A 18648-2023 tillsynsbegäran mail.docx", "A 18648-2023")</f>
        <v/>
      </c>
    </row>
    <row r="359" ht="15" customHeight="1">
      <c r="A359" t="inlineStr">
        <is>
          <t>A 22840-2023</t>
        </is>
      </c>
      <c r="B359" s="1" t="n">
        <v>45072</v>
      </c>
      <c r="C359" s="1" t="n">
        <v>45821</v>
      </c>
      <c r="D359" t="inlineStr">
        <is>
          <t>VÄSTMANLANDS LÄN</t>
        </is>
      </c>
      <c r="E359" t="inlineStr">
        <is>
          <t>SURAHAMMAR</t>
        </is>
      </c>
      <c r="G359" t="n">
        <v>4.3</v>
      </c>
      <c r="H359" t="n">
        <v>1</v>
      </c>
      <c r="I359" t="n">
        <v>0</v>
      </c>
      <c r="J359" t="n">
        <v>0</v>
      </c>
      <c r="K359" t="n">
        <v>0</v>
      </c>
      <c r="L359" t="n">
        <v>0</v>
      </c>
      <c r="M359" t="n">
        <v>0</v>
      </c>
      <c r="N359" t="n">
        <v>0</v>
      </c>
      <c r="O359" t="n">
        <v>0</v>
      </c>
      <c r="P359" t="n">
        <v>0</v>
      </c>
      <c r="Q359" t="n">
        <v>1</v>
      </c>
      <c r="R359" s="2" t="inlineStr">
        <is>
          <t>Fläcknycklar</t>
        </is>
      </c>
      <c r="S359">
        <f>HYPERLINK("https://klasma.github.io/Logging_1907/artfynd/A 22840-2023 artfynd.xlsx", "A 22840-2023")</f>
        <v/>
      </c>
      <c r="T359">
        <f>HYPERLINK("https://klasma.github.io/Logging_1907/kartor/A 22840-2023 karta.png", "A 22840-2023")</f>
        <v/>
      </c>
      <c r="V359">
        <f>HYPERLINK("https://klasma.github.io/Logging_1907/klagomål/A 22840-2023 FSC-klagomål.docx", "A 22840-2023")</f>
        <v/>
      </c>
      <c r="W359">
        <f>HYPERLINK("https://klasma.github.io/Logging_1907/klagomålsmail/A 22840-2023 FSC-klagomål mail.docx", "A 22840-2023")</f>
        <v/>
      </c>
      <c r="X359">
        <f>HYPERLINK("https://klasma.github.io/Logging_1907/tillsyn/A 22840-2023 tillsynsbegäran.docx", "A 22840-2023")</f>
        <v/>
      </c>
      <c r="Y359">
        <f>HYPERLINK("https://klasma.github.io/Logging_1907/tillsynsmail/A 22840-2023 tillsynsbegäran mail.docx", "A 22840-2023")</f>
        <v/>
      </c>
    </row>
    <row r="360" ht="15" customHeight="1">
      <c r="A360" t="inlineStr">
        <is>
          <t>A 23087-2023</t>
        </is>
      </c>
      <c r="B360" s="1" t="n">
        <v>45075</v>
      </c>
      <c r="C360" s="1" t="n">
        <v>45821</v>
      </c>
      <c r="D360" t="inlineStr">
        <is>
          <t>VÄSTMANLANDS LÄN</t>
        </is>
      </c>
      <c r="E360" t="inlineStr">
        <is>
          <t>NORBERG</t>
        </is>
      </c>
      <c r="F360" t="inlineStr">
        <is>
          <t>Bergvik skog väst AB</t>
        </is>
      </c>
      <c r="G360" t="n">
        <v>8.4</v>
      </c>
      <c r="H360" t="n">
        <v>1</v>
      </c>
      <c r="I360" t="n">
        <v>1</v>
      </c>
      <c r="J360" t="n">
        <v>0</v>
      </c>
      <c r="K360" t="n">
        <v>0</v>
      </c>
      <c r="L360" t="n">
        <v>0</v>
      </c>
      <c r="M360" t="n">
        <v>0</v>
      </c>
      <c r="N360" t="n">
        <v>0</v>
      </c>
      <c r="O360" t="n">
        <v>0</v>
      </c>
      <c r="P360" t="n">
        <v>0</v>
      </c>
      <c r="Q360" t="n">
        <v>1</v>
      </c>
      <c r="R360" s="2" t="inlineStr">
        <is>
          <t>Plattlummer</t>
        </is>
      </c>
      <c r="S360">
        <f>HYPERLINK("https://klasma.github.io/Logging_1962/artfynd/A 23087-2023 artfynd.xlsx", "A 23087-2023")</f>
        <v/>
      </c>
      <c r="T360">
        <f>HYPERLINK("https://klasma.github.io/Logging_1962/kartor/A 23087-2023 karta.png", "A 23087-2023")</f>
        <v/>
      </c>
      <c r="V360">
        <f>HYPERLINK("https://klasma.github.io/Logging_1962/klagomål/A 23087-2023 FSC-klagomål.docx", "A 23087-2023")</f>
        <v/>
      </c>
      <c r="W360">
        <f>HYPERLINK("https://klasma.github.io/Logging_1962/klagomålsmail/A 23087-2023 FSC-klagomål mail.docx", "A 23087-2023")</f>
        <v/>
      </c>
      <c r="X360">
        <f>HYPERLINK("https://klasma.github.io/Logging_1962/tillsyn/A 23087-2023 tillsynsbegäran.docx", "A 23087-2023")</f>
        <v/>
      </c>
      <c r="Y360">
        <f>HYPERLINK("https://klasma.github.io/Logging_1962/tillsynsmail/A 23087-2023 tillsynsbegäran mail.docx", "A 23087-2023")</f>
        <v/>
      </c>
    </row>
    <row r="361" ht="15" customHeight="1">
      <c r="A361" t="inlineStr">
        <is>
          <t>A 23690-2023</t>
        </is>
      </c>
      <c r="B361" s="1" t="n">
        <v>45077</v>
      </c>
      <c r="C361" s="1" t="n">
        <v>45821</v>
      </c>
      <c r="D361" t="inlineStr">
        <is>
          <t>VÄSTMANLANDS LÄN</t>
        </is>
      </c>
      <c r="E361" t="inlineStr">
        <is>
          <t>NORBERG</t>
        </is>
      </c>
      <c r="G361" t="n">
        <v>2.4</v>
      </c>
      <c r="H361" t="n">
        <v>0</v>
      </c>
      <c r="I361" t="n">
        <v>1</v>
      </c>
      <c r="J361" t="n">
        <v>0</v>
      </c>
      <c r="K361" t="n">
        <v>0</v>
      </c>
      <c r="L361" t="n">
        <v>0</v>
      </c>
      <c r="M361" t="n">
        <v>0</v>
      </c>
      <c r="N361" t="n">
        <v>0</v>
      </c>
      <c r="O361" t="n">
        <v>0</v>
      </c>
      <c r="P361" t="n">
        <v>0</v>
      </c>
      <c r="Q361" t="n">
        <v>1</v>
      </c>
      <c r="R361" s="2" t="inlineStr">
        <is>
          <t>Rödgul trumpetsvamp</t>
        </is>
      </c>
      <c r="S361">
        <f>HYPERLINK("https://klasma.github.io/Logging_1962/artfynd/A 23690-2023 artfynd.xlsx", "A 23690-2023")</f>
        <v/>
      </c>
      <c r="T361">
        <f>HYPERLINK("https://klasma.github.io/Logging_1962/kartor/A 23690-2023 karta.png", "A 23690-2023")</f>
        <v/>
      </c>
      <c r="U361">
        <f>HYPERLINK("https://klasma.github.io/Logging_1962/knärot/A 23690-2023 karta knärot.png", "A 23690-2023")</f>
        <v/>
      </c>
      <c r="V361">
        <f>HYPERLINK("https://klasma.github.io/Logging_1962/klagomål/A 23690-2023 FSC-klagomål.docx", "A 23690-2023")</f>
        <v/>
      </c>
      <c r="W361">
        <f>HYPERLINK("https://klasma.github.io/Logging_1962/klagomålsmail/A 23690-2023 FSC-klagomål mail.docx", "A 23690-2023")</f>
        <v/>
      </c>
      <c r="X361">
        <f>HYPERLINK("https://klasma.github.io/Logging_1962/tillsyn/A 23690-2023 tillsynsbegäran.docx", "A 23690-2023")</f>
        <v/>
      </c>
      <c r="Y361">
        <f>HYPERLINK("https://klasma.github.io/Logging_1962/tillsynsmail/A 23690-2023 tillsynsbegäran mail.docx", "A 23690-2023")</f>
        <v/>
      </c>
    </row>
    <row r="362" ht="15" customHeight="1">
      <c r="A362" t="inlineStr">
        <is>
          <t>A 23893-2023</t>
        </is>
      </c>
      <c r="B362" s="1" t="n">
        <v>45078</v>
      </c>
      <c r="C362" s="1" t="n">
        <v>45821</v>
      </c>
      <c r="D362" t="inlineStr">
        <is>
          <t>VÄSTMANLANDS LÄN</t>
        </is>
      </c>
      <c r="E362" t="inlineStr">
        <is>
          <t>SKINNSKATTEBERG</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HYPERLINK("https://klasma.github.io/Logging_1904/artfynd/A 23893-2023 artfynd.xlsx", "A 23893-2023")</f>
        <v/>
      </c>
      <c r="T362">
        <f>HYPERLINK("https://klasma.github.io/Logging_1904/kartor/A 23893-2023 karta.png", "A 23893-2023")</f>
        <v/>
      </c>
      <c r="U362">
        <f>HYPERLINK("https://klasma.github.io/Logging_1904/knärot/A 23893-2023 karta knärot.png", "A 23893-2023")</f>
        <v/>
      </c>
      <c r="V362">
        <f>HYPERLINK("https://klasma.github.io/Logging_1904/klagomål/A 23893-2023 FSC-klagomål.docx", "A 23893-2023")</f>
        <v/>
      </c>
      <c r="W362">
        <f>HYPERLINK("https://klasma.github.io/Logging_1904/klagomålsmail/A 23893-2023 FSC-klagomål mail.docx", "A 23893-2023")</f>
        <v/>
      </c>
      <c r="X362">
        <f>HYPERLINK("https://klasma.github.io/Logging_1904/tillsyn/A 23893-2023 tillsynsbegäran.docx", "A 23893-2023")</f>
        <v/>
      </c>
      <c r="Y362">
        <f>HYPERLINK("https://klasma.github.io/Logging_1904/tillsynsmail/A 23893-2023 tillsynsbegäran mail.docx", "A 23893-2023")</f>
        <v/>
      </c>
    </row>
    <row r="363" ht="15" customHeight="1">
      <c r="A363" t="inlineStr">
        <is>
          <t>A 24486-2023</t>
        </is>
      </c>
      <c r="B363" s="1" t="n">
        <v>45082</v>
      </c>
      <c r="C363" s="1" t="n">
        <v>45821</v>
      </c>
      <c r="D363" t="inlineStr">
        <is>
          <t>VÄSTMANLANDS LÄN</t>
        </is>
      </c>
      <c r="E363" t="inlineStr">
        <is>
          <t>VÄSTERÅS</t>
        </is>
      </c>
      <c r="G363" t="n">
        <v>12.8</v>
      </c>
      <c r="H363" t="n">
        <v>0</v>
      </c>
      <c r="I363" t="n">
        <v>1</v>
      </c>
      <c r="J363" t="n">
        <v>0</v>
      </c>
      <c r="K363" t="n">
        <v>0</v>
      </c>
      <c r="L363" t="n">
        <v>0</v>
      </c>
      <c r="M363" t="n">
        <v>0</v>
      </c>
      <c r="N363" t="n">
        <v>0</v>
      </c>
      <c r="O363" t="n">
        <v>0</v>
      </c>
      <c r="P363" t="n">
        <v>0</v>
      </c>
      <c r="Q363" t="n">
        <v>1</v>
      </c>
      <c r="R363" s="2" t="inlineStr">
        <is>
          <t>Vedticka</t>
        </is>
      </c>
      <c r="S363">
        <f>HYPERLINK("https://klasma.github.io/Logging_1980/artfynd/A 24486-2023 artfynd.xlsx", "A 24486-2023")</f>
        <v/>
      </c>
      <c r="T363">
        <f>HYPERLINK("https://klasma.github.io/Logging_1980/kartor/A 24486-2023 karta.png", "A 24486-2023")</f>
        <v/>
      </c>
      <c r="V363">
        <f>HYPERLINK("https://klasma.github.io/Logging_1980/klagomål/A 24486-2023 FSC-klagomål.docx", "A 24486-2023")</f>
        <v/>
      </c>
      <c r="W363">
        <f>HYPERLINK("https://klasma.github.io/Logging_1980/klagomålsmail/A 24486-2023 FSC-klagomål mail.docx", "A 24486-2023")</f>
        <v/>
      </c>
      <c r="X363">
        <f>HYPERLINK("https://klasma.github.io/Logging_1980/tillsyn/A 24486-2023 tillsynsbegäran.docx", "A 24486-2023")</f>
        <v/>
      </c>
      <c r="Y363">
        <f>HYPERLINK("https://klasma.github.io/Logging_1980/tillsynsmail/A 24486-2023 tillsynsbegäran mail.docx", "A 24486-2023")</f>
        <v/>
      </c>
    </row>
    <row r="364" ht="15" customHeight="1">
      <c r="A364" t="inlineStr">
        <is>
          <t>A 24920-2023</t>
        </is>
      </c>
      <c r="B364" s="1" t="n">
        <v>45085</v>
      </c>
      <c r="C364" s="1" t="n">
        <v>45821</v>
      </c>
      <c r="D364" t="inlineStr">
        <is>
          <t>VÄSTMANLANDS LÄN</t>
        </is>
      </c>
      <c r="E364" t="inlineStr">
        <is>
          <t>SURAHAMMAR</t>
        </is>
      </c>
      <c r="F364" t="inlineStr">
        <is>
          <t>Allmännings- och besparingsskogar</t>
        </is>
      </c>
      <c r="G364" t="n">
        <v>16.2</v>
      </c>
      <c r="H364" t="n">
        <v>1</v>
      </c>
      <c r="I364" t="n">
        <v>0</v>
      </c>
      <c r="J364" t="n">
        <v>1</v>
      </c>
      <c r="K364" t="n">
        <v>0</v>
      </c>
      <c r="L364" t="n">
        <v>0</v>
      </c>
      <c r="M364" t="n">
        <v>0</v>
      </c>
      <c r="N364" t="n">
        <v>0</v>
      </c>
      <c r="O364" t="n">
        <v>1</v>
      </c>
      <c r="P364" t="n">
        <v>0</v>
      </c>
      <c r="Q364" t="n">
        <v>1</v>
      </c>
      <c r="R364" s="2" t="inlineStr">
        <is>
          <t>Talltita</t>
        </is>
      </c>
      <c r="S364">
        <f>HYPERLINK("https://klasma.github.io/Logging_1907/artfynd/A 24920-2023 artfynd.xlsx", "A 24920-2023")</f>
        <v/>
      </c>
      <c r="T364">
        <f>HYPERLINK("https://klasma.github.io/Logging_1907/kartor/A 24920-2023 karta.png", "A 24920-2023")</f>
        <v/>
      </c>
      <c r="V364">
        <f>HYPERLINK("https://klasma.github.io/Logging_1907/klagomål/A 24920-2023 FSC-klagomål.docx", "A 24920-2023")</f>
        <v/>
      </c>
      <c r="W364">
        <f>HYPERLINK("https://klasma.github.io/Logging_1907/klagomålsmail/A 24920-2023 FSC-klagomål mail.docx", "A 24920-2023")</f>
        <v/>
      </c>
      <c r="X364">
        <f>HYPERLINK("https://klasma.github.io/Logging_1907/tillsyn/A 24920-2023 tillsynsbegäran.docx", "A 24920-2023")</f>
        <v/>
      </c>
      <c r="Y364">
        <f>HYPERLINK("https://klasma.github.io/Logging_1907/tillsynsmail/A 24920-2023 tillsynsbegäran mail.docx", "A 24920-2023")</f>
        <v/>
      </c>
      <c r="Z364">
        <f>HYPERLINK("https://klasma.github.io/Logging_1907/fåglar/A 24920-2023 prioriterade fågelarter.docx", "A 24920-2023")</f>
        <v/>
      </c>
    </row>
    <row r="365" ht="15" customHeight="1">
      <c r="A365" t="inlineStr">
        <is>
          <t>A 27170-2023</t>
        </is>
      </c>
      <c r="B365" s="1" t="n">
        <v>45096</v>
      </c>
      <c r="C365" s="1" t="n">
        <v>45821</v>
      </c>
      <c r="D365" t="inlineStr">
        <is>
          <t>VÄSTMANLANDS LÄN</t>
        </is>
      </c>
      <c r="E365" t="inlineStr">
        <is>
          <t>SURAHAMMAR</t>
        </is>
      </c>
      <c r="F365" t="inlineStr">
        <is>
          <t>Sveaskog</t>
        </is>
      </c>
      <c r="G365" t="n">
        <v>11.3</v>
      </c>
      <c r="H365" t="n">
        <v>0</v>
      </c>
      <c r="I365" t="n">
        <v>1</v>
      </c>
      <c r="J365" t="n">
        <v>0</v>
      </c>
      <c r="K365" t="n">
        <v>0</v>
      </c>
      <c r="L365" t="n">
        <v>0</v>
      </c>
      <c r="M365" t="n">
        <v>0</v>
      </c>
      <c r="N365" t="n">
        <v>0</v>
      </c>
      <c r="O365" t="n">
        <v>0</v>
      </c>
      <c r="P365" t="n">
        <v>0</v>
      </c>
      <c r="Q365" t="n">
        <v>1</v>
      </c>
      <c r="R365" s="2" t="inlineStr">
        <is>
          <t>Vedticka</t>
        </is>
      </c>
      <c r="S365">
        <f>HYPERLINK("https://klasma.github.io/Logging_1907/artfynd/A 27170-2023 artfynd.xlsx", "A 27170-2023")</f>
        <v/>
      </c>
      <c r="T365">
        <f>HYPERLINK("https://klasma.github.io/Logging_1907/kartor/A 27170-2023 karta.png", "A 27170-2023")</f>
        <v/>
      </c>
      <c r="V365">
        <f>HYPERLINK("https://klasma.github.io/Logging_1907/klagomål/A 27170-2023 FSC-klagomål.docx", "A 27170-2023")</f>
        <v/>
      </c>
      <c r="W365">
        <f>HYPERLINK("https://klasma.github.io/Logging_1907/klagomålsmail/A 27170-2023 FSC-klagomål mail.docx", "A 27170-2023")</f>
        <v/>
      </c>
      <c r="X365">
        <f>HYPERLINK("https://klasma.github.io/Logging_1907/tillsyn/A 27170-2023 tillsynsbegäran.docx", "A 27170-2023")</f>
        <v/>
      </c>
      <c r="Y365">
        <f>HYPERLINK("https://klasma.github.io/Logging_1907/tillsynsmail/A 27170-2023 tillsynsbegäran mail.docx", "A 27170-2023")</f>
        <v/>
      </c>
    </row>
    <row r="366" ht="15" customHeight="1">
      <c r="A366" t="inlineStr">
        <is>
          <t>A 28794-2023</t>
        </is>
      </c>
      <c r="B366" s="1" t="n">
        <v>45104</v>
      </c>
      <c r="C366" s="1" t="n">
        <v>45821</v>
      </c>
      <c r="D366" t="inlineStr">
        <is>
          <t>VÄSTMANLANDS LÄN</t>
        </is>
      </c>
      <c r="E366" t="inlineStr">
        <is>
          <t>FAGERSTA</t>
        </is>
      </c>
      <c r="G366" t="n">
        <v>12.2</v>
      </c>
      <c r="H366" t="n">
        <v>1</v>
      </c>
      <c r="I366" t="n">
        <v>0</v>
      </c>
      <c r="J366" t="n">
        <v>1</v>
      </c>
      <c r="K366" t="n">
        <v>0</v>
      </c>
      <c r="L366" t="n">
        <v>0</v>
      </c>
      <c r="M366" t="n">
        <v>0</v>
      </c>
      <c r="N366" t="n">
        <v>0</v>
      </c>
      <c r="O366" t="n">
        <v>1</v>
      </c>
      <c r="P366" t="n">
        <v>0</v>
      </c>
      <c r="Q366" t="n">
        <v>1</v>
      </c>
      <c r="R366" s="2" t="inlineStr">
        <is>
          <t>Spillkråka</t>
        </is>
      </c>
      <c r="S366">
        <f>HYPERLINK("https://klasma.github.io/Logging_1982/artfynd/A 28794-2023 artfynd.xlsx", "A 28794-2023")</f>
        <v/>
      </c>
      <c r="T366">
        <f>HYPERLINK("https://klasma.github.io/Logging_1982/kartor/A 28794-2023 karta.png", "A 28794-2023")</f>
        <v/>
      </c>
      <c r="V366">
        <f>HYPERLINK("https://klasma.github.io/Logging_1982/klagomål/A 28794-2023 FSC-klagomål.docx", "A 28794-2023")</f>
        <v/>
      </c>
      <c r="W366">
        <f>HYPERLINK("https://klasma.github.io/Logging_1982/klagomålsmail/A 28794-2023 FSC-klagomål mail.docx", "A 28794-2023")</f>
        <v/>
      </c>
      <c r="X366">
        <f>HYPERLINK("https://klasma.github.io/Logging_1982/tillsyn/A 28794-2023 tillsynsbegäran.docx", "A 28794-2023")</f>
        <v/>
      </c>
      <c r="Y366">
        <f>HYPERLINK("https://klasma.github.io/Logging_1982/tillsynsmail/A 28794-2023 tillsynsbegäran mail.docx", "A 28794-2023")</f>
        <v/>
      </c>
      <c r="Z366">
        <f>HYPERLINK("https://klasma.github.io/Logging_1982/fåglar/A 28794-2023 prioriterade fågelarter.docx", "A 28794-2023")</f>
        <v/>
      </c>
    </row>
    <row r="367" ht="15" customHeight="1">
      <c r="A367" t="inlineStr">
        <is>
          <t>A 29727-2023</t>
        </is>
      </c>
      <c r="B367" s="1" t="n">
        <v>45107</v>
      </c>
      <c r="C367" s="1" t="n">
        <v>45821</v>
      </c>
      <c r="D367" t="inlineStr">
        <is>
          <t>VÄSTMANLANDS LÄN</t>
        </is>
      </c>
      <c r="E367" t="inlineStr">
        <is>
          <t>SALA</t>
        </is>
      </c>
      <c r="G367" t="n">
        <v>1.9</v>
      </c>
      <c r="H367" t="n">
        <v>0</v>
      </c>
      <c r="I367" t="n">
        <v>0</v>
      </c>
      <c r="J367" t="n">
        <v>1</v>
      </c>
      <c r="K367" t="n">
        <v>0</v>
      </c>
      <c r="L367" t="n">
        <v>0</v>
      </c>
      <c r="M367" t="n">
        <v>0</v>
      </c>
      <c r="N367" t="n">
        <v>0</v>
      </c>
      <c r="O367" t="n">
        <v>1</v>
      </c>
      <c r="P367" t="n">
        <v>0</v>
      </c>
      <c r="Q367" t="n">
        <v>1</v>
      </c>
      <c r="R367" s="2" t="inlineStr">
        <is>
          <t>Vedtrappmossa</t>
        </is>
      </c>
      <c r="S367">
        <f>HYPERLINK("https://klasma.github.io/Logging_1981/artfynd/A 29727-2023 artfynd.xlsx", "A 29727-2023")</f>
        <v/>
      </c>
      <c r="T367">
        <f>HYPERLINK("https://klasma.github.io/Logging_1981/kartor/A 29727-2023 karta.png", "A 29727-2023")</f>
        <v/>
      </c>
      <c r="V367">
        <f>HYPERLINK("https://klasma.github.io/Logging_1981/klagomål/A 29727-2023 FSC-klagomål.docx", "A 29727-2023")</f>
        <v/>
      </c>
      <c r="W367">
        <f>HYPERLINK("https://klasma.github.io/Logging_1981/klagomålsmail/A 29727-2023 FSC-klagomål mail.docx", "A 29727-2023")</f>
        <v/>
      </c>
      <c r="X367">
        <f>HYPERLINK("https://klasma.github.io/Logging_1981/tillsyn/A 29727-2023 tillsynsbegäran.docx", "A 29727-2023")</f>
        <v/>
      </c>
      <c r="Y367">
        <f>HYPERLINK("https://klasma.github.io/Logging_1981/tillsynsmail/A 29727-2023 tillsynsbegäran mail.docx", "A 29727-2023")</f>
        <v/>
      </c>
    </row>
    <row r="368" ht="15" customHeight="1">
      <c r="A368" t="inlineStr">
        <is>
          <t>A 29787-2023</t>
        </is>
      </c>
      <c r="B368" s="1" t="n">
        <v>45107</v>
      </c>
      <c r="C368" s="1" t="n">
        <v>45821</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Kopparödla</t>
        </is>
      </c>
      <c r="S368">
        <f>HYPERLINK("https://klasma.github.io/Logging_1980/artfynd/A 29787-2023 artfynd.xlsx", "A 29787-2023")</f>
        <v/>
      </c>
      <c r="T368">
        <f>HYPERLINK("https://klasma.github.io/Logging_1980/kartor/A 29787-2023 karta.png", "A 29787-2023")</f>
        <v/>
      </c>
      <c r="V368">
        <f>HYPERLINK("https://klasma.github.io/Logging_1980/klagomål/A 29787-2023 FSC-klagomål.docx", "A 29787-2023")</f>
        <v/>
      </c>
      <c r="W368">
        <f>HYPERLINK("https://klasma.github.io/Logging_1980/klagomålsmail/A 29787-2023 FSC-klagomål mail.docx", "A 29787-2023")</f>
        <v/>
      </c>
      <c r="X368">
        <f>HYPERLINK("https://klasma.github.io/Logging_1980/tillsyn/A 29787-2023 tillsynsbegäran.docx", "A 29787-2023")</f>
        <v/>
      </c>
      <c r="Y368">
        <f>HYPERLINK("https://klasma.github.io/Logging_1980/tillsynsmail/A 29787-2023 tillsynsbegäran mail.docx", "A 29787-2023")</f>
        <v/>
      </c>
    </row>
    <row r="369" ht="15" customHeight="1">
      <c r="A369" t="inlineStr">
        <is>
          <t>A 30074-2023</t>
        </is>
      </c>
      <c r="B369" s="1" t="n">
        <v>45110</v>
      </c>
      <c r="C369" s="1" t="n">
        <v>45821</v>
      </c>
      <c r="D369" t="inlineStr">
        <is>
          <t>VÄSTMANLANDS LÄN</t>
        </is>
      </c>
      <c r="E369" t="inlineStr">
        <is>
          <t>SURAHAMMAR</t>
        </is>
      </c>
      <c r="F369" t="inlineStr">
        <is>
          <t>Sveaskog</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HYPERLINK("https://klasma.github.io/Logging_1907/artfynd/A 30074-2023 artfynd.xlsx", "A 30074-2023")</f>
        <v/>
      </c>
      <c r="T369">
        <f>HYPERLINK("https://klasma.github.io/Logging_1907/kartor/A 30074-2023 karta.png", "A 30074-2023")</f>
        <v/>
      </c>
      <c r="V369">
        <f>HYPERLINK("https://klasma.github.io/Logging_1907/klagomål/A 30074-2023 FSC-klagomål.docx", "A 30074-2023")</f>
        <v/>
      </c>
      <c r="W369">
        <f>HYPERLINK("https://klasma.github.io/Logging_1907/klagomålsmail/A 30074-2023 FSC-klagomål mail.docx", "A 30074-2023")</f>
        <v/>
      </c>
      <c r="X369">
        <f>HYPERLINK("https://klasma.github.io/Logging_1907/tillsyn/A 30074-2023 tillsynsbegäran.docx", "A 30074-2023")</f>
        <v/>
      </c>
      <c r="Y369">
        <f>HYPERLINK("https://klasma.github.io/Logging_1907/tillsynsmail/A 30074-2023 tillsynsbegäran mail.docx", "A 30074-2023")</f>
        <v/>
      </c>
    </row>
    <row r="370" ht="15" customHeight="1">
      <c r="A370" t="inlineStr">
        <is>
          <t>A 30073-2023</t>
        </is>
      </c>
      <c r="B370" s="1" t="n">
        <v>45110</v>
      </c>
      <c r="C370" s="1" t="n">
        <v>45821</v>
      </c>
      <c r="D370" t="inlineStr">
        <is>
          <t>VÄSTMANLANDS LÄN</t>
        </is>
      </c>
      <c r="E370" t="inlineStr">
        <is>
          <t>SURAHAMMAR</t>
        </is>
      </c>
      <c r="F370" t="inlineStr">
        <is>
          <t>Sveaskog</t>
        </is>
      </c>
      <c r="G370" t="n">
        <v>4.7</v>
      </c>
      <c r="H370" t="n">
        <v>0</v>
      </c>
      <c r="I370" t="n">
        <v>1</v>
      </c>
      <c r="J370" t="n">
        <v>0</v>
      </c>
      <c r="K370" t="n">
        <v>0</v>
      </c>
      <c r="L370" t="n">
        <v>0</v>
      </c>
      <c r="M370" t="n">
        <v>0</v>
      </c>
      <c r="N370" t="n">
        <v>0</v>
      </c>
      <c r="O370" t="n">
        <v>0</v>
      </c>
      <c r="P370" t="n">
        <v>0</v>
      </c>
      <c r="Q370" t="n">
        <v>1</v>
      </c>
      <c r="R370" s="2" t="inlineStr">
        <is>
          <t>Grönpyrola</t>
        </is>
      </c>
      <c r="S370">
        <f>HYPERLINK("https://klasma.github.io/Logging_1907/artfynd/A 30073-2023 artfynd.xlsx", "A 30073-2023")</f>
        <v/>
      </c>
      <c r="T370">
        <f>HYPERLINK("https://klasma.github.io/Logging_1907/kartor/A 30073-2023 karta.png", "A 30073-2023")</f>
        <v/>
      </c>
      <c r="V370">
        <f>HYPERLINK("https://klasma.github.io/Logging_1907/klagomål/A 30073-2023 FSC-klagomål.docx", "A 30073-2023")</f>
        <v/>
      </c>
      <c r="W370">
        <f>HYPERLINK("https://klasma.github.io/Logging_1907/klagomålsmail/A 30073-2023 FSC-klagomål mail.docx", "A 30073-2023")</f>
        <v/>
      </c>
      <c r="X370">
        <f>HYPERLINK("https://klasma.github.io/Logging_1907/tillsyn/A 30073-2023 tillsynsbegäran.docx", "A 30073-2023")</f>
        <v/>
      </c>
      <c r="Y370">
        <f>HYPERLINK("https://klasma.github.io/Logging_1907/tillsynsmail/A 30073-2023 tillsynsbegäran mail.docx", "A 30073-2023")</f>
        <v/>
      </c>
    </row>
    <row r="371" ht="15" customHeight="1">
      <c r="A371" t="inlineStr">
        <is>
          <t>A 30084-2023</t>
        </is>
      </c>
      <c r="B371" s="1" t="n">
        <v>45110</v>
      </c>
      <c r="C371" s="1" t="n">
        <v>45821</v>
      </c>
      <c r="D371" t="inlineStr">
        <is>
          <t>VÄSTMANLANDS LÄN</t>
        </is>
      </c>
      <c r="E371" t="inlineStr">
        <is>
          <t>VÄSTERÅS</t>
        </is>
      </c>
      <c r="F371" t="inlineStr">
        <is>
          <t>Sveaskog</t>
        </is>
      </c>
      <c r="G371" t="n">
        <v>5.3</v>
      </c>
      <c r="H371" t="n">
        <v>1</v>
      </c>
      <c r="I371" t="n">
        <v>0</v>
      </c>
      <c r="J371" t="n">
        <v>0</v>
      </c>
      <c r="K371" t="n">
        <v>0</v>
      </c>
      <c r="L371" t="n">
        <v>0</v>
      </c>
      <c r="M371" t="n">
        <v>0</v>
      </c>
      <c r="N371" t="n">
        <v>0</v>
      </c>
      <c r="O371" t="n">
        <v>0</v>
      </c>
      <c r="P371" t="n">
        <v>0</v>
      </c>
      <c r="Q371" t="n">
        <v>1</v>
      </c>
      <c r="R371" s="2" t="inlineStr">
        <is>
          <t>Blåsippa</t>
        </is>
      </c>
      <c r="S371">
        <f>HYPERLINK("https://klasma.github.io/Logging_1980/artfynd/A 30084-2023 artfynd.xlsx", "A 30084-2023")</f>
        <v/>
      </c>
      <c r="T371">
        <f>HYPERLINK("https://klasma.github.io/Logging_1980/kartor/A 30084-2023 karta.png", "A 30084-2023")</f>
        <v/>
      </c>
      <c r="V371">
        <f>HYPERLINK("https://klasma.github.io/Logging_1980/klagomål/A 30084-2023 FSC-klagomål.docx", "A 30084-2023")</f>
        <v/>
      </c>
      <c r="W371">
        <f>HYPERLINK("https://klasma.github.io/Logging_1980/klagomålsmail/A 30084-2023 FSC-klagomål mail.docx", "A 30084-2023")</f>
        <v/>
      </c>
      <c r="X371">
        <f>HYPERLINK("https://klasma.github.io/Logging_1980/tillsyn/A 30084-2023 tillsynsbegäran.docx", "A 30084-2023")</f>
        <v/>
      </c>
      <c r="Y371">
        <f>HYPERLINK("https://klasma.github.io/Logging_1980/tillsynsmail/A 30084-2023 tillsynsbegäran mail.docx", "A 30084-2023")</f>
        <v/>
      </c>
    </row>
    <row r="372" ht="15" customHeight="1">
      <c r="A372" t="inlineStr">
        <is>
          <t>A 31354-2023</t>
        </is>
      </c>
      <c r="B372" s="1" t="n">
        <v>45114</v>
      </c>
      <c r="C372" s="1" t="n">
        <v>45821</v>
      </c>
      <c r="D372" t="inlineStr">
        <is>
          <t>VÄSTMANLANDS LÄN</t>
        </is>
      </c>
      <c r="E372" t="inlineStr">
        <is>
          <t>VÄSTERÅS</t>
        </is>
      </c>
      <c r="F372" t="inlineStr">
        <is>
          <t>Sveaskog</t>
        </is>
      </c>
      <c r="G372" t="n">
        <v>5.7</v>
      </c>
      <c r="H372" t="n">
        <v>1</v>
      </c>
      <c r="I372" t="n">
        <v>0</v>
      </c>
      <c r="J372" t="n">
        <v>1</v>
      </c>
      <c r="K372" t="n">
        <v>0</v>
      </c>
      <c r="L372" t="n">
        <v>0</v>
      </c>
      <c r="M372" t="n">
        <v>0</v>
      </c>
      <c r="N372" t="n">
        <v>0</v>
      </c>
      <c r="O372" t="n">
        <v>1</v>
      </c>
      <c r="P372" t="n">
        <v>0</v>
      </c>
      <c r="Q372" t="n">
        <v>1</v>
      </c>
      <c r="R372" s="2" t="inlineStr">
        <is>
          <t>Talltita</t>
        </is>
      </c>
      <c r="S372">
        <f>HYPERLINK("https://klasma.github.io/Logging_1980/artfynd/A 31354-2023 artfynd.xlsx", "A 31354-2023")</f>
        <v/>
      </c>
      <c r="T372">
        <f>HYPERLINK("https://klasma.github.io/Logging_1980/kartor/A 31354-2023 karta.png", "A 31354-2023")</f>
        <v/>
      </c>
      <c r="V372">
        <f>HYPERLINK("https://klasma.github.io/Logging_1980/klagomål/A 31354-2023 FSC-klagomål.docx", "A 31354-2023")</f>
        <v/>
      </c>
      <c r="W372">
        <f>HYPERLINK("https://klasma.github.io/Logging_1980/klagomålsmail/A 31354-2023 FSC-klagomål mail.docx", "A 31354-2023")</f>
        <v/>
      </c>
      <c r="X372">
        <f>HYPERLINK("https://klasma.github.io/Logging_1980/tillsyn/A 31354-2023 tillsynsbegäran.docx", "A 31354-2023")</f>
        <v/>
      </c>
      <c r="Y372">
        <f>HYPERLINK("https://klasma.github.io/Logging_1980/tillsynsmail/A 31354-2023 tillsynsbegäran mail.docx", "A 31354-2023")</f>
        <v/>
      </c>
      <c r="Z372">
        <f>HYPERLINK("https://klasma.github.io/Logging_1980/fåglar/A 31354-2023 prioriterade fågelarter.docx", "A 31354-2023")</f>
        <v/>
      </c>
    </row>
    <row r="373" ht="15" customHeight="1">
      <c r="A373" t="inlineStr">
        <is>
          <t>A 31535-2023</t>
        </is>
      </c>
      <c r="B373" s="1" t="n">
        <v>45116</v>
      </c>
      <c r="C373" s="1" t="n">
        <v>45821</v>
      </c>
      <c r="D373" t="inlineStr">
        <is>
          <t>VÄSTMANLANDS LÄN</t>
        </is>
      </c>
      <c r="E373" t="inlineStr">
        <is>
          <t>SALA</t>
        </is>
      </c>
      <c r="G373" t="n">
        <v>0.9</v>
      </c>
      <c r="H373" t="n">
        <v>0</v>
      </c>
      <c r="I373" t="n">
        <v>0</v>
      </c>
      <c r="J373" t="n">
        <v>1</v>
      </c>
      <c r="K373" t="n">
        <v>0</v>
      </c>
      <c r="L373" t="n">
        <v>0</v>
      </c>
      <c r="M373" t="n">
        <v>0</v>
      </c>
      <c r="N373" t="n">
        <v>0</v>
      </c>
      <c r="O373" t="n">
        <v>1</v>
      </c>
      <c r="P373" t="n">
        <v>0</v>
      </c>
      <c r="Q373" t="n">
        <v>1</v>
      </c>
      <c r="R373" s="2" t="inlineStr">
        <is>
          <t>Orange taggsvamp</t>
        </is>
      </c>
      <c r="S373">
        <f>HYPERLINK("https://klasma.github.io/Logging_1981/artfynd/A 31535-2023 artfynd.xlsx", "A 31535-2023")</f>
        <v/>
      </c>
      <c r="T373">
        <f>HYPERLINK("https://klasma.github.io/Logging_1981/kartor/A 31535-2023 karta.png", "A 31535-2023")</f>
        <v/>
      </c>
      <c r="V373">
        <f>HYPERLINK("https://klasma.github.io/Logging_1981/klagomål/A 31535-2023 FSC-klagomål.docx", "A 31535-2023")</f>
        <v/>
      </c>
      <c r="W373">
        <f>HYPERLINK("https://klasma.github.io/Logging_1981/klagomålsmail/A 31535-2023 FSC-klagomål mail.docx", "A 31535-2023")</f>
        <v/>
      </c>
      <c r="X373">
        <f>HYPERLINK("https://klasma.github.io/Logging_1981/tillsyn/A 31535-2023 tillsynsbegäran.docx", "A 31535-2023")</f>
        <v/>
      </c>
      <c r="Y373">
        <f>HYPERLINK("https://klasma.github.io/Logging_1981/tillsynsmail/A 31535-2023 tillsynsbegäran mail.docx", "A 31535-2023")</f>
        <v/>
      </c>
    </row>
    <row r="374" ht="15" customHeight="1">
      <c r="A374" t="inlineStr">
        <is>
          <t>A 37277-2023</t>
        </is>
      </c>
      <c r="B374" s="1" t="n">
        <v>45156</v>
      </c>
      <c r="C374" s="1" t="n">
        <v>45821</v>
      </c>
      <c r="D374" t="inlineStr">
        <is>
          <t>VÄSTMANLANDS LÄN</t>
        </is>
      </c>
      <c r="E374" t="inlineStr">
        <is>
          <t>SURAHAMMAR</t>
        </is>
      </c>
      <c r="G374" t="n">
        <v>4.3</v>
      </c>
      <c r="H374" t="n">
        <v>1</v>
      </c>
      <c r="I374" t="n">
        <v>0</v>
      </c>
      <c r="J374" t="n">
        <v>0</v>
      </c>
      <c r="K374" t="n">
        <v>1</v>
      </c>
      <c r="L374" t="n">
        <v>0</v>
      </c>
      <c r="M374" t="n">
        <v>0</v>
      </c>
      <c r="N374" t="n">
        <v>0</v>
      </c>
      <c r="O374" t="n">
        <v>1</v>
      </c>
      <c r="P374" t="n">
        <v>1</v>
      </c>
      <c r="Q374" t="n">
        <v>1</v>
      </c>
      <c r="R374" s="2" t="inlineStr">
        <is>
          <t>Bombmurkla</t>
        </is>
      </c>
      <c r="S374">
        <f>HYPERLINK("https://klasma.github.io/Logging_1907/artfynd/A 37277-2023 artfynd.xlsx", "A 37277-2023")</f>
        <v/>
      </c>
      <c r="T374">
        <f>HYPERLINK("https://klasma.github.io/Logging_1907/kartor/A 37277-2023 karta.png", "A 37277-2023")</f>
        <v/>
      </c>
      <c r="V374">
        <f>HYPERLINK("https://klasma.github.io/Logging_1907/klagomål/A 37277-2023 FSC-klagomål.docx", "A 37277-2023")</f>
        <v/>
      </c>
      <c r="W374">
        <f>HYPERLINK("https://klasma.github.io/Logging_1907/klagomålsmail/A 37277-2023 FSC-klagomål mail.docx", "A 37277-2023")</f>
        <v/>
      </c>
      <c r="X374">
        <f>HYPERLINK("https://klasma.github.io/Logging_1907/tillsyn/A 37277-2023 tillsynsbegäran.docx", "A 37277-2023")</f>
        <v/>
      </c>
      <c r="Y374">
        <f>HYPERLINK("https://klasma.github.io/Logging_1907/tillsynsmail/A 37277-2023 tillsynsbegäran mail.docx", "A 37277-2023")</f>
        <v/>
      </c>
    </row>
    <row r="375" ht="15" customHeight="1">
      <c r="A375" t="inlineStr">
        <is>
          <t>A 38849-2023</t>
        </is>
      </c>
      <c r="B375" s="1" t="n">
        <v>45163</v>
      </c>
      <c r="C375" s="1" t="n">
        <v>45821</v>
      </c>
      <c r="D375" t="inlineStr">
        <is>
          <t>VÄSTMANLANDS LÄN</t>
        </is>
      </c>
      <c r="E375" t="inlineStr">
        <is>
          <t>VÄSTERÅS</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HYPERLINK("https://klasma.github.io/Logging_1980/artfynd/A 38849-2023 artfynd.xlsx", "A 38849-2023")</f>
        <v/>
      </c>
      <c r="T375">
        <f>HYPERLINK("https://klasma.github.io/Logging_1980/kartor/A 38849-2023 karta.png", "A 38849-2023")</f>
        <v/>
      </c>
      <c r="V375">
        <f>HYPERLINK("https://klasma.github.io/Logging_1980/klagomål/A 38849-2023 FSC-klagomål.docx", "A 38849-2023")</f>
        <v/>
      </c>
      <c r="W375">
        <f>HYPERLINK("https://klasma.github.io/Logging_1980/klagomålsmail/A 38849-2023 FSC-klagomål mail.docx", "A 38849-2023")</f>
        <v/>
      </c>
      <c r="X375">
        <f>HYPERLINK("https://klasma.github.io/Logging_1980/tillsyn/A 38849-2023 tillsynsbegäran.docx", "A 38849-2023")</f>
        <v/>
      </c>
      <c r="Y375">
        <f>HYPERLINK("https://klasma.github.io/Logging_1980/tillsynsmail/A 38849-2023 tillsynsbegäran mail.docx", "A 38849-2023")</f>
        <v/>
      </c>
      <c r="Z375">
        <f>HYPERLINK("https://klasma.github.io/Logging_1980/fåglar/A 38849-2023 prioriterade fågelarter.docx", "A 38849-2023")</f>
        <v/>
      </c>
    </row>
    <row r="376" ht="15" customHeight="1">
      <c r="A376" t="inlineStr">
        <is>
          <t>A 38712-2023</t>
        </is>
      </c>
      <c r="B376" s="1" t="n">
        <v>45163</v>
      </c>
      <c r="C376" s="1" t="n">
        <v>45821</v>
      </c>
      <c r="D376" t="inlineStr">
        <is>
          <t>VÄSTMANLANDS LÄN</t>
        </is>
      </c>
      <c r="E376" t="inlineStr">
        <is>
          <t>SKINNSKATTEBERG</t>
        </is>
      </c>
      <c r="F376" t="inlineStr">
        <is>
          <t>Sveaskog</t>
        </is>
      </c>
      <c r="G376" t="n">
        <v>8</v>
      </c>
      <c r="H376" t="n">
        <v>1</v>
      </c>
      <c r="I376" t="n">
        <v>0</v>
      </c>
      <c r="J376" t="n">
        <v>0</v>
      </c>
      <c r="K376" t="n">
        <v>0</v>
      </c>
      <c r="L376" t="n">
        <v>0</v>
      </c>
      <c r="M376" t="n">
        <v>0</v>
      </c>
      <c r="N376" t="n">
        <v>0</v>
      </c>
      <c r="O376" t="n">
        <v>0</v>
      </c>
      <c r="P376" t="n">
        <v>0</v>
      </c>
      <c r="Q376" t="n">
        <v>1</v>
      </c>
      <c r="R376" s="2" t="inlineStr">
        <is>
          <t>Grönvit nattviol</t>
        </is>
      </c>
      <c r="S376">
        <f>HYPERLINK("https://klasma.github.io/Logging_1904/artfynd/A 38712-2023 artfynd.xlsx", "A 38712-2023")</f>
        <v/>
      </c>
      <c r="T376">
        <f>HYPERLINK("https://klasma.github.io/Logging_1904/kartor/A 38712-2023 karta.png", "A 38712-2023")</f>
        <v/>
      </c>
      <c r="V376">
        <f>HYPERLINK("https://klasma.github.io/Logging_1904/klagomål/A 38712-2023 FSC-klagomål.docx", "A 38712-2023")</f>
        <v/>
      </c>
      <c r="W376">
        <f>HYPERLINK("https://klasma.github.io/Logging_1904/klagomålsmail/A 38712-2023 FSC-klagomål mail.docx", "A 38712-2023")</f>
        <v/>
      </c>
      <c r="X376">
        <f>HYPERLINK("https://klasma.github.io/Logging_1904/tillsyn/A 38712-2023 tillsynsbegäran.docx", "A 38712-2023")</f>
        <v/>
      </c>
      <c r="Y376">
        <f>HYPERLINK("https://klasma.github.io/Logging_1904/tillsynsmail/A 38712-2023 tillsynsbegäran mail.docx", "A 38712-2023")</f>
        <v/>
      </c>
    </row>
    <row r="377" ht="15" customHeight="1">
      <c r="A377" t="inlineStr">
        <is>
          <t>A 40302-2023</t>
        </is>
      </c>
      <c r="B377" s="1" t="n">
        <v>45169</v>
      </c>
      <c r="C377" s="1" t="n">
        <v>45821</v>
      </c>
      <c r="D377" t="inlineStr">
        <is>
          <t>VÄSTMANLANDS LÄN</t>
        </is>
      </c>
      <c r="E377" t="inlineStr">
        <is>
          <t>VÄSTERÅS</t>
        </is>
      </c>
      <c r="F377" t="inlineStr">
        <is>
          <t>Sveaskog</t>
        </is>
      </c>
      <c r="G377" t="n">
        <v>4.9</v>
      </c>
      <c r="H377" t="n">
        <v>0</v>
      </c>
      <c r="I377" t="n">
        <v>0</v>
      </c>
      <c r="J377" t="n">
        <v>1</v>
      </c>
      <c r="K377" t="n">
        <v>0</v>
      </c>
      <c r="L377" t="n">
        <v>0</v>
      </c>
      <c r="M377" t="n">
        <v>0</v>
      </c>
      <c r="N377" t="n">
        <v>0</v>
      </c>
      <c r="O377" t="n">
        <v>1</v>
      </c>
      <c r="P377" t="n">
        <v>0</v>
      </c>
      <c r="Q377" t="n">
        <v>1</v>
      </c>
      <c r="R377" s="2" t="inlineStr">
        <is>
          <t>Vedskivlav</t>
        </is>
      </c>
      <c r="S377">
        <f>HYPERLINK("https://klasma.github.io/Logging_1980/artfynd/A 40302-2023 artfynd.xlsx", "A 40302-2023")</f>
        <v/>
      </c>
      <c r="T377">
        <f>HYPERLINK("https://klasma.github.io/Logging_1980/kartor/A 40302-2023 karta.png", "A 40302-2023")</f>
        <v/>
      </c>
      <c r="V377">
        <f>HYPERLINK("https://klasma.github.io/Logging_1980/klagomål/A 40302-2023 FSC-klagomål.docx", "A 40302-2023")</f>
        <v/>
      </c>
      <c r="W377">
        <f>HYPERLINK("https://klasma.github.io/Logging_1980/klagomålsmail/A 40302-2023 FSC-klagomål mail.docx", "A 40302-2023")</f>
        <v/>
      </c>
      <c r="X377">
        <f>HYPERLINK("https://klasma.github.io/Logging_1980/tillsyn/A 40302-2023 tillsynsbegäran.docx", "A 40302-2023")</f>
        <v/>
      </c>
      <c r="Y377">
        <f>HYPERLINK("https://klasma.github.io/Logging_1980/tillsynsmail/A 40302-2023 tillsynsbegäran mail.docx", "A 40302-2023")</f>
        <v/>
      </c>
    </row>
    <row r="378" ht="15" customHeight="1">
      <c r="A378" t="inlineStr">
        <is>
          <t>A 41622-2023</t>
        </is>
      </c>
      <c r="B378" s="1" t="n">
        <v>45175</v>
      </c>
      <c r="C378" s="1" t="n">
        <v>45821</v>
      </c>
      <c r="D378" t="inlineStr">
        <is>
          <t>VÄSTMANLANDS LÄN</t>
        </is>
      </c>
      <c r="E378" t="inlineStr">
        <is>
          <t>SURAHAMMAR</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HYPERLINK("https://klasma.github.io/Logging_1907/artfynd/A 41622-2023 artfynd.xlsx", "A 41622-2023")</f>
        <v/>
      </c>
      <c r="T378">
        <f>HYPERLINK("https://klasma.github.io/Logging_1907/kartor/A 41622-2023 karta.png", "A 41622-2023")</f>
        <v/>
      </c>
      <c r="U378">
        <f>HYPERLINK("https://klasma.github.io/Logging_1907/knärot/A 41622-2023 karta knärot.png", "A 41622-2023")</f>
        <v/>
      </c>
      <c r="V378">
        <f>HYPERLINK("https://klasma.github.io/Logging_1907/klagomål/A 41622-2023 FSC-klagomål.docx", "A 41622-2023")</f>
        <v/>
      </c>
      <c r="W378">
        <f>HYPERLINK("https://klasma.github.io/Logging_1907/klagomålsmail/A 41622-2023 FSC-klagomål mail.docx", "A 41622-2023")</f>
        <v/>
      </c>
      <c r="X378">
        <f>HYPERLINK("https://klasma.github.io/Logging_1907/tillsyn/A 41622-2023 tillsynsbegäran.docx", "A 41622-2023")</f>
        <v/>
      </c>
      <c r="Y378">
        <f>HYPERLINK("https://klasma.github.io/Logging_1907/tillsynsmail/A 41622-2023 tillsynsbegäran mail.docx", "A 41622-2023")</f>
        <v/>
      </c>
    </row>
    <row r="379" ht="15" customHeight="1">
      <c r="A379" t="inlineStr">
        <is>
          <t>A 42194-2023</t>
        </is>
      </c>
      <c r="B379" s="1" t="n">
        <v>45179</v>
      </c>
      <c r="C379" s="1" t="n">
        <v>45821</v>
      </c>
      <c r="D379" t="inlineStr">
        <is>
          <t>VÄSTMANLANDS LÄN</t>
        </is>
      </c>
      <c r="E379" t="inlineStr">
        <is>
          <t>NORBERG</t>
        </is>
      </c>
      <c r="F379" t="inlineStr">
        <is>
          <t>Sveaskog</t>
        </is>
      </c>
      <c r="G379" t="n">
        <v>2.8</v>
      </c>
      <c r="H379" t="n">
        <v>1</v>
      </c>
      <c r="I379" t="n">
        <v>0</v>
      </c>
      <c r="J379" t="n">
        <v>0</v>
      </c>
      <c r="K379" t="n">
        <v>0</v>
      </c>
      <c r="L379" t="n">
        <v>0</v>
      </c>
      <c r="M379" t="n">
        <v>0</v>
      </c>
      <c r="N379" t="n">
        <v>0</v>
      </c>
      <c r="O379" t="n">
        <v>0</v>
      </c>
      <c r="P379" t="n">
        <v>0</v>
      </c>
      <c r="Q379" t="n">
        <v>1</v>
      </c>
      <c r="R379" s="2" t="inlineStr">
        <is>
          <t>Revlummer</t>
        </is>
      </c>
      <c r="S379">
        <f>HYPERLINK("https://klasma.github.io/Logging_1962/artfynd/A 42194-2023 artfynd.xlsx", "A 42194-2023")</f>
        <v/>
      </c>
      <c r="T379">
        <f>HYPERLINK("https://klasma.github.io/Logging_1962/kartor/A 42194-2023 karta.png", "A 42194-2023")</f>
        <v/>
      </c>
      <c r="V379">
        <f>HYPERLINK("https://klasma.github.io/Logging_1962/klagomål/A 42194-2023 FSC-klagomål.docx", "A 42194-2023")</f>
        <v/>
      </c>
      <c r="W379">
        <f>HYPERLINK("https://klasma.github.io/Logging_1962/klagomålsmail/A 42194-2023 FSC-klagomål mail.docx", "A 42194-2023")</f>
        <v/>
      </c>
      <c r="X379">
        <f>HYPERLINK("https://klasma.github.io/Logging_1962/tillsyn/A 42194-2023 tillsynsbegäran.docx", "A 42194-2023")</f>
        <v/>
      </c>
      <c r="Y379">
        <f>HYPERLINK("https://klasma.github.io/Logging_1962/tillsynsmail/A 42194-2023 tillsynsbegäran mail.docx", "A 42194-2023")</f>
        <v/>
      </c>
    </row>
    <row r="380" ht="15" customHeight="1">
      <c r="A380" t="inlineStr">
        <is>
          <t>A 42251-2023</t>
        </is>
      </c>
      <c r="B380" s="1" t="n">
        <v>45180</v>
      </c>
      <c r="C380" s="1" t="n">
        <v>45821</v>
      </c>
      <c r="D380" t="inlineStr">
        <is>
          <t>VÄSTMANLANDS LÄN</t>
        </is>
      </c>
      <c r="E380" t="inlineStr">
        <is>
          <t>VÄSTERÅS</t>
        </is>
      </c>
      <c r="G380" t="n">
        <v>2</v>
      </c>
      <c r="H380" t="n">
        <v>1</v>
      </c>
      <c r="I380" t="n">
        <v>0</v>
      </c>
      <c r="J380" t="n">
        <v>0</v>
      </c>
      <c r="K380" t="n">
        <v>0</v>
      </c>
      <c r="L380" t="n">
        <v>0</v>
      </c>
      <c r="M380" t="n">
        <v>0</v>
      </c>
      <c r="N380" t="n">
        <v>0</v>
      </c>
      <c r="O380" t="n">
        <v>0</v>
      </c>
      <c r="P380" t="n">
        <v>0</v>
      </c>
      <c r="Q380" t="n">
        <v>1</v>
      </c>
      <c r="R380" s="2" t="inlineStr">
        <is>
          <t>Mindre vattensalamander</t>
        </is>
      </c>
      <c r="S380">
        <f>HYPERLINK("https://klasma.github.io/Logging_1980/artfynd/A 42251-2023 artfynd.xlsx", "A 42251-2023")</f>
        <v/>
      </c>
      <c r="T380">
        <f>HYPERLINK("https://klasma.github.io/Logging_1980/kartor/A 42251-2023 karta.png", "A 42251-2023")</f>
        <v/>
      </c>
      <c r="V380">
        <f>HYPERLINK("https://klasma.github.io/Logging_1980/klagomål/A 42251-2023 FSC-klagomål.docx", "A 42251-2023")</f>
        <v/>
      </c>
      <c r="W380">
        <f>HYPERLINK("https://klasma.github.io/Logging_1980/klagomålsmail/A 42251-2023 FSC-klagomål mail.docx", "A 42251-2023")</f>
        <v/>
      </c>
      <c r="X380">
        <f>HYPERLINK("https://klasma.github.io/Logging_1980/tillsyn/A 42251-2023 tillsynsbegäran.docx", "A 42251-2023")</f>
        <v/>
      </c>
      <c r="Y380">
        <f>HYPERLINK("https://klasma.github.io/Logging_1980/tillsynsmail/A 42251-2023 tillsynsbegäran mail.docx", "A 42251-2023")</f>
        <v/>
      </c>
    </row>
    <row r="381" ht="15" customHeight="1">
      <c r="A381" t="inlineStr">
        <is>
          <t>A 43175-2023</t>
        </is>
      </c>
      <c r="B381" s="1" t="n">
        <v>45183</v>
      </c>
      <c r="C381" s="1" t="n">
        <v>45821</v>
      </c>
      <c r="D381" t="inlineStr">
        <is>
          <t>VÄSTMANLANDS LÄN</t>
        </is>
      </c>
      <c r="E381" t="inlineStr">
        <is>
          <t>SALA</t>
        </is>
      </c>
      <c r="G381" t="n">
        <v>5.6</v>
      </c>
      <c r="H381" t="n">
        <v>0</v>
      </c>
      <c r="I381" t="n">
        <v>1</v>
      </c>
      <c r="J381" t="n">
        <v>0</v>
      </c>
      <c r="K381" t="n">
        <v>0</v>
      </c>
      <c r="L381" t="n">
        <v>0</v>
      </c>
      <c r="M381" t="n">
        <v>0</v>
      </c>
      <c r="N381" t="n">
        <v>0</v>
      </c>
      <c r="O381" t="n">
        <v>0</v>
      </c>
      <c r="P381" t="n">
        <v>0</v>
      </c>
      <c r="Q381" t="n">
        <v>1</v>
      </c>
      <c r="R381" s="2" t="inlineStr">
        <is>
          <t>Grönpyrola</t>
        </is>
      </c>
      <c r="S381">
        <f>HYPERLINK("https://klasma.github.io/Logging_1981/artfynd/A 43175-2023 artfynd.xlsx", "A 43175-2023")</f>
        <v/>
      </c>
      <c r="T381">
        <f>HYPERLINK("https://klasma.github.io/Logging_1981/kartor/A 43175-2023 karta.png", "A 43175-2023")</f>
        <v/>
      </c>
      <c r="V381">
        <f>HYPERLINK("https://klasma.github.io/Logging_1981/klagomål/A 43175-2023 FSC-klagomål.docx", "A 43175-2023")</f>
        <v/>
      </c>
      <c r="W381">
        <f>HYPERLINK("https://klasma.github.io/Logging_1981/klagomålsmail/A 43175-2023 FSC-klagomål mail.docx", "A 43175-2023")</f>
        <v/>
      </c>
      <c r="X381">
        <f>HYPERLINK("https://klasma.github.io/Logging_1981/tillsyn/A 43175-2023 tillsynsbegäran.docx", "A 43175-2023")</f>
        <v/>
      </c>
      <c r="Y381">
        <f>HYPERLINK("https://klasma.github.io/Logging_1981/tillsynsmail/A 43175-2023 tillsynsbegäran mail.docx", "A 43175-2023")</f>
        <v/>
      </c>
    </row>
    <row r="382" ht="15" customHeight="1">
      <c r="A382" t="inlineStr">
        <is>
          <t>A 43802-2023</t>
        </is>
      </c>
      <c r="B382" s="1" t="n">
        <v>45187</v>
      </c>
      <c r="C382" s="1" t="n">
        <v>45821</v>
      </c>
      <c r="D382" t="inlineStr">
        <is>
          <t>VÄSTMANLANDS LÄN</t>
        </is>
      </c>
      <c r="E382" t="inlineStr">
        <is>
          <t>ARBOGA</t>
        </is>
      </c>
      <c r="F382" t="inlineStr">
        <is>
          <t>Sveaskog</t>
        </is>
      </c>
      <c r="G382" t="n">
        <v>1</v>
      </c>
      <c r="H382" t="n">
        <v>0</v>
      </c>
      <c r="I382" t="n">
        <v>0</v>
      </c>
      <c r="J382" t="n">
        <v>1</v>
      </c>
      <c r="K382" t="n">
        <v>0</v>
      </c>
      <c r="L382" t="n">
        <v>0</v>
      </c>
      <c r="M382" t="n">
        <v>0</v>
      </c>
      <c r="N382" t="n">
        <v>0</v>
      </c>
      <c r="O382" t="n">
        <v>1</v>
      </c>
      <c r="P382" t="n">
        <v>0</v>
      </c>
      <c r="Q382" t="n">
        <v>1</v>
      </c>
      <c r="R382" s="2" t="inlineStr">
        <is>
          <t>Ullticka</t>
        </is>
      </c>
      <c r="S382">
        <f>HYPERLINK("https://klasma.github.io/Logging_1984/artfynd/A 43802-2023 artfynd.xlsx", "A 43802-2023")</f>
        <v/>
      </c>
      <c r="T382">
        <f>HYPERLINK("https://klasma.github.io/Logging_1984/kartor/A 43802-2023 karta.png", "A 43802-2023")</f>
        <v/>
      </c>
      <c r="V382">
        <f>HYPERLINK("https://klasma.github.io/Logging_1984/klagomål/A 43802-2023 FSC-klagomål.docx", "A 43802-2023")</f>
        <v/>
      </c>
      <c r="W382">
        <f>HYPERLINK("https://klasma.github.io/Logging_1984/klagomålsmail/A 43802-2023 FSC-klagomål mail.docx", "A 43802-2023")</f>
        <v/>
      </c>
      <c r="X382">
        <f>HYPERLINK("https://klasma.github.io/Logging_1984/tillsyn/A 43802-2023 tillsynsbegäran.docx", "A 43802-2023")</f>
        <v/>
      </c>
      <c r="Y382">
        <f>HYPERLINK("https://klasma.github.io/Logging_1984/tillsynsmail/A 43802-2023 tillsynsbegäran mail.docx", "A 43802-2023")</f>
        <v/>
      </c>
    </row>
    <row r="383" ht="15" customHeight="1">
      <c r="A383" t="inlineStr">
        <is>
          <t>A 45374-2023</t>
        </is>
      </c>
      <c r="B383" s="1" t="n">
        <v>45193</v>
      </c>
      <c r="C383" s="1" t="n">
        <v>45821</v>
      </c>
      <c r="D383" t="inlineStr">
        <is>
          <t>VÄSTMANLANDS LÄN</t>
        </is>
      </c>
      <c r="E383" t="inlineStr">
        <is>
          <t>SKINNSKATTEBERG</t>
        </is>
      </c>
      <c r="F383" t="inlineStr">
        <is>
          <t>Sveaskog</t>
        </is>
      </c>
      <c r="G383" t="n">
        <v>3.5</v>
      </c>
      <c r="H383" t="n">
        <v>0</v>
      </c>
      <c r="I383" t="n">
        <v>1</v>
      </c>
      <c r="J383" t="n">
        <v>0</v>
      </c>
      <c r="K383" t="n">
        <v>0</v>
      </c>
      <c r="L383" t="n">
        <v>0</v>
      </c>
      <c r="M383" t="n">
        <v>0</v>
      </c>
      <c r="N383" t="n">
        <v>0</v>
      </c>
      <c r="O383" t="n">
        <v>0</v>
      </c>
      <c r="P383" t="n">
        <v>0</v>
      </c>
      <c r="Q383" t="n">
        <v>1</v>
      </c>
      <c r="R383" s="2" t="inlineStr">
        <is>
          <t>Purpurmylia</t>
        </is>
      </c>
      <c r="S383">
        <f>HYPERLINK("https://klasma.github.io/Logging_1904/artfynd/A 45374-2023 artfynd.xlsx", "A 45374-2023")</f>
        <v/>
      </c>
      <c r="T383">
        <f>HYPERLINK("https://klasma.github.io/Logging_1904/kartor/A 45374-2023 karta.png", "A 45374-2023")</f>
        <v/>
      </c>
      <c r="V383">
        <f>HYPERLINK("https://klasma.github.io/Logging_1904/klagomål/A 45374-2023 FSC-klagomål.docx", "A 45374-2023")</f>
        <v/>
      </c>
      <c r="W383">
        <f>HYPERLINK("https://klasma.github.io/Logging_1904/klagomålsmail/A 45374-2023 FSC-klagomål mail.docx", "A 45374-2023")</f>
        <v/>
      </c>
      <c r="X383">
        <f>HYPERLINK("https://klasma.github.io/Logging_1904/tillsyn/A 45374-2023 tillsynsbegäran.docx", "A 45374-2023")</f>
        <v/>
      </c>
      <c r="Y383">
        <f>HYPERLINK("https://klasma.github.io/Logging_1904/tillsynsmail/A 45374-2023 tillsynsbegäran mail.docx", "A 45374-2023")</f>
        <v/>
      </c>
    </row>
    <row r="384" ht="15" customHeight="1">
      <c r="A384" t="inlineStr">
        <is>
          <t>A 47695-2023</t>
        </is>
      </c>
      <c r="B384" s="1" t="n">
        <v>45203</v>
      </c>
      <c r="C384" s="1" t="n">
        <v>45821</v>
      </c>
      <c r="D384" t="inlineStr">
        <is>
          <t>VÄSTMANLANDS LÄN</t>
        </is>
      </c>
      <c r="E384" t="inlineStr">
        <is>
          <t>VÄSTERÅS</t>
        </is>
      </c>
      <c r="G384" t="n">
        <v>6</v>
      </c>
      <c r="H384" t="n">
        <v>0</v>
      </c>
      <c r="I384" t="n">
        <v>1</v>
      </c>
      <c r="J384" t="n">
        <v>0</v>
      </c>
      <c r="K384" t="n">
        <v>0</v>
      </c>
      <c r="L384" t="n">
        <v>0</v>
      </c>
      <c r="M384" t="n">
        <v>0</v>
      </c>
      <c r="N384" t="n">
        <v>0</v>
      </c>
      <c r="O384" t="n">
        <v>0</v>
      </c>
      <c r="P384" t="n">
        <v>0</v>
      </c>
      <c r="Q384" t="n">
        <v>1</v>
      </c>
      <c r="R384" s="2" t="inlineStr">
        <is>
          <t>Hasselticka</t>
        </is>
      </c>
      <c r="S384">
        <f>HYPERLINK("https://klasma.github.io/Logging_1980/artfynd/A 47695-2023 artfynd.xlsx", "A 47695-2023")</f>
        <v/>
      </c>
      <c r="T384">
        <f>HYPERLINK("https://klasma.github.io/Logging_1980/kartor/A 47695-2023 karta.png", "A 47695-2023")</f>
        <v/>
      </c>
      <c r="V384">
        <f>HYPERLINK("https://klasma.github.io/Logging_1980/klagomål/A 47695-2023 FSC-klagomål.docx", "A 47695-2023")</f>
        <v/>
      </c>
      <c r="W384">
        <f>HYPERLINK("https://klasma.github.io/Logging_1980/klagomålsmail/A 47695-2023 FSC-klagomål mail.docx", "A 47695-2023")</f>
        <v/>
      </c>
      <c r="X384">
        <f>HYPERLINK("https://klasma.github.io/Logging_1980/tillsyn/A 47695-2023 tillsynsbegäran.docx", "A 47695-2023")</f>
        <v/>
      </c>
      <c r="Y384">
        <f>HYPERLINK("https://klasma.github.io/Logging_1980/tillsynsmail/A 47695-2023 tillsynsbegäran mail.docx", "A 47695-2023")</f>
        <v/>
      </c>
    </row>
    <row r="385" ht="15" customHeight="1">
      <c r="A385" t="inlineStr">
        <is>
          <t>A 52476-2023</t>
        </is>
      </c>
      <c r="B385" s="1" t="n">
        <v>45225</v>
      </c>
      <c r="C385" s="1" t="n">
        <v>45821</v>
      </c>
      <c r="D385" t="inlineStr">
        <is>
          <t>VÄSTMANLANDS LÄN</t>
        </is>
      </c>
      <c r="E385" t="inlineStr">
        <is>
          <t>KÖPING</t>
        </is>
      </c>
      <c r="F385" t="inlineStr">
        <is>
          <t>Sveaskog</t>
        </is>
      </c>
      <c r="G385" t="n">
        <v>1.9</v>
      </c>
      <c r="H385" t="n">
        <v>0</v>
      </c>
      <c r="I385" t="n">
        <v>1</v>
      </c>
      <c r="J385" t="n">
        <v>0</v>
      </c>
      <c r="K385" t="n">
        <v>0</v>
      </c>
      <c r="L385" t="n">
        <v>0</v>
      </c>
      <c r="M385" t="n">
        <v>0</v>
      </c>
      <c r="N385" t="n">
        <v>0</v>
      </c>
      <c r="O385" t="n">
        <v>0</v>
      </c>
      <c r="P385" t="n">
        <v>0</v>
      </c>
      <c r="Q385" t="n">
        <v>1</v>
      </c>
      <c r="R385" s="2" t="inlineStr">
        <is>
          <t>Bårdlav</t>
        </is>
      </c>
      <c r="S385">
        <f>HYPERLINK("https://klasma.github.io/Logging_1983/artfynd/A 52476-2023 artfynd.xlsx", "A 52476-2023")</f>
        <v/>
      </c>
      <c r="T385">
        <f>HYPERLINK("https://klasma.github.io/Logging_1983/kartor/A 52476-2023 karta.png", "A 52476-2023")</f>
        <v/>
      </c>
      <c r="V385">
        <f>HYPERLINK("https://klasma.github.io/Logging_1983/klagomål/A 52476-2023 FSC-klagomål.docx", "A 52476-2023")</f>
        <v/>
      </c>
      <c r="W385">
        <f>HYPERLINK("https://klasma.github.io/Logging_1983/klagomålsmail/A 52476-2023 FSC-klagomål mail.docx", "A 52476-2023")</f>
        <v/>
      </c>
      <c r="X385">
        <f>HYPERLINK("https://klasma.github.io/Logging_1983/tillsyn/A 52476-2023 tillsynsbegäran.docx", "A 52476-2023")</f>
        <v/>
      </c>
      <c r="Y385">
        <f>HYPERLINK("https://klasma.github.io/Logging_1983/tillsynsmail/A 52476-2023 tillsynsbegäran mail.docx", "A 52476-2023")</f>
        <v/>
      </c>
    </row>
    <row r="386" ht="15" customHeight="1">
      <c r="A386" t="inlineStr">
        <is>
          <t>A 55550-2023</t>
        </is>
      </c>
      <c r="B386" s="1" t="n">
        <v>45232</v>
      </c>
      <c r="C386" s="1" t="n">
        <v>45821</v>
      </c>
      <c r="D386" t="inlineStr">
        <is>
          <t>VÄSTMANLANDS LÄN</t>
        </is>
      </c>
      <c r="E386" t="inlineStr">
        <is>
          <t>SALA</t>
        </is>
      </c>
      <c r="G386" t="n">
        <v>9.9</v>
      </c>
      <c r="H386" t="n">
        <v>1</v>
      </c>
      <c r="I386" t="n">
        <v>0</v>
      </c>
      <c r="J386" t="n">
        <v>0</v>
      </c>
      <c r="K386" t="n">
        <v>1</v>
      </c>
      <c r="L386" t="n">
        <v>0</v>
      </c>
      <c r="M386" t="n">
        <v>0</v>
      </c>
      <c r="N386" t="n">
        <v>0</v>
      </c>
      <c r="O386" t="n">
        <v>1</v>
      </c>
      <c r="P386" t="n">
        <v>1</v>
      </c>
      <c r="Q386" t="n">
        <v>1</v>
      </c>
      <c r="R386" s="2" t="inlineStr">
        <is>
          <t>Knärot</t>
        </is>
      </c>
      <c r="S386">
        <f>HYPERLINK("https://klasma.github.io/Logging_1981/artfynd/A 55550-2023 artfynd.xlsx", "A 55550-2023")</f>
        <v/>
      </c>
      <c r="T386">
        <f>HYPERLINK("https://klasma.github.io/Logging_1981/kartor/A 55550-2023 karta.png", "A 55550-2023")</f>
        <v/>
      </c>
      <c r="U386">
        <f>HYPERLINK("https://klasma.github.io/Logging_1981/knärot/A 55550-2023 karta knärot.png", "A 55550-2023")</f>
        <v/>
      </c>
      <c r="V386">
        <f>HYPERLINK("https://klasma.github.io/Logging_1981/klagomål/A 55550-2023 FSC-klagomål.docx", "A 55550-2023")</f>
        <v/>
      </c>
      <c r="W386">
        <f>HYPERLINK("https://klasma.github.io/Logging_1981/klagomålsmail/A 55550-2023 FSC-klagomål mail.docx", "A 55550-2023")</f>
        <v/>
      </c>
      <c r="X386">
        <f>HYPERLINK("https://klasma.github.io/Logging_1981/tillsyn/A 55550-2023 tillsynsbegäran.docx", "A 55550-2023")</f>
        <v/>
      </c>
      <c r="Y386">
        <f>HYPERLINK("https://klasma.github.io/Logging_1981/tillsynsmail/A 55550-2023 tillsynsbegäran mail.docx", "A 55550-2023")</f>
        <v/>
      </c>
    </row>
    <row r="387" ht="15" customHeight="1">
      <c r="A387" t="inlineStr">
        <is>
          <t>A 55684-2023</t>
        </is>
      </c>
      <c r="B387" s="1" t="n">
        <v>45232</v>
      </c>
      <c r="C387" s="1" t="n">
        <v>45821</v>
      </c>
      <c r="D387" t="inlineStr">
        <is>
          <t>VÄSTMANLANDS LÄN</t>
        </is>
      </c>
      <c r="E387" t="inlineStr">
        <is>
          <t>VÄSTERÅS</t>
        </is>
      </c>
      <c r="F387" t="inlineStr">
        <is>
          <t>Övriga Aktiebolag</t>
        </is>
      </c>
      <c r="G387" t="n">
        <v>29.4</v>
      </c>
      <c r="H387" t="n">
        <v>0</v>
      </c>
      <c r="I387" t="n">
        <v>0</v>
      </c>
      <c r="J387" t="n">
        <v>1</v>
      </c>
      <c r="K387" t="n">
        <v>0</v>
      </c>
      <c r="L387" t="n">
        <v>0</v>
      </c>
      <c r="M387" t="n">
        <v>0</v>
      </c>
      <c r="N387" t="n">
        <v>0</v>
      </c>
      <c r="O387" t="n">
        <v>1</v>
      </c>
      <c r="P387" t="n">
        <v>0</v>
      </c>
      <c r="Q387" t="n">
        <v>1</v>
      </c>
      <c r="R387" s="2" t="inlineStr">
        <is>
          <t>Mindre timmerman</t>
        </is>
      </c>
      <c r="S387">
        <f>HYPERLINK("https://klasma.github.io/Logging_1980/artfynd/A 55684-2023 artfynd.xlsx", "A 55684-2023")</f>
        <v/>
      </c>
      <c r="T387">
        <f>HYPERLINK("https://klasma.github.io/Logging_1980/kartor/A 55684-2023 karta.png", "A 55684-2023")</f>
        <v/>
      </c>
      <c r="V387">
        <f>HYPERLINK("https://klasma.github.io/Logging_1980/klagomål/A 55684-2023 FSC-klagomål.docx", "A 55684-2023")</f>
        <v/>
      </c>
      <c r="W387">
        <f>HYPERLINK("https://klasma.github.io/Logging_1980/klagomålsmail/A 55684-2023 FSC-klagomål mail.docx", "A 55684-2023")</f>
        <v/>
      </c>
      <c r="X387">
        <f>HYPERLINK("https://klasma.github.io/Logging_1980/tillsyn/A 55684-2023 tillsynsbegäran.docx", "A 55684-2023")</f>
        <v/>
      </c>
      <c r="Y387">
        <f>HYPERLINK("https://klasma.github.io/Logging_1980/tillsynsmail/A 55684-2023 tillsynsbegäran mail.docx", "A 55684-2023")</f>
        <v/>
      </c>
    </row>
    <row r="388" ht="15" customHeight="1">
      <c r="A388" t="inlineStr">
        <is>
          <t>A 56362-2023</t>
        </is>
      </c>
      <c r="B388" s="1" t="n">
        <v>45236</v>
      </c>
      <c r="C388" s="1" t="n">
        <v>45821</v>
      </c>
      <c r="D388" t="inlineStr">
        <is>
          <t>VÄSTMANLANDS LÄN</t>
        </is>
      </c>
      <c r="E388" t="inlineStr">
        <is>
          <t>SURAHAMMAR</t>
        </is>
      </c>
      <c r="F388" t="inlineStr">
        <is>
          <t>Bergvik skog väst AB</t>
        </is>
      </c>
      <c r="G388" t="n">
        <v>15.2</v>
      </c>
      <c r="H388" t="n">
        <v>0</v>
      </c>
      <c r="I388" t="n">
        <v>1</v>
      </c>
      <c r="J388" t="n">
        <v>0</v>
      </c>
      <c r="K388" t="n">
        <v>0</v>
      </c>
      <c r="L388" t="n">
        <v>0</v>
      </c>
      <c r="M388" t="n">
        <v>0</v>
      </c>
      <c r="N388" t="n">
        <v>0</v>
      </c>
      <c r="O388" t="n">
        <v>0</v>
      </c>
      <c r="P388" t="n">
        <v>0</v>
      </c>
      <c r="Q388" t="n">
        <v>1</v>
      </c>
      <c r="R388" s="2" t="inlineStr">
        <is>
          <t>Grönpyrola</t>
        </is>
      </c>
      <c r="S388">
        <f>HYPERLINK("https://klasma.github.io/Logging_1907/artfynd/A 56362-2023 artfynd.xlsx", "A 56362-2023")</f>
        <v/>
      </c>
      <c r="T388">
        <f>HYPERLINK("https://klasma.github.io/Logging_1907/kartor/A 56362-2023 karta.png", "A 56362-2023")</f>
        <v/>
      </c>
      <c r="V388">
        <f>HYPERLINK("https://klasma.github.io/Logging_1907/klagomål/A 56362-2023 FSC-klagomål.docx", "A 56362-2023")</f>
        <v/>
      </c>
      <c r="W388">
        <f>HYPERLINK("https://klasma.github.io/Logging_1907/klagomålsmail/A 56362-2023 FSC-klagomål mail.docx", "A 56362-2023")</f>
        <v/>
      </c>
      <c r="X388">
        <f>HYPERLINK("https://klasma.github.io/Logging_1907/tillsyn/A 56362-2023 tillsynsbegäran.docx", "A 56362-2023")</f>
        <v/>
      </c>
      <c r="Y388">
        <f>HYPERLINK("https://klasma.github.io/Logging_1907/tillsynsmail/A 56362-2023 tillsynsbegäran mail.docx", "A 56362-2023")</f>
        <v/>
      </c>
    </row>
    <row r="389" ht="15" customHeight="1">
      <c r="A389" t="inlineStr">
        <is>
          <t>A 55157-2023</t>
        </is>
      </c>
      <c r="B389" s="1" t="n">
        <v>45237</v>
      </c>
      <c r="C389" s="1" t="n">
        <v>45821</v>
      </c>
      <c r="D389" t="inlineStr">
        <is>
          <t>VÄSTMANLANDS LÄN</t>
        </is>
      </c>
      <c r="E389" t="inlineStr">
        <is>
          <t>KÖPING</t>
        </is>
      </c>
      <c r="G389" t="n">
        <v>6.7</v>
      </c>
      <c r="H389" t="n">
        <v>1</v>
      </c>
      <c r="I389" t="n">
        <v>0</v>
      </c>
      <c r="J389" t="n">
        <v>0</v>
      </c>
      <c r="K389" t="n">
        <v>0</v>
      </c>
      <c r="L389" t="n">
        <v>0</v>
      </c>
      <c r="M389" t="n">
        <v>0</v>
      </c>
      <c r="N389" t="n">
        <v>0</v>
      </c>
      <c r="O389" t="n">
        <v>0</v>
      </c>
      <c r="P389" t="n">
        <v>0</v>
      </c>
      <c r="Q389" t="n">
        <v>1</v>
      </c>
      <c r="R389" s="2" t="inlineStr">
        <is>
          <t>Nattviol</t>
        </is>
      </c>
      <c r="S389">
        <f>HYPERLINK("https://klasma.github.io/Logging_1983/artfynd/A 55157-2023 artfynd.xlsx", "A 55157-2023")</f>
        <v/>
      </c>
      <c r="T389">
        <f>HYPERLINK("https://klasma.github.io/Logging_1983/kartor/A 55157-2023 karta.png", "A 55157-2023")</f>
        <v/>
      </c>
      <c r="V389">
        <f>HYPERLINK("https://klasma.github.io/Logging_1983/klagomål/A 55157-2023 FSC-klagomål.docx", "A 55157-2023")</f>
        <v/>
      </c>
      <c r="W389">
        <f>HYPERLINK("https://klasma.github.io/Logging_1983/klagomålsmail/A 55157-2023 FSC-klagomål mail.docx", "A 55157-2023")</f>
        <v/>
      </c>
      <c r="X389">
        <f>HYPERLINK("https://klasma.github.io/Logging_1983/tillsyn/A 55157-2023 tillsynsbegäran.docx", "A 55157-2023")</f>
        <v/>
      </c>
      <c r="Y389">
        <f>HYPERLINK("https://klasma.github.io/Logging_1983/tillsynsmail/A 55157-2023 tillsynsbegäran mail.docx", "A 55157-2023")</f>
        <v/>
      </c>
    </row>
    <row r="390" ht="15" customHeight="1">
      <c r="A390" t="inlineStr">
        <is>
          <t>A 61254-2023</t>
        </is>
      </c>
      <c r="B390" s="1" t="n">
        <v>45264</v>
      </c>
      <c r="C390" s="1" t="n">
        <v>45821</v>
      </c>
      <c r="D390" t="inlineStr">
        <is>
          <t>VÄSTMANLANDS LÄN</t>
        </is>
      </c>
      <c r="E390" t="inlineStr">
        <is>
          <t>VÄSTERÅS</t>
        </is>
      </c>
      <c r="G390" t="n">
        <v>0.8</v>
      </c>
      <c r="H390" t="n">
        <v>1</v>
      </c>
      <c r="I390" t="n">
        <v>0</v>
      </c>
      <c r="J390" t="n">
        <v>0</v>
      </c>
      <c r="K390" t="n">
        <v>0</v>
      </c>
      <c r="L390" t="n">
        <v>0</v>
      </c>
      <c r="M390" t="n">
        <v>0</v>
      </c>
      <c r="N390" t="n">
        <v>0</v>
      </c>
      <c r="O390" t="n">
        <v>0</v>
      </c>
      <c r="P390" t="n">
        <v>0</v>
      </c>
      <c r="Q390" t="n">
        <v>1</v>
      </c>
      <c r="R390" s="2" t="inlineStr">
        <is>
          <t>Mistel</t>
        </is>
      </c>
      <c r="S390">
        <f>HYPERLINK("https://klasma.github.io/Logging_1980/artfynd/A 61254-2023 artfynd.xlsx", "A 61254-2023")</f>
        <v/>
      </c>
      <c r="T390">
        <f>HYPERLINK("https://klasma.github.io/Logging_1980/kartor/A 61254-2023 karta.png", "A 61254-2023")</f>
        <v/>
      </c>
      <c r="V390">
        <f>HYPERLINK("https://klasma.github.io/Logging_1980/klagomål/A 61254-2023 FSC-klagomål.docx", "A 61254-2023")</f>
        <v/>
      </c>
      <c r="W390">
        <f>HYPERLINK("https://klasma.github.io/Logging_1980/klagomålsmail/A 61254-2023 FSC-klagomål mail.docx", "A 61254-2023")</f>
        <v/>
      </c>
      <c r="X390">
        <f>HYPERLINK("https://klasma.github.io/Logging_1980/tillsyn/A 61254-2023 tillsynsbegäran.docx", "A 61254-2023")</f>
        <v/>
      </c>
      <c r="Y390">
        <f>HYPERLINK("https://klasma.github.io/Logging_1980/tillsynsmail/A 61254-2023 tillsynsbegäran mail.docx", "A 61254-2023")</f>
        <v/>
      </c>
    </row>
    <row r="391" ht="15" customHeight="1">
      <c r="A391" t="inlineStr">
        <is>
          <t>A 3534-2024</t>
        </is>
      </c>
      <c r="B391" s="1" t="n">
        <v>45320</v>
      </c>
      <c r="C391" s="1" t="n">
        <v>45821</v>
      </c>
      <c r="D391" t="inlineStr">
        <is>
          <t>VÄSTMANLANDS LÄN</t>
        </is>
      </c>
      <c r="E391" t="inlineStr">
        <is>
          <t>SALA</t>
        </is>
      </c>
      <c r="G391" t="n">
        <v>1.9</v>
      </c>
      <c r="H391" t="n">
        <v>1</v>
      </c>
      <c r="I391" t="n">
        <v>0</v>
      </c>
      <c r="J391" t="n">
        <v>0</v>
      </c>
      <c r="K391" t="n">
        <v>0</v>
      </c>
      <c r="L391" t="n">
        <v>1</v>
      </c>
      <c r="M391" t="n">
        <v>0</v>
      </c>
      <c r="N391" t="n">
        <v>0</v>
      </c>
      <c r="O391" t="n">
        <v>1</v>
      </c>
      <c r="P391" t="n">
        <v>1</v>
      </c>
      <c r="Q391" t="n">
        <v>1</v>
      </c>
      <c r="R391" s="2" t="inlineStr">
        <is>
          <t>Mosippa</t>
        </is>
      </c>
      <c r="S391">
        <f>HYPERLINK("https://klasma.github.io/Logging_1981/artfynd/A 3534-2024 artfynd.xlsx", "A 3534-2024")</f>
        <v/>
      </c>
      <c r="T391">
        <f>HYPERLINK("https://klasma.github.io/Logging_1981/kartor/A 3534-2024 karta.png", "A 3534-2024")</f>
        <v/>
      </c>
      <c r="V391">
        <f>HYPERLINK("https://klasma.github.io/Logging_1981/klagomål/A 3534-2024 FSC-klagomål.docx", "A 3534-2024")</f>
        <v/>
      </c>
      <c r="W391">
        <f>HYPERLINK("https://klasma.github.io/Logging_1981/klagomålsmail/A 3534-2024 FSC-klagomål mail.docx", "A 3534-2024")</f>
        <v/>
      </c>
      <c r="X391">
        <f>HYPERLINK("https://klasma.github.io/Logging_1981/tillsyn/A 3534-2024 tillsynsbegäran.docx", "A 3534-2024")</f>
        <v/>
      </c>
      <c r="Y391">
        <f>HYPERLINK("https://klasma.github.io/Logging_1981/tillsynsmail/A 3534-2024 tillsynsbegäran mail.docx", "A 3534-2024")</f>
        <v/>
      </c>
    </row>
    <row r="392" ht="15" customHeight="1">
      <c r="A392" t="inlineStr">
        <is>
          <t>A 3649-2024</t>
        </is>
      </c>
      <c r="B392" s="1" t="n">
        <v>45321</v>
      </c>
      <c r="C392" s="1" t="n">
        <v>45821</v>
      </c>
      <c r="D392" t="inlineStr">
        <is>
          <t>VÄSTMANLANDS LÄN</t>
        </is>
      </c>
      <c r="E392" t="inlineStr">
        <is>
          <t>SURAHAMMAR</t>
        </is>
      </c>
      <c r="F392" t="inlineStr">
        <is>
          <t>Övriga Aktiebolag</t>
        </is>
      </c>
      <c r="G392" t="n">
        <v>9.300000000000001</v>
      </c>
      <c r="H392" t="n">
        <v>1</v>
      </c>
      <c r="I392" t="n">
        <v>0</v>
      </c>
      <c r="J392" t="n">
        <v>0</v>
      </c>
      <c r="K392" t="n">
        <v>1</v>
      </c>
      <c r="L392" t="n">
        <v>0</v>
      </c>
      <c r="M392" t="n">
        <v>0</v>
      </c>
      <c r="N392" t="n">
        <v>0</v>
      </c>
      <c r="O392" t="n">
        <v>1</v>
      </c>
      <c r="P392" t="n">
        <v>1</v>
      </c>
      <c r="Q392" t="n">
        <v>1</v>
      </c>
      <c r="R392" s="2" t="inlineStr">
        <is>
          <t>Väddnätfjäril</t>
        </is>
      </c>
      <c r="S392">
        <f>HYPERLINK("https://klasma.github.io/Logging_1907/artfynd/A 3649-2024 artfynd.xlsx", "A 3649-2024")</f>
        <v/>
      </c>
      <c r="T392">
        <f>HYPERLINK("https://klasma.github.io/Logging_1907/kartor/A 3649-2024 karta.png", "A 3649-2024")</f>
        <v/>
      </c>
      <c r="V392">
        <f>HYPERLINK("https://klasma.github.io/Logging_1907/klagomål/A 3649-2024 FSC-klagomål.docx", "A 3649-2024")</f>
        <v/>
      </c>
      <c r="W392">
        <f>HYPERLINK("https://klasma.github.io/Logging_1907/klagomålsmail/A 3649-2024 FSC-klagomål mail.docx", "A 3649-2024")</f>
        <v/>
      </c>
      <c r="X392">
        <f>HYPERLINK("https://klasma.github.io/Logging_1907/tillsyn/A 3649-2024 tillsynsbegäran.docx", "A 3649-2024")</f>
        <v/>
      </c>
      <c r="Y392">
        <f>HYPERLINK("https://klasma.github.io/Logging_1907/tillsynsmail/A 3649-2024 tillsynsbegäran mail.docx", "A 3649-2024")</f>
        <v/>
      </c>
    </row>
    <row r="393" ht="15" customHeight="1">
      <c r="A393" t="inlineStr">
        <is>
          <t>A 3927-2024</t>
        </is>
      </c>
      <c r="B393" s="1" t="n">
        <v>45322</v>
      </c>
      <c r="C393" s="1" t="n">
        <v>45821</v>
      </c>
      <c r="D393" t="inlineStr">
        <is>
          <t>VÄSTMANLANDS LÄN</t>
        </is>
      </c>
      <c r="E393" t="inlineStr">
        <is>
          <t>KÖPING</t>
        </is>
      </c>
      <c r="G393" t="n">
        <v>4.8</v>
      </c>
      <c r="H393" t="n">
        <v>0</v>
      </c>
      <c r="I393" t="n">
        <v>0</v>
      </c>
      <c r="J393" t="n">
        <v>1</v>
      </c>
      <c r="K393" t="n">
        <v>0</v>
      </c>
      <c r="L393" t="n">
        <v>0</v>
      </c>
      <c r="M393" t="n">
        <v>0</v>
      </c>
      <c r="N393" t="n">
        <v>0</v>
      </c>
      <c r="O393" t="n">
        <v>1</v>
      </c>
      <c r="P393" t="n">
        <v>0</v>
      </c>
      <c r="Q393" t="n">
        <v>1</v>
      </c>
      <c r="R393" s="2" t="inlineStr">
        <is>
          <t>Druvfingersvamp</t>
        </is>
      </c>
      <c r="S393">
        <f>HYPERLINK("https://klasma.github.io/Logging_1983/artfynd/A 3927-2024 artfynd.xlsx", "A 3927-2024")</f>
        <v/>
      </c>
      <c r="T393">
        <f>HYPERLINK("https://klasma.github.io/Logging_1983/kartor/A 3927-2024 karta.png", "A 3927-2024")</f>
        <v/>
      </c>
      <c r="V393">
        <f>HYPERLINK("https://klasma.github.io/Logging_1983/klagomål/A 3927-2024 FSC-klagomål.docx", "A 3927-2024")</f>
        <v/>
      </c>
      <c r="W393">
        <f>HYPERLINK("https://klasma.github.io/Logging_1983/klagomålsmail/A 3927-2024 FSC-klagomål mail.docx", "A 3927-2024")</f>
        <v/>
      </c>
      <c r="X393">
        <f>HYPERLINK("https://klasma.github.io/Logging_1983/tillsyn/A 3927-2024 tillsynsbegäran.docx", "A 3927-2024")</f>
        <v/>
      </c>
      <c r="Y393">
        <f>HYPERLINK("https://klasma.github.io/Logging_1983/tillsynsmail/A 3927-2024 tillsynsbegäran mail.docx", "A 3927-2024")</f>
        <v/>
      </c>
    </row>
    <row r="394" ht="15" customHeight="1">
      <c r="A394" t="inlineStr">
        <is>
          <t>A 5168-2024</t>
        </is>
      </c>
      <c r="B394" s="1" t="n">
        <v>45330</v>
      </c>
      <c r="C394" s="1" t="n">
        <v>45821</v>
      </c>
      <c r="D394" t="inlineStr">
        <is>
          <t>VÄSTMANLANDS LÄN</t>
        </is>
      </c>
      <c r="E394" t="inlineStr">
        <is>
          <t>SURAHAMMAR</t>
        </is>
      </c>
      <c r="F394" t="inlineStr">
        <is>
          <t>Övriga Aktiebolag</t>
        </is>
      </c>
      <c r="G394" t="n">
        <v>3.4</v>
      </c>
      <c r="H394" t="n">
        <v>1</v>
      </c>
      <c r="I394" t="n">
        <v>0</v>
      </c>
      <c r="J394" t="n">
        <v>0</v>
      </c>
      <c r="K394" t="n">
        <v>0</v>
      </c>
      <c r="L394" t="n">
        <v>0</v>
      </c>
      <c r="M394" t="n">
        <v>0</v>
      </c>
      <c r="N394" t="n">
        <v>0</v>
      </c>
      <c r="O394" t="n">
        <v>0</v>
      </c>
      <c r="P394" t="n">
        <v>0</v>
      </c>
      <c r="Q394" t="n">
        <v>1</v>
      </c>
      <c r="R394" s="2" t="inlineStr">
        <is>
          <t>Göktyta</t>
        </is>
      </c>
      <c r="S394">
        <f>HYPERLINK("https://klasma.github.io/Logging_1907/artfynd/A 5168-2024 artfynd.xlsx", "A 5168-2024")</f>
        <v/>
      </c>
      <c r="T394">
        <f>HYPERLINK("https://klasma.github.io/Logging_1907/kartor/A 5168-2024 karta.png", "A 5168-2024")</f>
        <v/>
      </c>
      <c r="V394">
        <f>HYPERLINK("https://klasma.github.io/Logging_1907/klagomål/A 5168-2024 FSC-klagomål.docx", "A 5168-2024")</f>
        <v/>
      </c>
      <c r="W394">
        <f>HYPERLINK("https://klasma.github.io/Logging_1907/klagomålsmail/A 5168-2024 FSC-klagomål mail.docx", "A 5168-2024")</f>
        <v/>
      </c>
      <c r="X394">
        <f>HYPERLINK("https://klasma.github.io/Logging_1907/tillsyn/A 5168-2024 tillsynsbegäran.docx", "A 5168-2024")</f>
        <v/>
      </c>
      <c r="Y394">
        <f>HYPERLINK("https://klasma.github.io/Logging_1907/tillsynsmail/A 5168-2024 tillsynsbegäran mail.docx", "A 5168-2024")</f>
        <v/>
      </c>
      <c r="Z394">
        <f>HYPERLINK("https://klasma.github.io/Logging_1907/fåglar/A 5168-2024 prioriterade fågelarter.docx", "A 5168-2024")</f>
        <v/>
      </c>
    </row>
    <row r="395" ht="15" customHeight="1">
      <c r="A395" t="inlineStr">
        <is>
          <t>A 6249-2024</t>
        </is>
      </c>
      <c r="B395" s="1" t="n">
        <v>45337</v>
      </c>
      <c r="C395" s="1" t="n">
        <v>45821</v>
      </c>
      <c r="D395" t="inlineStr">
        <is>
          <t>VÄSTMANLANDS LÄN</t>
        </is>
      </c>
      <c r="E395" t="inlineStr">
        <is>
          <t>VÄSTERÅS</t>
        </is>
      </c>
      <c r="G395" t="n">
        <v>6.5</v>
      </c>
      <c r="H395" t="n">
        <v>1</v>
      </c>
      <c r="I395" t="n">
        <v>0</v>
      </c>
      <c r="J395" t="n">
        <v>0</v>
      </c>
      <c r="K395" t="n">
        <v>0</v>
      </c>
      <c r="L395" t="n">
        <v>1</v>
      </c>
      <c r="M395" t="n">
        <v>0</v>
      </c>
      <c r="N395" t="n">
        <v>0</v>
      </c>
      <c r="O395" t="n">
        <v>1</v>
      </c>
      <c r="P395" t="n">
        <v>1</v>
      </c>
      <c r="Q395" t="n">
        <v>1</v>
      </c>
      <c r="R395" s="2" t="inlineStr">
        <is>
          <t>Grönfink</t>
        </is>
      </c>
      <c r="S395">
        <f>HYPERLINK("https://klasma.github.io/Logging_1980/artfynd/A 6249-2024 artfynd.xlsx", "A 6249-2024")</f>
        <v/>
      </c>
      <c r="T395">
        <f>HYPERLINK("https://klasma.github.io/Logging_1980/kartor/A 6249-2024 karta.png", "A 6249-2024")</f>
        <v/>
      </c>
      <c r="V395">
        <f>HYPERLINK("https://klasma.github.io/Logging_1980/klagomål/A 6249-2024 FSC-klagomål.docx", "A 6249-2024")</f>
        <v/>
      </c>
      <c r="W395">
        <f>HYPERLINK("https://klasma.github.io/Logging_1980/klagomålsmail/A 6249-2024 FSC-klagomål mail.docx", "A 6249-2024")</f>
        <v/>
      </c>
      <c r="X395">
        <f>HYPERLINK("https://klasma.github.io/Logging_1980/tillsyn/A 6249-2024 tillsynsbegäran.docx", "A 6249-2024")</f>
        <v/>
      </c>
      <c r="Y395">
        <f>HYPERLINK("https://klasma.github.io/Logging_1980/tillsynsmail/A 6249-2024 tillsynsbegäran mail.docx", "A 6249-2024")</f>
        <v/>
      </c>
      <c r="Z395">
        <f>HYPERLINK("https://klasma.github.io/Logging_1980/fåglar/A 6249-2024 prioriterade fågelarter.docx", "A 6249-2024")</f>
        <v/>
      </c>
    </row>
    <row r="396" ht="15" customHeight="1">
      <c r="A396" t="inlineStr">
        <is>
          <t>A 9510-2024</t>
        </is>
      </c>
      <c r="B396" s="1" t="n">
        <v>45359</v>
      </c>
      <c r="C396" s="1" t="n">
        <v>45821</v>
      </c>
      <c r="D396" t="inlineStr">
        <is>
          <t>VÄSTMANLANDS LÄN</t>
        </is>
      </c>
      <c r="E396" t="inlineStr">
        <is>
          <t>KÖPING</t>
        </is>
      </c>
      <c r="F396" t="inlineStr">
        <is>
          <t>Sveaskog</t>
        </is>
      </c>
      <c r="G396" t="n">
        <v>3</v>
      </c>
      <c r="H396" t="n">
        <v>0</v>
      </c>
      <c r="I396" t="n">
        <v>0</v>
      </c>
      <c r="J396" t="n">
        <v>1</v>
      </c>
      <c r="K396" t="n">
        <v>0</v>
      </c>
      <c r="L396" t="n">
        <v>0</v>
      </c>
      <c r="M396" t="n">
        <v>0</v>
      </c>
      <c r="N396" t="n">
        <v>0</v>
      </c>
      <c r="O396" t="n">
        <v>1</v>
      </c>
      <c r="P396" t="n">
        <v>0</v>
      </c>
      <c r="Q396" t="n">
        <v>1</v>
      </c>
      <c r="R396" s="2" t="inlineStr">
        <is>
          <t>Storgröe</t>
        </is>
      </c>
      <c r="S396">
        <f>HYPERLINK("https://klasma.github.io/Logging_1983/artfynd/A 9510-2024 artfynd.xlsx", "A 9510-2024")</f>
        <v/>
      </c>
      <c r="T396">
        <f>HYPERLINK("https://klasma.github.io/Logging_1983/kartor/A 9510-2024 karta.png", "A 9510-2024")</f>
        <v/>
      </c>
      <c r="V396">
        <f>HYPERLINK("https://klasma.github.io/Logging_1983/klagomål/A 9510-2024 FSC-klagomål.docx", "A 9510-2024")</f>
        <v/>
      </c>
      <c r="W396">
        <f>HYPERLINK("https://klasma.github.io/Logging_1983/klagomålsmail/A 9510-2024 FSC-klagomål mail.docx", "A 9510-2024")</f>
        <v/>
      </c>
      <c r="X396">
        <f>HYPERLINK("https://klasma.github.io/Logging_1983/tillsyn/A 9510-2024 tillsynsbegäran.docx", "A 9510-2024")</f>
        <v/>
      </c>
      <c r="Y396">
        <f>HYPERLINK("https://klasma.github.io/Logging_1983/tillsynsmail/A 9510-2024 tillsynsbegäran mail.docx", "A 9510-2024")</f>
        <v/>
      </c>
    </row>
    <row r="397" ht="15" customHeight="1">
      <c r="A397" t="inlineStr">
        <is>
          <t>A 10819-2024</t>
        </is>
      </c>
      <c r="B397" s="1" t="n">
        <v>45369</v>
      </c>
      <c r="C397" s="1" t="n">
        <v>45821</v>
      </c>
      <c r="D397" t="inlineStr">
        <is>
          <t>VÄSTMANLANDS LÄN</t>
        </is>
      </c>
      <c r="E397" t="inlineStr">
        <is>
          <t>SURAHAMMAR</t>
        </is>
      </c>
      <c r="G397" t="n">
        <v>2</v>
      </c>
      <c r="H397" t="n">
        <v>0</v>
      </c>
      <c r="I397" t="n">
        <v>1</v>
      </c>
      <c r="J397" t="n">
        <v>0</v>
      </c>
      <c r="K397" t="n">
        <v>0</v>
      </c>
      <c r="L397" t="n">
        <v>0</v>
      </c>
      <c r="M397" t="n">
        <v>0</v>
      </c>
      <c r="N397" t="n">
        <v>0</v>
      </c>
      <c r="O397" t="n">
        <v>0</v>
      </c>
      <c r="P397" t="n">
        <v>0</v>
      </c>
      <c r="Q397" t="n">
        <v>1</v>
      </c>
      <c r="R397" s="2" t="inlineStr">
        <is>
          <t>Tibast</t>
        </is>
      </c>
      <c r="S397">
        <f>HYPERLINK("https://klasma.github.io/Logging_1907/artfynd/A 10819-2024 artfynd.xlsx", "A 10819-2024")</f>
        <v/>
      </c>
      <c r="T397">
        <f>HYPERLINK("https://klasma.github.io/Logging_1907/kartor/A 10819-2024 karta.png", "A 10819-2024")</f>
        <v/>
      </c>
      <c r="V397">
        <f>HYPERLINK("https://klasma.github.io/Logging_1907/klagomål/A 10819-2024 FSC-klagomål.docx", "A 10819-2024")</f>
        <v/>
      </c>
      <c r="W397">
        <f>HYPERLINK("https://klasma.github.io/Logging_1907/klagomålsmail/A 10819-2024 FSC-klagomål mail.docx", "A 10819-2024")</f>
        <v/>
      </c>
      <c r="X397">
        <f>HYPERLINK("https://klasma.github.io/Logging_1907/tillsyn/A 10819-2024 tillsynsbegäran.docx", "A 10819-2024")</f>
        <v/>
      </c>
      <c r="Y397">
        <f>HYPERLINK("https://klasma.github.io/Logging_1907/tillsynsmail/A 10819-2024 tillsynsbegäran mail.docx", "A 10819-2024")</f>
        <v/>
      </c>
    </row>
    <row r="398" ht="15" customHeight="1">
      <c r="A398" t="inlineStr">
        <is>
          <t>A 12179-2024</t>
        </is>
      </c>
      <c r="B398" s="1" t="n">
        <v>45377</v>
      </c>
      <c r="C398" s="1" t="n">
        <v>45821</v>
      </c>
      <c r="D398" t="inlineStr">
        <is>
          <t>VÄSTMANLANDS LÄN</t>
        </is>
      </c>
      <c r="E398" t="inlineStr">
        <is>
          <t>KÖPING</t>
        </is>
      </c>
      <c r="F398" t="inlineStr">
        <is>
          <t>Allmännings- och besparingsskogar</t>
        </is>
      </c>
      <c r="G398" t="n">
        <v>11.4</v>
      </c>
      <c r="H398" t="n">
        <v>1</v>
      </c>
      <c r="I398" t="n">
        <v>0</v>
      </c>
      <c r="J398" t="n">
        <v>0</v>
      </c>
      <c r="K398" t="n">
        <v>0</v>
      </c>
      <c r="L398" t="n">
        <v>0</v>
      </c>
      <c r="M398" t="n">
        <v>0</v>
      </c>
      <c r="N398" t="n">
        <v>0</v>
      </c>
      <c r="O398" t="n">
        <v>0</v>
      </c>
      <c r="P398" t="n">
        <v>0</v>
      </c>
      <c r="Q398" t="n">
        <v>1</v>
      </c>
      <c r="R398" s="2" t="inlineStr">
        <is>
          <t>Orre</t>
        </is>
      </c>
      <c r="S398">
        <f>HYPERLINK("https://klasma.github.io/Logging_1983/artfynd/A 12179-2024 artfynd.xlsx", "A 12179-2024")</f>
        <v/>
      </c>
      <c r="T398">
        <f>HYPERLINK("https://klasma.github.io/Logging_1983/kartor/A 12179-2024 karta.png", "A 12179-2024")</f>
        <v/>
      </c>
      <c r="V398">
        <f>HYPERLINK("https://klasma.github.io/Logging_1983/klagomål/A 12179-2024 FSC-klagomål.docx", "A 12179-2024")</f>
        <v/>
      </c>
      <c r="W398">
        <f>HYPERLINK("https://klasma.github.io/Logging_1983/klagomålsmail/A 12179-2024 FSC-klagomål mail.docx", "A 12179-2024")</f>
        <v/>
      </c>
      <c r="X398">
        <f>HYPERLINK("https://klasma.github.io/Logging_1983/tillsyn/A 12179-2024 tillsynsbegäran.docx", "A 12179-2024")</f>
        <v/>
      </c>
      <c r="Y398">
        <f>HYPERLINK("https://klasma.github.io/Logging_1983/tillsynsmail/A 12179-2024 tillsynsbegäran mail.docx", "A 12179-2024")</f>
        <v/>
      </c>
      <c r="Z398">
        <f>HYPERLINK("https://klasma.github.io/Logging_1983/fåglar/A 12179-2024 prioriterade fågelarter.docx", "A 12179-2024")</f>
        <v/>
      </c>
    </row>
    <row r="399" ht="15" customHeight="1">
      <c r="A399" t="inlineStr">
        <is>
          <t>A 12434-2024</t>
        </is>
      </c>
      <c r="B399" s="1" t="n">
        <v>45379</v>
      </c>
      <c r="C399" s="1" t="n">
        <v>45821</v>
      </c>
      <c r="D399" t="inlineStr">
        <is>
          <t>VÄSTMANLANDS LÄN</t>
        </is>
      </c>
      <c r="E399" t="inlineStr">
        <is>
          <t>SALA</t>
        </is>
      </c>
      <c r="G399" t="n">
        <v>7.8</v>
      </c>
      <c r="H399" t="n">
        <v>1</v>
      </c>
      <c r="I399" t="n">
        <v>0</v>
      </c>
      <c r="J399" t="n">
        <v>0</v>
      </c>
      <c r="K399" t="n">
        <v>1</v>
      </c>
      <c r="L399" t="n">
        <v>0</v>
      </c>
      <c r="M399" t="n">
        <v>0</v>
      </c>
      <c r="N399" t="n">
        <v>0</v>
      </c>
      <c r="O399" t="n">
        <v>1</v>
      </c>
      <c r="P399" t="n">
        <v>1</v>
      </c>
      <c r="Q399" t="n">
        <v>1</v>
      </c>
      <c r="R399" s="2" t="inlineStr">
        <is>
          <t>Knärot</t>
        </is>
      </c>
      <c r="S399">
        <f>HYPERLINK("https://klasma.github.io/Logging_1981/artfynd/A 12434-2024 artfynd.xlsx", "A 12434-2024")</f>
        <v/>
      </c>
      <c r="T399">
        <f>HYPERLINK("https://klasma.github.io/Logging_1981/kartor/A 12434-2024 karta.png", "A 12434-2024")</f>
        <v/>
      </c>
      <c r="U399">
        <f>HYPERLINK("https://klasma.github.io/Logging_1981/knärot/A 12434-2024 karta knärot.png", "A 12434-2024")</f>
        <v/>
      </c>
      <c r="V399">
        <f>HYPERLINK("https://klasma.github.io/Logging_1981/klagomål/A 12434-2024 FSC-klagomål.docx", "A 12434-2024")</f>
        <v/>
      </c>
      <c r="W399">
        <f>HYPERLINK("https://klasma.github.io/Logging_1981/klagomålsmail/A 12434-2024 FSC-klagomål mail.docx", "A 12434-2024")</f>
        <v/>
      </c>
      <c r="X399">
        <f>HYPERLINK("https://klasma.github.io/Logging_1981/tillsyn/A 12434-2024 tillsynsbegäran.docx", "A 12434-2024")</f>
        <v/>
      </c>
      <c r="Y399">
        <f>HYPERLINK("https://klasma.github.io/Logging_1981/tillsynsmail/A 12434-2024 tillsynsbegäran mail.docx", "A 12434-2024")</f>
        <v/>
      </c>
    </row>
    <row r="400" ht="15" customHeight="1">
      <c r="A400" t="inlineStr">
        <is>
          <t>A 12887-2024</t>
        </is>
      </c>
      <c r="B400" s="1" t="n">
        <v>45385</v>
      </c>
      <c r="C400" s="1" t="n">
        <v>45821</v>
      </c>
      <c r="D400" t="inlineStr">
        <is>
          <t>VÄSTMANLANDS LÄN</t>
        </is>
      </c>
      <c r="E400" t="inlineStr">
        <is>
          <t>SKINNSKATTEBERG</t>
        </is>
      </c>
      <c r="F400" t="inlineStr">
        <is>
          <t>Sveaskog</t>
        </is>
      </c>
      <c r="G400" t="n">
        <v>6.5</v>
      </c>
      <c r="H400" t="n">
        <v>1</v>
      </c>
      <c r="I400" t="n">
        <v>0</v>
      </c>
      <c r="J400" t="n">
        <v>0</v>
      </c>
      <c r="K400" t="n">
        <v>0</v>
      </c>
      <c r="L400" t="n">
        <v>0</v>
      </c>
      <c r="M400" t="n">
        <v>0</v>
      </c>
      <c r="N400" t="n">
        <v>0</v>
      </c>
      <c r="O400" t="n">
        <v>0</v>
      </c>
      <c r="P400" t="n">
        <v>0</v>
      </c>
      <c r="Q400" t="n">
        <v>1</v>
      </c>
      <c r="R400" s="2" t="inlineStr">
        <is>
          <t>Sparvuggla</t>
        </is>
      </c>
      <c r="S400">
        <f>HYPERLINK("https://klasma.github.io/Logging_1904/artfynd/A 12887-2024 artfynd.xlsx", "A 12887-2024")</f>
        <v/>
      </c>
      <c r="T400">
        <f>HYPERLINK("https://klasma.github.io/Logging_1904/kartor/A 12887-2024 karta.png", "A 12887-2024")</f>
        <v/>
      </c>
      <c r="V400">
        <f>HYPERLINK("https://klasma.github.io/Logging_1904/klagomål/A 12887-2024 FSC-klagomål.docx", "A 12887-2024")</f>
        <v/>
      </c>
      <c r="W400">
        <f>HYPERLINK("https://klasma.github.io/Logging_1904/klagomålsmail/A 12887-2024 FSC-klagomål mail.docx", "A 12887-2024")</f>
        <v/>
      </c>
      <c r="X400">
        <f>HYPERLINK("https://klasma.github.io/Logging_1904/tillsyn/A 12887-2024 tillsynsbegäran.docx", "A 12887-2024")</f>
        <v/>
      </c>
      <c r="Y400">
        <f>HYPERLINK("https://klasma.github.io/Logging_1904/tillsynsmail/A 12887-2024 tillsynsbegäran mail.docx", "A 12887-2024")</f>
        <v/>
      </c>
      <c r="Z400">
        <f>HYPERLINK("https://klasma.github.io/Logging_1904/fåglar/A 12887-2024 prioriterade fågelarter.docx", "A 12887-2024")</f>
        <v/>
      </c>
    </row>
    <row r="401" ht="15" customHeight="1">
      <c r="A401" t="inlineStr">
        <is>
          <t>A 16015-2024</t>
        </is>
      </c>
      <c r="B401" s="1" t="n">
        <v>45405</v>
      </c>
      <c r="C401" s="1" t="n">
        <v>45821</v>
      </c>
      <c r="D401" t="inlineStr">
        <is>
          <t>VÄSTMANLANDS LÄN</t>
        </is>
      </c>
      <c r="E401" t="inlineStr">
        <is>
          <t>VÄSTERÅS</t>
        </is>
      </c>
      <c r="G401" t="n">
        <v>6.8</v>
      </c>
      <c r="H401" t="n">
        <v>0</v>
      </c>
      <c r="I401" t="n">
        <v>0</v>
      </c>
      <c r="J401" t="n">
        <v>1</v>
      </c>
      <c r="K401" t="n">
        <v>0</v>
      </c>
      <c r="L401" t="n">
        <v>0</v>
      </c>
      <c r="M401" t="n">
        <v>0</v>
      </c>
      <c r="N401" t="n">
        <v>0</v>
      </c>
      <c r="O401" t="n">
        <v>1</v>
      </c>
      <c r="P401" t="n">
        <v>0</v>
      </c>
      <c r="Q401" t="n">
        <v>1</v>
      </c>
      <c r="R401" s="2" t="inlineStr">
        <is>
          <t>Orange taggsvamp</t>
        </is>
      </c>
      <c r="S401">
        <f>HYPERLINK("https://klasma.github.io/Logging_1980/artfynd/A 16015-2024 artfynd.xlsx", "A 16015-2024")</f>
        <v/>
      </c>
      <c r="T401">
        <f>HYPERLINK("https://klasma.github.io/Logging_1980/kartor/A 16015-2024 karta.png", "A 16015-2024")</f>
        <v/>
      </c>
      <c r="V401">
        <f>HYPERLINK("https://klasma.github.io/Logging_1980/klagomål/A 16015-2024 FSC-klagomål.docx", "A 16015-2024")</f>
        <v/>
      </c>
      <c r="W401">
        <f>HYPERLINK("https://klasma.github.io/Logging_1980/klagomålsmail/A 16015-2024 FSC-klagomål mail.docx", "A 16015-2024")</f>
        <v/>
      </c>
      <c r="X401">
        <f>HYPERLINK("https://klasma.github.io/Logging_1980/tillsyn/A 16015-2024 tillsynsbegäran.docx", "A 16015-2024")</f>
        <v/>
      </c>
      <c r="Y401">
        <f>HYPERLINK("https://klasma.github.io/Logging_1980/tillsynsmail/A 16015-2024 tillsynsbegäran mail.docx", "A 16015-2024")</f>
        <v/>
      </c>
    </row>
    <row r="402" ht="15" customHeight="1">
      <c r="A402" t="inlineStr">
        <is>
          <t>A 16524-2024</t>
        </is>
      </c>
      <c r="B402" s="1" t="n">
        <v>45408</v>
      </c>
      <c r="C402" s="1" t="n">
        <v>45821</v>
      </c>
      <c r="D402" t="inlineStr">
        <is>
          <t>VÄSTMANLANDS LÄN</t>
        </is>
      </c>
      <c r="E402" t="inlineStr">
        <is>
          <t>SKINNSKATTEBERG</t>
        </is>
      </c>
      <c r="F402" t="inlineStr">
        <is>
          <t>Sveaskog</t>
        </is>
      </c>
      <c r="G402" t="n">
        <v>3.1</v>
      </c>
      <c r="H402" t="n">
        <v>0</v>
      </c>
      <c r="I402" t="n">
        <v>1</v>
      </c>
      <c r="J402" t="n">
        <v>0</v>
      </c>
      <c r="K402" t="n">
        <v>0</v>
      </c>
      <c r="L402" t="n">
        <v>0</v>
      </c>
      <c r="M402" t="n">
        <v>0</v>
      </c>
      <c r="N402" t="n">
        <v>0</v>
      </c>
      <c r="O402" t="n">
        <v>0</v>
      </c>
      <c r="P402" t="n">
        <v>0</v>
      </c>
      <c r="Q402" t="n">
        <v>1</v>
      </c>
      <c r="R402" s="2" t="inlineStr">
        <is>
          <t>Grönpyrola</t>
        </is>
      </c>
      <c r="S402">
        <f>HYPERLINK("https://klasma.github.io/Logging_1904/artfynd/A 16524-2024 artfynd.xlsx", "A 16524-2024")</f>
        <v/>
      </c>
      <c r="T402">
        <f>HYPERLINK("https://klasma.github.io/Logging_1904/kartor/A 16524-2024 karta.png", "A 16524-2024")</f>
        <v/>
      </c>
      <c r="V402">
        <f>HYPERLINK("https://klasma.github.io/Logging_1904/klagomål/A 16524-2024 FSC-klagomål.docx", "A 16524-2024")</f>
        <v/>
      </c>
      <c r="W402">
        <f>HYPERLINK("https://klasma.github.io/Logging_1904/klagomålsmail/A 16524-2024 FSC-klagomål mail.docx", "A 16524-2024")</f>
        <v/>
      </c>
      <c r="X402">
        <f>HYPERLINK("https://klasma.github.io/Logging_1904/tillsyn/A 16524-2024 tillsynsbegäran.docx", "A 16524-2024")</f>
        <v/>
      </c>
      <c r="Y402">
        <f>HYPERLINK("https://klasma.github.io/Logging_1904/tillsynsmail/A 16524-2024 tillsynsbegäran mail.docx", "A 16524-2024")</f>
        <v/>
      </c>
    </row>
    <row r="403" ht="15" customHeight="1">
      <c r="A403" t="inlineStr">
        <is>
          <t>A 17381-2024</t>
        </is>
      </c>
      <c r="B403" s="1" t="n">
        <v>45414</v>
      </c>
      <c r="C403" s="1" t="n">
        <v>45821</v>
      </c>
      <c r="D403" t="inlineStr">
        <is>
          <t>VÄSTMANLANDS LÄN</t>
        </is>
      </c>
      <c r="E403" t="inlineStr">
        <is>
          <t>SKINNSKATTEBERG</t>
        </is>
      </c>
      <c r="G403" t="n">
        <v>4.4</v>
      </c>
      <c r="H403" t="n">
        <v>0</v>
      </c>
      <c r="I403" t="n">
        <v>0</v>
      </c>
      <c r="J403" t="n">
        <v>1</v>
      </c>
      <c r="K403" t="n">
        <v>0</v>
      </c>
      <c r="L403" t="n">
        <v>0</v>
      </c>
      <c r="M403" t="n">
        <v>0</v>
      </c>
      <c r="N403" t="n">
        <v>0</v>
      </c>
      <c r="O403" t="n">
        <v>1</v>
      </c>
      <c r="P403" t="n">
        <v>0</v>
      </c>
      <c r="Q403" t="n">
        <v>1</v>
      </c>
      <c r="R403" s="2" t="inlineStr">
        <is>
          <t>Skogsklocka</t>
        </is>
      </c>
      <c r="S403">
        <f>HYPERLINK("https://klasma.github.io/Logging_1904/artfynd/A 17381-2024 artfynd.xlsx", "A 17381-2024")</f>
        <v/>
      </c>
      <c r="T403">
        <f>HYPERLINK("https://klasma.github.io/Logging_1904/kartor/A 17381-2024 karta.png", "A 17381-2024")</f>
        <v/>
      </c>
      <c r="V403">
        <f>HYPERLINK("https://klasma.github.io/Logging_1904/klagomål/A 17381-2024 FSC-klagomål.docx", "A 17381-2024")</f>
        <v/>
      </c>
      <c r="W403">
        <f>HYPERLINK("https://klasma.github.io/Logging_1904/klagomålsmail/A 17381-2024 FSC-klagomål mail.docx", "A 17381-2024")</f>
        <v/>
      </c>
      <c r="X403">
        <f>HYPERLINK("https://klasma.github.io/Logging_1904/tillsyn/A 17381-2024 tillsynsbegäran.docx", "A 17381-2024")</f>
        <v/>
      </c>
      <c r="Y403">
        <f>HYPERLINK("https://klasma.github.io/Logging_1904/tillsynsmail/A 17381-2024 tillsynsbegäran mail.docx", "A 17381-2024")</f>
        <v/>
      </c>
    </row>
    <row r="404" ht="15" customHeight="1">
      <c r="A404" t="inlineStr">
        <is>
          <t>A 18148-2024</t>
        </is>
      </c>
      <c r="B404" s="1" t="n">
        <v>45420</v>
      </c>
      <c r="C404" s="1" t="n">
        <v>45821</v>
      </c>
      <c r="D404" t="inlineStr">
        <is>
          <t>VÄSTMANLANDS LÄN</t>
        </is>
      </c>
      <c r="E404" t="inlineStr">
        <is>
          <t>VÄSTERÅS</t>
        </is>
      </c>
      <c r="G404" t="n">
        <v>11.2</v>
      </c>
      <c r="H404" t="n">
        <v>1</v>
      </c>
      <c r="I404" t="n">
        <v>0</v>
      </c>
      <c r="J404" t="n">
        <v>0</v>
      </c>
      <c r="K404" t="n">
        <v>0</v>
      </c>
      <c r="L404" t="n">
        <v>0</v>
      </c>
      <c r="M404" t="n">
        <v>0</v>
      </c>
      <c r="N404" t="n">
        <v>0</v>
      </c>
      <c r="O404" t="n">
        <v>0</v>
      </c>
      <c r="P404" t="n">
        <v>0</v>
      </c>
      <c r="Q404" t="n">
        <v>1</v>
      </c>
      <c r="R404" s="2" t="inlineStr">
        <is>
          <t>Vanlig padda</t>
        </is>
      </c>
      <c r="S404">
        <f>HYPERLINK("https://klasma.github.io/Logging_1980/artfynd/A 18148-2024 artfynd.xlsx", "A 18148-2024")</f>
        <v/>
      </c>
      <c r="T404">
        <f>HYPERLINK("https://klasma.github.io/Logging_1980/kartor/A 18148-2024 karta.png", "A 18148-2024")</f>
        <v/>
      </c>
      <c r="V404">
        <f>HYPERLINK("https://klasma.github.io/Logging_1980/klagomål/A 18148-2024 FSC-klagomål.docx", "A 18148-2024")</f>
        <v/>
      </c>
      <c r="W404">
        <f>HYPERLINK("https://klasma.github.io/Logging_1980/klagomålsmail/A 18148-2024 FSC-klagomål mail.docx", "A 18148-2024")</f>
        <v/>
      </c>
      <c r="X404">
        <f>HYPERLINK("https://klasma.github.io/Logging_1980/tillsyn/A 18148-2024 tillsynsbegäran.docx", "A 18148-2024")</f>
        <v/>
      </c>
      <c r="Y404">
        <f>HYPERLINK("https://klasma.github.io/Logging_1980/tillsynsmail/A 18148-2024 tillsynsbegäran mail.docx", "A 18148-2024")</f>
        <v/>
      </c>
    </row>
    <row r="405" ht="15" customHeight="1">
      <c r="A405" t="inlineStr">
        <is>
          <t>A 18495-2024</t>
        </is>
      </c>
      <c r="B405" s="1" t="n">
        <v>45425</v>
      </c>
      <c r="C405" s="1" t="n">
        <v>45821</v>
      </c>
      <c r="D405" t="inlineStr">
        <is>
          <t>VÄSTMANLANDS LÄN</t>
        </is>
      </c>
      <c r="E405" t="inlineStr">
        <is>
          <t>ARBOGA</t>
        </is>
      </c>
      <c r="F405" t="inlineStr">
        <is>
          <t>Sveaskog</t>
        </is>
      </c>
      <c r="G405" t="n">
        <v>1.6</v>
      </c>
      <c r="H405" t="n">
        <v>1</v>
      </c>
      <c r="I405" t="n">
        <v>0</v>
      </c>
      <c r="J405" t="n">
        <v>0</v>
      </c>
      <c r="K405" t="n">
        <v>0</v>
      </c>
      <c r="L405" t="n">
        <v>0</v>
      </c>
      <c r="M405" t="n">
        <v>0</v>
      </c>
      <c r="N405" t="n">
        <v>0</v>
      </c>
      <c r="O405" t="n">
        <v>0</v>
      </c>
      <c r="P405" t="n">
        <v>0</v>
      </c>
      <c r="Q405" t="n">
        <v>1</v>
      </c>
      <c r="R405" s="2" t="inlineStr">
        <is>
          <t>Blåsippa</t>
        </is>
      </c>
      <c r="S405">
        <f>HYPERLINK("https://klasma.github.io/Logging_1984/artfynd/A 18495-2024 artfynd.xlsx", "A 18495-2024")</f>
        <v/>
      </c>
      <c r="T405">
        <f>HYPERLINK("https://klasma.github.io/Logging_1984/kartor/A 18495-2024 karta.png", "A 18495-2024")</f>
        <v/>
      </c>
      <c r="V405">
        <f>HYPERLINK("https://klasma.github.io/Logging_1984/klagomål/A 18495-2024 FSC-klagomål.docx", "A 18495-2024")</f>
        <v/>
      </c>
      <c r="W405">
        <f>HYPERLINK("https://klasma.github.io/Logging_1984/klagomålsmail/A 18495-2024 FSC-klagomål mail.docx", "A 18495-2024")</f>
        <v/>
      </c>
      <c r="X405">
        <f>HYPERLINK("https://klasma.github.io/Logging_1984/tillsyn/A 18495-2024 tillsynsbegäran.docx", "A 18495-2024")</f>
        <v/>
      </c>
      <c r="Y405">
        <f>HYPERLINK("https://klasma.github.io/Logging_1984/tillsynsmail/A 18495-2024 tillsynsbegäran mail.docx", "A 18495-2024")</f>
        <v/>
      </c>
    </row>
    <row r="406" ht="15" customHeight="1">
      <c r="A406" t="inlineStr">
        <is>
          <t>A 19201-2024</t>
        </is>
      </c>
      <c r="B406" s="1" t="n">
        <v>45428</v>
      </c>
      <c r="C406" s="1" t="n">
        <v>45821</v>
      </c>
      <c r="D406" t="inlineStr">
        <is>
          <t>VÄSTMANLANDS LÄN</t>
        </is>
      </c>
      <c r="E406" t="inlineStr">
        <is>
          <t>SKINNSKATTEBERG</t>
        </is>
      </c>
      <c r="F406" t="inlineStr">
        <is>
          <t>Sveaskog</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HYPERLINK("https://klasma.github.io/Logging_1904/artfynd/A 19201-2024 artfynd.xlsx", "A 19201-2024")</f>
        <v/>
      </c>
      <c r="T406">
        <f>HYPERLINK("https://klasma.github.io/Logging_1904/kartor/A 19201-2024 karta.png", "A 19201-2024")</f>
        <v/>
      </c>
      <c r="V406">
        <f>HYPERLINK("https://klasma.github.io/Logging_1904/klagomål/A 19201-2024 FSC-klagomål.docx", "A 19201-2024")</f>
        <v/>
      </c>
      <c r="W406">
        <f>HYPERLINK("https://klasma.github.io/Logging_1904/klagomålsmail/A 19201-2024 FSC-klagomål mail.docx", "A 19201-2024")</f>
        <v/>
      </c>
      <c r="X406">
        <f>HYPERLINK("https://klasma.github.io/Logging_1904/tillsyn/A 19201-2024 tillsynsbegäran.docx", "A 19201-2024")</f>
        <v/>
      </c>
      <c r="Y406">
        <f>HYPERLINK("https://klasma.github.io/Logging_1904/tillsynsmail/A 19201-2024 tillsynsbegäran mail.docx", "A 19201-2024")</f>
        <v/>
      </c>
      <c r="Z406">
        <f>HYPERLINK("https://klasma.github.io/Logging_1904/fåglar/A 19201-2024 prioriterade fågelarter.docx", "A 19201-2024")</f>
        <v/>
      </c>
    </row>
    <row r="407" ht="15" customHeight="1">
      <c r="A407" t="inlineStr">
        <is>
          <t>A 19716-2024</t>
        </is>
      </c>
      <c r="B407" s="1" t="n">
        <v>45432</v>
      </c>
      <c r="C407" s="1" t="n">
        <v>45821</v>
      </c>
      <c r="D407" t="inlineStr">
        <is>
          <t>VÄSTMANLANDS LÄN</t>
        </is>
      </c>
      <c r="E407" t="inlineStr">
        <is>
          <t>SALA</t>
        </is>
      </c>
      <c r="G407" t="n">
        <v>5.5</v>
      </c>
      <c r="H407" t="n">
        <v>1</v>
      </c>
      <c r="I407" t="n">
        <v>0</v>
      </c>
      <c r="J407" t="n">
        <v>0</v>
      </c>
      <c r="K407" t="n">
        <v>0</v>
      </c>
      <c r="L407" t="n">
        <v>0</v>
      </c>
      <c r="M407" t="n">
        <v>0</v>
      </c>
      <c r="N407" t="n">
        <v>0</v>
      </c>
      <c r="O407" t="n">
        <v>0</v>
      </c>
      <c r="P407" t="n">
        <v>0</v>
      </c>
      <c r="Q407" t="n">
        <v>1</v>
      </c>
      <c r="R407" s="2" t="inlineStr">
        <is>
          <t>Fläcknycklar</t>
        </is>
      </c>
      <c r="S407">
        <f>HYPERLINK("https://klasma.github.io/Logging_1981/artfynd/A 19716-2024 artfynd.xlsx", "A 19716-2024")</f>
        <v/>
      </c>
      <c r="T407">
        <f>HYPERLINK("https://klasma.github.io/Logging_1981/kartor/A 19716-2024 karta.png", "A 19716-2024")</f>
        <v/>
      </c>
      <c r="V407">
        <f>HYPERLINK("https://klasma.github.io/Logging_1981/klagomål/A 19716-2024 FSC-klagomål.docx", "A 19716-2024")</f>
        <v/>
      </c>
      <c r="W407">
        <f>HYPERLINK("https://klasma.github.io/Logging_1981/klagomålsmail/A 19716-2024 FSC-klagomål mail.docx", "A 19716-2024")</f>
        <v/>
      </c>
      <c r="X407">
        <f>HYPERLINK("https://klasma.github.io/Logging_1981/tillsyn/A 19716-2024 tillsynsbegäran.docx", "A 19716-2024")</f>
        <v/>
      </c>
      <c r="Y407">
        <f>HYPERLINK("https://klasma.github.io/Logging_1981/tillsynsmail/A 19716-2024 tillsynsbegäran mail.docx", "A 19716-2024")</f>
        <v/>
      </c>
    </row>
    <row r="408" ht="15" customHeight="1">
      <c r="A408" t="inlineStr">
        <is>
          <t>A 20064-2024</t>
        </is>
      </c>
      <c r="B408" s="1" t="n">
        <v>45434</v>
      </c>
      <c r="C408" s="1" t="n">
        <v>45821</v>
      </c>
      <c r="D408" t="inlineStr">
        <is>
          <t>VÄSTMANLANDS LÄN</t>
        </is>
      </c>
      <c r="E408" t="inlineStr">
        <is>
          <t>ARBOGA</t>
        </is>
      </c>
      <c r="G408" t="n">
        <v>7.1</v>
      </c>
      <c r="H408" t="n">
        <v>0</v>
      </c>
      <c r="I408" t="n">
        <v>0</v>
      </c>
      <c r="J408" t="n">
        <v>0</v>
      </c>
      <c r="K408" t="n">
        <v>0</v>
      </c>
      <c r="L408" t="n">
        <v>1</v>
      </c>
      <c r="M408" t="n">
        <v>0</v>
      </c>
      <c r="N408" t="n">
        <v>0</v>
      </c>
      <c r="O408" t="n">
        <v>1</v>
      </c>
      <c r="P408" t="n">
        <v>1</v>
      </c>
      <c r="Q408" t="n">
        <v>1</v>
      </c>
      <c r="R408" s="2" t="inlineStr">
        <is>
          <t>Ask</t>
        </is>
      </c>
      <c r="S408">
        <f>HYPERLINK("https://klasma.github.io/Logging_1984/artfynd/A 20064-2024 artfynd.xlsx", "A 20064-2024")</f>
        <v/>
      </c>
      <c r="T408">
        <f>HYPERLINK("https://klasma.github.io/Logging_1984/kartor/A 20064-2024 karta.png", "A 20064-2024")</f>
        <v/>
      </c>
      <c r="V408">
        <f>HYPERLINK("https://klasma.github.io/Logging_1984/klagomål/A 20064-2024 FSC-klagomål.docx", "A 20064-2024")</f>
        <v/>
      </c>
      <c r="W408">
        <f>HYPERLINK("https://klasma.github.io/Logging_1984/klagomålsmail/A 20064-2024 FSC-klagomål mail.docx", "A 20064-2024")</f>
        <v/>
      </c>
      <c r="X408">
        <f>HYPERLINK("https://klasma.github.io/Logging_1984/tillsyn/A 20064-2024 tillsynsbegäran.docx", "A 20064-2024")</f>
        <v/>
      </c>
      <c r="Y408">
        <f>HYPERLINK("https://klasma.github.io/Logging_1984/tillsynsmail/A 20064-2024 tillsynsbegäran mail.docx", "A 20064-2024")</f>
        <v/>
      </c>
    </row>
    <row r="409" ht="15" customHeight="1">
      <c r="A409" t="inlineStr">
        <is>
          <t>A 21576-2024</t>
        </is>
      </c>
      <c r="B409" s="1" t="n">
        <v>45441</v>
      </c>
      <c r="C409" s="1" t="n">
        <v>45821</v>
      </c>
      <c r="D409" t="inlineStr">
        <is>
          <t>VÄSTMANLANDS LÄN</t>
        </is>
      </c>
      <c r="E409" t="inlineStr">
        <is>
          <t>KÖPING</t>
        </is>
      </c>
      <c r="F409" t="inlineStr">
        <is>
          <t>Sveaskog</t>
        </is>
      </c>
      <c r="G409" t="n">
        <v>6.1</v>
      </c>
      <c r="H409" t="n">
        <v>0</v>
      </c>
      <c r="I409" t="n">
        <v>0</v>
      </c>
      <c r="J409" t="n">
        <v>1</v>
      </c>
      <c r="K409" t="n">
        <v>0</v>
      </c>
      <c r="L409" t="n">
        <v>0</v>
      </c>
      <c r="M409" t="n">
        <v>0</v>
      </c>
      <c r="N409" t="n">
        <v>0</v>
      </c>
      <c r="O409" t="n">
        <v>1</v>
      </c>
      <c r="P409" t="n">
        <v>0</v>
      </c>
      <c r="Q409" t="n">
        <v>1</v>
      </c>
      <c r="R409" s="2" t="inlineStr">
        <is>
          <t>Motaggsvamp</t>
        </is>
      </c>
      <c r="S409">
        <f>HYPERLINK("https://klasma.github.io/Logging_1983/artfynd/A 21576-2024 artfynd.xlsx", "A 21576-2024")</f>
        <v/>
      </c>
      <c r="T409">
        <f>HYPERLINK("https://klasma.github.io/Logging_1983/kartor/A 21576-2024 karta.png", "A 21576-2024")</f>
        <v/>
      </c>
      <c r="V409">
        <f>HYPERLINK("https://klasma.github.io/Logging_1983/klagomål/A 21576-2024 FSC-klagomål.docx", "A 21576-2024")</f>
        <v/>
      </c>
      <c r="W409">
        <f>HYPERLINK("https://klasma.github.io/Logging_1983/klagomålsmail/A 21576-2024 FSC-klagomål mail.docx", "A 21576-2024")</f>
        <v/>
      </c>
      <c r="X409">
        <f>HYPERLINK("https://klasma.github.io/Logging_1983/tillsyn/A 21576-2024 tillsynsbegäran.docx", "A 21576-2024")</f>
        <v/>
      </c>
      <c r="Y409">
        <f>HYPERLINK("https://klasma.github.io/Logging_1983/tillsynsmail/A 21576-2024 tillsynsbegäran mail.docx", "A 21576-2024")</f>
        <v/>
      </c>
    </row>
    <row r="410" ht="15" customHeight="1">
      <c r="A410" t="inlineStr">
        <is>
          <t>A 21574-2024</t>
        </is>
      </c>
      <c r="B410" s="1" t="n">
        <v>45441</v>
      </c>
      <c r="C410" s="1" t="n">
        <v>45821</v>
      </c>
      <c r="D410" t="inlineStr">
        <is>
          <t>VÄSTMANLANDS LÄN</t>
        </is>
      </c>
      <c r="E410" t="inlineStr">
        <is>
          <t>SKINNSKATTEBERG</t>
        </is>
      </c>
      <c r="F410" t="inlineStr">
        <is>
          <t>Sveaskog</t>
        </is>
      </c>
      <c r="G410" t="n">
        <v>2.2</v>
      </c>
      <c r="H410" t="n">
        <v>0</v>
      </c>
      <c r="I410" t="n">
        <v>0</v>
      </c>
      <c r="J410" t="n">
        <v>1</v>
      </c>
      <c r="K410" t="n">
        <v>0</v>
      </c>
      <c r="L410" t="n">
        <v>0</v>
      </c>
      <c r="M410" t="n">
        <v>0</v>
      </c>
      <c r="N410" t="n">
        <v>0</v>
      </c>
      <c r="O410" t="n">
        <v>1</v>
      </c>
      <c r="P410" t="n">
        <v>0</v>
      </c>
      <c r="Q410" t="n">
        <v>1</v>
      </c>
      <c r="R410" s="2" t="inlineStr">
        <is>
          <t>Vedskivlav</t>
        </is>
      </c>
      <c r="S410">
        <f>HYPERLINK("https://klasma.github.io/Logging_1904/artfynd/A 21574-2024 artfynd.xlsx", "A 21574-2024")</f>
        <v/>
      </c>
      <c r="T410">
        <f>HYPERLINK("https://klasma.github.io/Logging_1904/kartor/A 21574-2024 karta.png", "A 21574-2024")</f>
        <v/>
      </c>
      <c r="V410">
        <f>HYPERLINK("https://klasma.github.io/Logging_1904/klagomål/A 21574-2024 FSC-klagomål.docx", "A 21574-2024")</f>
        <v/>
      </c>
      <c r="W410">
        <f>HYPERLINK("https://klasma.github.io/Logging_1904/klagomålsmail/A 21574-2024 FSC-klagomål mail.docx", "A 21574-2024")</f>
        <v/>
      </c>
      <c r="X410">
        <f>HYPERLINK("https://klasma.github.io/Logging_1904/tillsyn/A 21574-2024 tillsynsbegäran.docx", "A 21574-2024")</f>
        <v/>
      </c>
      <c r="Y410">
        <f>HYPERLINK("https://klasma.github.io/Logging_1904/tillsynsmail/A 21574-2024 tillsynsbegäran mail.docx", "A 21574-2024")</f>
        <v/>
      </c>
    </row>
    <row r="411" ht="15" customHeight="1">
      <c r="A411" t="inlineStr">
        <is>
          <t>A 22350-2024</t>
        </is>
      </c>
      <c r="B411" s="1" t="n">
        <v>45446</v>
      </c>
      <c r="C411" s="1" t="n">
        <v>45821</v>
      </c>
      <c r="D411" t="inlineStr">
        <is>
          <t>VÄSTMANLANDS LÄN</t>
        </is>
      </c>
      <c r="E411" t="inlineStr">
        <is>
          <t>SALA</t>
        </is>
      </c>
      <c r="G411" t="n">
        <v>1.2</v>
      </c>
      <c r="H411" t="n">
        <v>1</v>
      </c>
      <c r="I411" t="n">
        <v>0</v>
      </c>
      <c r="J411" t="n">
        <v>0</v>
      </c>
      <c r="K411" t="n">
        <v>0</v>
      </c>
      <c r="L411" t="n">
        <v>0</v>
      </c>
      <c r="M411" t="n">
        <v>0</v>
      </c>
      <c r="N411" t="n">
        <v>0</v>
      </c>
      <c r="O411" t="n">
        <v>0</v>
      </c>
      <c r="P411" t="n">
        <v>0</v>
      </c>
      <c r="Q411" t="n">
        <v>1</v>
      </c>
      <c r="R411" s="2" t="inlineStr">
        <is>
          <t>Blåsippa</t>
        </is>
      </c>
      <c r="S411">
        <f>HYPERLINK("https://klasma.github.io/Logging_1981/artfynd/A 22350-2024 artfynd.xlsx", "A 22350-2024")</f>
        <v/>
      </c>
      <c r="T411">
        <f>HYPERLINK("https://klasma.github.io/Logging_1981/kartor/A 22350-2024 karta.png", "A 22350-2024")</f>
        <v/>
      </c>
      <c r="V411">
        <f>HYPERLINK("https://klasma.github.io/Logging_1981/klagomål/A 22350-2024 FSC-klagomål.docx", "A 22350-2024")</f>
        <v/>
      </c>
      <c r="W411">
        <f>HYPERLINK("https://klasma.github.io/Logging_1981/klagomålsmail/A 22350-2024 FSC-klagomål mail.docx", "A 22350-2024")</f>
        <v/>
      </c>
      <c r="X411">
        <f>HYPERLINK("https://klasma.github.io/Logging_1981/tillsyn/A 22350-2024 tillsynsbegäran.docx", "A 22350-2024")</f>
        <v/>
      </c>
      <c r="Y411">
        <f>HYPERLINK("https://klasma.github.io/Logging_1981/tillsynsmail/A 22350-2024 tillsynsbegäran mail.docx", "A 22350-2024")</f>
        <v/>
      </c>
    </row>
    <row r="412" ht="15" customHeight="1">
      <c r="A412" t="inlineStr">
        <is>
          <t>A 23444-2024</t>
        </is>
      </c>
      <c r="B412" s="1" t="n">
        <v>45453</v>
      </c>
      <c r="C412" s="1" t="n">
        <v>45821</v>
      </c>
      <c r="D412" t="inlineStr">
        <is>
          <t>VÄSTMANLANDS LÄN</t>
        </is>
      </c>
      <c r="E412" t="inlineStr">
        <is>
          <t>VÄSTERÅS</t>
        </is>
      </c>
      <c r="G412" t="n">
        <v>4.5</v>
      </c>
      <c r="H412" t="n">
        <v>0</v>
      </c>
      <c r="I412" t="n">
        <v>0</v>
      </c>
      <c r="J412" t="n">
        <v>1</v>
      </c>
      <c r="K412" t="n">
        <v>0</v>
      </c>
      <c r="L412" t="n">
        <v>0</v>
      </c>
      <c r="M412" t="n">
        <v>0</v>
      </c>
      <c r="N412" t="n">
        <v>0</v>
      </c>
      <c r="O412" t="n">
        <v>1</v>
      </c>
      <c r="P412" t="n">
        <v>0</v>
      </c>
      <c r="Q412" t="n">
        <v>1</v>
      </c>
      <c r="R412" s="2" t="inlineStr">
        <is>
          <t>Svart taggsvamp</t>
        </is>
      </c>
      <c r="S412">
        <f>HYPERLINK("https://klasma.github.io/Logging_1980/artfynd/A 23444-2024 artfynd.xlsx", "A 23444-2024")</f>
        <v/>
      </c>
      <c r="T412">
        <f>HYPERLINK("https://klasma.github.io/Logging_1980/kartor/A 23444-2024 karta.png", "A 23444-2024")</f>
        <v/>
      </c>
      <c r="V412">
        <f>HYPERLINK("https://klasma.github.io/Logging_1980/klagomål/A 23444-2024 FSC-klagomål.docx", "A 23444-2024")</f>
        <v/>
      </c>
      <c r="W412">
        <f>HYPERLINK("https://klasma.github.io/Logging_1980/klagomålsmail/A 23444-2024 FSC-klagomål mail.docx", "A 23444-2024")</f>
        <v/>
      </c>
      <c r="X412">
        <f>HYPERLINK("https://klasma.github.io/Logging_1980/tillsyn/A 23444-2024 tillsynsbegäran.docx", "A 23444-2024")</f>
        <v/>
      </c>
      <c r="Y412">
        <f>HYPERLINK("https://klasma.github.io/Logging_1980/tillsynsmail/A 23444-2024 tillsynsbegäran mail.docx", "A 23444-2024")</f>
        <v/>
      </c>
    </row>
    <row r="413" ht="15" customHeight="1">
      <c r="A413" t="inlineStr">
        <is>
          <t>A 24133-2024</t>
        </is>
      </c>
      <c r="B413" s="1" t="n">
        <v>45456</v>
      </c>
      <c r="C413" s="1" t="n">
        <v>45821</v>
      </c>
      <c r="D413" t="inlineStr">
        <is>
          <t>VÄSTMANLANDS LÄN</t>
        </is>
      </c>
      <c r="E413" t="inlineStr">
        <is>
          <t>SKINNSKATTEBERG</t>
        </is>
      </c>
      <c r="F413" t="inlineStr">
        <is>
          <t>Sveaskog</t>
        </is>
      </c>
      <c r="G413" t="n">
        <v>4.2</v>
      </c>
      <c r="H413" t="n">
        <v>1</v>
      </c>
      <c r="I413" t="n">
        <v>0</v>
      </c>
      <c r="J413" t="n">
        <v>1</v>
      </c>
      <c r="K413" t="n">
        <v>0</v>
      </c>
      <c r="L413" t="n">
        <v>0</v>
      </c>
      <c r="M413" t="n">
        <v>0</v>
      </c>
      <c r="N413" t="n">
        <v>0</v>
      </c>
      <c r="O413" t="n">
        <v>1</v>
      </c>
      <c r="P413" t="n">
        <v>0</v>
      </c>
      <c r="Q413" t="n">
        <v>1</v>
      </c>
      <c r="R413" s="2" t="inlineStr">
        <is>
          <t>Talltita</t>
        </is>
      </c>
      <c r="S413">
        <f>HYPERLINK("https://klasma.github.io/Logging_1904/artfynd/A 24133-2024 artfynd.xlsx", "A 24133-2024")</f>
        <v/>
      </c>
      <c r="T413">
        <f>HYPERLINK("https://klasma.github.io/Logging_1904/kartor/A 24133-2024 karta.png", "A 24133-2024")</f>
        <v/>
      </c>
      <c r="V413">
        <f>HYPERLINK("https://klasma.github.io/Logging_1904/klagomål/A 24133-2024 FSC-klagomål.docx", "A 24133-2024")</f>
        <v/>
      </c>
      <c r="W413">
        <f>HYPERLINK("https://klasma.github.io/Logging_1904/klagomålsmail/A 24133-2024 FSC-klagomål mail.docx", "A 24133-2024")</f>
        <v/>
      </c>
      <c r="X413">
        <f>HYPERLINK("https://klasma.github.io/Logging_1904/tillsyn/A 24133-2024 tillsynsbegäran.docx", "A 24133-2024")</f>
        <v/>
      </c>
      <c r="Y413">
        <f>HYPERLINK("https://klasma.github.io/Logging_1904/tillsynsmail/A 24133-2024 tillsynsbegäran mail.docx", "A 24133-2024")</f>
        <v/>
      </c>
      <c r="Z413">
        <f>HYPERLINK("https://klasma.github.io/Logging_1904/fåglar/A 24133-2024 prioriterade fågelarter.docx", "A 24133-2024")</f>
        <v/>
      </c>
    </row>
    <row r="414" ht="15" customHeight="1">
      <c r="A414" t="inlineStr">
        <is>
          <t>A 25583-2024</t>
        </is>
      </c>
      <c r="B414" s="1" t="n">
        <v>45463</v>
      </c>
      <c r="C414" s="1" t="n">
        <v>45821</v>
      </c>
      <c r="D414" t="inlineStr">
        <is>
          <t>VÄSTMANLANDS LÄN</t>
        </is>
      </c>
      <c r="E414" t="inlineStr">
        <is>
          <t>SURAHAMMAR</t>
        </is>
      </c>
      <c r="F414" t="inlineStr">
        <is>
          <t>Bergvik skog väst AB</t>
        </is>
      </c>
      <c r="G414" t="n">
        <v>7.8</v>
      </c>
      <c r="H414" t="n">
        <v>1</v>
      </c>
      <c r="I414" t="n">
        <v>0</v>
      </c>
      <c r="J414" t="n">
        <v>0</v>
      </c>
      <c r="K414" t="n">
        <v>0</v>
      </c>
      <c r="L414" t="n">
        <v>0</v>
      </c>
      <c r="M414" t="n">
        <v>0</v>
      </c>
      <c r="N414" t="n">
        <v>0</v>
      </c>
      <c r="O414" t="n">
        <v>0</v>
      </c>
      <c r="P414" t="n">
        <v>0</v>
      </c>
      <c r="Q414" t="n">
        <v>1</v>
      </c>
      <c r="R414" s="2" t="inlineStr">
        <is>
          <t>Blåsippa</t>
        </is>
      </c>
      <c r="S414">
        <f>HYPERLINK("https://klasma.github.io/Logging_1907/artfynd/A 25583-2024 artfynd.xlsx", "A 25583-2024")</f>
        <v/>
      </c>
      <c r="T414">
        <f>HYPERLINK("https://klasma.github.io/Logging_1907/kartor/A 25583-2024 karta.png", "A 25583-2024")</f>
        <v/>
      </c>
      <c r="V414">
        <f>HYPERLINK("https://klasma.github.io/Logging_1907/klagomål/A 25583-2024 FSC-klagomål.docx", "A 25583-2024")</f>
        <v/>
      </c>
      <c r="W414">
        <f>HYPERLINK("https://klasma.github.io/Logging_1907/klagomålsmail/A 25583-2024 FSC-klagomål mail.docx", "A 25583-2024")</f>
        <v/>
      </c>
      <c r="X414">
        <f>HYPERLINK("https://klasma.github.io/Logging_1907/tillsyn/A 25583-2024 tillsynsbegäran.docx", "A 25583-2024")</f>
        <v/>
      </c>
      <c r="Y414">
        <f>HYPERLINK("https://klasma.github.io/Logging_1907/tillsynsmail/A 25583-2024 tillsynsbegäran mail.docx", "A 25583-2024")</f>
        <v/>
      </c>
    </row>
    <row r="415" ht="15" customHeight="1">
      <c r="A415" t="inlineStr">
        <is>
          <t>A 27591-2024</t>
        </is>
      </c>
      <c r="B415" s="1" t="n">
        <v>45474</v>
      </c>
      <c r="C415" s="1" t="n">
        <v>45821</v>
      </c>
      <c r="D415" t="inlineStr">
        <is>
          <t>VÄSTMANLANDS LÄN</t>
        </is>
      </c>
      <c r="E415" t="inlineStr">
        <is>
          <t>SALA</t>
        </is>
      </c>
      <c r="G415" t="n">
        <v>5.1</v>
      </c>
      <c r="H415" t="n">
        <v>1</v>
      </c>
      <c r="I415" t="n">
        <v>0</v>
      </c>
      <c r="J415" t="n">
        <v>1</v>
      </c>
      <c r="K415" t="n">
        <v>0</v>
      </c>
      <c r="L415" t="n">
        <v>0</v>
      </c>
      <c r="M415" t="n">
        <v>0</v>
      </c>
      <c r="N415" t="n">
        <v>0</v>
      </c>
      <c r="O415" t="n">
        <v>1</v>
      </c>
      <c r="P415" t="n">
        <v>0</v>
      </c>
      <c r="Q415" t="n">
        <v>1</v>
      </c>
      <c r="R415" s="2" t="inlineStr">
        <is>
          <t>Spillkråka</t>
        </is>
      </c>
      <c r="S415">
        <f>HYPERLINK("https://klasma.github.io/Logging_1981/artfynd/A 27591-2024 artfynd.xlsx", "A 27591-2024")</f>
        <v/>
      </c>
      <c r="T415">
        <f>HYPERLINK("https://klasma.github.io/Logging_1981/kartor/A 27591-2024 karta.png", "A 27591-2024")</f>
        <v/>
      </c>
      <c r="V415">
        <f>HYPERLINK("https://klasma.github.io/Logging_1981/klagomål/A 27591-2024 FSC-klagomål.docx", "A 27591-2024")</f>
        <v/>
      </c>
      <c r="W415">
        <f>HYPERLINK("https://klasma.github.io/Logging_1981/klagomålsmail/A 27591-2024 FSC-klagomål mail.docx", "A 27591-2024")</f>
        <v/>
      </c>
      <c r="X415">
        <f>HYPERLINK("https://klasma.github.io/Logging_1981/tillsyn/A 27591-2024 tillsynsbegäran.docx", "A 27591-2024")</f>
        <v/>
      </c>
      <c r="Y415">
        <f>HYPERLINK("https://klasma.github.io/Logging_1981/tillsynsmail/A 27591-2024 tillsynsbegäran mail.docx", "A 27591-2024")</f>
        <v/>
      </c>
      <c r="Z415">
        <f>HYPERLINK("https://klasma.github.io/Logging_1981/fåglar/A 27591-2024 prioriterade fågelarter.docx", "A 27591-2024")</f>
        <v/>
      </c>
    </row>
    <row r="416" ht="15" customHeight="1">
      <c r="A416" t="inlineStr">
        <is>
          <t>A 27957-2024</t>
        </is>
      </c>
      <c r="B416" s="1" t="n">
        <v>45476</v>
      </c>
      <c r="C416" s="1" t="n">
        <v>45821</v>
      </c>
      <c r="D416" t="inlineStr">
        <is>
          <t>VÄSTMANLANDS LÄN</t>
        </is>
      </c>
      <c r="E416" t="inlineStr">
        <is>
          <t>SURAHAMMAR</t>
        </is>
      </c>
      <c r="F416" t="inlineStr">
        <is>
          <t>Sveaskog</t>
        </is>
      </c>
      <c r="G416" t="n">
        <v>14.4</v>
      </c>
      <c r="H416" t="n">
        <v>1</v>
      </c>
      <c r="I416" t="n">
        <v>0</v>
      </c>
      <c r="J416" t="n">
        <v>0</v>
      </c>
      <c r="K416" t="n">
        <v>0</v>
      </c>
      <c r="L416" t="n">
        <v>0</v>
      </c>
      <c r="M416" t="n">
        <v>0</v>
      </c>
      <c r="N416" t="n">
        <v>0</v>
      </c>
      <c r="O416" t="n">
        <v>0</v>
      </c>
      <c r="P416" t="n">
        <v>0</v>
      </c>
      <c r="Q416" t="n">
        <v>1</v>
      </c>
      <c r="R416" s="2" t="inlineStr">
        <is>
          <t>Fläcknycklar</t>
        </is>
      </c>
      <c r="S416">
        <f>HYPERLINK("https://klasma.github.io/Logging_1907/artfynd/A 27957-2024 artfynd.xlsx", "A 27957-2024")</f>
        <v/>
      </c>
      <c r="T416">
        <f>HYPERLINK("https://klasma.github.io/Logging_1907/kartor/A 27957-2024 karta.png", "A 27957-2024")</f>
        <v/>
      </c>
      <c r="V416">
        <f>HYPERLINK("https://klasma.github.io/Logging_1907/klagomål/A 27957-2024 FSC-klagomål.docx", "A 27957-2024")</f>
        <v/>
      </c>
      <c r="W416">
        <f>HYPERLINK("https://klasma.github.io/Logging_1907/klagomålsmail/A 27957-2024 FSC-klagomål mail.docx", "A 27957-2024")</f>
        <v/>
      </c>
      <c r="X416">
        <f>HYPERLINK("https://klasma.github.io/Logging_1907/tillsyn/A 27957-2024 tillsynsbegäran.docx", "A 27957-2024")</f>
        <v/>
      </c>
      <c r="Y416">
        <f>HYPERLINK("https://klasma.github.io/Logging_1907/tillsynsmail/A 27957-2024 tillsynsbegäran mail.docx", "A 27957-2024")</f>
        <v/>
      </c>
    </row>
    <row r="417" ht="15" customHeight="1">
      <c r="A417" t="inlineStr">
        <is>
          <t>A 29156-2024</t>
        </is>
      </c>
      <c r="B417" s="1" t="n">
        <v>45482</v>
      </c>
      <c r="C417" s="1" t="n">
        <v>45821</v>
      </c>
      <c r="D417" t="inlineStr">
        <is>
          <t>VÄSTMANLANDS LÄN</t>
        </is>
      </c>
      <c r="E417" t="inlineStr">
        <is>
          <t>SURAHAMMAR</t>
        </is>
      </c>
      <c r="F417" t="inlineStr">
        <is>
          <t>Sveaskog</t>
        </is>
      </c>
      <c r="G417" t="n">
        <v>2.6</v>
      </c>
      <c r="H417" t="n">
        <v>0</v>
      </c>
      <c r="I417" t="n">
        <v>1</v>
      </c>
      <c r="J417" t="n">
        <v>0</v>
      </c>
      <c r="K417" t="n">
        <v>0</v>
      </c>
      <c r="L417" t="n">
        <v>0</v>
      </c>
      <c r="M417" t="n">
        <v>0</v>
      </c>
      <c r="N417" t="n">
        <v>0</v>
      </c>
      <c r="O417" t="n">
        <v>0</v>
      </c>
      <c r="P417" t="n">
        <v>0</v>
      </c>
      <c r="Q417" t="n">
        <v>1</v>
      </c>
      <c r="R417" s="2" t="inlineStr">
        <is>
          <t>Fjällig taggsvamp s.str.</t>
        </is>
      </c>
      <c r="S417">
        <f>HYPERLINK("https://klasma.github.io/Logging_1907/artfynd/A 29156-2024 artfynd.xlsx", "A 29156-2024")</f>
        <v/>
      </c>
      <c r="T417">
        <f>HYPERLINK("https://klasma.github.io/Logging_1907/kartor/A 29156-2024 karta.png", "A 29156-2024")</f>
        <v/>
      </c>
      <c r="V417">
        <f>HYPERLINK("https://klasma.github.io/Logging_1907/klagomål/A 29156-2024 FSC-klagomål.docx", "A 29156-2024")</f>
        <v/>
      </c>
      <c r="W417">
        <f>HYPERLINK("https://klasma.github.io/Logging_1907/klagomålsmail/A 29156-2024 FSC-klagomål mail.docx", "A 29156-2024")</f>
        <v/>
      </c>
      <c r="X417">
        <f>HYPERLINK("https://klasma.github.io/Logging_1907/tillsyn/A 29156-2024 tillsynsbegäran.docx", "A 29156-2024")</f>
        <v/>
      </c>
      <c r="Y417">
        <f>HYPERLINK("https://klasma.github.io/Logging_1907/tillsynsmail/A 29156-2024 tillsynsbegäran mail.docx", "A 29156-2024")</f>
        <v/>
      </c>
    </row>
    <row r="418" ht="15" customHeight="1">
      <c r="A418" t="inlineStr">
        <is>
          <t>A 31176-2024</t>
        </is>
      </c>
      <c r="B418" s="1" t="n">
        <v>45503</v>
      </c>
      <c r="C418" s="1" t="n">
        <v>45821</v>
      </c>
      <c r="D418" t="inlineStr">
        <is>
          <t>VÄSTMANLANDS LÄN</t>
        </is>
      </c>
      <c r="E418" t="inlineStr">
        <is>
          <t>SURAHAMMAR</t>
        </is>
      </c>
      <c r="F418" t="inlineStr">
        <is>
          <t>Allmännings- och besparingsskogar</t>
        </is>
      </c>
      <c r="G418" t="n">
        <v>10.7</v>
      </c>
      <c r="H418" t="n">
        <v>0</v>
      </c>
      <c r="I418" t="n">
        <v>0</v>
      </c>
      <c r="J418" t="n">
        <v>1</v>
      </c>
      <c r="K418" t="n">
        <v>0</v>
      </c>
      <c r="L418" t="n">
        <v>0</v>
      </c>
      <c r="M418" t="n">
        <v>0</v>
      </c>
      <c r="N418" t="n">
        <v>0</v>
      </c>
      <c r="O418" t="n">
        <v>1</v>
      </c>
      <c r="P418" t="n">
        <v>0</v>
      </c>
      <c r="Q418" t="n">
        <v>1</v>
      </c>
      <c r="R418" s="2" t="inlineStr">
        <is>
          <t>Doftskinn</t>
        </is>
      </c>
      <c r="S418">
        <f>HYPERLINK("https://klasma.github.io/Logging_1907/artfynd/A 31176-2024 artfynd.xlsx", "A 31176-2024")</f>
        <v/>
      </c>
      <c r="T418">
        <f>HYPERLINK("https://klasma.github.io/Logging_1907/kartor/A 31176-2024 karta.png", "A 31176-2024")</f>
        <v/>
      </c>
      <c r="V418">
        <f>HYPERLINK("https://klasma.github.io/Logging_1907/klagomål/A 31176-2024 FSC-klagomål.docx", "A 31176-2024")</f>
        <v/>
      </c>
      <c r="W418">
        <f>HYPERLINK("https://klasma.github.io/Logging_1907/klagomålsmail/A 31176-2024 FSC-klagomål mail.docx", "A 31176-2024")</f>
        <v/>
      </c>
      <c r="X418">
        <f>HYPERLINK("https://klasma.github.io/Logging_1907/tillsyn/A 31176-2024 tillsynsbegäran.docx", "A 31176-2024")</f>
        <v/>
      </c>
      <c r="Y418">
        <f>HYPERLINK("https://klasma.github.io/Logging_1907/tillsynsmail/A 31176-2024 tillsynsbegäran mail.docx", "A 31176-2024")</f>
        <v/>
      </c>
    </row>
    <row r="419" ht="15" customHeight="1">
      <c r="A419" t="inlineStr">
        <is>
          <t>A 31263-2024</t>
        </is>
      </c>
      <c r="B419" s="1" t="n">
        <v>45503</v>
      </c>
      <c r="C419" s="1" t="n">
        <v>45821</v>
      </c>
      <c r="D419" t="inlineStr">
        <is>
          <t>VÄSTMANLANDS LÄN</t>
        </is>
      </c>
      <c r="E419" t="inlineStr">
        <is>
          <t>KÖPING</t>
        </is>
      </c>
      <c r="G419" t="n">
        <v>12.4</v>
      </c>
      <c r="H419" t="n">
        <v>0</v>
      </c>
      <c r="I419" t="n">
        <v>0</v>
      </c>
      <c r="J419" t="n">
        <v>1</v>
      </c>
      <c r="K419" t="n">
        <v>0</v>
      </c>
      <c r="L419" t="n">
        <v>0</v>
      </c>
      <c r="M419" t="n">
        <v>0</v>
      </c>
      <c r="N419" t="n">
        <v>0</v>
      </c>
      <c r="O419" t="n">
        <v>1</v>
      </c>
      <c r="P419" t="n">
        <v>0</v>
      </c>
      <c r="Q419" t="n">
        <v>1</v>
      </c>
      <c r="R419" s="2" t="inlineStr">
        <is>
          <t>Mindre bastardsvärmare</t>
        </is>
      </c>
      <c r="S419">
        <f>HYPERLINK("https://klasma.github.io/Logging_1983/artfynd/A 31263-2024 artfynd.xlsx", "A 31263-2024")</f>
        <v/>
      </c>
      <c r="T419">
        <f>HYPERLINK("https://klasma.github.io/Logging_1983/kartor/A 31263-2024 karta.png", "A 31263-2024")</f>
        <v/>
      </c>
      <c r="V419">
        <f>HYPERLINK("https://klasma.github.io/Logging_1983/klagomål/A 31263-2024 FSC-klagomål.docx", "A 31263-2024")</f>
        <v/>
      </c>
      <c r="W419">
        <f>HYPERLINK("https://klasma.github.io/Logging_1983/klagomålsmail/A 31263-2024 FSC-klagomål mail.docx", "A 31263-2024")</f>
        <v/>
      </c>
      <c r="X419">
        <f>HYPERLINK("https://klasma.github.io/Logging_1983/tillsyn/A 31263-2024 tillsynsbegäran.docx", "A 31263-2024")</f>
        <v/>
      </c>
      <c r="Y419">
        <f>HYPERLINK("https://klasma.github.io/Logging_1983/tillsynsmail/A 31263-2024 tillsynsbegäran mail.docx", "A 31263-2024")</f>
        <v/>
      </c>
    </row>
    <row r="420" ht="15" customHeight="1">
      <c r="A420" t="inlineStr">
        <is>
          <t>A 33231-2024</t>
        </is>
      </c>
      <c r="B420" s="1" t="n">
        <v>45518</v>
      </c>
      <c r="C420" s="1" t="n">
        <v>45821</v>
      </c>
      <c r="D420" t="inlineStr">
        <is>
          <t>VÄSTMANLANDS LÄN</t>
        </is>
      </c>
      <c r="E420" t="inlineStr">
        <is>
          <t>SURAHAMMAR</t>
        </is>
      </c>
      <c r="F420" t="inlineStr">
        <is>
          <t>Bergvik skog väst AB</t>
        </is>
      </c>
      <c r="G420" t="n">
        <v>1.5</v>
      </c>
      <c r="H420" t="n">
        <v>1</v>
      </c>
      <c r="I420" t="n">
        <v>0</v>
      </c>
      <c r="J420" t="n">
        <v>0</v>
      </c>
      <c r="K420" t="n">
        <v>0</v>
      </c>
      <c r="L420" t="n">
        <v>0</v>
      </c>
      <c r="M420" t="n">
        <v>0</v>
      </c>
      <c r="N420" t="n">
        <v>0</v>
      </c>
      <c r="O420" t="n">
        <v>0</v>
      </c>
      <c r="P420" t="n">
        <v>0</v>
      </c>
      <c r="Q420" t="n">
        <v>1</v>
      </c>
      <c r="R420" s="2" t="inlineStr">
        <is>
          <t>Mindre vattensalamander</t>
        </is>
      </c>
      <c r="S420">
        <f>HYPERLINK("https://klasma.github.io/Logging_1907/artfynd/A 33231-2024 artfynd.xlsx", "A 33231-2024")</f>
        <v/>
      </c>
      <c r="T420">
        <f>HYPERLINK("https://klasma.github.io/Logging_1907/kartor/A 33231-2024 karta.png", "A 33231-2024")</f>
        <v/>
      </c>
      <c r="V420">
        <f>HYPERLINK("https://klasma.github.io/Logging_1907/klagomål/A 33231-2024 FSC-klagomål.docx", "A 33231-2024")</f>
        <v/>
      </c>
      <c r="W420">
        <f>HYPERLINK("https://klasma.github.io/Logging_1907/klagomålsmail/A 33231-2024 FSC-klagomål mail.docx", "A 33231-2024")</f>
        <v/>
      </c>
      <c r="X420">
        <f>HYPERLINK("https://klasma.github.io/Logging_1907/tillsyn/A 33231-2024 tillsynsbegäran.docx", "A 33231-2024")</f>
        <v/>
      </c>
      <c r="Y420">
        <f>HYPERLINK("https://klasma.github.io/Logging_1907/tillsynsmail/A 33231-2024 tillsynsbegäran mail.docx", "A 33231-2024")</f>
        <v/>
      </c>
    </row>
    <row r="421" ht="15" customHeight="1">
      <c r="A421" t="inlineStr">
        <is>
          <t>A 36596-2024</t>
        </is>
      </c>
      <c r="B421" s="1" t="n">
        <v>45537</v>
      </c>
      <c r="C421" s="1" t="n">
        <v>45821</v>
      </c>
      <c r="D421" t="inlineStr">
        <is>
          <t>VÄSTMANLANDS LÄN</t>
        </is>
      </c>
      <c r="E421" t="inlineStr">
        <is>
          <t>SKINNSKATTEBERG</t>
        </is>
      </c>
      <c r="F421" t="inlineStr">
        <is>
          <t>Sveaskog</t>
        </is>
      </c>
      <c r="G421" t="n">
        <v>0.8</v>
      </c>
      <c r="H421" t="n">
        <v>0</v>
      </c>
      <c r="I421" t="n">
        <v>0</v>
      </c>
      <c r="J421" t="n">
        <v>0</v>
      </c>
      <c r="K421" t="n">
        <v>1</v>
      </c>
      <c r="L421" t="n">
        <v>0</v>
      </c>
      <c r="M421" t="n">
        <v>0</v>
      </c>
      <c r="N421" t="n">
        <v>0</v>
      </c>
      <c r="O421" t="n">
        <v>1</v>
      </c>
      <c r="P421" t="n">
        <v>1</v>
      </c>
      <c r="Q421" t="n">
        <v>1</v>
      </c>
      <c r="R421" s="2" t="inlineStr">
        <is>
          <t>Lakritsmusseron</t>
        </is>
      </c>
      <c r="S421">
        <f>HYPERLINK("https://klasma.github.io/Logging_1904/artfynd/A 36596-2024 artfynd.xlsx", "A 36596-2024")</f>
        <v/>
      </c>
      <c r="T421">
        <f>HYPERLINK("https://klasma.github.io/Logging_1904/kartor/A 36596-2024 karta.png", "A 36596-2024")</f>
        <v/>
      </c>
      <c r="V421">
        <f>HYPERLINK("https://klasma.github.io/Logging_1904/klagomål/A 36596-2024 FSC-klagomål.docx", "A 36596-2024")</f>
        <v/>
      </c>
      <c r="W421">
        <f>HYPERLINK("https://klasma.github.io/Logging_1904/klagomålsmail/A 36596-2024 FSC-klagomål mail.docx", "A 36596-2024")</f>
        <v/>
      </c>
      <c r="X421">
        <f>HYPERLINK("https://klasma.github.io/Logging_1904/tillsyn/A 36596-2024 tillsynsbegäran.docx", "A 36596-2024")</f>
        <v/>
      </c>
      <c r="Y421">
        <f>HYPERLINK("https://klasma.github.io/Logging_1904/tillsynsmail/A 36596-2024 tillsynsbegäran mail.docx", "A 36596-2024")</f>
        <v/>
      </c>
    </row>
    <row r="422" ht="15" customHeight="1">
      <c r="A422" t="inlineStr">
        <is>
          <t>A 36595-2024</t>
        </is>
      </c>
      <c r="B422" s="1" t="n">
        <v>45537</v>
      </c>
      <c r="C422" s="1" t="n">
        <v>45821</v>
      </c>
      <c r="D422" t="inlineStr">
        <is>
          <t>VÄSTMANLANDS LÄN</t>
        </is>
      </c>
      <c r="E422" t="inlineStr">
        <is>
          <t>SKINNSKATTEBERG</t>
        </is>
      </c>
      <c r="F422" t="inlineStr">
        <is>
          <t>Sveaskog</t>
        </is>
      </c>
      <c r="G422" t="n">
        <v>1</v>
      </c>
      <c r="H422" t="n">
        <v>0</v>
      </c>
      <c r="I422" t="n">
        <v>0</v>
      </c>
      <c r="J422" t="n">
        <v>0</v>
      </c>
      <c r="K422" t="n">
        <v>1</v>
      </c>
      <c r="L422" t="n">
        <v>0</v>
      </c>
      <c r="M422" t="n">
        <v>0</v>
      </c>
      <c r="N422" t="n">
        <v>0</v>
      </c>
      <c r="O422" t="n">
        <v>1</v>
      </c>
      <c r="P422" t="n">
        <v>1</v>
      </c>
      <c r="Q422" t="n">
        <v>1</v>
      </c>
      <c r="R422" s="2" t="inlineStr">
        <is>
          <t>Lammticka</t>
        </is>
      </c>
      <c r="S422">
        <f>HYPERLINK("https://klasma.github.io/Logging_1904/artfynd/A 36595-2024 artfynd.xlsx", "A 36595-2024")</f>
        <v/>
      </c>
      <c r="T422">
        <f>HYPERLINK("https://klasma.github.io/Logging_1904/kartor/A 36595-2024 karta.png", "A 36595-2024")</f>
        <v/>
      </c>
      <c r="U422">
        <f>HYPERLINK("https://klasma.github.io/Logging_1904/knärot/A 36595-2024 karta knärot.png", "A 36595-2024")</f>
        <v/>
      </c>
      <c r="V422">
        <f>HYPERLINK("https://klasma.github.io/Logging_1904/klagomål/A 36595-2024 FSC-klagomål.docx", "A 36595-2024")</f>
        <v/>
      </c>
      <c r="W422">
        <f>HYPERLINK("https://klasma.github.io/Logging_1904/klagomålsmail/A 36595-2024 FSC-klagomål mail.docx", "A 36595-2024")</f>
        <v/>
      </c>
      <c r="X422">
        <f>HYPERLINK("https://klasma.github.io/Logging_1904/tillsyn/A 36595-2024 tillsynsbegäran.docx", "A 36595-2024")</f>
        <v/>
      </c>
      <c r="Y422">
        <f>HYPERLINK("https://klasma.github.io/Logging_1904/tillsynsmail/A 36595-2024 tillsynsbegäran mail.docx", "A 36595-2024")</f>
        <v/>
      </c>
    </row>
    <row r="423" ht="15" customHeight="1">
      <c r="A423" t="inlineStr">
        <is>
          <t>A 37166-2024</t>
        </is>
      </c>
      <c r="B423" s="1" t="n">
        <v>45539</v>
      </c>
      <c r="C423" s="1" t="n">
        <v>45821</v>
      </c>
      <c r="D423" t="inlineStr">
        <is>
          <t>VÄSTMANLANDS LÄN</t>
        </is>
      </c>
      <c r="E423" t="inlineStr">
        <is>
          <t>SALA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HYPERLINK("https://klasma.github.io/Logging_1981/artfynd/A 37166-2024 artfynd.xlsx", "A 37166-2024")</f>
        <v/>
      </c>
      <c r="T423">
        <f>HYPERLINK("https://klasma.github.io/Logging_1981/kartor/A 37166-2024 karta.png", "A 37166-2024")</f>
        <v/>
      </c>
      <c r="U423">
        <f>HYPERLINK("https://klasma.github.io/Logging_1981/knärot/A 37166-2024 karta knärot.png", "A 37166-2024")</f>
        <v/>
      </c>
      <c r="V423">
        <f>HYPERLINK("https://klasma.github.io/Logging_1981/klagomål/A 37166-2024 FSC-klagomål.docx", "A 37166-2024")</f>
        <v/>
      </c>
      <c r="W423">
        <f>HYPERLINK("https://klasma.github.io/Logging_1981/klagomålsmail/A 37166-2024 FSC-klagomål mail.docx", "A 37166-2024")</f>
        <v/>
      </c>
      <c r="X423">
        <f>HYPERLINK("https://klasma.github.io/Logging_1981/tillsyn/A 37166-2024 tillsynsbegäran.docx", "A 37166-2024")</f>
        <v/>
      </c>
      <c r="Y423">
        <f>HYPERLINK("https://klasma.github.io/Logging_1981/tillsynsmail/A 37166-2024 tillsynsbegäran mail.docx", "A 37166-2024")</f>
        <v/>
      </c>
    </row>
    <row r="424" ht="15" customHeight="1">
      <c r="A424" t="inlineStr">
        <is>
          <t>A 39292-2024</t>
        </is>
      </c>
      <c r="B424" s="1" t="n">
        <v>45551</v>
      </c>
      <c r="C424" s="1" t="n">
        <v>45821</v>
      </c>
      <c r="D424" t="inlineStr">
        <is>
          <t>VÄSTMANLANDS LÄN</t>
        </is>
      </c>
      <c r="E424" t="inlineStr">
        <is>
          <t>KÖPING</t>
        </is>
      </c>
      <c r="G424" t="n">
        <v>4</v>
      </c>
      <c r="H424" t="n">
        <v>1</v>
      </c>
      <c r="I424" t="n">
        <v>0</v>
      </c>
      <c r="J424" t="n">
        <v>0</v>
      </c>
      <c r="K424" t="n">
        <v>1</v>
      </c>
      <c r="L424" t="n">
        <v>0</v>
      </c>
      <c r="M424" t="n">
        <v>0</v>
      </c>
      <c r="N424" t="n">
        <v>0</v>
      </c>
      <c r="O424" t="n">
        <v>1</v>
      </c>
      <c r="P424" t="n">
        <v>1</v>
      </c>
      <c r="Q424" t="n">
        <v>1</v>
      </c>
      <c r="R424" s="2" t="inlineStr">
        <is>
          <t>Knärot</t>
        </is>
      </c>
      <c r="S424">
        <f>HYPERLINK("https://klasma.github.io/Logging_1983/artfynd/A 39292-2024 artfynd.xlsx", "A 39292-2024")</f>
        <v/>
      </c>
      <c r="T424">
        <f>HYPERLINK("https://klasma.github.io/Logging_1983/kartor/A 39292-2024 karta.png", "A 39292-2024")</f>
        <v/>
      </c>
      <c r="U424">
        <f>HYPERLINK("https://klasma.github.io/Logging_1983/knärot/A 39292-2024 karta knärot.png", "A 39292-2024")</f>
        <v/>
      </c>
      <c r="V424">
        <f>HYPERLINK("https://klasma.github.io/Logging_1983/klagomål/A 39292-2024 FSC-klagomål.docx", "A 39292-2024")</f>
        <v/>
      </c>
      <c r="W424">
        <f>HYPERLINK("https://klasma.github.io/Logging_1983/klagomålsmail/A 39292-2024 FSC-klagomål mail.docx", "A 39292-2024")</f>
        <v/>
      </c>
      <c r="X424">
        <f>HYPERLINK("https://klasma.github.io/Logging_1983/tillsyn/A 39292-2024 tillsynsbegäran.docx", "A 39292-2024")</f>
        <v/>
      </c>
      <c r="Y424">
        <f>HYPERLINK("https://klasma.github.io/Logging_1983/tillsynsmail/A 39292-2024 tillsynsbegäran mail.docx", "A 39292-2024")</f>
        <v/>
      </c>
    </row>
    <row r="425" ht="15" customHeight="1">
      <c r="A425" t="inlineStr">
        <is>
          <t>A 41270-2024</t>
        </is>
      </c>
      <c r="B425" s="1" t="n">
        <v>45559</v>
      </c>
      <c r="C425" s="1" t="n">
        <v>45821</v>
      </c>
      <c r="D425" t="inlineStr">
        <is>
          <t>VÄSTMANLANDS LÄN</t>
        </is>
      </c>
      <c r="E425" t="inlineStr">
        <is>
          <t>SALA</t>
        </is>
      </c>
      <c r="G425" t="n">
        <v>15.2</v>
      </c>
      <c r="H425" t="n">
        <v>1</v>
      </c>
      <c r="I425" t="n">
        <v>0</v>
      </c>
      <c r="J425" t="n">
        <v>1</v>
      </c>
      <c r="K425" t="n">
        <v>0</v>
      </c>
      <c r="L425" t="n">
        <v>0</v>
      </c>
      <c r="M425" t="n">
        <v>0</v>
      </c>
      <c r="N425" t="n">
        <v>0</v>
      </c>
      <c r="O425" t="n">
        <v>1</v>
      </c>
      <c r="P425" t="n">
        <v>0</v>
      </c>
      <c r="Q425" t="n">
        <v>1</v>
      </c>
      <c r="R425" s="2" t="inlineStr">
        <is>
          <t>Havsörn</t>
        </is>
      </c>
      <c r="S425">
        <f>HYPERLINK("https://klasma.github.io/Logging_1981/artfynd/A 41270-2024 artfynd.xlsx", "A 41270-2024")</f>
        <v/>
      </c>
      <c r="T425">
        <f>HYPERLINK("https://klasma.github.io/Logging_1981/kartor/A 41270-2024 karta.png", "A 41270-2024")</f>
        <v/>
      </c>
      <c r="V425">
        <f>HYPERLINK("https://klasma.github.io/Logging_1981/klagomål/A 41270-2024 FSC-klagomål.docx", "A 41270-2024")</f>
        <v/>
      </c>
      <c r="W425">
        <f>HYPERLINK("https://klasma.github.io/Logging_1981/klagomålsmail/A 41270-2024 FSC-klagomål mail.docx", "A 41270-2024")</f>
        <v/>
      </c>
      <c r="X425">
        <f>HYPERLINK("https://klasma.github.io/Logging_1981/tillsyn/A 41270-2024 tillsynsbegäran.docx", "A 41270-2024")</f>
        <v/>
      </c>
      <c r="Y425">
        <f>HYPERLINK("https://klasma.github.io/Logging_1981/tillsynsmail/A 41270-2024 tillsynsbegäran mail.docx", "A 41270-2024")</f>
        <v/>
      </c>
      <c r="Z425">
        <f>HYPERLINK("https://klasma.github.io/Logging_1981/fåglar/A 41270-2024 prioriterade fågelarter.docx", "A 41270-2024")</f>
        <v/>
      </c>
    </row>
    <row r="426" ht="15" customHeight="1">
      <c r="A426" t="inlineStr">
        <is>
          <t>A 41468-2024</t>
        </is>
      </c>
      <c r="B426" s="1" t="n">
        <v>45560</v>
      </c>
      <c r="C426" s="1" t="n">
        <v>45821</v>
      </c>
      <c r="D426" t="inlineStr">
        <is>
          <t>VÄSTMANLANDS LÄN</t>
        </is>
      </c>
      <c r="E426" t="inlineStr">
        <is>
          <t>NORBERG</t>
        </is>
      </c>
      <c r="F426" t="inlineStr">
        <is>
          <t>Bergvik skog väst AB</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HYPERLINK("https://klasma.github.io/Logging_1962/artfynd/A 41468-2024 artfynd.xlsx", "A 41468-2024")</f>
        <v/>
      </c>
      <c r="T426">
        <f>HYPERLINK("https://klasma.github.io/Logging_1962/kartor/A 41468-2024 karta.png", "A 41468-2024")</f>
        <v/>
      </c>
      <c r="U426">
        <f>HYPERLINK("https://klasma.github.io/Logging_1962/knärot/A 41468-2024 karta knärot.png", "A 41468-2024")</f>
        <v/>
      </c>
      <c r="V426">
        <f>HYPERLINK("https://klasma.github.io/Logging_1962/klagomål/A 41468-2024 FSC-klagomål.docx", "A 41468-2024")</f>
        <v/>
      </c>
      <c r="W426">
        <f>HYPERLINK("https://klasma.github.io/Logging_1962/klagomålsmail/A 41468-2024 FSC-klagomål mail.docx", "A 41468-2024")</f>
        <v/>
      </c>
      <c r="X426">
        <f>HYPERLINK("https://klasma.github.io/Logging_1962/tillsyn/A 41468-2024 tillsynsbegäran.docx", "A 41468-2024")</f>
        <v/>
      </c>
      <c r="Y426">
        <f>HYPERLINK("https://klasma.github.io/Logging_1962/tillsynsmail/A 41468-2024 tillsynsbegäran mail.docx", "A 41468-2024")</f>
        <v/>
      </c>
    </row>
    <row r="427" ht="15" customHeight="1">
      <c r="A427" t="inlineStr">
        <is>
          <t>A 43068-2024</t>
        </is>
      </c>
      <c r="B427" s="1" t="n">
        <v>45567</v>
      </c>
      <c r="C427" s="1" t="n">
        <v>45821</v>
      </c>
      <c r="D427" t="inlineStr">
        <is>
          <t>VÄSTMANLANDS LÄN</t>
        </is>
      </c>
      <c r="E427" t="inlineStr">
        <is>
          <t>SALA</t>
        </is>
      </c>
      <c r="G427" t="n">
        <v>1.1</v>
      </c>
      <c r="H427" t="n">
        <v>0</v>
      </c>
      <c r="I427" t="n">
        <v>1</v>
      </c>
      <c r="J427" t="n">
        <v>0</v>
      </c>
      <c r="K427" t="n">
        <v>0</v>
      </c>
      <c r="L427" t="n">
        <v>0</v>
      </c>
      <c r="M427" t="n">
        <v>0</v>
      </c>
      <c r="N427" t="n">
        <v>0</v>
      </c>
      <c r="O427" t="n">
        <v>0</v>
      </c>
      <c r="P427" t="n">
        <v>0</v>
      </c>
      <c r="Q427" t="n">
        <v>1</v>
      </c>
      <c r="R427" s="2" t="inlineStr">
        <is>
          <t>Vedticka</t>
        </is>
      </c>
      <c r="S427">
        <f>HYPERLINK("https://klasma.github.io/Logging_1981/artfynd/A 43068-2024 artfynd.xlsx", "A 43068-2024")</f>
        <v/>
      </c>
      <c r="T427">
        <f>HYPERLINK("https://klasma.github.io/Logging_1981/kartor/A 43068-2024 karta.png", "A 43068-2024")</f>
        <v/>
      </c>
      <c r="V427">
        <f>HYPERLINK("https://klasma.github.io/Logging_1981/klagomål/A 43068-2024 FSC-klagomål.docx", "A 43068-2024")</f>
        <v/>
      </c>
      <c r="W427">
        <f>HYPERLINK("https://klasma.github.io/Logging_1981/klagomålsmail/A 43068-2024 FSC-klagomål mail.docx", "A 43068-2024")</f>
        <v/>
      </c>
      <c r="X427">
        <f>HYPERLINK("https://klasma.github.io/Logging_1981/tillsyn/A 43068-2024 tillsynsbegäran.docx", "A 43068-2024")</f>
        <v/>
      </c>
      <c r="Y427">
        <f>HYPERLINK("https://klasma.github.io/Logging_1981/tillsynsmail/A 43068-2024 tillsynsbegäran mail.docx", "A 43068-2024")</f>
        <v/>
      </c>
    </row>
    <row r="428" ht="15" customHeight="1">
      <c r="A428" t="inlineStr">
        <is>
          <t>A 43451-2024</t>
        </is>
      </c>
      <c r="B428" s="1" t="n">
        <v>45568</v>
      </c>
      <c r="C428" s="1" t="n">
        <v>45821</v>
      </c>
      <c r="D428" t="inlineStr">
        <is>
          <t>VÄSTMANLANDS LÄN</t>
        </is>
      </c>
      <c r="E428" t="inlineStr">
        <is>
          <t>SURAHAMMAR</t>
        </is>
      </c>
      <c r="F428" t="inlineStr">
        <is>
          <t>Bergvik skog väst AB</t>
        </is>
      </c>
      <c r="G428" t="n">
        <v>2.9</v>
      </c>
      <c r="H428" t="n">
        <v>0</v>
      </c>
      <c r="I428" t="n">
        <v>0</v>
      </c>
      <c r="J428" t="n">
        <v>1</v>
      </c>
      <c r="K428" t="n">
        <v>0</v>
      </c>
      <c r="L428" t="n">
        <v>0</v>
      </c>
      <c r="M428" t="n">
        <v>0</v>
      </c>
      <c r="N428" t="n">
        <v>0</v>
      </c>
      <c r="O428" t="n">
        <v>1</v>
      </c>
      <c r="P428" t="n">
        <v>0</v>
      </c>
      <c r="Q428" t="n">
        <v>1</v>
      </c>
      <c r="R428" s="2" t="inlineStr">
        <is>
          <t>Ullticka</t>
        </is>
      </c>
      <c r="S428">
        <f>HYPERLINK("https://klasma.github.io/Logging_1907/artfynd/A 43451-2024 artfynd.xlsx", "A 43451-2024")</f>
        <v/>
      </c>
      <c r="T428">
        <f>HYPERLINK("https://klasma.github.io/Logging_1907/kartor/A 43451-2024 karta.png", "A 43451-2024")</f>
        <v/>
      </c>
      <c r="V428">
        <f>HYPERLINK("https://klasma.github.io/Logging_1907/klagomål/A 43451-2024 FSC-klagomål.docx", "A 43451-2024")</f>
        <v/>
      </c>
      <c r="W428">
        <f>HYPERLINK("https://klasma.github.io/Logging_1907/klagomålsmail/A 43451-2024 FSC-klagomål mail.docx", "A 43451-2024")</f>
        <v/>
      </c>
      <c r="X428">
        <f>HYPERLINK("https://klasma.github.io/Logging_1907/tillsyn/A 43451-2024 tillsynsbegäran.docx", "A 43451-2024")</f>
        <v/>
      </c>
      <c r="Y428">
        <f>HYPERLINK("https://klasma.github.io/Logging_1907/tillsynsmail/A 43451-2024 tillsynsbegäran mail.docx", "A 43451-2024")</f>
        <v/>
      </c>
    </row>
    <row r="429" ht="15" customHeight="1">
      <c r="A429" t="inlineStr">
        <is>
          <t>A 43413-2024</t>
        </is>
      </c>
      <c r="B429" s="1" t="n">
        <v>45568</v>
      </c>
      <c r="C429" s="1" t="n">
        <v>45821</v>
      </c>
      <c r="D429" t="inlineStr">
        <is>
          <t>VÄSTMANLANDS LÄN</t>
        </is>
      </c>
      <c r="E429" t="inlineStr">
        <is>
          <t>SKINNSKATTEBERG</t>
        </is>
      </c>
      <c r="F429" t="inlineStr">
        <is>
          <t>Sveaskog</t>
        </is>
      </c>
      <c r="G429" t="n">
        <v>1.9</v>
      </c>
      <c r="H429" t="n">
        <v>0</v>
      </c>
      <c r="I429" t="n">
        <v>0</v>
      </c>
      <c r="J429" t="n">
        <v>1</v>
      </c>
      <c r="K429" t="n">
        <v>0</v>
      </c>
      <c r="L429" t="n">
        <v>0</v>
      </c>
      <c r="M429" t="n">
        <v>0</v>
      </c>
      <c r="N429" t="n">
        <v>0</v>
      </c>
      <c r="O429" t="n">
        <v>1</v>
      </c>
      <c r="P429" t="n">
        <v>0</v>
      </c>
      <c r="Q429" t="n">
        <v>1</v>
      </c>
      <c r="R429" s="2" t="inlineStr">
        <is>
          <t>Orange taggsvamp</t>
        </is>
      </c>
      <c r="S429">
        <f>HYPERLINK("https://klasma.github.io/Logging_1904/artfynd/A 43413-2024 artfynd.xlsx", "A 43413-2024")</f>
        <v/>
      </c>
      <c r="T429">
        <f>HYPERLINK("https://klasma.github.io/Logging_1904/kartor/A 43413-2024 karta.png", "A 43413-2024")</f>
        <v/>
      </c>
      <c r="V429">
        <f>HYPERLINK("https://klasma.github.io/Logging_1904/klagomål/A 43413-2024 FSC-klagomål.docx", "A 43413-2024")</f>
        <v/>
      </c>
      <c r="W429">
        <f>HYPERLINK("https://klasma.github.io/Logging_1904/klagomålsmail/A 43413-2024 FSC-klagomål mail.docx", "A 43413-2024")</f>
        <v/>
      </c>
      <c r="X429">
        <f>HYPERLINK("https://klasma.github.io/Logging_1904/tillsyn/A 43413-2024 tillsynsbegäran.docx", "A 43413-2024")</f>
        <v/>
      </c>
      <c r="Y429">
        <f>HYPERLINK("https://klasma.github.io/Logging_1904/tillsynsmail/A 43413-2024 tillsynsbegäran mail.docx", "A 43413-2024")</f>
        <v/>
      </c>
    </row>
    <row r="430" ht="15" customHeight="1">
      <c r="A430" t="inlineStr">
        <is>
          <t>A 44356-2024</t>
        </is>
      </c>
      <c r="B430" s="1" t="n">
        <v>45573</v>
      </c>
      <c r="C430" s="1" t="n">
        <v>45821</v>
      </c>
      <c r="D430" t="inlineStr">
        <is>
          <t>VÄSTMANLANDS LÄN</t>
        </is>
      </c>
      <c r="E430" t="inlineStr">
        <is>
          <t>SURAHAMMAR</t>
        </is>
      </c>
      <c r="F430" t="inlineStr">
        <is>
          <t>Sveaskog</t>
        </is>
      </c>
      <c r="G430" t="n">
        <v>0.7</v>
      </c>
      <c r="H430" t="n">
        <v>1</v>
      </c>
      <c r="I430" t="n">
        <v>0</v>
      </c>
      <c r="J430" t="n">
        <v>0</v>
      </c>
      <c r="K430" t="n">
        <v>0</v>
      </c>
      <c r="L430" t="n">
        <v>0</v>
      </c>
      <c r="M430" t="n">
        <v>0</v>
      </c>
      <c r="N430" t="n">
        <v>0</v>
      </c>
      <c r="O430" t="n">
        <v>0</v>
      </c>
      <c r="P430" t="n">
        <v>0</v>
      </c>
      <c r="Q430" t="n">
        <v>1</v>
      </c>
      <c r="R430" s="2" t="inlineStr">
        <is>
          <t>Revlummer</t>
        </is>
      </c>
      <c r="S430">
        <f>HYPERLINK("https://klasma.github.io/Logging_1907/artfynd/A 44356-2024 artfynd.xlsx", "A 44356-2024")</f>
        <v/>
      </c>
      <c r="T430">
        <f>HYPERLINK("https://klasma.github.io/Logging_1907/kartor/A 44356-2024 karta.png", "A 44356-2024")</f>
        <v/>
      </c>
      <c r="V430">
        <f>HYPERLINK("https://klasma.github.io/Logging_1907/klagomål/A 44356-2024 FSC-klagomål.docx", "A 44356-2024")</f>
        <v/>
      </c>
      <c r="W430">
        <f>HYPERLINK("https://klasma.github.io/Logging_1907/klagomålsmail/A 44356-2024 FSC-klagomål mail.docx", "A 44356-2024")</f>
        <v/>
      </c>
      <c r="X430">
        <f>HYPERLINK("https://klasma.github.io/Logging_1907/tillsyn/A 44356-2024 tillsynsbegäran.docx", "A 44356-2024")</f>
        <v/>
      </c>
      <c r="Y430">
        <f>HYPERLINK("https://klasma.github.io/Logging_1907/tillsynsmail/A 44356-2024 tillsynsbegäran mail.docx", "A 44356-2024")</f>
        <v/>
      </c>
    </row>
    <row r="431" ht="15" customHeight="1">
      <c r="A431" t="inlineStr">
        <is>
          <t>A 44355-2024</t>
        </is>
      </c>
      <c r="B431" s="1" t="n">
        <v>45573</v>
      </c>
      <c r="C431" s="1" t="n">
        <v>45821</v>
      </c>
      <c r="D431" t="inlineStr">
        <is>
          <t>VÄSTMANLANDS LÄN</t>
        </is>
      </c>
      <c r="E431" t="inlineStr">
        <is>
          <t>SURAHAMMAR</t>
        </is>
      </c>
      <c r="F431" t="inlineStr">
        <is>
          <t>Sveaskog</t>
        </is>
      </c>
      <c r="G431" t="n">
        <v>3.5</v>
      </c>
      <c r="H431" t="n">
        <v>1</v>
      </c>
      <c r="I431" t="n">
        <v>0</v>
      </c>
      <c r="J431" t="n">
        <v>0</v>
      </c>
      <c r="K431" t="n">
        <v>0</v>
      </c>
      <c r="L431" t="n">
        <v>0</v>
      </c>
      <c r="M431" t="n">
        <v>0</v>
      </c>
      <c r="N431" t="n">
        <v>0</v>
      </c>
      <c r="O431" t="n">
        <v>0</v>
      </c>
      <c r="P431" t="n">
        <v>0</v>
      </c>
      <c r="Q431" t="n">
        <v>1</v>
      </c>
      <c r="R431" s="2" t="inlineStr">
        <is>
          <t>Revlummer</t>
        </is>
      </c>
      <c r="S431">
        <f>HYPERLINK("https://klasma.github.io/Logging_1907/artfynd/A 44355-2024 artfynd.xlsx", "A 44355-2024")</f>
        <v/>
      </c>
      <c r="T431">
        <f>HYPERLINK("https://klasma.github.io/Logging_1907/kartor/A 44355-2024 karta.png", "A 44355-2024")</f>
        <v/>
      </c>
      <c r="V431">
        <f>HYPERLINK("https://klasma.github.io/Logging_1907/klagomål/A 44355-2024 FSC-klagomål.docx", "A 44355-2024")</f>
        <v/>
      </c>
      <c r="W431">
        <f>HYPERLINK("https://klasma.github.io/Logging_1907/klagomålsmail/A 44355-2024 FSC-klagomål mail.docx", "A 44355-2024")</f>
        <v/>
      </c>
      <c r="X431">
        <f>HYPERLINK("https://klasma.github.io/Logging_1907/tillsyn/A 44355-2024 tillsynsbegäran.docx", "A 44355-2024")</f>
        <v/>
      </c>
      <c r="Y431">
        <f>HYPERLINK("https://klasma.github.io/Logging_1907/tillsynsmail/A 44355-2024 tillsynsbegäran mail.docx", "A 44355-2024")</f>
        <v/>
      </c>
    </row>
    <row r="432" ht="15" customHeight="1">
      <c r="A432" t="inlineStr">
        <is>
          <t>A 45735-2024</t>
        </is>
      </c>
      <c r="B432" s="1" t="n">
        <v>45579</v>
      </c>
      <c r="C432" s="1" t="n">
        <v>45821</v>
      </c>
      <c r="D432" t="inlineStr">
        <is>
          <t>VÄSTMANLANDS LÄN</t>
        </is>
      </c>
      <c r="E432" t="inlineStr">
        <is>
          <t>SURAHAMMAR</t>
        </is>
      </c>
      <c r="F432" t="inlineStr">
        <is>
          <t>Sveaskog</t>
        </is>
      </c>
      <c r="G432" t="n">
        <v>13.5</v>
      </c>
      <c r="H432" t="n">
        <v>1</v>
      </c>
      <c r="I432" t="n">
        <v>0</v>
      </c>
      <c r="J432" t="n">
        <v>0</v>
      </c>
      <c r="K432" t="n">
        <v>0</v>
      </c>
      <c r="L432" t="n">
        <v>0</v>
      </c>
      <c r="M432" t="n">
        <v>0</v>
      </c>
      <c r="N432" t="n">
        <v>0</v>
      </c>
      <c r="O432" t="n">
        <v>0</v>
      </c>
      <c r="P432" t="n">
        <v>0</v>
      </c>
      <c r="Q432" t="n">
        <v>1</v>
      </c>
      <c r="R432" s="2" t="inlineStr">
        <is>
          <t>Revlummer</t>
        </is>
      </c>
      <c r="S432">
        <f>HYPERLINK("https://klasma.github.io/Logging_1907/artfynd/A 45735-2024 artfynd.xlsx", "A 45735-2024")</f>
        <v/>
      </c>
      <c r="T432">
        <f>HYPERLINK("https://klasma.github.io/Logging_1907/kartor/A 45735-2024 karta.png", "A 45735-2024")</f>
        <v/>
      </c>
      <c r="V432">
        <f>HYPERLINK("https://klasma.github.io/Logging_1907/klagomål/A 45735-2024 FSC-klagomål.docx", "A 45735-2024")</f>
        <v/>
      </c>
      <c r="W432">
        <f>HYPERLINK("https://klasma.github.io/Logging_1907/klagomålsmail/A 45735-2024 FSC-klagomål mail.docx", "A 45735-2024")</f>
        <v/>
      </c>
      <c r="X432">
        <f>HYPERLINK("https://klasma.github.io/Logging_1907/tillsyn/A 45735-2024 tillsynsbegäran.docx", "A 45735-2024")</f>
        <v/>
      </c>
      <c r="Y432">
        <f>HYPERLINK("https://klasma.github.io/Logging_1907/tillsynsmail/A 45735-2024 tillsynsbegäran mail.docx", "A 45735-2024")</f>
        <v/>
      </c>
    </row>
    <row r="433" ht="15" customHeight="1">
      <c r="A433" t="inlineStr">
        <is>
          <t>A 47139-2024</t>
        </is>
      </c>
      <c r="B433" s="1" t="n">
        <v>45586</v>
      </c>
      <c r="C433" s="1" t="n">
        <v>45821</v>
      </c>
      <c r="D433" t="inlineStr">
        <is>
          <t>VÄSTMANLANDS LÄN</t>
        </is>
      </c>
      <c r="E433" t="inlineStr">
        <is>
          <t>NORBERG</t>
        </is>
      </c>
      <c r="F433" t="inlineStr">
        <is>
          <t>Sveaskog</t>
        </is>
      </c>
      <c r="G433" t="n">
        <v>5</v>
      </c>
      <c r="H433" t="n">
        <v>1</v>
      </c>
      <c r="I433" t="n">
        <v>1</v>
      </c>
      <c r="J433" t="n">
        <v>0</v>
      </c>
      <c r="K433" t="n">
        <v>0</v>
      </c>
      <c r="L433" t="n">
        <v>0</v>
      </c>
      <c r="M433" t="n">
        <v>0</v>
      </c>
      <c r="N433" t="n">
        <v>0</v>
      </c>
      <c r="O433" t="n">
        <v>0</v>
      </c>
      <c r="P433" t="n">
        <v>0</v>
      </c>
      <c r="Q433" t="n">
        <v>1</v>
      </c>
      <c r="R433" s="2" t="inlineStr">
        <is>
          <t>Skogsknipprot</t>
        </is>
      </c>
      <c r="S433">
        <f>HYPERLINK("https://klasma.github.io/Logging_1962/artfynd/A 47139-2024 artfynd.xlsx", "A 47139-2024")</f>
        <v/>
      </c>
      <c r="T433">
        <f>HYPERLINK("https://klasma.github.io/Logging_1962/kartor/A 47139-2024 karta.png", "A 47139-2024")</f>
        <v/>
      </c>
      <c r="V433">
        <f>HYPERLINK("https://klasma.github.io/Logging_1962/klagomål/A 47139-2024 FSC-klagomål.docx", "A 47139-2024")</f>
        <v/>
      </c>
      <c r="W433">
        <f>HYPERLINK("https://klasma.github.io/Logging_1962/klagomålsmail/A 47139-2024 FSC-klagomål mail.docx", "A 47139-2024")</f>
        <v/>
      </c>
      <c r="X433">
        <f>HYPERLINK("https://klasma.github.io/Logging_1962/tillsyn/A 47139-2024 tillsynsbegäran.docx", "A 47139-2024")</f>
        <v/>
      </c>
      <c r="Y433">
        <f>HYPERLINK("https://klasma.github.io/Logging_1962/tillsynsmail/A 47139-2024 tillsynsbegäran mail.docx", "A 47139-2024")</f>
        <v/>
      </c>
    </row>
    <row r="434" ht="15" customHeight="1">
      <c r="A434" t="inlineStr">
        <is>
          <t>A 47549-2024</t>
        </is>
      </c>
      <c r="B434" s="1" t="n">
        <v>45587</v>
      </c>
      <c r="C434" s="1" t="n">
        <v>45821</v>
      </c>
      <c r="D434" t="inlineStr">
        <is>
          <t>VÄSTMANLANDS LÄN</t>
        </is>
      </c>
      <c r="E434" t="inlineStr">
        <is>
          <t>KUNGSÖR</t>
        </is>
      </c>
      <c r="G434" t="n">
        <v>1.9</v>
      </c>
      <c r="H434" t="n">
        <v>0</v>
      </c>
      <c r="I434" t="n">
        <v>0</v>
      </c>
      <c r="J434" t="n">
        <v>1</v>
      </c>
      <c r="K434" t="n">
        <v>0</v>
      </c>
      <c r="L434" t="n">
        <v>0</v>
      </c>
      <c r="M434" t="n">
        <v>0</v>
      </c>
      <c r="N434" t="n">
        <v>0</v>
      </c>
      <c r="O434" t="n">
        <v>1</v>
      </c>
      <c r="P434" t="n">
        <v>0</v>
      </c>
      <c r="Q434" t="n">
        <v>1</v>
      </c>
      <c r="R434" s="2" t="inlineStr">
        <is>
          <t>Ullticka</t>
        </is>
      </c>
      <c r="S434">
        <f>HYPERLINK("https://klasma.github.io/Logging_1960/artfynd/A 47549-2024 artfynd.xlsx", "A 47549-2024")</f>
        <v/>
      </c>
      <c r="T434">
        <f>HYPERLINK("https://klasma.github.io/Logging_1960/kartor/A 47549-2024 karta.png", "A 47549-2024")</f>
        <v/>
      </c>
      <c r="V434">
        <f>HYPERLINK("https://klasma.github.io/Logging_1960/klagomål/A 47549-2024 FSC-klagomål.docx", "A 47549-2024")</f>
        <v/>
      </c>
      <c r="W434">
        <f>HYPERLINK("https://klasma.github.io/Logging_1960/klagomålsmail/A 47549-2024 FSC-klagomål mail.docx", "A 47549-2024")</f>
        <v/>
      </c>
      <c r="X434">
        <f>HYPERLINK("https://klasma.github.io/Logging_1960/tillsyn/A 47549-2024 tillsynsbegäran.docx", "A 47549-2024")</f>
        <v/>
      </c>
      <c r="Y434">
        <f>HYPERLINK("https://klasma.github.io/Logging_1960/tillsynsmail/A 47549-2024 tillsynsbegäran mail.docx", "A 47549-2024")</f>
        <v/>
      </c>
    </row>
    <row r="435" ht="15" customHeight="1">
      <c r="A435" t="inlineStr">
        <is>
          <t>A 47453-2024</t>
        </is>
      </c>
      <c r="B435" s="1" t="n">
        <v>45587</v>
      </c>
      <c r="C435" s="1" t="n">
        <v>45821</v>
      </c>
      <c r="D435" t="inlineStr">
        <is>
          <t>VÄSTMANLANDS LÄN</t>
        </is>
      </c>
      <c r="E435" t="inlineStr">
        <is>
          <t>SURAHAMMAR</t>
        </is>
      </c>
      <c r="G435" t="n">
        <v>5.1</v>
      </c>
      <c r="H435" t="n">
        <v>1</v>
      </c>
      <c r="I435" t="n">
        <v>0</v>
      </c>
      <c r="J435" t="n">
        <v>0</v>
      </c>
      <c r="K435" t="n">
        <v>0</v>
      </c>
      <c r="L435" t="n">
        <v>0</v>
      </c>
      <c r="M435" t="n">
        <v>0</v>
      </c>
      <c r="N435" t="n">
        <v>0</v>
      </c>
      <c r="O435" t="n">
        <v>0</v>
      </c>
      <c r="P435" t="n">
        <v>0</v>
      </c>
      <c r="Q435" t="n">
        <v>1</v>
      </c>
      <c r="R435" s="2" t="inlineStr">
        <is>
          <t>Göktyta</t>
        </is>
      </c>
      <c r="S435">
        <f>HYPERLINK("https://klasma.github.io/Logging_1907/artfynd/A 47453-2024 artfynd.xlsx", "A 47453-2024")</f>
        <v/>
      </c>
      <c r="T435">
        <f>HYPERLINK("https://klasma.github.io/Logging_1907/kartor/A 47453-2024 karta.png", "A 47453-2024")</f>
        <v/>
      </c>
      <c r="V435">
        <f>HYPERLINK("https://klasma.github.io/Logging_1907/klagomål/A 47453-2024 FSC-klagomål.docx", "A 47453-2024")</f>
        <v/>
      </c>
      <c r="W435">
        <f>HYPERLINK("https://klasma.github.io/Logging_1907/klagomålsmail/A 47453-2024 FSC-klagomål mail.docx", "A 47453-2024")</f>
        <v/>
      </c>
      <c r="X435">
        <f>HYPERLINK("https://klasma.github.io/Logging_1907/tillsyn/A 47453-2024 tillsynsbegäran.docx", "A 47453-2024")</f>
        <v/>
      </c>
      <c r="Y435">
        <f>HYPERLINK("https://klasma.github.io/Logging_1907/tillsynsmail/A 47453-2024 tillsynsbegäran mail.docx", "A 47453-2024")</f>
        <v/>
      </c>
      <c r="Z435">
        <f>HYPERLINK("https://klasma.github.io/Logging_1907/fåglar/A 47453-2024 prioriterade fågelarter.docx", "A 47453-2024")</f>
        <v/>
      </c>
    </row>
    <row r="436" ht="15" customHeight="1">
      <c r="A436" t="inlineStr">
        <is>
          <t>A 49630-2024</t>
        </is>
      </c>
      <c r="B436" s="1" t="n">
        <v>45596</v>
      </c>
      <c r="C436" s="1" t="n">
        <v>45821</v>
      </c>
      <c r="D436" t="inlineStr">
        <is>
          <t>VÄSTMANLANDS LÄN</t>
        </is>
      </c>
      <c r="E436" t="inlineStr">
        <is>
          <t>SKINNSKATTEBERG</t>
        </is>
      </c>
      <c r="F436" t="inlineStr">
        <is>
          <t>Sveaskog</t>
        </is>
      </c>
      <c r="G436" t="n">
        <v>7.3</v>
      </c>
      <c r="H436" t="n">
        <v>1</v>
      </c>
      <c r="I436" t="n">
        <v>0</v>
      </c>
      <c r="J436" t="n">
        <v>0</v>
      </c>
      <c r="K436" t="n">
        <v>0</v>
      </c>
      <c r="L436" t="n">
        <v>0</v>
      </c>
      <c r="M436" t="n">
        <v>0</v>
      </c>
      <c r="N436" t="n">
        <v>0</v>
      </c>
      <c r="O436" t="n">
        <v>0</v>
      </c>
      <c r="P436" t="n">
        <v>0</v>
      </c>
      <c r="Q436" t="n">
        <v>1</v>
      </c>
      <c r="R436" s="2" t="inlineStr">
        <is>
          <t>Fläcknycklar</t>
        </is>
      </c>
      <c r="S436">
        <f>HYPERLINK("https://klasma.github.io/Logging_1904/artfynd/A 49630-2024 artfynd.xlsx", "A 49630-2024")</f>
        <v/>
      </c>
      <c r="T436">
        <f>HYPERLINK("https://klasma.github.io/Logging_1904/kartor/A 49630-2024 karta.png", "A 49630-2024")</f>
        <v/>
      </c>
      <c r="V436">
        <f>HYPERLINK("https://klasma.github.io/Logging_1904/klagomål/A 49630-2024 FSC-klagomål.docx", "A 49630-2024")</f>
        <v/>
      </c>
      <c r="W436">
        <f>HYPERLINK("https://klasma.github.io/Logging_1904/klagomålsmail/A 49630-2024 FSC-klagomål mail.docx", "A 49630-2024")</f>
        <v/>
      </c>
      <c r="X436">
        <f>HYPERLINK("https://klasma.github.io/Logging_1904/tillsyn/A 49630-2024 tillsynsbegäran.docx", "A 49630-2024")</f>
        <v/>
      </c>
      <c r="Y436">
        <f>HYPERLINK("https://klasma.github.io/Logging_1904/tillsynsmail/A 49630-2024 tillsynsbegäran mail.docx", "A 49630-2024")</f>
        <v/>
      </c>
    </row>
    <row r="437" ht="15" customHeight="1">
      <c r="A437" t="inlineStr">
        <is>
          <t>A 51122-2024</t>
        </is>
      </c>
      <c r="B437" s="1" t="n">
        <v>45603</v>
      </c>
      <c r="C437" s="1" t="n">
        <v>45821</v>
      </c>
      <c r="D437" t="inlineStr">
        <is>
          <t>VÄSTMANLANDS LÄN</t>
        </is>
      </c>
      <c r="E437" t="inlineStr">
        <is>
          <t>FAGERSTA</t>
        </is>
      </c>
      <c r="F437" t="inlineStr">
        <is>
          <t>Sveaskog</t>
        </is>
      </c>
      <c r="G437" t="n">
        <v>8</v>
      </c>
      <c r="H437" t="n">
        <v>0</v>
      </c>
      <c r="I437" t="n">
        <v>0</v>
      </c>
      <c r="J437" t="n">
        <v>1</v>
      </c>
      <c r="K437" t="n">
        <v>0</v>
      </c>
      <c r="L437" t="n">
        <v>0</v>
      </c>
      <c r="M437" t="n">
        <v>0</v>
      </c>
      <c r="N437" t="n">
        <v>0</v>
      </c>
      <c r="O437" t="n">
        <v>1</v>
      </c>
      <c r="P437" t="n">
        <v>0</v>
      </c>
      <c r="Q437" t="n">
        <v>1</v>
      </c>
      <c r="R437" s="2" t="inlineStr">
        <is>
          <t>Brunklöver</t>
        </is>
      </c>
      <c r="S437">
        <f>HYPERLINK("https://klasma.github.io/Logging_1982/artfynd/A 51122-2024 artfynd.xlsx", "A 51122-2024")</f>
        <v/>
      </c>
      <c r="T437">
        <f>HYPERLINK("https://klasma.github.io/Logging_1982/kartor/A 51122-2024 karta.png", "A 51122-2024")</f>
        <v/>
      </c>
      <c r="V437">
        <f>HYPERLINK("https://klasma.github.io/Logging_1982/klagomål/A 51122-2024 FSC-klagomål.docx", "A 51122-2024")</f>
        <v/>
      </c>
      <c r="W437">
        <f>HYPERLINK("https://klasma.github.io/Logging_1982/klagomålsmail/A 51122-2024 FSC-klagomål mail.docx", "A 51122-2024")</f>
        <v/>
      </c>
      <c r="X437">
        <f>HYPERLINK("https://klasma.github.io/Logging_1982/tillsyn/A 51122-2024 tillsynsbegäran.docx", "A 51122-2024")</f>
        <v/>
      </c>
      <c r="Y437">
        <f>HYPERLINK("https://klasma.github.io/Logging_1982/tillsynsmail/A 51122-2024 tillsynsbegäran mail.docx", "A 51122-2024")</f>
        <v/>
      </c>
    </row>
    <row r="438" ht="15" customHeight="1">
      <c r="A438" t="inlineStr">
        <is>
          <t>A 51947-2024</t>
        </is>
      </c>
      <c r="B438" s="1" t="n">
        <v>45607</v>
      </c>
      <c r="C438" s="1" t="n">
        <v>45821</v>
      </c>
      <c r="D438" t="inlineStr">
        <is>
          <t>VÄSTMANLANDS LÄN</t>
        </is>
      </c>
      <c r="E438" t="inlineStr">
        <is>
          <t>ARBOGA</t>
        </is>
      </c>
      <c r="F438" t="inlineStr">
        <is>
          <t>Sveaskog</t>
        </is>
      </c>
      <c r="G438" t="n">
        <v>2.3</v>
      </c>
      <c r="H438" t="n">
        <v>0</v>
      </c>
      <c r="I438" t="n">
        <v>0</v>
      </c>
      <c r="J438" t="n">
        <v>1</v>
      </c>
      <c r="K438" t="n">
        <v>0</v>
      </c>
      <c r="L438" t="n">
        <v>0</v>
      </c>
      <c r="M438" t="n">
        <v>0</v>
      </c>
      <c r="N438" t="n">
        <v>0</v>
      </c>
      <c r="O438" t="n">
        <v>1</v>
      </c>
      <c r="P438" t="n">
        <v>0</v>
      </c>
      <c r="Q438" t="n">
        <v>1</v>
      </c>
      <c r="R438" s="2" t="inlineStr">
        <is>
          <t>Ullticka</t>
        </is>
      </c>
      <c r="S438">
        <f>HYPERLINK("https://klasma.github.io/Logging_1984/artfynd/A 51947-2024 artfynd.xlsx", "A 51947-2024")</f>
        <v/>
      </c>
      <c r="T438">
        <f>HYPERLINK("https://klasma.github.io/Logging_1984/kartor/A 51947-2024 karta.png", "A 51947-2024")</f>
        <v/>
      </c>
      <c r="V438">
        <f>HYPERLINK("https://klasma.github.io/Logging_1984/klagomål/A 51947-2024 FSC-klagomål.docx", "A 51947-2024")</f>
        <v/>
      </c>
      <c r="W438">
        <f>HYPERLINK("https://klasma.github.io/Logging_1984/klagomålsmail/A 51947-2024 FSC-klagomål mail.docx", "A 51947-2024")</f>
        <v/>
      </c>
      <c r="X438">
        <f>HYPERLINK("https://klasma.github.io/Logging_1984/tillsyn/A 51947-2024 tillsynsbegäran.docx", "A 51947-2024")</f>
        <v/>
      </c>
      <c r="Y438">
        <f>HYPERLINK("https://klasma.github.io/Logging_1984/tillsynsmail/A 51947-2024 tillsynsbegäran mail.docx", "A 51947-2024")</f>
        <v/>
      </c>
    </row>
    <row r="439" ht="15" customHeight="1">
      <c r="A439" t="inlineStr">
        <is>
          <t>A 51912-2024</t>
        </is>
      </c>
      <c r="B439" s="1" t="n">
        <v>45607</v>
      </c>
      <c r="C439" s="1" t="n">
        <v>45821</v>
      </c>
      <c r="D439" t="inlineStr">
        <is>
          <t>VÄSTMANLANDS LÄN</t>
        </is>
      </c>
      <c r="E439" t="inlineStr">
        <is>
          <t>VÄSTERÅS</t>
        </is>
      </c>
      <c r="G439" t="n">
        <v>13.2</v>
      </c>
      <c r="H439" t="n">
        <v>0</v>
      </c>
      <c r="I439" t="n">
        <v>0</v>
      </c>
      <c r="J439" t="n">
        <v>1</v>
      </c>
      <c r="K439" t="n">
        <v>0</v>
      </c>
      <c r="L439" t="n">
        <v>0</v>
      </c>
      <c r="M439" t="n">
        <v>0</v>
      </c>
      <c r="N439" t="n">
        <v>0</v>
      </c>
      <c r="O439" t="n">
        <v>1</v>
      </c>
      <c r="P439" t="n">
        <v>0</v>
      </c>
      <c r="Q439" t="n">
        <v>1</v>
      </c>
      <c r="R439" s="2" t="inlineStr">
        <is>
          <t>Tallticka</t>
        </is>
      </c>
      <c r="S439">
        <f>HYPERLINK("https://klasma.github.io/Logging_1980/artfynd/A 51912-2024 artfynd.xlsx", "A 51912-2024")</f>
        <v/>
      </c>
      <c r="T439">
        <f>HYPERLINK("https://klasma.github.io/Logging_1980/kartor/A 51912-2024 karta.png", "A 51912-2024")</f>
        <v/>
      </c>
      <c r="V439">
        <f>HYPERLINK("https://klasma.github.io/Logging_1980/klagomål/A 51912-2024 FSC-klagomål.docx", "A 51912-2024")</f>
        <v/>
      </c>
      <c r="W439">
        <f>HYPERLINK("https://klasma.github.io/Logging_1980/klagomålsmail/A 51912-2024 FSC-klagomål mail.docx", "A 51912-2024")</f>
        <v/>
      </c>
      <c r="X439">
        <f>HYPERLINK("https://klasma.github.io/Logging_1980/tillsyn/A 51912-2024 tillsynsbegäran.docx", "A 51912-2024")</f>
        <v/>
      </c>
      <c r="Y439">
        <f>HYPERLINK("https://klasma.github.io/Logging_1980/tillsynsmail/A 51912-2024 tillsynsbegäran mail.docx", "A 51912-2024")</f>
        <v/>
      </c>
    </row>
    <row r="440" ht="15" customHeight="1">
      <c r="A440" t="inlineStr">
        <is>
          <t>A 54868-2024</t>
        </is>
      </c>
      <c r="B440" s="1" t="n">
        <v>45618</v>
      </c>
      <c r="C440" s="1" t="n">
        <v>45821</v>
      </c>
      <c r="D440" t="inlineStr">
        <is>
          <t>VÄSTMANLANDS LÄN</t>
        </is>
      </c>
      <c r="E440" t="inlineStr">
        <is>
          <t>KÖPING</t>
        </is>
      </c>
      <c r="F440" t="inlineStr">
        <is>
          <t>Sveaskog</t>
        </is>
      </c>
      <c r="G440" t="n">
        <v>6.4</v>
      </c>
      <c r="H440" t="n">
        <v>0</v>
      </c>
      <c r="I440" t="n">
        <v>0</v>
      </c>
      <c r="J440" t="n">
        <v>1</v>
      </c>
      <c r="K440" t="n">
        <v>0</v>
      </c>
      <c r="L440" t="n">
        <v>0</v>
      </c>
      <c r="M440" t="n">
        <v>0</v>
      </c>
      <c r="N440" t="n">
        <v>0</v>
      </c>
      <c r="O440" t="n">
        <v>1</v>
      </c>
      <c r="P440" t="n">
        <v>0</v>
      </c>
      <c r="Q440" t="n">
        <v>1</v>
      </c>
      <c r="R440" s="2" t="inlineStr">
        <is>
          <t>Skogsklocka</t>
        </is>
      </c>
      <c r="S440">
        <f>HYPERLINK("https://klasma.github.io/Logging_1983/artfynd/A 54868-2024 artfynd.xlsx", "A 54868-2024")</f>
        <v/>
      </c>
      <c r="T440">
        <f>HYPERLINK("https://klasma.github.io/Logging_1983/kartor/A 54868-2024 karta.png", "A 54868-2024")</f>
        <v/>
      </c>
      <c r="V440">
        <f>HYPERLINK("https://klasma.github.io/Logging_1983/klagomål/A 54868-2024 FSC-klagomål.docx", "A 54868-2024")</f>
        <v/>
      </c>
      <c r="W440">
        <f>HYPERLINK("https://klasma.github.io/Logging_1983/klagomålsmail/A 54868-2024 FSC-klagomål mail.docx", "A 54868-2024")</f>
        <v/>
      </c>
      <c r="X440">
        <f>HYPERLINK("https://klasma.github.io/Logging_1983/tillsyn/A 54868-2024 tillsynsbegäran.docx", "A 54868-2024")</f>
        <v/>
      </c>
      <c r="Y440">
        <f>HYPERLINK("https://klasma.github.io/Logging_1983/tillsynsmail/A 54868-2024 tillsynsbegäran mail.docx", "A 54868-2024")</f>
        <v/>
      </c>
    </row>
    <row r="441" ht="15" customHeight="1">
      <c r="A441" t="inlineStr">
        <is>
          <t>A 55711-2024</t>
        </is>
      </c>
      <c r="B441" s="1" t="n">
        <v>45622</v>
      </c>
      <c r="C441" s="1" t="n">
        <v>45821</v>
      </c>
      <c r="D441" t="inlineStr">
        <is>
          <t>VÄSTMANLANDS LÄN</t>
        </is>
      </c>
      <c r="E441" t="inlineStr">
        <is>
          <t>NORBERG</t>
        </is>
      </c>
      <c r="G441" t="n">
        <v>2.5</v>
      </c>
      <c r="H441" t="n">
        <v>1</v>
      </c>
      <c r="I441" t="n">
        <v>1</v>
      </c>
      <c r="J441" t="n">
        <v>0</v>
      </c>
      <c r="K441" t="n">
        <v>0</v>
      </c>
      <c r="L441" t="n">
        <v>0</v>
      </c>
      <c r="M441" t="n">
        <v>0</v>
      </c>
      <c r="N441" t="n">
        <v>0</v>
      </c>
      <c r="O441" t="n">
        <v>0</v>
      </c>
      <c r="P441" t="n">
        <v>0</v>
      </c>
      <c r="Q441" t="n">
        <v>1</v>
      </c>
      <c r="R441" s="2" t="inlineStr">
        <is>
          <t>Skogsknipprot</t>
        </is>
      </c>
      <c r="S441">
        <f>HYPERLINK("https://klasma.github.io/Logging_1962/artfynd/A 55711-2024 artfynd.xlsx", "A 55711-2024")</f>
        <v/>
      </c>
      <c r="T441">
        <f>HYPERLINK("https://klasma.github.io/Logging_1962/kartor/A 55711-2024 karta.png", "A 55711-2024")</f>
        <v/>
      </c>
      <c r="V441">
        <f>HYPERLINK("https://klasma.github.io/Logging_1962/klagomål/A 55711-2024 FSC-klagomål.docx", "A 55711-2024")</f>
        <v/>
      </c>
      <c r="W441">
        <f>HYPERLINK("https://klasma.github.io/Logging_1962/klagomålsmail/A 55711-2024 FSC-klagomål mail.docx", "A 55711-2024")</f>
        <v/>
      </c>
      <c r="X441">
        <f>HYPERLINK("https://klasma.github.io/Logging_1962/tillsyn/A 55711-2024 tillsynsbegäran.docx", "A 55711-2024")</f>
        <v/>
      </c>
      <c r="Y441">
        <f>HYPERLINK("https://klasma.github.io/Logging_1962/tillsynsmail/A 55711-2024 tillsynsbegäran mail.docx", "A 55711-2024")</f>
        <v/>
      </c>
    </row>
    <row r="442" ht="15" customHeight="1">
      <c r="A442" t="inlineStr">
        <is>
          <t>A 58307-2024</t>
        </is>
      </c>
      <c r="B442" s="1" t="n">
        <v>45632</v>
      </c>
      <c r="C442" s="1" t="n">
        <v>45821</v>
      </c>
      <c r="D442" t="inlineStr">
        <is>
          <t>VÄSTMANLANDS LÄN</t>
        </is>
      </c>
      <c r="E442" t="inlineStr">
        <is>
          <t>FAGERSTA</t>
        </is>
      </c>
      <c r="G442" t="n">
        <v>1</v>
      </c>
      <c r="H442" t="n">
        <v>0</v>
      </c>
      <c r="I442" t="n">
        <v>1</v>
      </c>
      <c r="J442" t="n">
        <v>0</v>
      </c>
      <c r="K442" t="n">
        <v>0</v>
      </c>
      <c r="L442" t="n">
        <v>0</v>
      </c>
      <c r="M442" t="n">
        <v>0</v>
      </c>
      <c r="N442" t="n">
        <v>0</v>
      </c>
      <c r="O442" t="n">
        <v>0</v>
      </c>
      <c r="P442" t="n">
        <v>0</v>
      </c>
      <c r="Q442" t="n">
        <v>1</v>
      </c>
      <c r="R442" s="2" t="inlineStr">
        <is>
          <t>Mindre märgborre</t>
        </is>
      </c>
      <c r="S442">
        <f>HYPERLINK("https://klasma.github.io/Logging_1982/artfynd/A 58307-2024 artfynd.xlsx", "A 58307-2024")</f>
        <v/>
      </c>
      <c r="T442">
        <f>HYPERLINK("https://klasma.github.io/Logging_1982/kartor/A 58307-2024 karta.png", "A 58307-2024")</f>
        <v/>
      </c>
      <c r="V442">
        <f>HYPERLINK("https://klasma.github.io/Logging_1982/klagomål/A 58307-2024 FSC-klagomål.docx", "A 58307-2024")</f>
        <v/>
      </c>
      <c r="W442">
        <f>HYPERLINK("https://klasma.github.io/Logging_1982/klagomålsmail/A 58307-2024 FSC-klagomål mail.docx", "A 58307-2024")</f>
        <v/>
      </c>
      <c r="X442">
        <f>HYPERLINK("https://klasma.github.io/Logging_1982/tillsyn/A 58307-2024 tillsynsbegäran.docx", "A 58307-2024")</f>
        <v/>
      </c>
      <c r="Y442">
        <f>HYPERLINK("https://klasma.github.io/Logging_1982/tillsynsmail/A 58307-2024 tillsynsbegäran mail.docx", "A 58307-2024")</f>
        <v/>
      </c>
    </row>
    <row r="443" ht="15" customHeight="1">
      <c r="A443" t="inlineStr">
        <is>
          <t>A 58122-2024</t>
        </is>
      </c>
      <c r="B443" s="1" t="n">
        <v>45632</v>
      </c>
      <c r="C443" s="1" t="n">
        <v>45821</v>
      </c>
      <c r="D443" t="inlineStr">
        <is>
          <t>VÄSTMANLANDS LÄN</t>
        </is>
      </c>
      <c r="E443" t="inlineStr">
        <is>
          <t>KÖPING</t>
        </is>
      </c>
      <c r="G443" t="n">
        <v>5.7</v>
      </c>
      <c r="H443" t="n">
        <v>1</v>
      </c>
      <c r="I443" t="n">
        <v>0</v>
      </c>
      <c r="J443" t="n">
        <v>0</v>
      </c>
      <c r="K443" t="n">
        <v>0</v>
      </c>
      <c r="L443" t="n">
        <v>0</v>
      </c>
      <c r="M443" t="n">
        <v>0</v>
      </c>
      <c r="N443" t="n">
        <v>0</v>
      </c>
      <c r="O443" t="n">
        <v>0</v>
      </c>
      <c r="P443" t="n">
        <v>0</v>
      </c>
      <c r="Q443" t="n">
        <v>1</v>
      </c>
      <c r="R443" s="2" t="inlineStr">
        <is>
          <t>Vanlig groda</t>
        </is>
      </c>
      <c r="S443">
        <f>HYPERLINK("https://klasma.github.io/Logging_1983/artfynd/A 58122-2024 artfynd.xlsx", "A 58122-2024")</f>
        <v/>
      </c>
      <c r="T443">
        <f>HYPERLINK("https://klasma.github.io/Logging_1983/kartor/A 58122-2024 karta.png", "A 58122-2024")</f>
        <v/>
      </c>
      <c r="V443">
        <f>HYPERLINK("https://klasma.github.io/Logging_1983/klagomål/A 58122-2024 FSC-klagomål.docx", "A 58122-2024")</f>
        <v/>
      </c>
      <c r="W443">
        <f>HYPERLINK("https://klasma.github.io/Logging_1983/klagomålsmail/A 58122-2024 FSC-klagomål mail.docx", "A 58122-2024")</f>
        <v/>
      </c>
      <c r="X443">
        <f>HYPERLINK("https://klasma.github.io/Logging_1983/tillsyn/A 58122-2024 tillsynsbegäran.docx", "A 58122-2024")</f>
        <v/>
      </c>
      <c r="Y443">
        <f>HYPERLINK("https://klasma.github.io/Logging_1983/tillsynsmail/A 58122-2024 tillsynsbegäran mail.docx", "A 58122-2024")</f>
        <v/>
      </c>
    </row>
    <row r="444" ht="15" customHeight="1">
      <c r="A444" t="inlineStr">
        <is>
          <t>A 58711-2024</t>
        </is>
      </c>
      <c r="B444" s="1" t="n">
        <v>45635</v>
      </c>
      <c r="C444" s="1" t="n">
        <v>45821</v>
      </c>
      <c r="D444" t="inlineStr">
        <is>
          <t>VÄSTMANLANDS LÄN</t>
        </is>
      </c>
      <c r="E444" t="inlineStr">
        <is>
          <t>SALA</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HYPERLINK("https://klasma.github.io/Logging_1981/artfynd/A 58711-2024 artfynd.xlsx", "A 58711-2024")</f>
        <v/>
      </c>
      <c r="T444">
        <f>HYPERLINK("https://klasma.github.io/Logging_1981/kartor/A 58711-2024 karta.png", "A 58711-2024")</f>
        <v/>
      </c>
      <c r="V444">
        <f>HYPERLINK("https://klasma.github.io/Logging_1981/klagomål/A 58711-2024 FSC-klagomål.docx", "A 58711-2024")</f>
        <v/>
      </c>
      <c r="W444">
        <f>HYPERLINK("https://klasma.github.io/Logging_1981/klagomålsmail/A 58711-2024 FSC-klagomål mail.docx", "A 58711-2024")</f>
        <v/>
      </c>
      <c r="X444">
        <f>HYPERLINK("https://klasma.github.io/Logging_1981/tillsyn/A 58711-2024 tillsynsbegäran.docx", "A 58711-2024")</f>
        <v/>
      </c>
      <c r="Y444">
        <f>HYPERLINK("https://klasma.github.io/Logging_1981/tillsynsmail/A 58711-2024 tillsynsbegäran mail.docx", "A 58711-2024")</f>
        <v/>
      </c>
      <c r="Z444">
        <f>HYPERLINK("https://klasma.github.io/Logging_1981/fåglar/A 58711-2024 prioriterade fågelarter.docx", "A 58711-2024")</f>
        <v/>
      </c>
    </row>
    <row r="445" ht="15" customHeight="1">
      <c r="A445" t="inlineStr">
        <is>
          <t>A 60218-2024</t>
        </is>
      </c>
      <c r="B445" s="1" t="n">
        <v>45642</v>
      </c>
      <c r="C445" s="1" t="n">
        <v>45821</v>
      </c>
      <c r="D445" t="inlineStr">
        <is>
          <t>VÄSTMANLANDS LÄN</t>
        </is>
      </c>
      <c r="E445" t="inlineStr">
        <is>
          <t>VÄSTERÅS</t>
        </is>
      </c>
      <c r="G445" t="n">
        <v>7.3</v>
      </c>
      <c r="H445" t="n">
        <v>1</v>
      </c>
      <c r="I445" t="n">
        <v>0</v>
      </c>
      <c r="J445" t="n">
        <v>0</v>
      </c>
      <c r="K445" t="n">
        <v>0</v>
      </c>
      <c r="L445" t="n">
        <v>0</v>
      </c>
      <c r="M445" t="n">
        <v>0</v>
      </c>
      <c r="N445" t="n">
        <v>0</v>
      </c>
      <c r="O445" t="n">
        <v>0</v>
      </c>
      <c r="P445" t="n">
        <v>0</v>
      </c>
      <c r="Q445" t="n">
        <v>1</v>
      </c>
      <c r="R445" s="2" t="inlineStr">
        <is>
          <t>Mindre vattensalamander</t>
        </is>
      </c>
      <c r="S445">
        <f>HYPERLINK("https://klasma.github.io/Logging_1980/artfynd/A 60218-2024 artfynd.xlsx", "A 60218-2024")</f>
        <v/>
      </c>
      <c r="T445">
        <f>HYPERLINK("https://klasma.github.io/Logging_1980/kartor/A 60218-2024 karta.png", "A 60218-2024")</f>
        <v/>
      </c>
      <c r="V445">
        <f>HYPERLINK("https://klasma.github.io/Logging_1980/klagomål/A 60218-2024 FSC-klagomål.docx", "A 60218-2024")</f>
        <v/>
      </c>
      <c r="W445">
        <f>HYPERLINK("https://klasma.github.io/Logging_1980/klagomålsmail/A 60218-2024 FSC-klagomål mail.docx", "A 60218-2024")</f>
        <v/>
      </c>
      <c r="X445">
        <f>HYPERLINK("https://klasma.github.io/Logging_1980/tillsyn/A 60218-2024 tillsynsbegäran.docx", "A 60218-2024")</f>
        <v/>
      </c>
      <c r="Y445">
        <f>HYPERLINK("https://klasma.github.io/Logging_1980/tillsynsmail/A 60218-2024 tillsynsbegäran mail.docx", "A 60218-2024")</f>
        <v/>
      </c>
    </row>
    <row r="446" ht="15" customHeight="1">
      <c r="A446" t="inlineStr">
        <is>
          <t>A 61099-2024</t>
        </is>
      </c>
      <c r="B446" s="1" t="n">
        <v>45644</v>
      </c>
      <c r="C446" s="1" t="n">
        <v>45821</v>
      </c>
      <c r="D446" t="inlineStr">
        <is>
          <t>VÄSTMANLANDS LÄN</t>
        </is>
      </c>
      <c r="E446" t="inlineStr">
        <is>
          <t>NORBERG</t>
        </is>
      </c>
      <c r="G446" t="n">
        <v>0.4</v>
      </c>
      <c r="H446" t="n">
        <v>1</v>
      </c>
      <c r="I446" t="n">
        <v>0</v>
      </c>
      <c r="J446" t="n">
        <v>0</v>
      </c>
      <c r="K446" t="n">
        <v>0</v>
      </c>
      <c r="L446" t="n">
        <v>0</v>
      </c>
      <c r="M446" t="n">
        <v>0</v>
      </c>
      <c r="N446" t="n">
        <v>0</v>
      </c>
      <c r="O446" t="n">
        <v>0</v>
      </c>
      <c r="P446" t="n">
        <v>0</v>
      </c>
      <c r="Q446" t="n">
        <v>1</v>
      </c>
      <c r="R446" s="2" t="inlineStr">
        <is>
          <t>Blåsippa</t>
        </is>
      </c>
      <c r="S446">
        <f>HYPERLINK("https://klasma.github.io/Logging_1962/artfynd/A 61099-2024 artfynd.xlsx", "A 61099-2024")</f>
        <v/>
      </c>
      <c r="T446">
        <f>HYPERLINK("https://klasma.github.io/Logging_1962/kartor/A 61099-2024 karta.png", "A 61099-2024")</f>
        <v/>
      </c>
      <c r="V446">
        <f>HYPERLINK("https://klasma.github.io/Logging_1962/klagomål/A 61099-2024 FSC-klagomål.docx", "A 61099-2024")</f>
        <v/>
      </c>
      <c r="W446">
        <f>HYPERLINK("https://klasma.github.io/Logging_1962/klagomålsmail/A 61099-2024 FSC-klagomål mail.docx", "A 61099-2024")</f>
        <v/>
      </c>
      <c r="X446">
        <f>HYPERLINK("https://klasma.github.io/Logging_1962/tillsyn/A 61099-2024 tillsynsbegäran.docx", "A 61099-2024")</f>
        <v/>
      </c>
      <c r="Y446">
        <f>HYPERLINK("https://klasma.github.io/Logging_1962/tillsynsmail/A 61099-2024 tillsynsbegäran mail.docx", "A 61099-2024")</f>
        <v/>
      </c>
    </row>
    <row r="447" ht="15" customHeight="1">
      <c r="A447" t="inlineStr">
        <is>
          <t>A 60852-2024</t>
        </is>
      </c>
      <c r="B447" s="1" t="n">
        <v>45644</v>
      </c>
      <c r="C447" s="1" t="n">
        <v>45821</v>
      </c>
      <c r="D447" t="inlineStr">
        <is>
          <t>VÄSTMANLANDS LÄN</t>
        </is>
      </c>
      <c r="E447" t="inlineStr">
        <is>
          <t>SALA</t>
        </is>
      </c>
      <c r="G447" t="n">
        <v>7.6</v>
      </c>
      <c r="H447" t="n">
        <v>1</v>
      </c>
      <c r="I447" t="n">
        <v>0</v>
      </c>
      <c r="J447" t="n">
        <v>0</v>
      </c>
      <c r="K447" t="n">
        <v>0</v>
      </c>
      <c r="L447" t="n">
        <v>0</v>
      </c>
      <c r="M447" t="n">
        <v>0</v>
      </c>
      <c r="N447" t="n">
        <v>0</v>
      </c>
      <c r="O447" t="n">
        <v>0</v>
      </c>
      <c r="P447" t="n">
        <v>0</v>
      </c>
      <c r="Q447" t="n">
        <v>1</v>
      </c>
      <c r="R447" s="2" t="inlineStr">
        <is>
          <t>Blåsippa</t>
        </is>
      </c>
      <c r="S447">
        <f>HYPERLINK("https://klasma.github.io/Logging_1981/artfynd/A 60852-2024 artfynd.xlsx", "A 60852-2024")</f>
        <v/>
      </c>
      <c r="T447">
        <f>HYPERLINK("https://klasma.github.io/Logging_1981/kartor/A 60852-2024 karta.png", "A 60852-2024")</f>
        <v/>
      </c>
      <c r="V447">
        <f>HYPERLINK("https://klasma.github.io/Logging_1981/klagomål/A 60852-2024 FSC-klagomål.docx", "A 60852-2024")</f>
        <v/>
      </c>
      <c r="W447">
        <f>HYPERLINK("https://klasma.github.io/Logging_1981/klagomålsmail/A 60852-2024 FSC-klagomål mail.docx", "A 60852-2024")</f>
        <v/>
      </c>
      <c r="X447">
        <f>HYPERLINK("https://klasma.github.io/Logging_1981/tillsyn/A 60852-2024 tillsynsbegäran.docx", "A 60852-2024")</f>
        <v/>
      </c>
      <c r="Y447">
        <f>HYPERLINK("https://klasma.github.io/Logging_1981/tillsynsmail/A 60852-2024 tillsynsbegäran mail.docx", "A 60852-2024")</f>
        <v/>
      </c>
    </row>
    <row r="448" ht="15" customHeight="1">
      <c r="A448" t="inlineStr">
        <is>
          <t>A 61036-2024</t>
        </is>
      </c>
      <c r="B448" s="1" t="n">
        <v>45645</v>
      </c>
      <c r="C448" s="1" t="n">
        <v>45821</v>
      </c>
      <c r="D448" t="inlineStr">
        <is>
          <t>VÄSTMANLANDS LÄN</t>
        </is>
      </c>
      <c r="E448" t="inlineStr">
        <is>
          <t>VÄSTERÅS</t>
        </is>
      </c>
      <c r="G448" t="n">
        <v>3.7</v>
      </c>
      <c r="H448" t="n">
        <v>1</v>
      </c>
      <c r="I448" t="n">
        <v>0</v>
      </c>
      <c r="J448" t="n">
        <v>0</v>
      </c>
      <c r="K448" t="n">
        <v>0</v>
      </c>
      <c r="L448" t="n">
        <v>0</v>
      </c>
      <c r="M448" t="n">
        <v>0</v>
      </c>
      <c r="N448" t="n">
        <v>0</v>
      </c>
      <c r="O448" t="n">
        <v>0</v>
      </c>
      <c r="P448" t="n">
        <v>0</v>
      </c>
      <c r="Q448" t="n">
        <v>1</v>
      </c>
      <c r="R448" s="2" t="inlineStr">
        <is>
          <t>Revlummer</t>
        </is>
      </c>
      <c r="S448">
        <f>HYPERLINK("https://klasma.github.io/Logging_1980/artfynd/A 61036-2024 artfynd.xlsx", "A 61036-2024")</f>
        <v/>
      </c>
      <c r="T448">
        <f>HYPERLINK("https://klasma.github.io/Logging_1980/kartor/A 61036-2024 karta.png", "A 61036-2024")</f>
        <v/>
      </c>
      <c r="V448">
        <f>HYPERLINK("https://klasma.github.io/Logging_1980/klagomål/A 61036-2024 FSC-klagomål.docx", "A 61036-2024")</f>
        <v/>
      </c>
      <c r="W448">
        <f>HYPERLINK("https://klasma.github.io/Logging_1980/klagomålsmail/A 61036-2024 FSC-klagomål mail.docx", "A 61036-2024")</f>
        <v/>
      </c>
      <c r="X448">
        <f>HYPERLINK("https://klasma.github.io/Logging_1980/tillsyn/A 61036-2024 tillsynsbegäran.docx", "A 61036-2024")</f>
        <v/>
      </c>
      <c r="Y448">
        <f>HYPERLINK("https://klasma.github.io/Logging_1980/tillsynsmail/A 61036-2024 tillsynsbegäran mail.docx", "A 61036-2024")</f>
        <v/>
      </c>
    </row>
    <row r="449" ht="15" customHeight="1">
      <c r="A449" t="inlineStr">
        <is>
          <t>A 61577-2024</t>
        </is>
      </c>
      <c r="B449" s="1" t="n">
        <v>45646</v>
      </c>
      <c r="C449" s="1" t="n">
        <v>45821</v>
      </c>
      <c r="D449" t="inlineStr">
        <is>
          <t>VÄSTMANLANDS LÄN</t>
        </is>
      </c>
      <c r="E449" t="inlineStr">
        <is>
          <t>KÖPING</t>
        </is>
      </c>
      <c r="G449" t="n">
        <v>5.6</v>
      </c>
      <c r="H449" t="n">
        <v>1</v>
      </c>
      <c r="I449" t="n">
        <v>0</v>
      </c>
      <c r="J449" t="n">
        <v>0</v>
      </c>
      <c r="K449" t="n">
        <v>0</v>
      </c>
      <c r="L449" t="n">
        <v>0</v>
      </c>
      <c r="M449" t="n">
        <v>0</v>
      </c>
      <c r="N449" t="n">
        <v>0</v>
      </c>
      <c r="O449" t="n">
        <v>0</v>
      </c>
      <c r="P449" t="n">
        <v>0</v>
      </c>
      <c r="Q449" t="n">
        <v>1</v>
      </c>
      <c r="R449" s="2" t="inlineStr">
        <is>
          <t>Skogsödla</t>
        </is>
      </c>
      <c r="S449">
        <f>HYPERLINK("https://klasma.github.io/Logging_1983/artfynd/A 61577-2024 artfynd.xlsx", "A 61577-2024")</f>
        <v/>
      </c>
      <c r="T449">
        <f>HYPERLINK("https://klasma.github.io/Logging_1983/kartor/A 61577-2024 karta.png", "A 61577-2024")</f>
        <v/>
      </c>
      <c r="V449">
        <f>HYPERLINK("https://klasma.github.io/Logging_1983/klagomål/A 61577-2024 FSC-klagomål.docx", "A 61577-2024")</f>
        <v/>
      </c>
      <c r="W449">
        <f>HYPERLINK("https://klasma.github.io/Logging_1983/klagomålsmail/A 61577-2024 FSC-klagomål mail.docx", "A 61577-2024")</f>
        <v/>
      </c>
      <c r="X449">
        <f>HYPERLINK("https://klasma.github.io/Logging_1983/tillsyn/A 61577-2024 tillsynsbegäran.docx", "A 61577-2024")</f>
        <v/>
      </c>
      <c r="Y449">
        <f>HYPERLINK("https://klasma.github.io/Logging_1983/tillsynsmail/A 61577-2024 tillsynsbegäran mail.docx", "A 61577-2024")</f>
        <v/>
      </c>
    </row>
    <row r="450" ht="15" customHeight="1">
      <c r="A450" t="inlineStr">
        <is>
          <t>A 62097-2024</t>
        </is>
      </c>
      <c r="B450" s="1" t="n">
        <v>45646</v>
      </c>
      <c r="C450" s="1" t="n">
        <v>45821</v>
      </c>
      <c r="D450" t="inlineStr">
        <is>
          <t>VÄSTMANLANDS LÄN</t>
        </is>
      </c>
      <c r="E450" t="inlineStr">
        <is>
          <t>SURAHAMMAR</t>
        </is>
      </c>
      <c r="F450" t="inlineStr">
        <is>
          <t>Bergvik skog väst AB</t>
        </is>
      </c>
      <c r="G450" t="n">
        <v>21.7</v>
      </c>
      <c r="H450" t="n">
        <v>1</v>
      </c>
      <c r="I450" t="n">
        <v>0</v>
      </c>
      <c r="J450" t="n">
        <v>0</v>
      </c>
      <c r="K450" t="n">
        <v>0</v>
      </c>
      <c r="L450" t="n">
        <v>0</v>
      </c>
      <c r="M450" t="n">
        <v>0</v>
      </c>
      <c r="N450" t="n">
        <v>0</v>
      </c>
      <c r="O450" t="n">
        <v>0</v>
      </c>
      <c r="P450" t="n">
        <v>0</v>
      </c>
      <c r="Q450" t="n">
        <v>1</v>
      </c>
      <c r="R450" s="2" t="inlineStr">
        <is>
          <t>Revlummer</t>
        </is>
      </c>
      <c r="S450">
        <f>HYPERLINK("https://klasma.github.io/Logging_1907/artfynd/A 62097-2024 artfynd.xlsx", "A 62097-2024")</f>
        <v/>
      </c>
      <c r="T450">
        <f>HYPERLINK("https://klasma.github.io/Logging_1907/kartor/A 62097-2024 karta.png", "A 62097-2024")</f>
        <v/>
      </c>
      <c r="V450">
        <f>HYPERLINK("https://klasma.github.io/Logging_1907/klagomål/A 62097-2024 FSC-klagomål.docx", "A 62097-2024")</f>
        <v/>
      </c>
      <c r="W450">
        <f>HYPERLINK("https://klasma.github.io/Logging_1907/klagomålsmail/A 62097-2024 FSC-klagomål mail.docx", "A 62097-2024")</f>
        <v/>
      </c>
      <c r="X450">
        <f>HYPERLINK("https://klasma.github.io/Logging_1907/tillsyn/A 62097-2024 tillsynsbegäran.docx", "A 62097-2024")</f>
        <v/>
      </c>
      <c r="Y450">
        <f>HYPERLINK("https://klasma.github.io/Logging_1907/tillsynsmail/A 62097-2024 tillsynsbegäran mail.docx", "A 62097-2024")</f>
        <v/>
      </c>
    </row>
    <row r="451" ht="15" customHeight="1">
      <c r="A451" t="inlineStr">
        <is>
          <t>A 62156-2024</t>
        </is>
      </c>
      <c r="B451" s="1" t="n">
        <v>45656</v>
      </c>
      <c r="C451" s="1" t="n">
        <v>45821</v>
      </c>
      <c r="D451" t="inlineStr">
        <is>
          <t>VÄSTMANLANDS LÄN</t>
        </is>
      </c>
      <c r="E451" t="inlineStr">
        <is>
          <t>SKINNSKATTEBERG</t>
        </is>
      </c>
      <c r="G451" t="n">
        <v>11.5</v>
      </c>
      <c r="H451" t="n">
        <v>0</v>
      </c>
      <c r="I451" t="n">
        <v>1</v>
      </c>
      <c r="J451" t="n">
        <v>0</v>
      </c>
      <c r="K451" t="n">
        <v>0</v>
      </c>
      <c r="L451" t="n">
        <v>0</v>
      </c>
      <c r="M451" t="n">
        <v>0</v>
      </c>
      <c r="N451" t="n">
        <v>0</v>
      </c>
      <c r="O451" t="n">
        <v>0</v>
      </c>
      <c r="P451" t="n">
        <v>0</v>
      </c>
      <c r="Q451" t="n">
        <v>1</v>
      </c>
      <c r="R451" s="2" t="inlineStr">
        <is>
          <t>Vedticka</t>
        </is>
      </c>
      <c r="S451">
        <f>HYPERLINK("https://klasma.github.io/Logging_1904/artfynd/A 62156-2024 artfynd.xlsx", "A 62156-2024")</f>
        <v/>
      </c>
      <c r="T451">
        <f>HYPERLINK("https://klasma.github.io/Logging_1904/kartor/A 62156-2024 karta.png", "A 62156-2024")</f>
        <v/>
      </c>
      <c r="V451">
        <f>HYPERLINK("https://klasma.github.io/Logging_1904/klagomål/A 62156-2024 FSC-klagomål.docx", "A 62156-2024")</f>
        <v/>
      </c>
      <c r="W451">
        <f>HYPERLINK("https://klasma.github.io/Logging_1904/klagomålsmail/A 62156-2024 FSC-klagomål mail.docx", "A 62156-2024")</f>
        <v/>
      </c>
      <c r="X451">
        <f>HYPERLINK("https://klasma.github.io/Logging_1904/tillsyn/A 62156-2024 tillsynsbegäran.docx", "A 62156-2024")</f>
        <v/>
      </c>
      <c r="Y451">
        <f>HYPERLINK("https://klasma.github.io/Logging_1904/tillsynsmail/A 62156-2024 tillsynsbegäran mail.docx", "A 62156-2024")</f>
        <v/>
      </c>
    </row>
    <row r="452" ht="15" customHeight="1">
      <c r="A452" t="inlineStr">
        <is>
          <t>A 1043-2025</t>
        </is>
      </c>
      <c r="B452" s="1" t="n">
        <v>45666</v>
      </c>
      <c r="C452" s="1" t="n">
        <v>45821</v>
      </c>
      <c r="D452" t="inlineStr">
        <is>
          <t>VÄSTMANLANDS LÄN</t>
        </is>
      </c>
      <c r="E452" t="inlineStr">
        <is>
          <t>KUNGSÖR</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HYPERLINK("https://klasma.github.io/Logging_1960/artfynd/A 1043-2025 artfynd.xlsx", "A 1043-2025")</f>
        <v/>
      </c>
      <c r="T452">
        <f>HYPERLINK("https://klasma.github.io/Logging_1960/kartor/A 1043-2025 karta.png", "A 1043-2025")</f>
        <v/>
      </c>
      <c r="U452">
        <f>HYPERLINK("https://klasma.github.io/Logging_1960/knärot/A 1043-2025 karta knärot.png", "A 1043-2025")</f>
        <v/>
      </c>
      <c r="V452">
        <f>HYPERLINK("https://klasma.github.io/Logging_1960/klagomål/A 1043-2025 FSC-klagomål.docx", "A 1043-2025")</f>
        <v/>
      </c>
      <c r="W452">
        <f>HYPERLINK("https://klasma.github.io/Logging_1960/klagomålsmail/A 1043-2025 FSC-klagomål mail.docx", "A 1043-2025")</f>
        <v/>
      </c>
      <c r="X452">
        <f>HYPERLINK("https://klasma.github.io/Logging_1960/tillsyn/A 1043-2025 tillsynsbegäran.docx", "A 1043-2025")</f>
        <v/>
      </c>
      <c r="Y452">
        <f>HYPERLINK("https://klasma.github.io/Logging_1960/tillsynsmail/A 1043-2025 tillsynsbegäran mail.docx", "A 1043-2025")</f>
        <v/>
      </c>
    </row>
    <row r="453" ht="15" customHeight="1">
      <c r="A453" t="inlineStr">
        <is>
          <t>A 6603-2025</t>
        </is>
      </c>
      <c r="B453" s="1" t="n">
        <v>45700</v>
      </c>
      <c r="C453" s="1" t="n">
        <v>45821</v>
      </c>
      <c r="D453" t="inlineStr">
        <is>
          <t>VÄSTMANLANDS LÄN</t>
        </is>
      </c>
      <c r="E453" t="inlineStr">
        <is>
          <t>KÖPING</t>
        </is>
      </c>
      <c r="G453" t="n">
        <v>12.1</v>
      </c>
      <c r="H453" t="n">
        <v>0</v>
      </c>
      <c r="I453" t="n">
        <v>0</v>
      </c>
      <c r="J453" t="n">
        <v>1</v>
      </c>
      <c r="K453" t="n">
        <v>0</v>
      </c>
      <c r="L453" t="n">
        <v>0</v>
      </c>
      <c r="M453" t="n">
        <v>0</v>
      </c>
      <c r="N453" t="n">
        <v>0</v>
      </c>
      <c r="O453" t="n">
        <v>1</v>
      </c>
      <c r="P453" t="n">
        <v>0</v>
      </c>
      <c r="Q453" t="n">
        <v>1</v>
      </c>
      <c r="R453" s="2" t="inlineStr">
        <is>
          <t>Motaggsvamp</t>
        </is>
      </c>
      <c r="S453">
        <f>HYPERLINK("https://klasma.github.io/Logging_1983/artfynd/A 6603-2025 artfynd.xlsx", "A 6603-2025")</f>
        <v/>
      </c>
      <c r="T453">
        <f>HYPERLINK("https://klasma.github.io/Logging_1983/kartor/A 6603-2025 karta.png", "A 6603-2025")</f>
        <v/>
      </c>
      <c r="V453">
        <f>HYPERLINK("https://klasma.github.io/Logging_1983/klagomål/A 6603-2025 FSC-klagomål.docx", "A 6603-2025")</f>
        <v/>
      </c>
      <c r="W453">
        <f>HYPERLINK("https://klasma.github.io/Logging_1983/klagomålsmail/A 6603-2025 FSC-klagomål mail.docx", "A 6603-2025")</f>
        <v/>
      </c>
      <c r="X453">
        <f>HYPERLINK("https://klasma.github.io/Logging_1983/tillsyn/A 6603-2025 tillsynsbegäran.docx", "A 6603-2025")</f>
        <v/>
      </c>
      <c r="Y453">
        <f>HYPERLINK("https://klasma.github.io/Logging_1983/tillsynsmail/A 6603-2025 tillsynsbegäran mail.docx", "A 6603-2025")</f>
        <v/>
      </c>
    </row>
    <row r="454" ht="15" customHeight="1">
      <c r="A454" t="inlineStr">
        <is>
          <t>A 9803-2025</t>
        </is>
      </c>
      <c r="B454" s="1" t="n">
        <v>45716</v>
      </c>
      <c r="C454" s="1" t="n">
        <v>45821</v>
      </c>
      <c r="D454" t="inlineStr">
        <is>
          <t>VÄSTMANLANDS LÄN</t>
        </is>
      </c>
      <c r="E454" t="inlineStr">
        <is>
          <t>FAGERSTA</t>
        </is>
      </c>
      <c r="F454" t="inlineStr">
        <is>
          <t>Sveaskog</t>
        </is>
      </c>
      <c r="G454" t="n">
        <v>4.5</v>
      </c>
      <c r="H454" t="n">
        <v>1</v>
      </c>
      <c r="I454" t="n">
        <v>0</v>
      </c>
      <c r="J454" t="n">
        <v>0</v>
      </c>
      <c r="K454" t="n">
        <v>1</v>
      </c>
      <c r="L454" t="n">
        <v>0</v>
      </c>
      <c r="M454" t="n">
        <v>0</v>
      </c>
      <c r="N454" t="n">
        <v>0</v>
      </c>
      <c r="O454" t="n">
        <v>1</v>
      </c>
      <c r="P454" t="n">
        <v>1</v>
      </c>
      <c r="Q454" t="n">
        <v>1</v>
      </c>
      <c r="R454" s="2" t="inlineStr">
        <is>
          <t>Tallbit</t>
        </is>
      </c>
      <c r="S454">
        <f>HYPERLINK("https://klasma.github.io/Logging_191982/artfynd/A 9803-2025 artfynd.xlsx", "A 9803-2025")</f>
        <v/>
      </c>
      <c r="T454">
        <f>HYPERLINK("https://klasma.github.io/Logging_191982/kartor/A 9803-2025 karta.png", "A 9803-2025")</f>
        <v/>
      </c>
      <c r="V454">
        <f>HYPERLINK("https://klasma.github.io/Logging_191982/klagomål/A 9803-2025 FSC-klagomål.docx", "A 9803-2025")</f>
        <v/>
      </c>
      <c r="W454">
        <f>HYPERLINK("https://klasma.github.io/Logging_191982/klagomålsmail/A 9803-2025 FSC-klagomål mail.docx", "A 9803-2025")</f>
        <v/>
      </c>
      <c r="X454">
        <f>HYPERLINK("https://klasma.github.io/Logging_191982/tillsyn/A 9803-2025 tillsynsbegäran.docx", "A 9803-2025")</f>
        <v/>
      </c>
      <c r="Y454">
        <f>HYPERLINK("https://klasma.github.io/Logging_191982/tillsynsmail/A 9803-2025 tillsynsbegäran mail.docx", "A 9803-2025")</f>
        <v/>
      </c>
      <c r="Z454">
        <f>HYPERLINK("https://klasma.github.io/Logging_191982/fåglar/A 9803-2025 prioriterade fågelarter.docx", "A 9803-2025")</f>
        <v/>
      </c>
    </row>
    <row r="455" ht="15" customHeight="1">
      <c r="A455" t="inlineStr">
        <is>
          <t>A 10373-2025</t>
        </is>
      </c>
      <c r="B455" s="1" t="n">
        <v>45720</v>
      </c>
      <c r="C455" s="1" t="n">
        <v>45821</v>
      </c>
      <c r="D455" t="inlineStr">
        <is>
          <t>VÄSTMANLANDS LÄN</t>
        </is>
      </c>
      <c r="E455" t="inlineStr">
        <is>
          <t>FAGERSTA</t>
        </is>
      </c>
      <c r="G455" t="n">
        <v>3</v>
      </c>
      <c r="H455" t="n">
        <v>1</v>
      </c>
      <c r="I455" t="n">
        <v>1</v>
      </c>
      <c r="J455" t="n">
        <v>0</v>
      </c>
      <c r="K455" t="n">
        <v>0</v>
      </c>
      <c r="L455" t="n">
        <v>0</v>
      </c>
      <c r="M455" t="n">
        <v>0</v>
      </c>
      <c r="N455" t="n">
        <v>0</v>
      </c>
      <c r="O455" t="n">
        <v>0</v>
      </c>
      <c r="P455" t="n">
        <v>0</v>
      </c>
      <c r="Q455" t="n">
        <v>1</v>
      </c>
      <c r="R455" s="2" t="inlineStr">
        <is>
          <t>Plattlummer</t>
        </is>
      </c>
      <c r="S455">
        <f>HYPERLINK("https://klasma.github.io/Logging_191982/artfynd/A 10373-2025 artfynd.xlsx", "A 10373-2025")</f>
        <v/>
      </c>
      <c r="T455">
        <f>HYPERLINK("https://klasma.github.io/Logging_191982/kartor/A 10373-2025 karta.png", "A 10373-2025")</f>
        <v/>
      </c>
      <c r="V455">
        <f>HYPERLINK("https://klasma.github.io/Logging_191982/klagomål/A 10373-2025 FSC-klagomål.docx", "A 10373-2025")</f>
        <v/>
      </c>
      <c r="W455">
        <f>HYPERLINK("https://klasma.github.io/Logging_191982/klagomålsmail/A 10373-2025 FSC-klagomål mail.docx", "A 10373-2025")</f>
        <v/>
      </c>
      <c r="X455">
        <f>HYPERLINK("https://klasma.github.io/Logging_191982/tillsyn/A 10373-2025 tillsynsbegäran.docx", "A 10373-2025")</f>
        <v/>
      </c>
      <c r="Y455">
        <f>HYPERLINK("https://klasma.github.io/Logging_191982/tillsynsmail/A 10373-2025 tillsynsbegäran mail.docx", "A 10373-2025")</f>
        <v/>
      </c>
    </row>
    <row r="456" ht="15" customHeight="1">
      <c r="A456" t="inlineStr">
        <is>
          <t>A 13066-2025</t>
        </is>
      </c>
      <c r="B456" s="1" t="n">
        <v>45734</v>
      </c>
      <c r="C456" s="1" t="n">
        <v>45821</v>
      </c>
      <c r="D456" t="inlineStr">
        <is>
          <t>VÄSTMANLANDS LÄN</t>
        </is>
      </c>
      <c r="E456" t="inlineStr">
        <is>
          <t>KÖPING</t>
        </is>
      </c>
      <c r="F456" t="inlineStr">
        <is>
          <t>Sveaskog</t>
        </is>
      </c>
      <c r="G456" t="n">
        <v>0.7</v>
      </c>
      <c r="H456" t="n">
        <v>1</v>
      </c>
      <c r="I456" t="n">
        <v>0</v>
      </c>
      <c r="J456" t="n">
        <v>0</v>
      </c>
      <c r="K456" t="n">
        <v>0</v>
      </c>
      <c r="L456" t="n">
        <v>0</v>
      </c>
      <c r="M456" t="n">
        <v>0</v>
      </c>
      <c r="N456" t="n">
        <v>0</v>
      </c>
      <c r="O456" t="n">
        <v>0</v>
      </c>
      <c r="P456" t="n">
        <v>0</v>
      </c>
      <c r="Q456" t="n">
        <v>1</v>
      </c>
      <c r="R456" s="2" t="inlineStr">
        <is>
          <t>Revlummer</t>
        </is>
      </c>
      <c r="S456">
        <f>HYPERLINK("https://klasma.github.io/Logging_191983/artfynd/A 13066-2025 artfynd.xlsx", "A 13066-2025")</f>
        <v/>
      </c>
      <c r="T456">
        <f>HYPERLINK("https://klasma.github.io/Logging_191983/kartor/A 13066-2025 karta.png", "A 13066-2025")</f>
        <v/>
      </c>
      <c r="V456">
        <f>HYPERLINK("https://klasma.github.io/Logging_191983/klagomål/A 13066-2025 FSC-klagomål.docx", "A 13066-2025")</f>
        <v/>
      </c>
      <c r="W456">
        <f>HYPERLINK("https://klasma.github.io/Logging_191983/klagomålsmail/A 13066-2025 FSC-klagomål mail.docx", "A 13066-2025")</f>
        <v/>
      </c>
      <c r="X456">
        <f>HYPERLINK("https://klasma.github.io/Logging_191983/tillsyn/A 13066-2025 tillsynsbegäran.docx", "A 13066-2025")</f>
        <v/>
      </c>
      <c r="Y456">
        <f>HYPERLINK("https://klasma.github.io/Logging_191983/tillsynsmail/A 13066-2025 tillsynsbegäran mail.docx", "A 13066-2025")</f>
        <v/>
      </c>
    </row>
    <row r="457" ht="15" customHeight="1">
      <c r="A457" t="inlineStr">
        <is>
          <t>A 13788-2025</t>
        </is>
      </c>
      <c r="B457" s="1" t="n">
        <v>45737</v>
      </c>
      <c r="C457" s="1" t="n">
        <v>45821</v>
      </c>
      <c r="D457" t="inlineStr">
        <is>
          <t>VÄSTMANLANDS LÄN</t>
        </is>
      </c>
      <c r="E457" t="inlineStr">
        <is>
          <t>SURAHAMMAR</t>
        </is>
      </c>
      <c r="G457" t="n">
        <v>9.699999999999999</v>
      </c>
      <c r="H457" t="n">
        <v>1</v>
      </c>
      <c r="I457" t="n">
        <v>0</v>
      </c>
      <c r="J457" t="n">
        <v>0</v>
      </c>
      <c r="K457" t="n">
        <v>0</v>
      </c>
      <c r="L457" t="n">
        <v>0</v>
      </c>
      <c r="M457" t="n">
        <v>0</v>
      </c>
      <c r="N457" t="n">
        <v>0</v>
      </c>
      <c r="O457" t="n">
        <v>0</v>
      </c>
      <c r="P457" t="n">
        <v>0</v>
      </c>
      <c r="Q457" t="n">
        <v>1</v>
      </c>
      <c r="R457" s="2" t="inlineStr">
        <is>
          <t>Sparvuggla</t>
        </is>
      </c>
      <c r="S457">
        <f>HYPERLINK("https://klasma.github.io/Logging_191907/artfynd/A 13788-2025 artfynd.xlsx", "A 13788-2025")</f>
        <v/>
      </c>
      <c r="T457">
        <f>HYPERLINK("https://klasma.github.io/Logging_191907/kartor/A 13788-2025 karta.png", "A 13788-2025")</f>
        <v/>
      </c>
      <c r="V457">
        <f>HYPERLINK("https://klasma.github.io/Logging_191907/klagomål/A 13788-2025 FSC-klagomål.docx", "A 13788-2025")</f>
        <v/>
      </c>
      <c r="W457">
        <f>HYPERLINK("https://klasma.github.io/Logging_191907/klagomålsmail/A 13788-2025 FSC-klagomål mail.docx", "A 13788-2025")</f>
        <v/>
      </c>
      <c r="X457">
        <f>HYPERLINK("https://klasma.github.io/Logging_191907/tillsyn/A 13788-2025 tillsynsbegäran.docx", "A 13788-2025")</f>
        <v/>
      </c>
      <c r="Y457">
        <f>HYPERLINK("https://klasma.github.io/Logging_191907/tillsynsmail/A 13788-2025 tillsynsbegäran mail.docx", "A 13788-2025")</f>
        <v/>
      </c>
      <c r="Z457">
        <f>HYPERLINK("https://klasma.github.io/Logging_191907/fåglar/A 13788-2025 prioriterade fågelarter.docx", "A 13788-2025")</f>
        <v/>
      </c>
    </row>
    <row r="458" ht="15" customHeight="1">
      <c r="A458" t="inlineStr">
        <is>
          <t>A 15107-2025</t>
        </is>
      </c>
      <c r="B458" s="1" t="n">
        <v>45744</v>
      </c>
      <c r="C458" s="1" t="n">
        <v>45821</v>
      </c>
      <c r="D458" t="inlineStr">
        <is>
          <t>VÄSTMANLANDS LÄN</t>
        </is>
      </c>
      <c r="E458" t="inlineStr">
        <is>
          <t>NORBERG</t>
        </is>
      </c>
      <c r="F458" t="inlineStr">
        <is>
          <t>Sveaskog</t>
        </is>
      </c>
      <c r="G458" t="n">
        <v>0.9</v>
      </c>
      <c r="H458" t="n">
        <v>1</v>
      </c>
      <c r="I458" t="n">
        <v>0</v>
      </c>
      <c r="J458" t="n">
        <v>0</v>
      </c>
      <c r="K458" t="n">
        <v>0</v>
      </c>
      <c r="L458" t="n">
        <v>0</v>
      </c>
      <c r="M458" t="n">
        <v>0</v>
      </c>
      <c r="N458" t="n">
        <v>0</v>
      </c>
      <c r="O458" t="n">
        <v>0</v>
      </c>
      <c r="P458" t="n">
        <v>0</v>
      </c>
      <c r="Q458" t="n">
        <v>1</v>
      </c>
      <c r="R458" s="2" t="inlineStr">
        <is>
          <t>Blåsippa</t>
        </is>
      </c>
      <c r="S458">
        <f>HYPERLINK("https://klasma.github.io/Logging_191962/artfynd/A 15107-2025 artfynd.xlsx", "A 15107-2025")</f>
        <v/>
      </c>
      <c r="T458">
        <f>HYPERLINK("https://klasma.github.io/Logging_191962/kartor/A 15107-2025 karta.png", "A 15107-2025")</f>
        <v/>
      </c>
      <c r="V458">
        <f>HYPERLINK("https://klasma.github.io/Logging_191962/klagomål/A 15107-2025 FSC-klagomål.docx", "A 15107-2025")</f>
        <v/>
      </c>
      <c r="W458">
        <f>HYPERLINK("https://klasma.github.io/Logging_191962/klagomålsmail/A 15107-2025 FSC-klagomål mail.docx", "A 15107-2025")</f>
        <v/>
      </c>
      <c r="X458">
        <f>HYPERLINK("https://klasma.github.io/Logging_191962/tillsyn/A 15107-2025 tillsynsbegäran.docx", "A 15107-2025")</f>
        <v/>
      </c>
      <c r="Y458">
        <f>HYPERLINK("https://klasma.github.io/Logging_191962/tillsynsmail/A 15107-2025 tillsynsbegäran mail.docx", "A 15107-2025")</f>
        <v/>
      </c>
    </row>
    <row r="459" ht="15" customHeight="1">
      <c r="A459" t="inlineStr">
        <is>
          <t>A 17298-2025</t>
        </is>
      </c>
      <c r="B459" s="1" t="n">
        <v>45756</v>
      </c>
      <c r="C459" s="1" t="n">
        <v>45821</v>
      </c>
      <c r="D459" t="inlineStr">
        <is>
          <t>VÄSTMANLANDS LÄN</t>
        </is>
      </c>
      <c r="E459" t="inlineStr">
        <is>
          <t>SKINNSKATTEBERG</t>
        </is>
      </c>
      <c r="F459" t="inlineStr">
        <is>
          <t>Sveaskog</t>
        </is>
      </c>
      <c r="G459" t="n">
        <v>6</v>
      </c>
      <c r="H459" t="n">
        <v>0</v>
      </c>
      <c r="I459" t="n">
        <v>1</v>
      </c>
      <c r="J459" t="n">
        <v>0</v>
      </c>
      <c r="K459" t="n">
        <v>0</v>
      </c>
      <c r="L459" t="n">
        <v>0</v>
      </c>
      <c r="M459" t="n">
        <v>0</v>
      </c>
      <c r="N459" t="n">
        <v>0</v>
      </c>
      <c r="O459" t="n">
        <v>0</v>
      </c>
      <c r="P459" t="n">
        <v>0</v>
      </c>
      <c r="Q459" t="n">
        <v>1</v>
      </c>
      <c r="R459" s="2" t="inlineStr">
        <is>
          <t>Toppvaxing</t>
        </is>
      </c>
      <c r="S459">
        <f>HYPERLINK("https://klasma.github.io/Logging_191904/artfynd/A 17298-2025 artfynd.xlsx", "A 17298-2025")</f>
        <v/>
      </c>
      <c r="T459">
        <f>HYPERLINK("https://klasma.github.io/Logging_191904/kartor/A 17298-2025 karta.png", "A 17298-2025")</f>
        <v/>
      </c>
      <c r="V459">
        <f>HYPERLINK("https://klasma.github.io/Logging_191904/klagomål/A 17298-2025 FSC-klagomål.docx", "A 17298-2025")</f>
        <v/>
      </c>
      <c r="W459">
        <f>HYPERLINK("https://klasma.github.io/Logging_191904/klagomålsmail/A 17298-2025 FSC-klagomål mail.docx", "A 17298-2025")</f>
        <v/>
      </c>
      <c r="X459">
        <f>HYPERLINK("https://klasma.github.io/Logging_191904/tillsyn/A 17298-2025 tillsynsbegäran.docx", "A 17298-2025")</f>
        <v/>
      </c>
      <c r="Y459">
        <f>HYPERLINK("https://klasma.github.io/Logging_191904/tillsynsmail/A 17298-2025 tillsynsbegäran mail.docx", "A 17298-2025")</f>
        <v/>
      </c>
    </row>
    <row r="460" ht="15" customHeight="1">
      <c r="A460" t="inlineStr">
        <is>
          <t>A 17613-2025</t>
        </is>
      </c>
      <c r="B460" s="1" t="n">
        <v>45757</v>
      </c>
      <c r="C460" s="1" t="n">
        <v>45821</v>
      </c>
      <c r="D460" t="inlineStr">
        <is>
          <t>VÄSTMANLANDS LÄN</t>
        </is>
      </c>
      <c r="E460" t="inlineStr">
        <is>
          <t>FAGERSTA</t>
        </is>
      </c>
      <c r="F460" t="inlineStr">
        <is>
          <t>Sveaskog</t>
        </is>
      </c>
      <c r="G460" t="n">
        <v>6.5</v>
      </c>
      <c r="H460" t="n">
        <v>1</v>
      </c>
      <c r="I460" t="n">
        <v>1</v>
      </c>
      <c r="J460" t="n">
        <v>0</v>
      </c>
      <c r="K460" t="n">
        <v>0</v>
      </c>
      <c r="L460" t="n">
        <v>0</v>
      </c>
      <c r="M460" t="n">
        <v>0</v>
      </c>
      <c r="N460" t="n">
        <v>0</v>
      </c>
      <c r="O460" t="n">
        <v>0</v>
      </c>
      <c r="P460" t="n">
        <v>0</v>
      </c>
      <c r="Q460" t="n">
        <v>1</v>
      </c>
      <c r="R460" s="2" t="inlineStr">
        <is>
          <t>Korallrot</t>
        </is>
      </c>
      <c r="S460">
        <f>HYPERLINK("https://klasma.github.io/Logging_191982/artfynd/A 17613-2025 artfynd.xlsx", "A 17613-2025")</f>
        <v/>
      </c>
      <c r="T460">
        <f>HYPERLINK("https://klasma.github.io/Logging_191982/kartor/A 17613-2025 karta.png", "A 17613-2025")</f>
        <v/>
      </c>
      <c r="V460">
        <f>HYPERLINK("https://klasma.github.io/Logging_191982/klagomål/A 17613-2025 FSC-klagomål.docx", "A 17613-2025")</f>
        <v/>
      </c>
      <c r="W460">
        <f>HYPERLINK("https://klasma.github.io/Logging_191982/klagomålsmail/A 17613-2025 FSC-klagomål mail.docx", "A 17613-2025")</f>
        <v/>
      </c>
      <c r="X460">
        <f>HYPERLINK("https://klasma.github.io/Logging_191982/tillsyn/A 17613-2025 tillsynsbegäran.docx", "A 17613-2025")</f>
        <v/>
      </c>
      <c r="Y460">
        <f>HYPERLINK("https://klasma.github.io/Logging_191982/tillsynsmail/A 17613-2025 tillsynsbegäran mail.docx", "A 17613-2025")</f>
        <v/>
      </c>
    </row>
    <row r="461" ht="15" customHeight="1">
      <c r="A461" t="inlineStr">
        <is>
          <t>A 18371-2025</t>
        </is>
      </c>
      <c r="B461" s="1" t="n">
        <v>45762</v>
      </c>
      <c r="C461" s="1" t="n">
        <v>45821</v>
      </c>
      <c r="D461" t="inlineStr">
        <is>
          <t>VÄSTMANLANDS LÄN</t>
        </is>
      </c>
      <c r="E461" t="inlineStr">
        <is>
          <t>KÖPING</t>
        </is>
      </c>
      <c r="G461" t="n">
        <v>0.8</v>
      </c>
      <c r="H461" t="n">
        <v>1</v>
      </c>
      <c r="I461" t="n">
        <v>0</v>
      </c>
      <c r="J461" t="n">
        <v>0</v>
      </c>
      <c r="K461" t="n">
        <v>0</v>
      </c>
      <c r="L461" t="n">
        <v>0</v>
      </c>
      <c r="M461" t="n">
        <v>0</v>
      </c>
      <c r="N461" t="n">
        <v>0</v>
      </c>
      <c r="O461" t="n">
        <v>0</v>
      </c>
      <c r="P461" t="n">
        <v>0</v>
      </c>
      <c r="Q461" t="n">
        <v>1</v>
      </c>
      <c r="R461" s="2" t="inlineStr">
        <is>
          <t>Blåsippa</t>
        </is>
      </c>
      <c r="S461">
        <f>HYPERLINK("https://klasma.github.io/Logging_191983/artfynd/A 18371-2025 artfynd.xlsx", "A 18371-2025")</f>
        <v/>
      </c>
      <c r="T461">
        <f>HYPERLINK("https://klasma.github.io/Logging_191983/kartor/A 18371-2025 karta.png", "A 18371-2025")</f>
        <v/>
      </c>
      <c r="V461">
        <f>HYPERLINK("https://klasma.github.io/Logging_191983/klagomål/A 18371-2025 FSC-klagomål.docx", "A 18371-2025")</f>
        <v/>
      </c>
      <c r="W461">
        <f>HYPERLINK("https://klasma.github.io/Logging_191983/klagomålsmail/A 18371-2025 FSC-klagomål mail.docx", "A 18371-2025")</f>
        <v/>
      </c>
      <c r="X461">
        <f>HYPERLINK("https://klasma.github.io/Logging_191983/tillsyn/A 18371-2025 tillsynsbegäran.docx", "A 18371-2025")</f>
        <v/>
      </c>
      <c r="Y461">
        <f>HYPERLINK("https://klasma.github.io/Logging_191983/tillsynsmail/A 18371-2025 tillsynsbegäran mail.docx", "A 18371-2025")</f>
        <v/>
      </c>
    </row>
    <row r="462" ht="15" customHeight="1">
      <c r="A462" t="inlineStr">
        <is>
          <t>A 18464-2025</t>
        </is>
      </c>
      <c r="B462" s="1" t="n">
        <v>45762</v>
      </c>
      <c r="C462" s="1" t="n">
        <v>45821</v>
      </c>
      <c r="D462" t="inlineStr">
        <is>
          <t>VÄSTMANLANDS LÄN</t>
        </is>
      </c>
      <c r="E462" t="inlineStr">
        <is>
          <t>NORBERG</t>
        </is>
      </c>
      <c r="F462" t="inlineStr">
        <is>
          <t>Sveaskog</t>
        </is>
      </c>
      <c r="G462" t="n">
        <v>1.1</v>
      </c>
      <c r="H462" t="n">
        <v>1</v>
      </c>
      <c r="I462" t="n">
        <v>1</v>
      </c>
      <c r="J462" t="n">
        <v>0</v>
      </c>
      <c r="K462" t="n">
        <v>0</v>
      </c>
      <c r="L462" t="n">
        <v>0</v>
      </c>
      <c r="M462" t="n">
        <v>0</v>
      </c>
      <c r="N462" t="n">
        <v>0</v>
      </c>
      <c r="O462" t="n">
        <v>0</v>
      </c>
      <c r="P462" t="n">
        <v>0</v>
      </c>
      <c r="Q462" t="n">
        <v>1</v>
      </c>
      <c r="R462" s="2" t="inlineStr">
        <is>
          <t>Skogsknipprot</t>
        </is>
      </c>
      <c r="S462">
        <f>HYPERLINK("https://klasma.github.io/Logging_191962/artfynd/A 18464-2025 artfynd.xlsx", "A 18464-2025")</f>
        <v/>
      </c>
      <c r="T462">
        <f>HYPERLINK("https://klasma.github.io/Logging_191962/kartor/A 18464-2025 karta.png", "A 18464-2025")</f>
        <v/>
      </c>
      <c r="V462">
        <f>HYPERLINK("https://klasma.github.io/Logging_191962/klagomål/A 18464-2025 FSC-klagomål.docx", "A 18464-2025")</f>
        <v/>
      </c>
      <c r="W462">
        <f>HYPERLINK("https://klasma.github.io/Logging_191962/klagomålsmail/A 18464-2025 FSC-klagomål mail.docx", "A 18464-2025")</f>
        <v/>
      </c>
      <c r="X462">
        <f>HYPERLINK("https://klasma.github.io/Logging_191962/tillsyn/A 18464-2025 tillsynsbegäran.docx", "A 18464-2025")</f>
        <v/>
      </c>
      <c r="Y462">
        <f>HYPERLINK("https://klasma.github.io/Logging_191962/tillsynsmail/A 18464-2025 tillsynsbegäran mail.docx", "A 18464-2025")</f>
        <v/>
      </c>
    </row>
    <row r="463" ht="15" customHeight="1">
      <c r="A463" t="inlineStr">
        <is>
          <t>A 19361-2025</t>
        </is>
      </c>
      <c r="B463" s="1" t="n">
        <v>45769</v>
      </c>
      <c r="C463" s="1" t="n">
        <v>45821</v>
      </c>
      <c r="D463" t="inlineStr">
        <is>
          <t>VÄSTMANLANDS LÄN</t>
        </is>
      </c>
      <c r="E463" t="inlineStr">
        <is>
          <t>SALA</t>
        </is>
      </c>
      <c r="F463" t="inlineStr">
        <is>
          <t>Bergvik skog öst AB</t>
        </is>
      </c>
      <c r="G463" t="n">
        <v>8.9</v>
      </c>
      <c r="H463" t="n">
        <v>0</v>
      </c>
      <c r="I463" t="n">
        <v>0</v>
      </c>
      <c r="J463" t="n">
        <v>1</v>
      </c>
      <c r="K463" t="n">
        <v>0</v>
      </c>
      <c r="L463" t="n">
        <v>0</v>
      </c>
      <c r="M463" t="n">
        <v>0</v>
      </c>
      <c r="N463" t="n">
        <v>0</v>
      </c>
      <c r="O463" t="n">
        <v>1</v>
      </c>
      <c r="P463" t="n">
        <v>0</v>
      </c>
      <c r="Q463" t="n">
        <v>1</v>
      </c>
      <c r="R463" s="2" t="inlineStr">
        <is>
          <t>Garnlav</t>
        </is>
      </c>
      <c r="S463">
        <f>HYPERLINK("https://klasma.github.io/Logging_191981/artfynd/A 19361-2025 artfynd.xlsx", "A 19361-2025")</f>
        <v/>
      </c>
      <c r="T463">
        <f>HYPERLINK("https://klasma.github.io/Logging_191981/kartor/A 19361-2025 karta.png", "A 19361-2025")</f>
        <v/>
      </c>
      <c r="V463">
        <f>HYPERLINK("https://klasma.github.io/Logging_191981/klagomål/A 19361-2025 FSC-klagomål.docx", "A 19361-2025")</f>
        <v/>
      </c>
      <c r="W463">
        <f>HYPERLINK("https://klasma.github.io/Logging_191981/klagomålsmail/A 19361-2025 FSC-klagomål mail.docx", "A 19361-2025")</f>
        <v/>
      </c>
      <c r="X463">
        <f>HYPERLINK("https://klasma.github.io/Logging_191981/tillsyn/A 19361-2025 tillsynsbegäran.docx", "A 19361-2025")</f>
        <v/>
      </c>
      <c r="Y463">
        <f>HYPERLINK("https://klasma.github.io/Logging_191981/tillsynsmail/A 19361-2025 tillsynsbegäran mail.docx", "A 19361-2025")</f>
        <v/>
      </c>
    </row>
    <row r="464" ht="15" customHeight="1">
      <c r="A464" t="inlineStr">
        <is>
          <t>A 19550-2025</t>
        </is>
      </c>
      <c r="B464" s="1" t="n">
        <v>45770</v>
      </c>
      <c r="C464" s="1" t="n">
        <v>45821</v>
      </c>
      <c r="D464" t="inlineStr">
        <is>
          <t>VÄSTMANLANDS LÄN</t>
        </is>
      </c>
      <c r="E464" t="inlineStr">
        <is>
          <t>FAGERSTA</t>
        </is>
      </c>
      <c r="G464" t="n">
        <v>16.4</v>
      </c>
      <c r="H464" t="n">
        <v>1</v>
      </c>
      <c r="I464" t="n">
        <v>0</v>
      </c>
      <c r="J464" t="n">
        <v>0</v>
      </c>
      <c r="K464" t="n">
        <v>0</v>
      </c>
      <c r="L464" t="n">
        <v>0</v>
      </c>
      <c r="M464" t="n">
        <v>0</v>
      </c>
      <c r="N464" t="n">
        <v>0</v>
      </c>
      <c r="O464" t="n">
        <v>0</v>
      </c>
      <c r="P464" t="n">
        <v>0</v>
      </c>
      <c r="Q464" t="n">
        <v>1</v>
      </c>
      <c r="R464" s="2" t="inlineStr">
        <is>
          <t>Fläcknycklar</t>
        </is>
      </c>
      <c r="S464">
        <f>HYPERLINK("https://klasma.github.io/Logging_191982/artfynd/A 19550-2025 artfynd.xlsx", "A 19550-2025")</f>
        <v/>
      </c>
      <c r="T464">
        <f>HYPERLINK("https://klasma.github.io/Logging_191982/kartor/A 19550-2025 karta.png", "A 19550-2025")</f>
        <v/>
      </c>
      <c r="V464">
        <f>HYPERLINK("https://klasma.github.io/Logging_191982/klagomål/A 19550-2025 FSC-klagomål.docx", "A 19550-2025")</f>
        <v/>
      </c>
      <c r="W464">
        <f>HYPERLINK("https://klasma.github.io/Logging_191982/klagomålsmail/A 19550-2025 FSC-klagomål mail.docx", "A 19550-2025")</f>
        <v/>
      </c>
      <c r="X464">
        <f>HYPERLINK("https://klasma.github.io/Logging_191982/tillsyn/A 19550-2025 tillsynsbegäran.docx", "A 19550-2025")</f>
        <v/>
      </c>
      <c r="Y464">
        <f>HYPERLINK("https://klasma.github.io/Logging_191982/tillsynsmail/A 19550-2025 tillsynsbegäran mail.docx", "A 19550-2025")</f>
        <v/>
      </c>
    </row>
    <row r="465" ht="15" customHeight="1">
      <c r="A465" t="inlineStr">
        <is>
          <t>A 20706-2025</t>
        </is>
      </c>
      <c r="B465" s="1" t="n">
        <v>45776</v>
      </c>
      <c r="C465" s="1" t="n">
        <v>45821</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45821</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21716-2025</t>
        </is>
      </c>
      <c r="B467" s="1" t="n">
        <v>45783</v>
      </c>
      <c r="C467" s="1" t="n">
        <v>45821</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45821</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45821</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28489-2025</t>
        </is>
      </c>
      <c r="B470" s="1" t="n">
        <v>45819</v>
      </c>
      <c r="C470" s="1" t="n">
        <v>45821</v>
      </c>
      <c r="D470" t="inlineStr">
        <is>
          <t>VÄSTMANLANDS LÄN</t>
        </is>
      </c>
      <c r="E470" t="inlineStr">
        <is>
          <t>VÄSTERÅS</t>
        </is>
      </c>
      <c r="F470" t="inlineStr">
        <is>
          <t>Allmännings- och besparingsskogar</t>
        </is>
      </c>
      <c r="G470" t="n">
        <v>1.8</v>
      </c>
      <c r="H470" t="n">
        <v>0</v>
      </c>
      <c r="I470" t="n">
        <v>1</v>
      </c>
      <c r="J470" t="n">
        <v>0</v>
      </c>
      <c r="K470" t="n">
        <v>0</v>
      </c>
      <c r="L470" t="n">
        <v>0</v>
      </c>
      <c r="M470" t="n">
        <v>0</v>
      </c>
      <c r="N470" t="n">
        <v>0</v>
      </c>
      <c r="O470" t="n">
        <v>0</v>
      </c>
      <c r="P470" t="n">
        <v>0</v>
      </c>
      <c r="Q470" t="n">
        <v>1</v>
      </c>
      <c r="R470" s="2" t="inlineStr">
        <is>
          <t>Bollvitmossa</t>
        </is>
      </c>
      <c r="S470">
        <f>HYPERLINK("https://klasma.github.io/Logging_191980/artfynd/A 28489-2025 artfynd.xlsx", "A 28489-2025")</f>
        <v/>
      </c>
      <c r="T470">
        <f>HYPERLINK("https://klasma.github.io/Logging_191980/kartor/A 28489-2025 karta.png", "A 28489-2025")</f>
        <v/>
      </c>
      <c r="V470">
        <f>HYPERLINK("https://klasma.github.io/Logging_191980/klagomål/A 28489-2025 FSC-klagomål.docx", "A 28489-2025")</f>
        <v/>
      </c>
      <c r="W470">
        <f>HYPERLINK("https://klasma.github.io/Logging_191980/klagomålsmail/A 28489-2025 FSC-klagomål mail.docx", "A 28489-2025")</f>
        <v/>
      </c>
      <c r="X470">
        <f>HYPERLINK("https://klasma.github.io/Logging_191980/tillsyn/A 28489-2025 tillsynsbegäran.docx", "A 28489-2025")</f>
        <v/>
      </c>
      <c r="Y470">
        <f>HYPERLINK("https://klasma.github.io/Logging_191980/tillsynsmail/A 28489-2025 tillsynsbegäran mail.docx", "A 28489-2025")</f>
        <v/>
      </c>
    </row>
    <row r="471" ht="15" customHeight="1">
      <c r="A471" t="inlineStr">
        <is>
          <t>A 17915-2019</t>
        </is>
      </c>
      <c r="B471" s="1" t="n">
        <v>43557</v>
      </c>
      <c r="C471" s="1" t="n">
        <v>45821</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45821</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45821</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45821</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45821</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45821</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45821</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45821</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45821</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45821</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45821</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45821</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45821</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45821</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45821</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45821</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45821</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45821</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45821</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45821</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45821</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45821</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45821</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45821</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45821</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45821</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45821</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45821</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45821</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45821</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45821</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45821</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45821</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45821</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45821</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45821</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45821</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45821</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45821</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45821</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45821</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45821</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45821</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45821</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45821</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45821</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45821</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45821</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45821</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45821</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45821</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45821</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45821</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45821</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45821</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45821</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45821</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45821</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45821</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45821</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45821</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45821</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45821</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45821</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45821</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45821</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45821</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45821</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45821</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45821</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45821</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45821</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45821</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45821</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45821</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45821</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45821</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45821</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45821</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45821</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45821</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45821</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45821</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45821</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45821</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45821</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45821</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45821</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45821</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45821</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45821</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45821</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45821</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45821</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45821</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45821</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45821</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45821</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45821</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45821</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45821</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45821</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45821</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45821</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45821</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45821</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45821</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45821</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45821</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45821</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45821</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45821</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45821</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45821</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45821</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45821</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45821</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45821</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45821</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45821</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45821</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45821</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45821</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45821</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45821</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45821</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45821</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45821</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45821</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45821</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45821</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45821</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45821</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45821</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45821</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45821</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45821</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45821</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45821</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45821</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45821</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45821</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45821</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45821</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45821</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45821</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45821</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45821</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45821</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45821</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45821</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45821</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45821</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45821</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45821</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45821</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45821</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45821</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45821</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45821</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45821</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45821</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45821</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45821</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45821</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45821</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45821</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45821</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45821</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45821</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45821</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45821</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45821</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45821</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45821</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45821</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45821</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45821</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45821</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45821</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45821</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45821</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45821</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45821</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45821</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45821</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45821</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45821</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45821</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45821</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45821</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45821</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45821</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45821</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45821</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45821</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45821</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45821</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45821</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45821</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45821</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45821</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45821</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45821</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45821</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45821</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45821</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45821</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45821</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45821</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45821</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45821</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45821</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45821</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45821</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45821</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45821</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45821</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45821</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45821</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45821</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45821</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45821</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45821</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45821</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45821</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45821</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45821</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45821</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45821</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45821</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45821</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45821</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45821</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45821</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45821</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45821</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45821</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45821</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45821</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45821</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45821</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45821</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45821</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45821</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45821</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45821</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45821</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45821</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45821</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45821</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45821</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45821</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45821</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45821</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45821</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45821</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45821</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45821</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45821</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45821</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45821</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45821</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45821</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45821</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45821</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45821</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45821</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45821</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45821</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45821</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45821</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45821</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45821</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45821</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45821</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45821</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45821</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45821</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45821</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45821</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45821</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45821</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45821</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45821</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45821</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45821</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45821</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45821</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45821</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45821</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45821</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45821</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45821</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45821</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45821</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45821</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45821</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45821</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45821</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45821</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45821</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45821</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45821</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45821</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45821</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45821</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45821</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45821</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45821</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45821</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45821</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45821</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45821</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45821</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45821</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45821</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45821</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45821</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45821</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45821</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45821</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45821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45821</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45821</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45821</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45821</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45821</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45821</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45821</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45821</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45821</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45821</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45821</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45821</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45821</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45821</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45821</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45821</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45821</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45821</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45821</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45821</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45821</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45821</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45821</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45821</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45821</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45821</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45821</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45821</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45821</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45821</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45821</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45821</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45821</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45821</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45821</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45821</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45821</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45821</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45821</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45821</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45821</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45821</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45821</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45821</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45821</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45821</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45821</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45821</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45821</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45821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45821</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45821</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45821</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45821</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45821</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45821</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45821</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45821</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45821</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45821</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45821</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45821</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45821</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45821</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45821</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45821</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45821</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45821</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45821</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45821</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45821</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45821</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45821</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45821</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45821</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45821</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45821</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45821</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45821</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45821</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45821</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45821</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45821</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45821</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45821</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45821</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45821</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45821</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45821</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45821</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45821</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45821</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45821</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45821</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45821</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45821</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45821</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45821</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45821</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45821</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45821</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45821</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45821</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45821</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45821</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45821</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45821</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45821</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45821</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45821</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45821</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45821</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45821</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45821</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45821</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45821</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45821</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45821</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45821</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45821</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45821</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45821</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45821</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45821</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45821</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45821</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45821</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45821</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45821</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45821</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45821</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45821</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45821</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45821</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45821</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45821</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45821</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45821</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45821</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45821</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45821</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45821</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45821</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45821</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45821</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45821</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45821</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45821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45821</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45821</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45821</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45821</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45821</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45821</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45821</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45821</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45821</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45821</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45821</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45821</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45821</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45821</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45821</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45821</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45821</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45821</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45821</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45821</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45821</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45821</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45821</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45821</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45821</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45821</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45821</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45821</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45821</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45821</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45821</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45821</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45821</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45821</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45821</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45821</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45821</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45821</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45821</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45821</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45821</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45821</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45821</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45821</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45821</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45821</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45821</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45821</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45821</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45821</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45821</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45821</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45821</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45821</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45821</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45821</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45821</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45821</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45821</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45821</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45821</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45821</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45821</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45821</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45821</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45821</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45821</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45821</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45821</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45821</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45821</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45821</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45821</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45821</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45821</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45821</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45821</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45821</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45821</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45821</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45821</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45821</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45821</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45821</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45821</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45821</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45821</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45821</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45821</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45821</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45821</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45821</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45821</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45821</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45821</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45821</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45821</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45821</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45821</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45821</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45821</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45821</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45821</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45821</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45821</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45821</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45821</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45821</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45821</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45821</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45821</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45821</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45821</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45821</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45821</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45821</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45821</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45821</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45821</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45821</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45821</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45821</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45821</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45821</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45821</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45821</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45821</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45821</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45821</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45821</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45821</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45821</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45821</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45821</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45821</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45821</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45821</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45821</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45821</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45821</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45821</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45821</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45821</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45821</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45821</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45821</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45821</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45821</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45821</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45821</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45821</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45821</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45821</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45821</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45821</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45821</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45821</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45821</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45821</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45821</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45821</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45821</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45821</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45821</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45821</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45821</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45821</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45821</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45821</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45821</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45821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45821</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45821</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45821</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45821</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45821</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45821</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45821</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45821</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45821</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45821</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45821</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45821</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45821</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45821</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45821</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45821</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45821</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45821</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45821</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45821</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45821</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45821</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45821</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45821</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45821</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45821</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45821</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45821</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45821</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45821</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45821</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45821</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45821</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45821</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45821</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45821</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45821</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45821</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45821</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45821</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45821</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45821</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45821</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45821</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45821</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45821</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45821</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45821</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45821</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45821</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45821</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45821</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45821</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45821</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45821</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45821</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45821</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45821</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45821</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45821</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45821</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45821</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45821</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45821</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45821</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45821</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45821</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45821</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45821</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45821</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45821</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45821</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45821</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45821</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45821</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45821</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45821</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45821</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45821</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45821</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45821</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45821</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45821</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45821</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45821</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45821</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45821</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45821</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45821</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45821</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45821</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45821</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45821</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45821</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45821</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45821</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45821</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45821</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45821</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45821</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45821</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45821</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45821</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45821</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45821</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45821</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45821</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45821</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45821</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45821</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45821</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45821</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45821</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45821</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45821</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45821</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45821</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45821</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45821</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45821</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45821</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45821</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45821</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45821</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45821</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45821</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45821</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45821</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45821</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45821</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45821</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45821</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45821</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45821</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45821</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45821</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45821</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45821</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45821</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45821</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45821</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45821</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45821</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45821</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45821</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45821</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45821</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45821</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45821</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45821</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45821</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45821</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45821</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45821</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45821</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45821</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45821</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45821</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45821</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45821</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45821</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45821</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45821</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45821</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45821</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45821</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45821</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45821</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45821</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45821</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45821</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45821</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45821</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45821</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45821</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45821</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45821</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45821</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45821</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45821</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45821</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45821</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45821</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45821</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45821</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45821</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45821</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45821</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45821</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45821</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45821</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45821</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45821</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45821</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45821</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45821</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45821</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45821</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45821</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45821</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45821</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45821</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45821</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45821</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45821</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45821</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45821</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45821</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45821</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45821</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45821</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45821</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45821</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45821</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45821</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45821</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45821</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45821</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45821</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45821</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45821</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45821</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45821</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45821</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45821</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45821</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45821</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45821</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45821</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45821</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45821</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45821</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45821</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45821</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45821</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45821</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45821</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45821</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45821</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45821</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45821</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45821</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45821</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45821</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45821</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45821</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45821</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45821</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45821</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45821</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45821</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45821</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45821</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45821</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45821</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45821</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45821</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45821</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45821</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45821</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45821</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45821</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45821</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45821</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45821</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45821</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45821</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45821</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45821</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45821</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45821</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45821</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45821</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45821</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45821</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45821</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45821</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45821</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45821</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45821</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45821</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45821</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45821</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45821</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45821</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45821</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45821</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45821</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45821</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45821</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45821</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45821</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45821</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45821</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45821</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45821</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45821</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45821</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45821</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45821</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45821</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45821</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45821</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45821</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45821</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45821</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45821</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45821</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45821</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45821</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45821</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45821</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45821</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45821</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45821</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45821</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45821</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45821</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45821</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45821</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45821</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45821</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45821</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45821</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45821</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45821</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45821</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45821</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45821</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45821</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45821</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45821</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45821</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45821</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45821</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45821</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45821</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45821</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45821</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45821</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45821</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45821</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45821</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45821</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45821</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45821</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45821</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45821</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45821</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45821</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45821</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45821</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45821</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45821</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45821</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45821</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45821</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45821</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45821</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45821</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45821</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45821</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45821</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45821</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45821</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45821</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45821</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45821</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45821</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45821</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45821</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45821</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45821</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45821</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45821</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45821</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45821</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45821</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45821</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45821</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45821</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45821</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45821</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45821</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45821</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45821</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45821</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45821</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45821</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45821</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45821</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45821</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45821</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45821</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45821</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45821</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45821</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45821</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45821</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45821</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45821</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45821</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45821</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45821</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45821</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45821</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45821</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45821</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45821</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45821</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45821</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45821</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45821</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45821</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45821</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45821</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45821</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45821</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45821</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45821</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45821</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45821</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45821</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45821</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45821</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45821</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45821</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45821</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45821</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45821</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45821</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45821</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45821</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45821</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45821</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45821</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45821</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45821</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45821</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45821</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45821</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45821</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45821</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45821</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45821</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45821</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45821</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45821</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45821</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45821</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45821</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45821</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45821</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45821</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45821</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45821</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45821</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45821</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45821</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45821</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45821</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45821</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45821</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45821</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45821</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45821</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45821</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45821</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45821</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45821</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45821</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45821</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45821</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45821</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45821</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45821</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45821</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45821</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45821</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45821</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45821</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45821</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45821</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45821</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45821</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45821</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45821</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45821</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45821</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45821</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45821</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45821</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45821</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45821</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45821</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45821</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45821</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45821</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45821</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45821</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45821</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45821</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45821</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45821</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45821</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45821</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45821</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45821</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45821</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45821</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45821</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45821</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45821</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45821</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45821</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45821</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45821</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45821</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45821</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45821</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45821</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45821</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45821</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45821</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45821</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45821</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45821</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45821</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45821</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45821</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45821</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45821</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45821</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45821</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45821</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45821</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45821</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45821</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45821</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45821</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45821</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45821</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45821</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45821</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45821</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45821</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45821</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45821</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45821</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45821</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45821</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45821</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45821</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45821</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45821</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45821</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45821</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45821</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45821</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45821</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45821</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45821</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45821</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45821</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45821</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45821</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45821</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45821</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45821</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45821</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45821</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45821</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45821</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45821</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45821</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45821</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45821</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45821</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45821</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45821</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45821</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45821</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45821</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45821</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45821</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45821</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45821</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45821</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45821</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45821</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45821</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45821</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45821</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45821</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45821</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45821</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45821</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45821</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45821</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45821</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45821</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45821</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45821</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45821</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45821</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45821</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45821</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45821</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45821</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45821</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45821</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45821</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45821</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45821</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45821</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45821</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45821</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45821</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45821</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45821</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45821</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45821</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45821</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45821</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45821</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45821</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45821</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45821</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45821</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45821</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45821</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45821</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45821</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45821</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45821</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45821</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45821</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45821</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45821</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45821</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45821</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45821</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45821</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45821</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45821</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45821</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45821</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45821</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45821</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45821</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45821</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45821</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45821</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45821</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45821</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45821</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45821</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45821</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45821</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45821</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45821</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45821</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45821</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45821</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45821</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45821</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45821</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45821</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45821</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45821</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45821</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45821</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45821</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45821</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45821</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45821</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45821</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45821</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45821</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45821</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45821</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45821</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45821</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45821</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45821</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45821</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45821</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45821</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45821</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45821</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45821</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45821</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45821</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45821</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45821</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45821</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45821</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45821</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45821</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45821</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45821</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45821</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45821</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45821</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45821</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45821</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45821</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45821</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45821</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45821</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45821</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45821</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45821</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45821</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45821</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45821</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45821</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45821</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45821</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45821</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45821</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45821</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45821</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45821</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45821</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45821</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45821</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45821</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45821</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45821</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45821</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45821</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45821</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45821</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45821</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45821</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45821</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45821</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45821</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45821</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45821</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45821</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45821</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45821</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45821</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45821</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45821</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45821</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45821</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45821</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45821</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45821</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45821</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45821</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45821</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45821</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45821</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45821</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45821</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45821</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45821</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45821</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45821</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45821</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45821</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45821</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45821</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45821</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45821</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45821</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45821</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45821</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45821</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45821</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45821</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45821</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45821</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45821</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45821</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45821</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45821</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45821</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45821</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45821</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45821</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45821</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45821</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45821</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45821</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45821</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45821</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45821</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45821</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45821</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45821</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45821</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45821</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45821</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45821</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45821</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45821</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45821</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45821</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45821</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45821</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45821</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45821</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45821</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45821</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45821</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45821</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45821</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45821</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45821</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45821</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45821</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45821</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45821</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45821</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45821</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45821</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45821</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45821</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45821</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45821</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45821</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45821</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45821</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45821</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45821</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45821</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45821</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45821</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45821</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45821</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45821</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45821</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45821</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45821</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45821</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45821</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45821</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45821</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45821</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45821</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45821</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45821</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45821</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45821</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45821</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45821</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45821</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45821</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45821</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45821</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45821</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45821</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45821</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45821</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45821</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45821</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45821</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45821</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45821</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45821</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45821</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45821</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45821</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45821</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45821</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45821</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45821</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45821</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45821</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45821</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45821</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45821</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45821</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45821</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45821</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45821</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45821</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45821</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45821</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45821</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45821</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45821</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45821</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45821</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45821</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45821</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45821</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45821</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45821</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45821</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45821</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45821</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45821</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45821</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45821</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45821</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45821</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45821</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45821</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45821</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45821</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45821</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45821</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45821</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45821</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45821</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45821</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45821</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45821</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45821</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45821</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45821</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45821</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45821</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45821</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45821</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45821</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45821</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45821</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45821</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45821</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45821</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45821</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45821</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45821</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45821</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45821</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45821</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45821</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45821</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45821</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45821</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45821</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45821</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45821</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45821</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45821</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45821</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45821</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45821</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45821</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45821</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45821</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45821</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45821</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45821</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45821</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45821</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45821</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45821</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45821</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45821</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45821</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45821</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45821</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45821</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45821</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45821</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45821</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45821</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45821</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45821</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45821</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45821</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45821</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45821</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45821</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45821</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45821</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45821</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45821</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45821</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45821</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45821</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45821</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45821</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45821</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45821</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45821</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45821</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45821</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45821</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45821</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45821</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45821</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45821</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45821</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45821</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45821</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45821</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45821</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45821</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45821</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45821</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45821</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45821</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45821</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45821</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45821</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45821</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45821</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45821</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45821</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45821</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45821</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45821</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45821</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45821</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45821</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45821</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45821</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45821</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45821</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45821</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45821</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45821</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45821</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45821</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45821</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45821</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45821</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45821</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45821</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45821</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45821</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45821</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45821</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45821</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45821</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45821</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45821</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45821</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45821</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45821</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45821</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45821</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45821</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45821</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45821</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45821</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45821</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45821</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45821</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45821</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45821</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45821</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45821</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45821</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45821</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45821</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45821</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45821</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45821</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45821</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45821</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45821</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45821</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45821</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45821</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45821</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45821</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45821</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45821</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45821</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45821</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45821</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45821</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45821</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45821</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45821</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45821</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45821</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45821</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45821</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45821</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45821</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45821</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45821</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45821</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45821</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45821</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45821</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45821</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45821</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45821</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45821</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45821</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45821</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45821</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45821</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45821</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45821</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45821</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45821</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45821</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45821</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45821</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45821</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45821</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45821</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45821</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45821</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45821</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45821</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45821</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45821</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45821</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45821</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45821</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45821</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45821</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45821</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45821</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45821</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45821</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45821</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45821</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45821</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45821</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45821</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45821</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45821</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45821</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45821</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45821</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45821</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45821</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45821</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45821</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45821</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45821</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45821</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45821</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45821</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45821</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45821</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45821</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45821</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45821</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45821</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45821</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45821</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45821</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45821</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45821</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45821</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45821</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45821</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45821</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45821</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45821</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45821</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45821</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45821</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45821</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45821</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45821</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45821</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45821</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45821</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45821</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45821</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45821</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45821</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45821</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45821</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45821</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45821</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45821</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45821</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45821</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45821</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45821</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45821</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45821</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45821</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45821</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45821</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45821</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45821</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45821</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45821</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45821</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45821</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45821</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45821</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45821</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45821</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45821</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45821</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45821</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45821</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45821</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45821</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45821</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45821</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45821</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45821</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45821</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45821</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45821</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45821</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45821</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45821</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45821</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45821</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45821</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45821</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45821</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45821</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45821</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45821</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45821</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45821</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45821</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45821</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45821</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45821</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45821</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45821</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45821</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45821</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45821</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45821</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45821</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45821</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45821</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45821</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45821</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45821</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45821</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45821</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45821</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45821</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45821</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45821</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45821</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45821</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45821</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45821</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45821</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45821</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45821</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45821</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45821</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45821</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45821</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45821</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45821</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45821</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45821</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45821</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45821</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45821</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45821</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45821</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45821</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45821</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45821</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45821</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45821</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45821</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45821</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45821</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45821</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45821</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45821</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45821</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45821</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45821</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45821</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45821</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45821</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45821</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45821</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45821</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45821</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45821</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45821</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45821</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45821</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45821</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45821</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45821</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45821</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45821</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45821</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45821</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45821</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45821</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45821</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45821</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45821</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45821</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45821</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45821</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45821</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45821</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45821</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45821</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45821</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45821</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45821</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45821</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45821</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45821</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45821</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45821</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45821</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45821</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45821</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45821</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45821</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45821</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45821</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45821</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45821</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45821</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45821</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45821</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45821</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45821</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45821</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45821</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45821</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45821</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45821</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45821</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45821</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45821</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45821</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45821</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45821</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45821</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45821</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45821</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45821</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45821</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45821</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45821</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45821</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45821</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45821</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45821</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45821</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45821</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45821</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45821</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45821</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45821</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45821</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45821</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45821</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45821</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45821</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45821</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45821</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45821</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45821</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45821</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45821</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45821</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45821</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45821</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45821</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45821</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45821</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45821</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45821</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45821</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45821</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45821</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45821</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45821</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45821</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45821</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45821</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45821</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45821</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45821</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45821</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45821</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45821</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45821</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45821</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45821</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45821</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45821</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45821</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45821</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45821</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45821</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45821</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45821</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45821</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45821</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45821</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45821</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45821</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45821</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45821</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45821</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45821</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45821</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45821</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45821</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45821</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45821</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45821</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45821</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45821</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45821</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45821</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45821</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45821</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45821</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45821</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45821</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45821</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45821</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45821</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45821</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45821</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45821</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45821</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45821</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45821</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45821</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45821</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45821</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45821</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45821</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45821</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45821</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45821</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45821</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45821</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45821</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45821</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45821</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45821</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45821</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45821</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45821</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45821</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45821</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45821</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45821</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45821</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45821</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45821</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45821</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45821</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45821</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45821</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45821</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45821</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45821</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45821</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45821</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45821</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45821</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45821</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45821</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45821</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45821</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45821</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45821</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45821</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45821</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45821</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45821</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45821</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45821</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45821</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45821</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45821</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45821</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45821</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45821</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45821</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45821</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45821</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45821</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45821</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45821</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45821</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45821</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45821</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45821</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45821</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45821</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45821</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45821</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45821</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45821</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45821</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45821</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45821</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45821</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45821</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45821</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45821</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45821</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45821</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45821</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45821</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45821</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45821</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45821</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45821</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45821</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45821</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45821</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45821</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45821</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45821</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45821</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45821</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45821</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45821</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45821</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45821</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45821</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45821</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45821</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45821</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45821</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45821</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45821</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45821</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45821</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45821</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45821</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45821</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45821</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45821</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45821</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45821</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45821</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45821</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45821</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45821</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45821</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45821</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45821</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45821</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45821</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45821</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45821</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45821</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45821</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45821</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45821</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45821</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45821</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45821</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45821</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45821</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45821</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45821</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45821</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45821</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45821</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45821</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45821</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45821</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45821</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45821</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45821</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45821</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45821</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45821</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45821</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45821</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45821</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45821</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45821</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45821</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45821</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45821</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45821</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45821</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45821</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45821</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45821</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45821</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45821</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45821</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45821</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45821</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45821</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45821</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45821</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45821</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45821</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45821</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45821</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45821</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45821</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45821</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45821</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45821</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45821</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45821</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45821</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45821</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45821</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45821</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45821</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45821</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45821</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45821</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45821</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45821</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45821</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45821</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45821</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45821</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45821</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45821</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45821</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45821</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45821</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45821</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45821</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45821</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45821</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45821</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45821</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45821</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45821</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45821</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45821</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45821</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45821</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45821</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45821</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45821</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45821</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45821</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45821</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45821</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45821</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45821</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45821</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45821</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45821</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45821</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45821</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45821</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45821</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45821</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45821</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45821</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45821</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45821</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45821</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45821</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45821</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45821</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45821</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45821</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45821</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45821</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45821</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45821</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45821</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45821</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45821</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45821</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45821</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45821</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45821</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45821</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45821</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45821</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45821</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45821</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45821</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45821</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45821</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45821</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45821</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45821</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45821</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45821</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45821</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45821</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45821</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45821</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45821</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45821</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45821</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45821</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45821</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45821</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45821</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45821</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45821</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45821</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45821</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45821</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45821</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45821</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45821</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45821</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45821</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45821</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45821</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45821</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45821</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45821</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45821</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45821</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45821</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45821</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45821</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45821</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45821</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45821</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45821</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45821</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45821</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45821</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45821</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45821</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45821</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45821</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45821</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45821</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45821</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45821</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45821</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45821</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45821</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45821</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45821</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45821</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45821</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45821</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45821</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45821</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45821</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45821</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45821</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45821</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45821</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45821</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45821</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45821</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45821</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45821</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45821</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45821</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45821</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45821</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45821</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45821</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45821</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45821</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45821</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45821</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45821</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45821</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45821</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45821</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45821</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45821</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45821</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45821</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45821</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45821</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45821</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45821</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45821</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45821</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45821</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45821</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45821</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45821</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45821</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45821</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45821</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45821</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45821</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45821</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45821</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45821</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45821</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45821</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45821</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45821</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45821</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45821</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45821</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45821</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45821</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45821</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45821</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45821</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45821</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45821</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45821</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45821</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45821</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45821</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45821</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45821</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45821</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45821</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45821</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45821</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45821</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45821</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45821</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45821</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45821</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45821</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45821</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45821</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45821</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45821</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45821</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45821</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45821</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45821</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45821</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45821</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45821</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45821</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45821</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45821</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45821</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45821</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45821</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45821</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45821</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45821</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45821</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45821</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45821</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45821</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45821</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45821</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45821</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45821</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45821</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45821</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45821</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45821</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45821</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45821</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45821</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45821</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45821</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45821</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45821</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45821</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45821</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45821</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45821</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45821</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45821</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45821</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45821</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45821</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45821</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45821</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45821</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45821</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45821</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45821</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45821</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45821</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45821</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45821</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45821</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45821</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45821</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45821</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45821</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45821</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45821</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45821</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45821</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45821</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45821</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45821</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45821</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45821</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45821</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45821</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45821</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45821</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45821</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45821</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45821</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45821</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45821</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45821</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45821</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45821</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45821</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45821</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45821</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45821</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45821</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45821</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45821</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45821</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45821</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45821</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45821</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45821</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45821</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45821</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45821</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45821</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45821</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45821</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45821</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45821</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45821</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45821</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45821</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45821</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45821</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45821</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45821</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45821</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45821</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45821</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45821</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45821</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45821</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45821</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45821</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45821</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45821</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45821</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45821</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45821</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45821</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45821</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45821</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45821</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45821</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45821</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45821</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45821</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45821</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45821</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45821</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45821</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45821</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45821</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45821</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45821</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45821</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45821</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45821</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45821</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45821</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45821</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45821</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45821</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45821</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45821</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45821</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45821</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45821</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45821</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45821</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45821</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45821</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45821</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45821</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45821</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45821</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45821</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45821</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45821</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45821</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45821</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45821</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45821</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45821</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45821</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45821</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45821</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45821</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45821</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45821</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45821</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45821</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45821</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45821</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45821</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45821</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45821</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45821</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45821</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45821</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45821</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45821</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45821</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45821</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45821</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45821</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45821</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45821</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45821</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45821</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45821</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45821</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45821</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45821</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45821</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45821</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45821</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45821</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45821</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45821</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45821</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45821</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45821</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45821</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45821</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45821</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45821</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45821</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45821</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45821</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45821</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45821</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45821</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45821</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45821</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45821</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45821</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45821</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45821</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45821</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45821</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45821</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45821</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45821</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45821</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45821</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45821</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45821</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45821</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45821</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45821</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45821</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45821</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45821</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45821</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45821</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45821</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45821</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45821</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45821</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45821</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45821</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45821</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45821</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45821</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45821</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45821</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45821</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45821</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45821</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45821</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45821</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45821</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45821</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45821</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45821</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45821</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45821</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45821</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45821</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45821</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45821</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45821</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45821</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45821</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45821</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45821</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45821</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45821</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45821</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45821</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45821</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45821</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45821</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45821</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45821</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45821</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45821</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45821</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45821</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45821</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45821</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45821</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45821</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45821</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45821</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45821</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45821</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45821</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45821</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45821</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45821</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45821</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45821</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45821</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45821</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45821</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45821</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45821</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45821</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45821</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45821</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45821</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45821</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45821</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45821</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45821</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45821</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45821</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45821</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45821</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45821</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45821</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45821</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45821</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45821</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45821</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45821</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45821</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45821</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45821</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45821</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45821</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45821</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45821</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45821</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45821</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45821</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45821</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45821</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45821</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45821</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45821</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45821</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45821</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45821</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45821</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45821</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45821</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45821</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45821</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45821</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45821</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45821</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45821</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45821</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45821</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45821</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45821</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45821</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45821</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45821</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45821</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45821</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45821</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45821</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45821</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45821</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45821</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45821</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45821</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45821</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45821</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45821</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45821</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45821</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45821</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45821</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45821</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45821</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45821</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45821</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45821</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45821</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45821</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45821</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45821</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45821</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45821</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45821</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45821</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45821</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45821</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45821</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45821</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45821</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45821</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45821</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45821</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45821</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45821</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45821</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45821</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45821</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45821</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45821</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45821</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45821</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45821</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45821</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45821</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45821</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45821</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45821</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45821</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45821</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45821</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45821</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45821</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45821</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45821</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45821</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45821</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45821</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45821</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45821</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45821</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45821</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45821</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45821</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45821</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45821</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45821</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45821</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45821</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45821</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45821</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45821</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45821</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45821</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45821</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45821</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45821</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45821</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45821</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45821</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45821</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45821</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45821</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45821</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45821</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45821</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45821</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45821</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45821</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45821</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45821</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45821</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45821</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45821</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45821</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45821</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45821</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45821</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45821</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45821</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45821</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45821</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45821</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45821</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45821</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45821</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45821</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45821</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45821</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45821</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45821</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45821</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45821</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45821</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45821</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45821</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45821</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45821</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45821</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45821</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45821</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45821</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45821</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45821</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45821</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45821</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45821</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45821</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45821</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45821</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45821</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45821</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45821</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45821</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45821</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45821</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45821</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45821</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45821</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45821</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45821</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45821</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45821</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45821</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45821</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45821</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45821</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45821</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45821</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45821</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45821</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45821</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45821</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45821</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45821</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45821</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45821</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45821</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45821</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45821</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45821</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45821</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45821</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45821</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45821</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45821</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45821</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45821</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45821</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45821</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45821</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45821</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45821</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45821</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45821</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45821</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45821</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45821</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45821</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45821</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45821</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45821</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45821</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45821</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45821</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45821</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45821</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45821</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45821</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45821</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45821</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45821</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45821</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45821</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45821</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45821</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45821</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45821</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45821</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45821</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45821</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45821</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45821</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45821</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45821</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45821</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45821</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45821</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45821</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45821</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45821</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45821</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45821</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45821</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45821</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45821</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45821</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45821</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45821</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45821</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45821</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45821</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45821</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45821</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45821</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45821</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45821</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45821</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45821</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45821</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45821</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45821</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45821</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45821</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45821</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45821</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45821</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45821</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45821</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45821</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45821</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45821</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45821</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45821</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45821</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45821</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45821</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45821</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45821</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45821</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45821</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45821</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45821</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45821</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45821</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45821</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45821</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45821</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45821</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45821</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45821</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45821</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45821</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45821</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45821</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45821</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45821</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45821</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45821</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45821</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45821</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45821</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45821</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45821</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45821</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45821</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45821</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45821</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45821</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45821</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45821</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45821</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45821</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45821</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45821</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45821</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45821</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45821</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45821</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45821</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45821</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45821</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45821</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45821</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45821</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45821</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45821</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45821</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45821</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45821</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45821</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45821</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45821</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45821</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45821</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45821</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45821</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45821</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45821</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45821</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45821</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45821</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45821</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45821</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45821</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45821</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45821</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45821</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45821</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45821</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45821</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45821</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45821</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45821</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45821</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45821</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45821</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45821</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45821</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45821</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45821</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45821</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45821</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45821</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45821</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45821</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45821</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45821</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45821</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45821</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45821</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45821</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45821</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45821</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45821</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45821</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45821</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45821</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45821</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45821</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45821</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45821</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45821</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45821</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45821</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45821</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45821</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45821</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45821</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45821</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45821</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45821</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45821</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45821</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45821</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45821</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45821</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45821</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45821</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45821</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45821</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45821</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45821</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45821</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45821</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45821</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45821</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45821</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45821</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45821</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45821</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45821</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45821</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45821</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45821</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45821</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45821</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45821</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45821</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45821</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45821</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45821</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45821</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45821</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45821</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45821</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45821</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45821</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45821</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45821</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45821</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45821</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45821</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45821</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45821</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45821</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45821</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45821</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45821</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45821</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45821</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45821</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45821</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45821</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45821</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45821</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45821</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45821</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45821</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45821</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45821</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45821</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45821</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45821</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45821</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45821</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45821</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45821</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45821</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45821</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45821</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45821</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45821</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45821</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45821</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45821</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45821</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45821</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45821</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45821</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45821</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45821</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45821</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45821</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45821</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45821</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45821</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45821</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45821</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45821</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45821</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45821</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45821</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45821</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45821</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45821</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45821</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45821</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45821</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45821</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45821</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45821</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45821</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45821</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45821</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45821</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45821</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45821</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45821</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45821</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45821</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45821</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45821</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45821</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45821</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45821</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45821</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45821</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45821</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45821</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45821</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45821</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45821</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45821</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45821</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45821</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45821</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45821</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45821</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45821</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45821</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45821</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45821</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45821</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45821</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45821</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45821</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45821</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45821</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45821</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45821</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45821</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45821</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45821</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45821</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45821</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45821</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45821</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45821</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45821</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45821</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45821</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45821</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45821</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45821</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45821</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45821</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45821</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45821</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45821</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45821</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45821</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45821</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45821</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45821</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45821</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45821</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45821</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45821</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45821</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45821</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45821</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45821</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45821</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45821</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45821</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45821</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45821</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45821</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45821</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45821</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45821</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45821</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45821</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45821</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45821</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45821</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45821</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45821</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45821</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45821</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45821</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45821</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45821</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45821</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45821</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45821</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45821</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45821</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45821</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45821</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45821</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45821</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45821</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45821</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45821</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45821</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45821</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45821</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45821</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45821</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45821</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45821</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45821</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45821</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45821</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45821</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45821</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45821</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45821</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45821</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45821</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45821</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45821</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45821</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45821</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45821</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45821</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45821</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45821</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45821</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45821</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45821</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45821</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45821</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45821</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45821</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45821</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45821</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45821</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45821</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45821</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45821</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45821</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45821</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45821</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45821</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45821</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45821</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45821</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45821</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45821</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45821</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45821</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45821</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45821</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45821</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45821</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45821</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45821</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45821</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45821</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45821</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45821</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45821</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45821</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45821</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45821</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45821</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45821</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45821</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45821</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45821</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45821</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45821</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45821</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45821</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45821</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45821</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45821</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45821</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45821</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45821</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45821</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45821</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45821</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45821</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45821</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45821</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45821</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45821</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45821</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45821</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45821</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45821</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45821</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45821</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45821</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45821</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45821</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45821</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45821</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45821</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45821</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45821</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45821</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45821</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45821</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45821</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45821</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45821</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45821</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45821</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45821</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45821</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45821</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45821</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45821</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45821</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45821</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45821</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45821</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45821</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45821</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45821</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45821</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45821</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45821</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45821</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45821</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45821</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45821</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45821</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45821</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45821</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45821</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45821</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45821</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45821</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45821</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45821</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45821</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45821</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45821</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45821</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45821</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45821</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45821</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45821</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45821</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45821</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45821</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45821</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45821</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45821</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45821</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45821</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45821</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45821</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45821</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45821</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45821</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45821</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45821</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45821</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45821</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45821</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45821</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45821</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45821</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45821</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45821</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45821</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45821</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45821</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45821</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45821</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45821</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45821</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45821</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45821</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45821</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45821</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45821</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45821</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45821</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45821</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45821</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45821</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45821</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45821</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45821</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45821</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45821</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45821</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45821</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45821</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45821</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45821</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45821</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45821</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45821</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45821</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45821</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45821</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45821</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45821</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45821</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45821</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45821</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45821</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45821</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45821</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45821</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45821</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45821</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45821</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45821</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45821</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45821</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45821</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45821</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45821</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45821</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45821</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45821</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45821</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45821</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45821</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45821</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45821</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45821</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45821</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45821</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45821</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45821</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45821</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45821</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45821</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45821</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45821</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45821</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45821</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45821</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45821</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45821</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45821</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45821</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45821</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45821</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45821</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45821</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45821</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45821</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45821</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45821</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45821</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45821</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45821</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45821</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45821</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45821</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45821</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45821</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45821</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45821</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45821</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45821</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45821</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45821</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45821</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45821</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45821</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45821</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45821</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45821</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45821</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45821</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45821</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45821</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45821</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45821</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45821</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45821</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45821</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45821</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45821</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45821</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45821</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45821</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45821</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45821</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45821</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45821</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45821</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45821</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45821</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45821</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45821</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45821</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45821</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45821</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45821</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45821</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45821</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45821</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45821</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45821</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45821</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45821</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45821</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45821</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45821</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45821</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45821</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45821</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45821</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45821</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45821</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45821</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45821</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45821</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45821</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45821</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45821</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45821</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45821</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45821</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45821</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45821</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45821</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45821</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45821</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45821</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45821</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45821</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45821</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45821</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45821</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45821</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45821</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45821</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45821</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45821</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45821</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45821</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45821</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45821</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45821</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45821</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45821</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45821</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45821</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45821</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45821</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45821</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45821</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45821</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45821</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45821</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45821</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45821</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45821</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45821</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45821</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45821</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45821</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45821</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45821</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45821</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45821</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45821</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45821</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45821</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45821</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45821</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45821</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45821</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45821</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45821</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45821</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45821</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45821</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45821</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45821</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45821</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45821</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45821</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45821</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45821</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45821</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45821</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45821</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45821</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45821</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45821</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45821</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45821</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45821</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45821</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45821</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45821</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45821</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45821</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45821</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45821</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45821</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45821</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45821</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45821</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45821</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45821</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45821</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45821</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45821</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45821</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45821</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45821</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45821</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45821</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45821</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45821</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45821</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45821</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45821</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45821</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45821</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45821</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45821</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45821</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45821</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45821</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45821</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45821</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45821</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45821</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45821</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45821</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45821</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45821</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45821</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45821</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45821</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45821</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45821</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45821</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45821</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45821</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45821</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45821</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45821</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45821</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45821</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45821</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45821</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45821</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45821</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45821</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45821</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45821</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45821</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45821</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45821</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45821</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45821</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45821</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45821</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45821</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45821</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45821</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45821</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45821</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45821</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45821</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45821</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45821</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45821</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45821</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45821</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45821</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45821</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45821</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45821</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45821</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45821</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45821</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45821</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45821</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45821</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45821</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45821</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45821</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45821</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45821</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45821</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45821</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45821</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45821</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45821</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45821</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45821</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45821</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45821</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45821</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45821</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45821</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45821</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45821</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45821</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45821</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45821</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45821</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45821</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45821</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45821</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45821</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45821</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45821</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45821</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45821</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45821</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45821</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45821</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45821</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45821</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45821</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45821</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45821</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45821</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45821</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45821</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45821</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45821</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45821</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45821</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45821</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45821</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45821</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45821</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45821</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45821</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45821</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45821</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45821</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45821</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45821</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45821</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45821</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45821</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45821</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45821</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45821</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45821</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45821</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45821</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45821</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45821</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45821</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45821</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45821</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45821</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45821</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45821</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45821</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45821</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45821</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45821</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45821</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45821</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45821</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45821</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45821</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45821</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45821</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45821</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45821</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45821</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45821</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45821</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45821</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45821</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45821</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45821</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45821</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45821</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45821</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45821</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45821</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45821</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45821</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45821</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45821</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45821</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45821</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45821</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45821</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45821</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45821</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45821</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45821</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45821</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45821</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45821</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45821</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45821</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45821</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45821</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45821</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45821</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45821</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45821</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45821</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45821</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45821</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45821</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45821</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45821</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45821</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45821</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45821</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45821</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45821</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45821</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45821</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45821</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45821</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45821</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45821</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45821</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45821</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45821</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45821</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45821</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45821</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45821</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45821</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45821</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45821</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45821</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45821</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45821</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45821</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45821</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45821</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45821</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45821</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45821</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45821</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45821</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45821</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45821</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45821</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45821</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45821</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45821</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45821</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45821</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45821</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45821</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45821</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45821</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45821</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45821</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45821</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45821</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45821</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45821</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45821</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45821</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45821</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45821</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45821</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45821</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45821</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45821</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45821</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45821</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45821</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45821</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45821</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45821</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45821</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45821</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45821</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45821</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45821</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45821</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45821</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45821</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45821</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45821</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45821</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45821</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45821</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45821</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45821</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45821</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45821</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45821</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45821</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45821</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45821</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45821</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45821</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45821</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45821</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45821</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45821</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45821</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45821</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45821</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45821</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45821</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45821</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45821</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45821</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45821</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45821</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45821</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45821</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45821</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45821</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45821</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45821</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45821</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45821</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45821</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45821</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45821</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45821</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45821</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45821</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45821</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45821</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45821</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45821</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45821</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45821</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45821</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45821</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45821</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45821</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45821</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45821</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45821</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45821</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45821</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45821</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45821</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45821</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45821</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45821</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45821</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45821</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45821</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45821</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45821</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45821</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45821</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45821</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45821</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45821</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45821</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45821</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45821</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45821</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45821</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45821</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45821</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45821</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45821</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45821</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45821</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45821</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45821</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45821</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45821</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45821</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45821</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45821</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45821</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45821</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45821</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45821</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45821</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45821</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45821</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45821</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45821</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45821</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45821</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45821</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45821</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45821</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45821</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45821</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45821</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45821</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45821</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45821</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45821</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45821</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45821</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45821</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45821</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45821</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45821</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45821</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45821</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45821</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45821</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45821</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45821</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45821</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45821</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45821</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45821</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45821</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45821</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45821</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45821</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45821</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45821</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45821</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45821</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45821</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45821</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45821</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45821</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45821</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45821</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45821</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45821</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45821</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45821</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45821</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45821</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45821</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45821</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45821</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45821</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45821</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45821</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45821</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45821</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45821</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45821</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45821</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45821</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45821</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45821</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45821</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45821</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45821</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45821</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45821</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45821</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45821</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45821</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45821</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45821</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45821</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45821</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45821</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45821</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45821</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45821</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45821</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45821</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45821</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45821</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45821</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45821</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45821</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45821</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45821</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45821</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45821</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45821</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45821</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45821</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45821</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45821</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45821</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45821</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45821</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45821</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45821</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45821</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45821</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45821</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45821</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45821</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45821</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45821</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45821</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45821</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45821</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45821</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45821</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45821</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45821</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45821</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45821</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45821</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45821</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45821</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45821</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45821</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45821</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45821</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45821</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45821</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45821</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45821</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45821</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45821</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45821</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45821</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45821</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45821</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45821</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45821</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45821</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45821</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45821</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45821</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45821</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45821</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45821</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45821</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45821</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45821</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45821</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45821</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45821</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45821</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45821</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45821</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45821</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45821</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45821</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45821</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45821</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45821</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45821</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45821</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45821</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45821</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45821</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45821</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45821</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45821</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45821</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45821</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45821</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45821</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45821</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45821</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45821</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45821</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45821</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45821</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45821</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45821</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45821</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45821</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45821</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45821</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45821</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45821</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45821</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45821</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45821</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45821</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45821</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45821</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45821</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45821</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45821</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45821</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45821</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45821</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45821</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45821</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45821</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45821</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45821</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45821</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45821</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45821</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45821</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45821</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45821</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45821</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45821</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45821</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45821</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45821</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45821</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45821</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45821</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45821</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45821</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45821</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45821</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45821</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45821</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45821</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45821</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45821</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45821</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45821</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45821</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45821</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45821</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45821</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45821</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45821</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45821</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45821</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45821</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45821</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45821</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45821</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45821</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45821</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45821</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45821</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45821</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45821</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45821</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45821</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45821</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45821</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45821</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45821</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45821</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45821</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45821</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45821</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45821</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45821</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45821</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45821</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45821</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45821</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45821</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45821</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45821</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45821</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45821</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45821</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45821</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45821</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45821</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45821</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45821</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45821</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45821</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45821</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45821</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45821</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45821</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45821</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45821</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45821</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45821</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45821</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45821</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45821</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45821</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45821</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45821</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45821</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45821</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45821</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45821</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45821</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45821</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45821</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45821</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45821</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45821</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45821</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45821</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45821</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45821</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45821</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45821</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45821</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45821</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45821</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45821</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45821</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45821</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45821</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45821</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45821</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45821</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45821</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45821</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45821</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45821</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45821</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45821</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45821</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45821</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45821</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45821</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45821</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45821</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45821</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45821</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45821</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45821</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45821</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45821</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45821</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45821</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45821</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45821</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45821</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45821</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45821</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45821</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45821</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45821</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45821</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45821</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45821</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45821</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45821</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45821</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45821</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45821</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45821</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45821</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45821</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45821</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45821</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45821</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45821</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45821</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45821</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45821</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45821</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45821</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45821</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45821</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45821</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45821</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45821</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45821</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45821</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45821</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45821</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45821</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45821</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45821</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45821</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45821</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45821</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45821</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45821</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45821</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45821</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45821</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45821</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45821</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45821</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45821</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45821</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45821</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45821</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45821</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45821</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45821</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45821</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45821</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45821</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45821</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45821</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45821</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45821</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45821</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45821</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45821</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45821</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45821</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45821</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45821</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45821</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45821</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45821</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45821</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45821</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45821</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45821</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45821</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45821</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45821</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45821</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45821</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45821</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45821</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45821</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45821</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45821</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45821</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45821</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45821</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45821</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45821</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45821</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45821</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45821</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45821</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45821</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45821</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45821</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45821</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45821</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45821</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45821</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45821</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45821</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45821</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45821</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45821</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45821</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45821</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45821</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45821</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45821</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45821</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45821</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45821</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45821</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45821</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45821</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45821</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45821</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45821</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45821</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45821</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45821</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45821</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45821</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45821</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45821</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45821</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45821</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45821</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45821</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45821</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45821</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45821</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45821</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45821</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45821</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45821</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45821</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45821</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45821</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45821</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45821</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45821</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45821</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45821</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45821</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45821</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45821</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45821</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45821</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45821</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45821</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45821</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45821</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45821</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45821</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45821</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45821</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45821</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45821</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45821</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45821</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45821</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45821</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45821</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45821</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45821</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45821</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45821</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45821</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45821</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45821</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45821</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45821</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45821</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45821</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45821</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45821</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45821</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45821</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45821</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45821</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45821</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45821</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45821</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45821</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45821</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45821</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45821</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45821</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45821</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45821</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45821</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45821</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45821</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45821</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45821</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45821</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45821</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45821</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45821</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45821</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45821</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45821</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45821</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45821</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45821</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45821</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45821</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45821</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45821</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45821</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45821</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45821</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45821</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45821</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45821</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45821</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45821</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45821</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45821</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45821</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45821</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45821</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45821</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45821</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45821</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45821</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45821</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45821</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45821</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45821</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45821</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45821</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45821</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45821</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45821</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45821</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45821</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45821</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45821</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45821</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45821</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45821</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45821</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45821</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45821</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45821</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45821</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45821</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45821</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45821</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45821</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45821</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45821</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45821</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45821</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19243-2025</t>
        </is>
      </c>
      <c r="B5240" s="1" t="n">
        <v>45769</v>
      </c>
      <c r="C5240" s="1" t="n">
        <v>45821</v>
      </c>
      <c r="D5240" t="inlineStr">
        <is>
          <t>VÄSTMANLANDS LÄN</t>
        </is>
      </c>
      <c r="E5240" t="inlineStr">
        <is>
          <t>SALA</t>
        </is>
      </c>
      <c r="F5240" t="inlineStr">
        <is>
          <t>Bergvik skog öst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19156-2025</t>
        </is>
      </c>
      <c r="B5241" s="1" t="n">
        <v>45769</v>
      </c>
      <c r="C5241" s="1" t="n">
        <v>45821</v>
      </c>
      <c r="D5241" t="inlineStr">
        <is>
          <t>VÄSTMANLANDS LÄN</t>
        </is>
      </c>
      <c r="E5241" t="inlineStr">
        <is>
          <t>FAGERSTA</t>
        </is>
      </c>
      <c r="F5241" t="inlineStr">
        <is>
          <t>Bergvik skog väst AB</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45821</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45821</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45821</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45821</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45821</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45821</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19220-2025</t>
        </is>
      </c>
      <c r="B5248" s="1" t="n">
        <v>45769</v>
      </c>
      <c r="C5248" s="1" t="n">
        <v>45821</v>
      </c>
      <c r="D5248" t="inlineStr">
        <is>
          <t>VÄSTMANLANDS LÄN</t>
        </is>
      </c>
      <c r="E5248" t="inlineStr">
        <is>
          <t>NORBERG</t>
        </is>
      </c>
      <c r="F5248" t="inlineStr">
        <is>
          <t>Övriga Aktiebolag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19153-2025</t>
        </is>
      </c>
      <c r="B5249" s="1" t="n">
        <v>45769</v>
      </c>
      <c r="C5249" s="1" t="n">
        <v>45821</v>
      </c>
      <c r="D5249" t="inlineStr">
        <is>
          <t>VÄSTMANLANDS LÄN</t>
        </is>
      </c>
      <c r="E5249" t="inlineStr">
        <is>
          <t>FAGERSTA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45821</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45821</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45821</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19377-2025</t>
        </is>
      </c>
      <c r="B5253" s="1" t="n">
        <v>45769</v>
      </c>
      <c r="C5253" s="1" t="n">
        <v>45821</v>
      </c>
      <c r="D5253" t="inlineStr">
        <is>
          <t>VÄSTMANLANDS LÄN</t>
        </is>
      </c>
      <c r="E5253" t="inlineStr">
        <is>
          <t>NORBERG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45821</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45821</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45821</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45821</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45821</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45821</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45821</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45821</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45821</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19593-2025</t>
        </is>
      </c>
      <c r="B5263" s="1" t="n">
        <v>45770</v>
      </c>
      <c r="C5263" s="1" t="n">
        <v>45821</v>
      </c>
      <c r="D5263" t="inlineStr">
        <is>
          <t>VÄSTMANLANDS LÄN</t>
        </is>
      </c>
      <c r="E5263" t="inlineStr">
        <is>
          <t>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45821</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19655-2025</t>
        </is>
      </c>
      <c r="B5265" s="1" t="n">
        <v>45770</v>
      </c>
      <c r="C5265" s="1" t="n">
        <v>45821</v>
      </c>
      <c r="D5265" t="inlineStr">
        <is>
          <t>VÄSTMANLANDS LÄN</t>
        </is>
      </c>
      <c r="E5265" t="inlineStr">
        <is>
          <t>SKINNSKATTEBERG</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45821</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45821</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19888-2025</t>
        </is>
      </c>
      <c r="B5268" s="1" t="n">
        <v>45771</v>
      </c>
      <c r="C5268" s="1" t="n">
        <v>45821</v>
      </c>
      <c r="D5268" t="inlineStr">
        <is>
          <t>VÄSTMANLANDS LÄN</t>
        </is>
      </c>
      <c r="E5268" t="inlineStr">
        <is>
          <t>FAGERSTA</t>
        </is>
      </c>
      <c r="F5268" t="inlineStr">
        <is>
          <t>Sveaskog</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45821</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20257-2025</t>
        </is>
      </c>
      <c r="B5270" s="1" t="n">
        <v>45773</v>
      </c>
      <c r="C5270" s="1" t="n">
        <v>45821</v>
      </c>
      <c r="D5270" t="inlineStr">
        <is>
          <t>VÄSTMANLANDS LÄN</t>
        </is>
      </c>
      <c r="E5270" t="inlineStr">
        <is>
          <t>NORBERG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45821</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45821</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20953-2025</t>
        </is>
      </c>
      <c r="B5273" s="1" t="n">
        <v>45777</v>
      </c>
      <c r="C5273" s="1" t="n">
        <v>45821</v>
      </c>
      <c r="D5273" t="inlineStr">
        <is>
          <t>VÄSTMANLANDS LÄN</t>
        </is>
      </c>
      <c r="E5273" t="inlineStr">
        <is>
          <t>SKINNSKATTEBERG</t>
        </is>
      </c>
      <c r="F5273" t="inlineStr">
        <is>
          <t>Sveaskog</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20978-2025</t>
        </is>
      </c>
      <c r="B5274" s="1" t="n">
        <v>45777</v>
      </c>
      <c r="C5274" s="1" t="n">
        <v>45821</v>
      </c>
      <c r="D5274" t="inlineStr">
        <is>
          <t>VÄSTMANLANDS LÄN</t>
        </is>
      </c>
      <c r="E5274" t="inlineStr">
        <is>
          <t>NORBERG</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20947-2025</t>
        </is>
      </c>
      <c r="B5275" s="1" t="n">
        <v>45777</v>
      </c>
      <c r="C5275" s="1" t="n">
        <v>45821</v>
      </c>
      <c r="D5275" t="inlineStr">
        <is>
          <t>VÄSTMANLANDS LÄN</t>
        </is>
      </c>
      <c r="E5275" t="inlineStr">
        <is>
          <t>SKINNSKATTEBERG</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45821</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20926-2025</t>
        </is>
      </c>
      <c r="B5277" s="1" t="n">
        <v>45777</v>
      </c>
      <c r="C5277" s="1" t="n">
        <v>45821</v>
      </c>
      <c r="D5277" t="inlineStr">
        <is>
          <t>VÄSTMANLANDS LÄN</t>
        </is>
      </c>
      <c r="E5277" t="inlineStr">
        <is>
          <t>SKINNSKATTEBERG</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21157-2025</t>
        </is>
      </c>
      <c r="B5278" s="1" t="n">
        <v>45779</v>
      </c>
      <c r="C5278" s="1" t="n">
        <v>45821</v>
      </c>
      <c r="D5278" t="inlineStr">
        <is>
          <t>VÄSTMANLANDS LÄN</t>
        </is>
      </c>
      <c r="E5278" t="inlineStr">
        <is>
          <t>KÖPING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21162-2025</t>
        </is>
      </c>
      <c r="B5279" s="1" t="n">
        <v>45779</v>
      </c>
      <c r="C5279" s="1" t="n">
        <v>45821</v>
      </c>
      <c r="D5279" t="inlineStr">
        <is>
          <t>VÄSTMANLANDS LÄN</t>
        </is>
      </c>
      <c r="E5279" t="inlineStr">
        <is>
          <t>KÖPING</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21163-2025</t>
        </is>
      </c>
      <c r="B5280" s="1" t="n">
        <v>45779</v>
      </c>
      <c r="C5280" s="1" t="n">
        <v>45821</v>
      </c>
      <c r="D5280" t="inlineStr">
        <is>
          <t>VÄSTMANLANDS LÄN</t>
        </is>
      </c>
      <c r="E5280" t="inlineStr">
        <is>
          <t>KÖPING</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45821</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45821</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21754-2025</t>
        </is>
      </c>
      <c r="B5283" s="1" t="n">
        <v>45783</v>
      </c>
      <c r="C5283" s="1" t="n">
        <v>45821</v>
      </c>
      <c r="D5283" t="inlineStr">
        <is>
          <t>VÄSTMANLANDS LÄN</t>
        </is>
      </c>
      <c r="E5283" t="inlineStr">
        <is>
          <t>SALA</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21783-2025</t>
        </is>
      </c>
      <c r="B5284" s="1" t="n">
        <v>45783</v>
      </c>
      <c r="C5284" s="1" t="n">
        <v>45821</v>
      </c>
      <c r="D5284" t="inlineStr">
        <is>
          <t>VÄSTMANLANDS LÄN</t>
        </is>
      </c>
      <c r="E5284" t="inlineStr">
        <is>
          <t>KÖPING</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21785-2025</t>
        </is>
      </c>
      <c r="B5285" s="1" t="n">
        <v>45783</v>
      </c>
      <c r="C5285" s="1" t="n">
        <v>45821</v>
      </c>
      <c r="D5285" t="inlineStr">
        <is>
          <t>VÄSTMANLANDS LÄN</t>
        </is>
      </c>
      <c r="E5285" t="inlineStr">
        <is>
          <t>KÖPING</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21691-2025</t>
        </is>
      </c>
      <c r="B5286" s="1" t="n">
        <v>45783</v>
      </c>
      <c r="C5286" s="1" t="n">
        <v>45821</v>
      </c>
      <c r="D5286" t="inlineStr">
        <is>
          <t>VÄSTMANLANDS LÄN</t>
        </is>
      </c>
      <c r="E5286" t="inlineStr">
        <is>
          <t>KÖPING</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21751-2025</t>
        </is>
      </c>
      <c r="B5287" s="1" t="n">
        <v>45783</v>
      </c>
      <c r="C5287" s="1" t="n">
        <v>45821</v>
      </c>
      <c r="D5287" t="inlineStr">
        <is>
          <t>VÄSTMANLANDS LÄN</t>
        </is>
      </c>
      <c r="E5287" t="inlineStr">
        <is>
          <t>SALA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21738-2025</t>
        </is>
      </c>
      <c r="B5288" s="1" t="n">
        <v>45783</v>
      </c>
      <c r="C5288" s="1" t="n">
        <v>45821</v>
      </c>
      <c r="D5288" t="inlineStr">
        <is>
          <t>VÄSTMANLANDS LÄN</t>
        </is>
      </c>
      <c r="E5288" t="inlineStr">
        <is>
          <t>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21721-2025</t>
        </is>
      </c>
      <c r="B5289" s="1" t="n">
        <v>45783</v>
      </c>
      <c r="C5289" s="1" t="n">
        <v>45821</v>
      </c>
      <c r="D5289" t="inlineStr">
        <is>
          <t>VÄSTMANLANDS LÄN</t>
        </is>
      </c>
      <c r="E5289" t="inlineStr">
        <is>
          <t>SALA</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22025-2025</t>
        </is>
      </c>
      <c r="B5290" s="1" t="n">
        <v>45784</v>
      </c>
      <c r="C5290" s="1" t="n">
        <v>45821</v>
      </c>
      <c r="D5290" t="inlineStr">
        <is>
          <t>VÄSTMANLANDS LÄN</t>
        </is>
      </c>
      <c r="E5290" t="inlineStr">
        <is>
          <t>FAGERSTA</t>
        </is>
      </c>
      <c r="F5290" t="inlineStr">
        <is>
          <t>Kommuner</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45821</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45821</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22126-2025</t>
        </is>
      </c>
      <c r="B5293" s="1" t="n">
        <v>45785</v>
      </c>
      <c r="C5293" s="1" t="n">
        <v>45821</v>
      </c>
      <c r="D5293" t="inlineStr">
        <is>
          <t>VÄSTMANLANDS LÄN</t>
        </is>
      </c>
      <c r="E5293" t="inlineStr">
        <is>
          <t>SALA</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45821</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45821</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45821</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45821</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45821</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45821</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22280-2025</t>
        </is>
      </c>
      <c r="B5300" s="1" t="n">
        <v>45786</v>
      </c>
      <c r="C5300" s="1" t="n">
        <v>45821</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22675-2025</t>
        </is>
      </c>
      <c r="B5301" s="1" t="n">
        <v>45786</v>
      </c>
      <c r="C5301" s="1" t="n">
        <v>45821</v>
      </c>
      <c r="D5301" t="inlineStr">
        <is>
          <t>VÄSTMANLANDS LÄN</t>
        </is>
      </c>
      <c r="E5301" t="inlineStr">
        <is>
          <t>VÄSTERÅS</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22383-2025</t>
        </is>
      </c>
      <c r="B5302" s="1" t="n">
        <v>45786</v>
      </c>
      <c r="C5302" s="1" t="n">
        <v>45821</v>
      </c>
      <c r="D5302" t="inlineStr">
        <is>
          <t>VÄSTMANLANDS LÄN</t>
        </is>
      </c>
      <c r="E5302" t="inlineStr">
        <is>
          <t>SALA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22624-2025</t>
        </is>
      </c>
      <c r="B5303" s="1" t="n">
        <v>45789</v>
      </c>
      <c r="C5303" s="1" t="n">
        <v>45821</v>
      </c>
      <c r="D5303" t="inlineStr">
        <is>
          <t>VÄSTMANLANDS LÄN</t>
        </is>
      </c>
      <c r="E5303" t="inlineStr">
        <is>
          <t>SALA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45821</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45821</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22590-2025</t>
        </is>
      </c>
      <c r="B5306" s="1" t="n">
        <v>45789</v>
      </c>
      <c r="C5306" s="1" t="n">
        <v>45821</v>
      </c>
      <c r="D5306" t="inlineStr">
        <is>
          <t>VÄSTMANLANDS LÄN</t>
        </is>
      </c>
      <c r="E5306" t="inlineStr">
        <is>
          <t>FAGERSTA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45821</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22625-2025</t>
        </is>
      </c>
      <c r="B5308" s="1" t="n">
        <v>45789</v>
      </c>
      <c r="C5308" s="1" t="n">
        <v>45821</v>
      </c>
      <c r="D5308" t="inlineStr">
        <is>
          <t>VÄSTMANLANDS LÄN</t>
        </is>
      </c>
      <c r="E5308" t="inlineStr">
        <is>
          <t>SALA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22735-2025</t>
        </is>
      </c>
      <c r="B5309" s="1" t="n">
        <v>45789</v>
      </c>
      <c r="C5309" s="1" t="n">
        <v>45821</v>
      </c>
      <c r="D5309" t="inlineStr">
        <is>
          <t>VÄSTMANLANDS LÄN</t>
        </is>
      </c>
      <c r="E5309" t="inlineStr">
        <is>
          <t>ARBOGA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23045-2025</t>
        </is>
      </c>
      <c r="B5310" s="1" t="n">
        <v>45790</v>
      </c>
      <c r="C5310" s="1" t="n">
        <v>45821</v>
      </c>
      <c r="D5310" t="inlineStr">
        <is>
          <t>VÄSTMANLANDS LÄN</t>
        </is>
      </c>
      <c r="E5310" t="inlineStr">
        <is>
          <t>KÖPING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23131-2025</t>
        </is>
      </c>
      <c r="B5311" s="1" t="n">
        <v>45791</v>
      </c>
      <c r="C5311" s="1" t="n">
        <v>45821</v>
      </c>
      <c r="D5311" t="inlineStr">
        <is>
          <t>VÄSTMANLANDS LÄN</t>
        </is>
      </c>
      <c r="E5311" t="inlineStr">
        <is>
          <t>SKINNSKATTEBERG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23433-2025</t>
        </is>
      </c>
      <c r="B5312" s="1" t="n">
        <v>45792</v>
      </c>
      <c r="C5312" s="1" t="n">
        <v>45821</v>
      </c>
      <c r="D5312" t="inlineStr">
        <is>
          <t>VÄSTMANLANDS LÄN</t>
        </is>
      </c>
      <c r="E5312" t="inlineStr">
        <is>
          <t>NORBERG</t>
        </is>
      </c>
      <c r="F5312" t="inlineStr">
        <is>
          <t>Övriga Aktiebolag</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23625-2025</t>
        </is>
      </c>
      <c r="B5313" s="1" t="n">
        <v>45792</v>
      </c>
      <c r="C5313" s="1" t="n">
        <v>45821</v>
      </c>
      <c r="D5313" t="inlineStr">
        <is>
          <t>VÄSTMANLANDS LÄN</t>
        </is>
      </c>
      <c r="E5313" t="inlineStr">
        <is>
          <t>SKINNSKATTEBERG</t>
        </is>
      </c>
      <c r="F5313" t="inlineStr">
        <is>
          <t>Sveaskog</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23624-2025</t>
        </is>
      </c>
      <c r="B5314" s="1" t="n">
        <v>45792</v>
      </c>
      <c r="C5314" s="1" t="n">
        <v>45821</v>
      </c>
      <c r="D5314" t="inlineStr">
        <is>
          <t>VÄSTMANLANDS LÄN</t>
        </is>
      </c>
      <c r="E5314" t="inlineStr">
        <is>
          <t>SKINNSKATTEBERG</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23611-2025</t>
        </is>
      </c>
      <c r="B5315" s="1" t="n">
        <v>45792</v>
      </c>
      <c r="C5315" s="1" t="n">
        <v>45821</v>
      </c>
      <c r="D5315" t="inlineStr">
        <is>
          <t>VÄSTMANLANDS LÄN</t>
        </is>
      </c>
      <c r="E5315" t="inlineStr">
        <is>
          <t>SKINNSKATTEBERG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23621-2025</t>
        </is>
      </c>
      <c r="B5316" s="1" t="n">
        <v>45792</v>
      </c>
      <c r="C5316" s="1" t="n">
        <v>45821</v>
      </c>
      <c r="D5316" t="inlineStr">
        <is>
          <t>VÄSTMANLANDS LÄN</t>
        </is>
      </c>
      <c r="E5316" t="inlineStr">
        <is>
          <t>SKINNSKATTEBERG</t>
        </is>
      </c>
      <c r="F5316" t="inlineStr">
        <is>
          <t>Sveaskog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45821</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45821</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23810-2025</t>
        </is>
      </c>
      <c r="B5319" s="1" t="n">
        <v>45793</v>
      </c>
      <c r="C5319" s="1" t="n">
        <v>45821</v>
      </c>
      <c r="D5319" t="inlineStr">
        <is>
          <t>VÄSTMANLANDS LÄN</t>
        </is>
      </c>
      <c r="E5319" t="inlineStr">
        <is>
          <t>SALA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45821</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45821</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23876-2025</t>
        </is>
      </c>
      <c r="B5322" s="1" t="n">
        <v>45793</v>
      </c>
      <c r="C5322" s="1" t="n">
        <v>45821</v>
      </c>
      <c r="D5322" t="inlineStr">
        <is>
          <t>VÄSTMANLANDS LÄN</t>
        </is>
      </c>
      <c r="E5322" t="inlineStr">
        <is>
          <t>NORBERG</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24145-2025</t>
        </is>
      </c>
      <c r="B5323" s="1" t="n">
        <v>45796</v>
      </c>
      <c r="C5323" s="1" t="n">
        <v>45821</v>
      </c>
      <c r="D5323" t="inlineStr">
        <is>
          <t>VÄSTMANLANDS LÄN</t>
        </is>
      </c>
      <c r="E5323" t="inlineStr">
        <is>
          <t>ARBOGA</t>
        </is>
      </c>
      <c r="F5323" t="inlineStr">
        <is>
          <t>Sveaskog</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24244-2025</t>
        </is>
      </c>
      <c r="B5324" s="1" t="n">
        <v>45796</v>
      </c>
      <c r="C5324" s="1" t="n">
        <v>45821</v>
      </c>
      <c r="D5324" t="inlineStr">
        <is>
          <t>VÄSTMANLANDS LÄN</t>
        </is>
      </c>
      <c r="E5324" t="inlineStr">
        <is>
          <t>ARBOGA</t>
        </is>
      </c>
      <c r="F5324" t="inlineStr">
        <is>
          <t>Sveaskog</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45821</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24169-2025</t>
        </is>
      </c>
      <c r="B5326" s="1" t="n">
        <v>45796</v>
      </c>
      <c r="C5326" s="1" t="n">
        <v>45821</v>
      </c>
      <c r="D5326" t="inlineStr">
        <is>
          <t>VÄSTMANLANDS LÄN</t>
        </is>
      </c>
      <c r="E5326" t="inlineStr">
        <is>
          <t>SALA</t>
        </is>
      </c>
      <c r="F5326" t="inlineStr">
        <is>
          <t>Sveaskog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24410-2025</t>
        </is>
      </c>
      <c r="B5327" s="1" t="n">
        <v>45797</v>
      </c>
      <c r="C5327" s="1" t="n">
        <v>45821</v>
      </c>
      <c r="D5327" t="inlineStr">
        <is>
          <t>VÄSTMANLANDS LÄN</t>
        </is>
      </c>
      <c r="E5327" t="inlineStr">
        <is>
          <t>SALA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24471-2025</t>
        </is>
      </c>
      <c r="B5328" s="1" t="n">
        <v>45798</v>
      </c>
      <c r="C5328" s="1" t="n">
        <v>45821</v>
      </c>
      <c r="D5328" t="inlineStr">
        <is>
          <t>VÄSTMANLANDS LÄN</t>
        </is>
      </c>
      <c r="E5328" t="inlineStr">
        <is>
          <t>KÖPING</t>
        </is>
      </c>
      <c r="F5328" t="inlineStr">
        <is>
          <t>Sveaskog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24475-2025</t>
        </is>
      </c>
      <c r="B5329" s="1" t="n">
        <v>45798</v>
      </c>
      <c r="C5329" s="1" t="n">
        <v>45821</v>
      </c>
      <c r="D5329" t="inlineStr">
        <is>
          <t>VÄSTMANLANDS LÄN</t>
        </is>
      </c>
      <c r="E5329" t="inlineStr">
        <is>
          <t>KÖPING</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24469-2025</t>
        </is>
      </c>
      <c r="B5330" s="1" t="n">
        <v>45798</v>
      </c>
      <c r="C5330" s="1" t="n">
        <v>45821</v>
      </c>
      <c r="D5330" t="inlineStr">
        <is>
          <t>VÄSTMANLANDS LÄN</t>
        </is>
      </c>
      <c r="E5330" t="inlineStr">
        <is>
          <t>KÖPING</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24463-2025</t>
        </is>
      </c>
      <c r="B5331" s="1" t="n">
        <v>45798</v>
      </c>
      <c r="C5331" s="1" t="n">
        <v>45821</v>
      </c>
      <c r="D5331" t="inlineStr">
        <is>
          <t>VÄSTMANLANDS LÄN</t>
        </is>
      </c>
      <c r="E5331" t="inlineStr">
        <is>
          <t>SALA</t>
        </is>
      </c>
      <c r="F5331" t="inlineStr">
        <is>
          <t>Bergvik skog öst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24477-2025</t>
        </is>
      </c>
      <c r="B5332" s="1" t="n">
        <v>45798</v>
      </c>
      <c r="C5332" s="1" t="n">
        <v>45821</v>
      </c>
      <c r="D5332" t="inlineStr">
        <is>
          <t>VÄSTMANLANDS LÄN</t>
        </is>
      </c>
      <c r="E5332" t="inlineStr">
        <is>
          <t>KÖPING</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45821</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45821</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24460-2025</t>
        </is>
      </c>
      <c r="B5335" s="1" t="n">
        <v>45798</v>
      </c>
      <c r="C5335" s="1" t="n">
        <v>45821</v>
      </c>
      <c r="D5335" t="inlineStr">
        <is>
          <t>VÄSTMANLANDS LÄN</t>
        </is>
      </c>
      <c r="E5335" t="inlineStr">
        <is>
          <t>SALA</t>
        </is>
      </c>
      <c r="F5335" t="inlineStr">
        <is>
          <t>Bergvik skog öst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24473-2025</t>
        </is>
      </c>
      <c r="B5336" s="1" t="n">
        <v>45798</v>
      </c>
      <c r="C5336" s="1" t="n">
        <v>45821</v>
      </c>
      <c r="D5336" t="inlineStr">
        <is>
          <t>VÄSTMANLANDS LÄN</t>
        </is>
      </c>
      <c r="E5336" t="inlineStr">
        <is>
          <t>KÖPING</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45821</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45821</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24481-2025</t>
        </is>
      </c>
      <c r="B5339" s="1" t="n">
        <v>45798</v>
      </c>
      <c r="C5339" s="1" t="n">
        <v>45821</v>
      </c>
      <c r="D5339" t="inlineStr">
        <is>
          <t>VÄSTMANLANDS LÄN</t>
        </is>
      </c>
      <c r="E5339" t="inlineStr">
        <is>
          <t>KÖPING</t>
        </is>
      </c>
      <c r="F5339" t="inlineStr">
        <is>
          <t>Sveaskog</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45821</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24910-2025</t>
        </is>
      </c>
      <c r="B5341" s="1" t="n">
        <v>45799</v>
      </c>
      <c r="C5341" s="1" t="n">
        <v>45821</v>
      </c>
      <c r="D5341" t="inlineStr">
        <is>
          <t>VÄSTMANLANDS LÄN</t>
        </is>
      </c>
      <c r="E5341" t="inlineStr">
        <is>
          <t>SALA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25543-2025</t>
        </is>
      </c>
      <c r="B5342" s="1" t="n">
        <v>45803</v>
      </c>
      <c r="C5342" s="1" t="n">
        <v>45821</v>
      </c>
      <c r="D5342" t="inlineStr">
        <is>
          <t>VÄSTMANLANDS LÄN</t>
        </is>
      </c>
      <c r="E5342" t="inlineStr">
        <is>
          <t>KÖPING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25568-2025</t>
        </is>
      </c>
      <c r="B5343" s="1" t="n">
        <v>45803</v>
      </c>
      <c r="C5343" s="1" t="n">
        <v>45821</v>
      </c>
      <c r="D5343" t="inlineStr">
        <is>
          <t>VÄSTMANLANDS LÄN</t>
        </is>
      </c>
      <c r="E5343" t="inlineStr">
        <is>
          <t>VÄSTERÅS</t>
        </is>
      </c>
      <c r="F5343" t="inlineStr">
        <is>
          <t>Allmännings- och besparingsskogar</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25845-2025</t>
        </is>
      </c>
      <c r="B5344" s="1" t="n">
        <v>45804</v>
      </c>
      <c r="C5344" s="1" t="n">
        <v>45821</v>
      </c>
      <c r="D5344" t="inlineStr">
        <is>
          <t>VÄSTMANLANDS LÄN</t>
        </is>
      </c>
      <c r="E5344" t="inlineStr">
        <is>
          <t>SKINNSKATTEBERG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26044-2025</t>
        </is>
      </c>
      <c r="B5345" s="1" t="n">
        <v>45804</v>
      </c>
      <c r="C5345" s="1" t="n">
        <v>45821</v>
      </c>
      <c r="D5345" t="inlineStr">
        <is>
          <t>VÄSTMANLANDS LÄN</t>
        </is>
      </c>
      <c r="E5345" t="inlineStr">
        <is>
          <t>ARBOGA</t>
        </is>
      </c>
      <c r="G5345" t="n">
        <v>31.3</v>
      </c>
      <c r="H5345" t="n">
        <v>0</v>
      </c>
      <c r="I5345" t="n">
        <v>0</v>
      </c>
      <c r="J5345" t="n">
        <v>0</v>
      </c>
      <c r="K5345" t="n">
        <v>0</v>
      </c>
      <c r="L5345" t="n">
        <v>0</v>
      </c>
      <c r="M5345" t="n">
        <v>0</v>
      </c>
      <c r="N5345" t="n">
        <v>0</v>
      </c>
      <c r="O5345" t="n">
        <v>0</v>
      </c>
      <c r="P5345" t="n">
        <v>0</v>
      </c>
      <c r="Q5345" t="n">
        <v>0</v>
      </c>
      <c r="R5345" s="2" t="inlineStr"/>
    </row>
    <row r="5346" ht="15" customHeight="1">
      <c r="A5346" t="inlineStr">
        <is>
          <t>A 25972-2025</t>
        </is>
      </c>
      <c r="B5346" s="1" t="n">
        <v>45804</v>
      </c>
      <c r="C5346" s="1" t="n">
        <v>45821</v>
      </c>
      <c r="D5346" t="inlineStr">
        <is>
          <t>VÄSTMANLANDS LÄN</t>
        </is>
      </c>
      <c r="E5346" t="inlineStr">
        <is>
          <t>FAGERSTA</t>
        </is>
      </c>
      <c r="F5346" t="inlineStr">
        <is>
          <t>Sveaskog</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25846-2025</t>
        </is>
      </c>
      <c r="B5347" s="1" t="n">
        <v>45804</v>
      </c>
      <c r="C5347" s="1" t="n">
        <v>45821</v>
      </c>
      <c r="D5347" t="inlineStr">
        <is>
          <t>VÄSTMANLANDS LÄN</t>
        </is>
      </c>
      <c r="E5347" t="inlineStr">
        <is>
          <t>SKINNSKATTEBERG</t>
        </is>
      </c>
      <c r="F5347" t="inlineStr">
        <is>
          <t>Sveaskog</t>
        </is>
      </c>
      <c r="G5347" t="n">
        <v>0.2</v>
      </c>
      <c r="H5347" t="n">
        <v>0</v>
      </c>
      <c r="I5347" t="n">
        <v>0</v>
      </c>
      <c r="J5347" t="n">
        <v>0</v>
      </c>
      <c r="K5347" t="n">
        <v>0</v>
      </c>
      <c r="L5347" t="n">
        <v>0</v>
      </c>
      <c r="M5347" t="n">
        <v>0</v>
      </c>
      <c r="N5347" t="n">
        <v>0</v>
      </c>
      <c r="O5347" t="n">
        <v>0</v>
      </c>
      <c r="P5347" t="n">
        <v>0</v>
      </c>
      <c r="Q5347" t="n">
        <v>0</v>
      </c>
      <c r="R5347" s="2" t="inlineStr"/>
    </row>
    <row r="5348" ht="15" customHeight="1">
      <c r="A5348" t="inlineStr">
        <is>
          <t>A 26165-2025</t>
        </is>
      </c>
      <c r="B5348" s="1" t="n">
        <v>45805</v>
      </c>
      <c r="C5348" s="1" t="n">
        <v>45821</v>
      </c>
      <c r="D5348" t="inlineStr">
        <is>
          <t>VÄSTMANLANDS LÄN</t>
        </is>
      </c>
      <c r="E5348" t="inlineStr">
        <is>
          <t>FAGERSTA</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26163-2025</t>
        </is>
      </c>
      <c r="B5349" s="1" t="n">
        <v>45805</v>
      </c>
      <c r="C5349" s="1" t="n">
        <v>45821</v>
      </c>
      <c r="D5349" t="inlineStr">
        <is>
          <t>VÄSTMANLANDS LÄN</t>
        </is>
      </c>
      <c r="E5349" t="inlineStr">
        <is>
          <t>FAGERSTA</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26164-2025</t>
        </is>
      </c>
      <c r="B5350" s="1" t="n">
        <v>45805</v>
      </c>
      <c r="C5350" s="1" t="n">
        <v>45821</v>
      </c>
      <c r="D5350" t="inlineStr">
        <is>
          <t>VÄSTMANLANDS LÄN</t>
        </is>
      </c>
      <c r="E5350" t="inlineStr">
        <is>
          <t>FAGERSTA</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26845-2025</t>
        </is>
      </c>
      <c r="B5351" s="1" t="n">
        <v>45810</v>
      </c>
      <c r="C5351" s="1" t="n">
        <v>45821</v>
      </c>
      <c r="D5351" t="inlineStr">
        <is>
          <t>VÄSTMANLANDS LÄN</t>
        </is>
      </c>
      <c r="E5351" t="inlineStr">
        <is>
          <t>KÖPING</t>
        </is>
      </c>
      <c r="F5351" t="inlineStr">
        <is>
          <t>Sveaskog</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26847-2025</t>
        </is>
      </c>
      <c r="B5352" s="1" t="n">
        <v>45810</v>
      </c>
      <c r="C5352" s="1" t="n">
        <v>45821</v>
      </c>
      <c r="D5352" t="inlineStr">
        <is>
          <t>VÄSTMANLANDS LÄN</t>
        </is>
      </c>
      <c r="E5352" t="inlineStr">
        <is>
          <t>KÖPING</t>
        </is>
      </c>
      <c r="F5352" t="inlineStr">
        <is>
          <t>Sveaskog</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26862-2025</t>
        </is>
      </c>
      <c r="B5353" s="1" t="n">
        <v>45810</v>
      </c>
      <c r="C5353" s="1" t="n">
        <v>45821</v>
      </c>
      <c r="D5353" t="inlineStr">
        <is>
          <t>VÄSTMANLANDS LÄN</t>
        </is>
      </c>
      <c r="E5353" t="inlineStr">
        <is>
          <t>KÖPING</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26839-2025</t>
        </is>
      </c>
      <c r="B5354" s="1" t="n">
        <v>45810</v>
      </c>
      <c r="C5354" s="1" t="n">
        <v>45821</v>
      </c>
      <c r="D5354" t="inlineStr">
        <is>
          <t>VÄSTMANLANDS LÄN</t>
        </is>
      </c>
      <c r="E5354" t="inlineStr">
        <is>
          <t>KÖPING</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26652-2025</t>
        </is>
      </c>
      <c r="B5355" s="1" t="n">
        <v>45810</v>
      </c>
      <c r="C5355" s="1" t="n">
        <v>45821</v>
      </c>
      <c r="D5355" t="inlineStr">
        <is>
          <t>VÄSTMANLANDS LÄN</t>
        </is>
      </c>
      <c r="E5355" t="inlineStr">
        <is>
          <t>FAGERSTA</t>
        </is>
      </c>
      <c r="F5355" t="inlineStr">
        <is>
          <t>Bergvik skog väst AB</t>
        </is>
      </c>
      <c r="G5355" t="n">
        <v>22.6</v>
      </c>
      <c r="H5355" t="n">
        <v>0</v>
      </c>
      <c r="I5355" t="n">
        <v>0</v>
      </c>
      <c r="J5355" t="n">
        <v>0</v>
      </c>
      <c r="K5355" t="n">
        <v>0</v>
      </c>
      <c r="L5355" t="n">
        <v>0</v>
      </c>
      <c r="M5355" t="n">
        <v>0</v>
      </c>
      <c r="N5355" t="n">
        <v>0</v>
      </c>
      <c r="O5355" t="n">
        <v>0</v>
      </c>
      <c r="P5355" t="n">
        <v>0</v>
      </c>
      <c r="Q5355" t="n">
        <v>0</v>
      </c>
      <c r="R5355" s="2" t="inlineStr"/>
    </row>
    <row r="5356" ht="15" customHeight="1">
      <c r="A5356" t="inlineStr">
        <is>
          <t>A 26661-2025</t>
        </is>
      </c>
      <c r="B5356" s="1" t="n">
        <v>45810</v>
      </c>
      <c r="C5356" s="1" t="n">
        <v>45821</v>
      </c>
      <c r="D5356" t="inlineStr">
        <is>
          <t>VÄSTMANLANDS LÄN</t>
        </is>
      </c>
      <c r="E5356" t="inlineStr">
        <is>
          <t>SALA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27290-2025</t>
        </is>
      </c>
      <c r="B5357" s="1" t="n">
        <v>45812</v>
      </c>
      <c r="C5357" s="1" t="n">
        <v>45821</v>
      </c>
      <c r="D5357" t="inlineStr">
        <is>
          <t>VÄSTMANLANDS LÄN</t>
        </is>
      </c>
      <c r="E5357" t="inlineStr">
        <is>
          <t>VÄSTERÅS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27365-2025</t>
        </is>
      </c>
      <c r="B5358" s="1" t="n">
        <v>45812</v>
      </c>
      <c r="C5358" s="1" t="n">
        <v>45821</v>
      </c>
      <c r="D5358" t="inlineStr">
        <is>
          <t>VÄSTMANLANDS LÄN</t>
        </is>
      </c>
      <c r="E5358" t="inlineStr">
        <is>
          <t>HALLSTAHAMMAR</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27207-2025</t>
        </is>
      </c>
      <c r="B5359" s="1" t="n">
        <v>45812</v>
      </c>
      <c r="C5359" s="1" t="n">
        <v>45821</v>
      </c>
      <c r="D5359" t="inlineStr">
        <is>
          <t>VÄSTMANLANDS LÄN</t>
        </is>
      </c>
      <c r="E5359" t="inlineStr">
        <is>
          <t>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27902-2025</t>
        </is>
      </c>
      <c r="B5360" s="1" t="n">
        <v>45817</v>
      </c>
      <c r="C5360" s="1" t="n">
        <v>45821</v>
      </c>
      <c r="D5360" t="inlineStr">
        <is>
          <t>VÄSTMANLANDS LÄN</t>
        </is>
      </c>
      <c r="E5360" t="inlineStr">
        <is>
          <t>NORBERG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27910-2025</t>
        </is>
      </c>
      <c r="B5361" s="1" t="n">
        <v>45817</v>
      </c>
      <c r="C5361" s="1" t="n">
        <v>45821</v>
      </c>
      <c r="D5361" t="inlineStr">
        <is>
          <t>VÄSTMANLANDS LÄN</t>
        </is>
      </c>
      <c r="E5361" t="inlineStr">
        <is>
          <t>NORBERG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27830-2025</t>
        </is>
      </c>
      <c r="B5362" s="1" t="n">
        <v>45817</v>
      </c>
      <c r="C5362" s="1" t="n">
        <v>45821</v>
      </c>
      <c r="D5362" t="inlineStr">
        <is>
          <t>VÄSTMANLANDS LÄN</t>
        </is>
      </c>
      <c r="E5362" t="inlineStr">
        <is>
          <t>KÖPING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27981-2025</t>
        </is>
      </c>
      <c r="B5363" s="1" t="n">
        <v>45817</v>
      </c>
      <c r="C5363" s="1" t="n">
        <v>45821</v>
      </c>
      <c r="D5363" t="inlineStr">
        <is>
          <t>VÄSTMANLANDS LÄN</t>
        </is>
      </c>
      <c r="E5363" t="inlineStr">
        <is>
          <t>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28073-2025</t>
        </is>
      </c>
      <c r="B5364" s="1" t="n">
        <v>45817</v>
      </c>
      <c r="C5364" s="1" t="n">
        <v>45821</v>
      </c>
      <c r="D5364" t="inlineStr">
        <is>
          <t>VÄSTMANLANDS LÄN</t>
        </is>
      </c>
      <c r="E5364" t="inlineStr">
        <is>
          <t>KÖPING</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27913-2025</t>
        </is>
      </c>
      <c r="B5365" s="1" t="n">
        <v>45817</v>
      </c>
      <c r="C5365" s="1" t="n">
        <v>45821</v>
      </c>
      <c r="D5365" t="inlineStr">
        <is>
          <t>VÄSTMANLANDS LÄN</t>
        </is>
      </c>
      <c r="E5365" t="inlineStr">
        <is>
          <t>NORBERG</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28067-2025</t>
        </is>
      </c>
      <c r="B5366" s="1" t="n">
        <v>45817</v>
      </c>
      <c r="C5366" s="1" t="n">
        <v>45821</v>
      </c>
      <c r="D5366" t="inlineStr">
        <is>
          <t>VÄSTMANLANDS LÄN</t>
        </is>
      </c>
      <c r="E5366" t="inlineStr">
        <is>
          <t>ARBOGA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28069-2025</t>
        </is>
      </c>
      <c r="B5367" s="1" t="n">
        <v>45817</v>
      </c>
      <c r="C5367" s="1" t="n">
        <v>45821</v>
      </c>
      <c r="D5367" t="inlineStr">
        <is>
          <t>VÄSTMANLANDS LÄN</t>
        </is>
      </c>
      <c r="E5367" t="inlineStr">
        <is>
          <t>ARBOGA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27989-2025</t>
        </is>
      </c>
      <c r="B5368" s="1" t="n">
        <v>45817</v>
      </c>
      <c r="C5368" s="1" t="n">
        <v>45821</v>
      </c>
      <c r="D5368" t="inlineStr">
        <is>
          <t>VÄSTMANLANDS LÄN</t>
        </is>
      </c>
      <c r="E5368" t="inlineStr">
        <is>
          <t>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28193-2025</t>
        </is>
      </c>
      <c r="B5369" s="1" t="n">
        <v>45818</v>
      </c>
      <c r="C5369" s="1" t="n">
        <v>45821</v>
      </c>
      <c r="D5369" t="inlineStr">
        <is>
          <t>VÄSTMANLANDS LÄN</t>
        </is>
      </c>
      <c r="E5369" t="inlineStr">
        <is>
          <t>SALA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28284-2025</t>
        </is>
      </c>
      <c r="B5370" s="1" t="n">
        <v>45818</v>
      </c>
      <c r="C5370" s="1" t="n">
        <v>45821</v>
      </c>
      <c r="D5370" t="inlineStr">
        <is>
          <t>VÄSTMANLANDS LÄN</t>
        </is>
      </c>
      <c r="E5370" t="inlineStr">
        <is>
          <t>SALA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28278-2025</t>
        </is>
      </c>
      <c r="B5371" s="1" t="n">
        <v>45818</v>
      </c>
      <c r="C5371" s="1" t="n">
        <v>45821</v>
      </c>
      <c r="D5371" t="inlineStr">
        <is>
          <t>VÄSTMANLANDS LÄN</t>
        </is>
      </c>
      <c r="E5371" t="inlineStr">
        <is>
          <t>SALA</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28425-2025</t>
        </is>
      </c>
      <c r="B5372" s="1" t="n">
        <v>45819</v>
      </c>
      <c r="C5372" s="1" t="n">
        <v>45821</v>
      </c>
      <c r="D5372" t="inlineStr">
        <is>
          <t>VÄSTMANLANDS LÄN</t>
        </is>
      </c>
      <c r="E5372" t="inlineStr">
        <is>
          <t>FAGERSTA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28608-2025</t>
        </is>
      </c>
      <c r="B5373" s="1" t="n">
        <v>45819</v>
      </c>
      <c r="C5373" s="1" t="n">
        <v>45821</v>
      </c>
      <c r="D5373" t="inlineStr">
        <is>
          <t>VÄSTMANLANDS LÄN</t>
        </is>
      </c>
      <c r="E5373" t="inlineStr">
        <is>
          <t>SKINNSKATTEBERG</t>
        </is>
      </c>
      <c r="F5373" t="inlineStr">
        <is>
          <t>Sveaskog</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28443-2025</t>
        </is>
      </c>
      <c r="B5374" s="1" t="n">
        <v>45819</v>
      </c>
      <c r="C5374" s="1" t="n">
        <v>45821</v>
      </c>
      <c r="D5374" t="inlineStr">
        <is>
          <t>VÄSTMANLANDS LÄN</t>
        </is>
      </c>
      <c r="E5374" t="inlineStr">
        <is>
          <t>VÄSTERÅS</t>
        </is>
      </c>
      <c r="F5374" t="inlineStr">
        <is>
          <t>Allmännings- och besparingsskogar</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28606-2025</t>
        </is>
      </c>
      <c r="B5375" s="1" t="n">
        <v>45819</v>
      </c>
      <c r="C5375" s="1" t="n">
        <v>45821</v>
      </c>
      <c r="D5375" t="inlineStr">
        <is>
          <t>VÄSTMANLANDS LÄN</t>
        </is>
      </c>
      <c r="E5375" t="inlineStr">
        <is>
          <t>SKINNSKATTEBERG</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28628-2025</t>
        </is>
      </c>
      <c r="B5376" s="1" t="n">
        <v>45819</v>
      </c>
      <c r="C5376" s="1" t="n">
        <v>45821</v>
      </c>
      <c r="D5376" t="inlineStr">
        <is>
          <t>VÄSTMANLANDS LÄN</t>
        </is>
      </c>
      <c r="E5376" t="inlineStr">
        <is>
          <t>SALA</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28630-2025</t>
        </is>
      </c>
      <c r="B5377" s="1" t="n">
        <v>45819</v>
      </c>
      <c r="C5377" s="1" t="n">
        <v>45821</v>
      </c>
      <c r="D5377" t="inlineStr">
        <is>
          <t>VÄSTMANLANDS LÄN</t>
        </is>
      </c>
      <c r="E5377" t="inlineStr">
        <is>
          <t>SALA</t>
        </is>
      </c>
      <c r="F5377" t="inlineStr">
        <is>
          <t>Sveaskog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28498-2025</t>
        </is>
      </c>
      <c r="B5378" s="1" t="n">
        <v>45819</v>
      </c>
      <c r="C5378" s="1" t="n">
        <v>45821</v>
      </c>
      <c r="D5378" t="inlineStr">
        <is>
          <t>VÄSTMANLANDS LÄN</t>
        </is>
      </c>
      <c r="E5378" t="inlineStr">
        <is>
          <t>KÖPING</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28502-2025</t>
        </is>
      </c>
      <c r="B5379" s="1" t="n">
        <v>45819</v>
      </c>
      <c r="C5379" s="1" t="n">
        <v>45821</v>
      </c>
      <c r="D5379" t="inlineStr">
        <is>
          <t>VÄSTMANLANDS LÄN</t>
        </is>
      </c>
      <c r="E5379" t="inlineStr">
        <is>
          <t>KÖPING</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28603-2025</t>
        </is>
      </c>
      <c r="B5380" s="1" t="n">
        <v>45819</v>
      </c>
      <c r="C5380" s="1" t="n">
        <v>45821</v>
      </c>
      <c r="D5380" t="inlineStr">
        <is>
          <t>VÄSTMANLANDS LÄN</t>
        </is>
      </c>
      <c r="E5380" t="inlineStr">
        <is>
          <t>SKINNSKATTEBERG</t>
        </is>
      </c>
      <c r="F5380" t="inlineStr">
        <is>
          <t>Sveaskog</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28605-2025</t>
        </is>
      </c>
      <c r="B5381" s="1" t="n">
        <v>45819</v>
      </c>
      <c r="C5381" s="1" t="n">
        <v>45821</v>
      </c>
      <c r="D5381" t="inlineStr">
        <is>
          <t>VÄSTMANLANDS LÄN</t>
        </is>
      </c>
      <c r="E5381" t="inlineStr">
        <is>
          <t>SKINNSKATTEBERG</t>
        </is>
      </c>
      <c r="F5381" t="inlineStr">
        <is>
          <t>Sveaskog</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28632-2025</t>
        </is>
      </c>
      <c r="B5382" s="1" t="n">
        <v>45819</v>
      </c>
      <c r="C5382" s="1" t="n">
        <v>45821</v>
      </c>
      <c r="D5382" t="inlineStr">
        <is>
          <t>VÄSTMANLANDS LÄN</t>
        </is>
      </c>
      <c r="E5382" t="inlineStr">
        <is>
          <t>SALA</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28610-2025</t>
        </is>
      </c>
      <c r="B5383" s="1" t="n">
        <v>45819</v>
      </c>
      <c r="C5383" s="1" t="n">
        <v>45821</v>
      </c>
      <c r="D5383" t="inlineStr">
        <is>
          <t>VÄSTMANLANDS LÄN</t>
        </is>
      </c>
      <c r="E5383" t="inlineStr">
        <is>
          <t>SKINNSKATTEBERG</t>
        </is>
      </c>
      <c r="F5383" t="inlineStr">
        <is>
          <t>Sveaskog</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28613-2025</t>
        </is>
      </c>
      <c r="B5384" s="1" t="n">
        <v>45819</v>
      </c>
      <c r="C5384" s="1" t="n">
        <v>45821</v>
      </c>
      <c r="D5384" t="inlineStr">
        <is>
          <t>VÄSTMANLANDS LÄN</t>
        </is>
      </c>
      <c r="E5384" t="inlineStr">
        <is>
          <t>SKINNSKATTEBERG</t>
        </is>
      </c>
      <c r="F5384" t="inlineStr">
        <is>
          <t>Sveaskog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28614-2025</t>
        </is>
      </c>
      <c r="B5385" s="1" t="n">
        <v>45819</v>
      </c>
      <c r="C5385" s="1" t="n">
        <v>45821</v>
      </c>
      <c r="D5385" t="inlineStr">
        <is>
          <t>VÄSTMANLANDS LÄN</t>
        </is>
      </c>
      <c r="E5385" t="inlineStr">
        <is>
          <t>SKINNSKATTEBERG</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28500-2025</t>
        </is>
      </c>
      <c r="B5386" s="1" t="n">
        <v>45819</v>
      </c>
      <c r="C5386" s="1" t="n">
        <v>45821</v>
      </c>
      <c r="D5386" t="inlineStr">
        <is>
          <t>VÄSTMANLANDS LÄN</t>
        </is>
      </c>
      <c r="E5386" t="inlineStr">
        <is>
          <t>KÖPING</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28503-2025</t>
        </is>
      </c>
      <c r="B5387" s="1" t="n">
        <v>45819</v>
      </c>
      <c r="C5387" s="1" t="n">
        <v>45821</v>
      </c>
      <c r="D5387" t="inlineStr">
        <is>
          <t>VÄSTMANLANDS LÄN</t>
        </is>
      </c>
      <c r="E5387" t="inlineStr">
        <is>
          <t>KÖPING</t>
        </is>
      </c>
      <c r="F5387" t="inlineStr">
        <is>
          <t>Sveaskog</t>
        </is>
      </c>
      <c r="G5387" t="n">
        <v>8.300000000000001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28873-2025</t>
        </is>
      </c>
      <c r="B5388" s="1" t="n">
        <v>45820</v>
      </c>
      <c r="C5388" s="1" t="n">
        <v>45821</v>
      </c>
      <c r="D5388" t="inlineStr">
        <is>
          <t>VÄSTMANLANDS LÄN</t>
        </is>
      </c>
      <c r="E5388" t="inlineStr">
        <is>
          <t>SKINNSKATTEBERG</t>
        </is>
      </c>
      <c r="F5388" t="inlineStr">
        <is>
          <t>Sveaskog</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28849-2025</t>
        </is>
      </c>
      <c r="B5389" s="1" t="n">
        <v>45820</v>
      </c>
      <c r="C5389" s="1" t="n">
        <v>45821</v>
      </c>
      <c r="D5389" t="inlineStr">
        <is>
          <t>VÄSTMANLANDS LÄN</t>
        </is>
      </c>
      <c r="E5389" t="inlineStr">
        <is>
          <t>SALA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28837-2025</t>
        </is>
      </c>
      <c r="B5390" s="1" t="n">
        <v>45820</v>
      </c>
      <c r="C5390" s="1" t="n">
        <v>45821</v>
      </c>
      <c r="D5390" t="inlineStr">
        <is>
          <t>VÄSTMANLANDS LÄN</t>
        </is>
      </c>
      <c r="E5390" t="inlineStr">
        <is>
          <t>SALA</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28831-2025</t>
        </is>
      </c>
      <c r="B5391" s="1" t="n">
        <v>45820</v>
      </c>
      <c r="C5391" s="1" t="n">
        <v>45821</v>
      </c>
      <c r="D5391" t="inlineStr">
        <is>
          <t>VÄSTMANLANDS LÄN</t>
        </is>
      </c>
      <c r="E5391" t="inlineStr">
        <is>
          <t>SKINNSKATTEBERG</t>
        </is>
      </c>
      <c r="F5391" t="inlineStr">
        <is>
          <t>Sveaskog</t>
        </is>
      </c>
      <c r="G5391" t="n">
        <v>1.2</v>
      </c>
      <c r="H5391" t="n">
        <v>0</v>
      </c>
      <c r="I5391" t="n">
        <v>0</v>
      </c>
      <c r="J5391" t="n">
        <v>0</v>
      </c>
      <c r="K5391" t="n">
        <v>0</v>
      </c>
      <c r="L5391" t="n">
        <v>0</v>
      </c>
      <c r="M5391" t="n">
        <v>0</v>
      </c>
      <c r="N5391" t="n">
        <v>0</v>
      </c>
      <c r="O5391" t="n">
        <v>0</v>
      </c>
      <c r="P5391" t="n">
        <v>0</v>
      </c>
      <c r="Q5391" t="n">
        <v>0</v>
      </c>
      <c r="R5391" s="2" t="inlineStr"/>
    </row>
    <row r="5392">
      <c r="A5392" t="inlineStr">
        <is>
          <t>A 28872-2025</t>
        </is>
      </c>
      <c r="B5392" s="1" t="n">
        <v>45820</v>
      </c>
      <c r="C5392" s="1" t="n">
        <v>45821</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2025-06-13T18:31:21Z</dcterms:created>
  <dcterms:modified xmlns:dcterms="http://purl.org/dc/terms/" xmlns:xsi="http://www.w3.org/2001/XMLSchema-instance" xsi:type="dcterms:W3CDTF">2025-06-13T18:31:26Z</dcterms:modified>
</cp:coreProperties>
</file>