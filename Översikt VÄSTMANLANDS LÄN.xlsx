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45345</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45345</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45345</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45345</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45345</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45345</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45345</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45345</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45345</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45345</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45345</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45345</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45345</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45345</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45345</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45345</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45345</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45345</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45345</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45345</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45345</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45345</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45345</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45345</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45345</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45345</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45345</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45345</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45345</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45345</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45345</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45345</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45345</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45345</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45345</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45345</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45345</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45345</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45345</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45345</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45345</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45345</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45345</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45345</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45345</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45345</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45345</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45345</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45345</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45345</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45345</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45345</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45345</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45345</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45345</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45345</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45345</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45345</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45345</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45345</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45345</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45345</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45345</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45345</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45345</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45345</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45345</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45345</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45345</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45345</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45345</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45345</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45345</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45345</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45345</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45345</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45345</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45345</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45345</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45345</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45345</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45345</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45345</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45345</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45345</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45345</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45345</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45345</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45345</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45345</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45345</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45345</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45345</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45345</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45345</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45345</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45345</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45345</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45345</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45345</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45345</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45345</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45345</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45345</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45345</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45345</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45345</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45345</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45345</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45345</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45345</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45345</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45345</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45345</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45345</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45345</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45345</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45345</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45345</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45345</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45345</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45345</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45345</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45345</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45345</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45345</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45345</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45345</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45345</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45345</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45345</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45345</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45345</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45345</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45345</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45345</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45345</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45345</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45345</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45345</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45345</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45345</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45345</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45345</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45345</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45345</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45345</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45345</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45345</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45345</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45345</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45345</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45345</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45345</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45345</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45345</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45345</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45345</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45345</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45345</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45345</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45345</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45345</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45345</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45345</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45345</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45345</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45345</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45345</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45345</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45345</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45345</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45345</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45345</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45345</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45345</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45345</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45345</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45345</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45345</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45345</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45345</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45345</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45345</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45345</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45345</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45345</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45345</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45345</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45345</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45345</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45345</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45345</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45345</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45345</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45345</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45345</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45345</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45345</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45345</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45345</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45345</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45345</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45345</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45345</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45345</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45345</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45345</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45345</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45345</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45345</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45345</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45345</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45345</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45345</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45345</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45345</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45345</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45345</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45345</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45345</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45345</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45345</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45345</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45345</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45345</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45345</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45345</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45345</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45345</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45345</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45345</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45345</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45345</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45345</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45345</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45345</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45345</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45345</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45345</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45345</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45345</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45345</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45345</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45345</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45345</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45345</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45345</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45345</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45345</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45345</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45345</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45345</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45345</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45345</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45345</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45345</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45345</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45345</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45345</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45345</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45345</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45345</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45345</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45345</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45345</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45345</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45345</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45345</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45345</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45345</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45345</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45345</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45345</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45345</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45345</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6249-2024</t>
        </is>
      </c>
      <c r="B287" s="1" t="n">
        <v>45337</v>
      </c>
      <c r="C287" s="1" t="n">
        <v>45345</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row>
    <row r="288" ht="15" customHeight="1">
      <c r="A288" t="inlineStr">
        <is>
          <t>A 35480-2018</t>
        </is>
      </c>
      <c r="B288" s="1" t="n">
        <v>43325</v>
      </c>
      <c r="C288" s="1" t="n">
        <v>45345</v>
      </c>
      <c r="D288" t="inlineStr">
        <is>
          <t>VÄSTMANLANDS LÄN</t>
        </is>
      </c>
      <c r="E288" t="inlineStr">
        <is>
          <t>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36248-2018</t>
        </is>
      </c>
      <c r="B289" s="1" t="n">
        <v>43328</v>
      </c>
      <c r="C289" s="1" t="n">
        <v>45345</v>
      </c>
      <c r="D289" t="inlineStr">
        <is>
          <t>VÄSTMANLANDS LÄN</t>
        </is>
      </c>
      <c r="E289" t="inlineStr">
        <is>
          <t>NORBERG</t>
        </is>
      </c>
      <c r="G289" t="n">
        <v>0.5</v>
      </c>
      <c r="H289" t="n">
        <v>0</v>
      </c>
      <c r="I289" t="n">
        <v>0</v>
      </c>
      <c r="J289" t="n">
        <v>0</v>
      </c>
      <c r="K289" t="n">
        <v>0</v>
      </c>
      <c r="L289" t="n">
        <v>0</v>
      </c>
      <c r="M289" t="n">
        <v>0</v>
      </c>
      <c r="N289" t="n">
        <v>0</v>
      </c>
      <c r="O289" t="n">
        <v>0</v>
      </c>
      <c r="P289" t="n">
        <v>0</v>
      </c>
      <c r="Q289" t="n">
        <v>0</v>
      </c>
      <c r="R289" s="2" t="inlineStr"/>
    </row>
    <row r="290" ht="15" customHeight="1">
      <c r="A290" t="inlineStr">
        <is>
          <t>A 36128-2018</t>
        </is>
      </c>
      <c r="B290" s="1" t="n">
        <v>43328</v>
      </c>
      <c r="C290" s="1" t="n">
        <v>45345</v>
      </c>
      <c r="D290" t="inlineStr">
        <is>
          <t>VÄSTMANLANDS LÄN</t>
        </is>
      </c>
      <c r="E290" t="inlineStr">
        <is>
          <t>KÖPING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36785-2018</t>
        </is>
      </c>
      <c r="B291" s="1" t="n">
        <v>43332</v>
      </c>
      <c r="C291" s="1" t="n">
        <v>45345</v>
      </c>
      <c r="D291" t="inlineStr">
        <is>
          <t>VÄSTMANLANDS LÄN</t>
        </is>
      </c>
      <c r="E291" t="inlineStr">
        <is>
          <t>ARBOGA</t>
        </is>
      </c>
      <c r="G291" t="n">
        <v>1.3</v>
      </c>
      <c r="H291" t="n">
        <v>0</v>
      </c>
      <c r="I291" t="n">
        <v>0</v>
      </c>
      <c r="J291" t="n">
        <v>0</v>
      </c>
      <c r="K291" t="n">
        <v>0</v>
      </c>
      <c r="L291" t="n">
        <v>0</v>
      </c>
      <c r="M291" t="n">
        <v>0</v>
      </c>
      <c r="N291" t="n">
        <v>0</v>
      </c>
      <c r="O291" t="n">
        <v>0</v>
      </c>
      <c r="P291" t="n">
        <v>0</v>
      </c>
      <c r="Q291" t="n">
        <v>0</v>
      </c>
      <c r="R291" s="2" t="inlineStr"/>
    </row>
    <row r="292" ht="15" customHeight="1">
      <c r="A292" t="inlineStr">
        <is>
          <t>A 36761-2018</t>
        </is>
      </c>
      <c r="B292" s="1" t="n">
        <v>43332</v>
      </c>
      <c r="C292" s="1" t="n">
        <v>45345</v>
      </c>
      <c r="D292" t="inlineStr">
        <is>
          <t>VÄSTMANLANDS LÄN</t>
        </is>
      </c>
      <c r="E292" t="inlineStr">
        <is>
          <t>ARBOGA</t>
        </is>
      </c>
      <c r="G292" t="n">
        <v>2.2</v>
      </c>
      <c r="H292" t="n">
        <v>0</v>
      </c>
      <c r="I292" t="n">
        <v>0</v>
      </c>
      <c r="J292" t="n">
        <v>0</v>
      </c>
      <c r="K292" t="n">
        <v>0</v>
      </c>
      <c r="L292" t="n">
        <v>0</v>
      </c>
      <c r="M292" t="n">
        <v>0</v>
      </c>
      <c r="N292" t="n">
        <v>0</v>
      </c>
      <c r="O292" t="n">
        <v>0</v>
      </c>
      <c r="P292" t="n">
        <v>0</v>
      </c>
      <c r="Q292" t="n">
        <v>0</v>
      </c>
      <c r="R292" s="2" t="inlineStr"/>
    </row>
    <row r="293" ht="15" customHeight="1">
      <c r="A293" t="inlineStr">
        <is>
          <t>A 36958-2018</t>
        </is>
      </c>
      <c r="B293" s="1" t="n">
        <v>43332</v>
      </c>
      <c r="C293" s="1" t="n">
        <v>45345</v>
      </c>
      <c r="D293" t="inlineStr">
        <is>
          <t>VÄSTMANLANDS LÄN</t>
        </is>
      </c>
      <c r="E293" t="inlineStr">
        <is>
          <t>SKINNSKATTEBERG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36773-2018</t>
        </is>
      </c>
      <c r="B294" s="1" t="n">
        <v>43332</v>
      </c>
      <c r="C294" s="1" t="n">
        <v>45345</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37035-2018</t>
        </is>
      </c>
      <c r="B295" s="1" t="n">
        <v>43333</v>
      </c>
      <c r="C295" s="1" t="n">
        <v>45345</v>
      </c>
      <c r="D295" t="inlineStr">
        <is>
          <t>VÄSTMANLANDS LÄN</t>
        </is>
      </c>
      <c r="E295" t="inlineStr">
        <is>
          <t>SKINNSKATTEBERG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37744-2018</t>
        </is>
      </c>
      <c r="B296" s="1" t="n">
        <v>43334</v>
      </c>
      <c r="C296" s="1" t="n">
        <v>45345</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37868-2018</t>
        </is>
      </c>
      <c r="B297" s="1" t="n">
        <v>43335</v>
      </c>
      <c r="C297" s="1" t="n">
        <v>45345</v>
      </c>
      <c r="D297" t="inlineStr">
        <is>
          <t>VÄSTMANLANDS LÄN</t>
        </is>
      </c>
      <c r="E297" t="inlineStr">
        <is>
          <t>NORBERG</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38574-2018</t>
        </is>
      </c>
      <c r="B298" s="1" t="n">
        <v>43335</v>
      </c>
      <c r="C298" s="1" t="n">
        <v>45345</v>
      </c>
      <c r="D298" t="inlineStr">
        <is>
          <t>VÄSTMANLANDS LÄN</t>
        </is>
      </c>
      <c r="E298" t="inlineStr">
        <is>
          <t>VÄSTERÅS</t>
        </is>
      </c>
      <c r="G298" t="n">
        <v>3</v>
      </c>
      <c r="H298" t="n">
        <v>0</v>
      </c>
      <c r="I298" t="n">
        <v>0</v>
      </c>
      <c r="J298" t="n">
        <v>0</v>
      </c>
      <c r="K298" t="n">
        <v>0</v>
      </c>
      <c r="L298" t="n">
        <v>0</v>
      </c>
      <c r="M298" t="n">
        <v>0</v>
      </c>
      <c r="N298" t="n">
        <v>0</v>
      </c>
      <c r="O298" t="n">
        <v>0</v>
      </c>
      <c r="P298" t="n">
        <v>0</v>
      </c>
      <c r="Q298" t="n">
        <v>0</v>
      </c>
      <c r="R298" s="2" t="inlineStr"/>
    </row>
    <row r="299" ht="15" customHeight="1">
      <c r="A299" t="inlineStr">
        <is>
          <t>A 38339-2018</t>
        </is>
      </c>
      <c r="B299" s="1" t="n">
        <v>43339</v>
      </c>
      <c r="C299" s="1" t="n">
        <v>45345</v>
      </c>
      <c r="D299" t="inlineStr">
        <is>
          <t>VÄSTMANLANDS LÄN</t>
        </is>
      </c>
      <c r="E299" t="inlineStr">
        <is>
          <t>SKINNSKATTEBERG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39350-2018</t>
        </is>
      </c>
      <c r="B300" s="1" t="n">
        <v>43341</v>
      </c>
      <c r="C300" s="1" t="n">
        <v>45345</v>
      </c>
      <c r="D300" t="inlineStr">
        <is>
          <t>VÄSTMANLANDS LÄN</t>
        </is>
      </c>
      <c r="E300" t="inlineStr">
        <is>
          <t>SKINNSKATTEBERG</t>
        </is>
      </c>
      <c r="G300" t="n">
        <v>2</v>
      </c>
      <c r="H300" t="n">
        <v>0</v>
      </c>
      <c r="I300" t="n">
        <v>0</v>
      </c>
      <c r="J300" t="n">
        <v>0</v>
      </c>
      <c r="K300" t="n">
        <v>0</v>
      </c>
      <c r="L300" t="n">
        <v>0</v>
      </c>
      <c r="M300" t="n">
        <v>0</v>
      </c>
      <c r="N300" t="n">
        <v>0</v>
      </c>
      <c r="O300" t="n">
        <v>0</v>
      </c>
      <c r="P300" t="n">
        <v>0</v>
      </c>
      <c r="Q300" t="n">
        <v>0</v>
      </c>
      <c r="R300" s="2" t="inlineStr"/>
    </row>
    <row r="301" ht="15" customHeight="1">
      <c r="A301" t="inlineStr">
        <is>
          <t>A 39958-2018</t>
        </is>
      </c>
      <c r="B301" s="1" t="n">
        <v>43343</v>
      </c>
      <c r="C301" s="1" t="n">
        <v>45345</v>
      </c>
      <c r="D301" t="inlineStr">
        <is>
          <t>VÄSTMANLANDS LÄN</t>
        </is>
      </c>
      <c r="E301" t="inlineStr">
        <is>
          <t>NORBERG</t>
        </is>
      </c>
      <c r="G301" t="n">
        <v>2.7</v>
      </c>
      <c r="H301" t="n">
        <v>0</v>
      </c>
      <c r="I301" t="n">
        <v>0</v>
      </c>
      <c r="J301" t="n">
        <v>0</v>
      </c>
      <c r="K301" t="n">
        <v>0</v>
      </c>
      <c r="L301" t="n">
        <v>0</v>
      </c>
      <c r="M301" t="n">
        <v>0</v>
      </c>
      <c r="N301" t="n">
        <v>0</v>
      </c>
      <c r="O301" t="n">
        <v>0</v>
      </c>
      <c r="P301" t="n">
        <v>0</v>
      </c>
      <c r="Q301" t="n">
        <v>0</v>
      </c>
      <c r="R301" s="2" t="inlineStr"/>
    </row>
    <row r="302" ht="15" customHeight="1">
      <c r="A302" t="inlineStr">
        <is>
          <t>A 41404-2018</t>
        </is>
      </c>
      <c r="B302" s="1" t="n">
        <v>43346</v>
      </c>
      <c r="C302" s="1" t="n">
        <v>45345</v>
      </c>
      <c r="D302" t="inlineStr">
        <is>
          <t>VÄSTMANLANDS LÄN</t>
        </is>
      </c>
      <c r="E302" t="inlineStr">
        <is>
          <t>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41374-2018</t>
        </is>
      </c>
      <c r="B303" s="1" t="n">
        <v>43346</v>
      </c>
      <c r="C303" s="1" t="n">
        <v>45345</v>
      </c>
      <c r="D303" t="inlineStr">
        <is>
          <t>VÄSTMANLANDS LÄN</t>
        </is>
      </c>
      <c r="E303" t="inlineStr">
        <is>
          <t>NORBERG</t>
        </is>
      </c>
      <c r="G303" t="n">
        <v>2.2</v>
      </c>
      <c r="H303" t="n">
        <v>0</v>
      </c>
      <c r="I303" t="n">
        <v>0</v>
      </c>
      <c r="J303" t="n">
        <v>0</v>
      </c>
      <c r="K303" t="n">
        <v>0</v>
      </c>
      <c r="L303" t="n">
        <v>0</v>
      </c>
      <c r="M303" t="n">
        <v>0</v>
      </c>
      <c r="N303" t="n">
        <v>0</v>
      </c>
      <c r="O303" t="n">
        <v>0</v>
      </c>
      <c r="P303" t="n">
        <v>0</v>
      </c>
      <c r="Q303" t="n">
        <v>0</v>
      </c>
      <c r="R303" s="2" t="inlineStr"/>
    </row>
    <row r="304" ht="15" customHeight="1">
      <c r="A304" t="inlineStr">
        <is>
          <t>A 40715-2018</t>
        </is>
      </c>
      <c r="B304" s="1" t="n">
        <v>43347</v>
      </c>
      <c r="C304" s="1" t="n">
        <v>45345</v>
      </c>
      <c r="D304" t="inlineStr">
        <is>
          <t>VÄSTMANLANDS LÄN</t>
        </is>
      </c>
      <c r="E304" t="inlineStr">
        <is>
          <t>SKINNSKATTEBERG</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40730-2018</t>
        </is>
      </c>
      <c r="B305" s="1" t="n">
        <v>43347</v>
      </c>
      <c r="C305" s="1" t="n">
        <v>45345</v>
      </c>
      <c r="D305" t="inlineStr">
        <is>
          <t>VÄSTMANLANDS LÄN</t>
        </is>
      </c>
      <c r="E305" t="inlineStr">
        <is>
          <t>KÖPING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41779-2018</t>
        </is>
      </c>
      <c r="B306" s="1" t="n">
        <v>43348</v>
      </c>
      <c r="C306" s="1" t="n">
        <v>45345</v>
      </c>
      <c r="D306" t="inlineStr">
        <is>
          <t>VÄSTMANLANDS LÄN</t>
        </is>
      </c>
      <c r="E306" t="inlineStr">
        <is>
          <t>ARBOGA</t>
        </is>
      </c>
      <c r="G306" t="n">
        <v>2.2</v>
      </c>
      <c r="H306" t="n">
        <v>0</v>
      </c>
      <c r="I306" t="n">
        <v>0</v>
      </c>
      <c r="J306" t="n">
        <v>0</v>
      </c>
      <c r="K306" t="n">
        <v>0</v>
      </c>
      <c r="L306" t="n">
        <v>0</v>
      </c>
      <c r="M306" t="n">
        <v>0</v>
      </c>
      <c r="N306" t="n">
        <v>0</v>
      </c>
      <c r="O306" t="n">
        <v>0</v>
      </c>
      <c r="P306" t="n">
        <v>0</v>
      </c>
      <c r="Q306" t="n">
        <v>0</v>
      </c>
      <c r="R306" s="2" t="inlineStr"/>
    </row>
    <row r="307" ht="15" customHeight="1">
      <c r="A307" t="inlineStr">
        <is>
          <t>A 41290-2018</t>
        </is>
      </c>
      <c r="B307" s="1" t="n">
        <v>43349</v>
      </c>
      <c r="C307" s="1" t="n">
        <v>45345</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42745-2018</t>
        </is>
      </c>
      <c r="B308" s="1" t="n">
        <v>43350</v>
      </c>
      <c r="C308" s="1" t="n">
        <v>45345</v>
      </c>
      <c r="D308" t="inlineStr">
        <is>
          <t>VÄSTMANLANDS LÄN</t>
        </is>
      </c>
      <c r="E308" t="inlineStr">
        <is>
          <t>NORBERG</t>
        </is>
      </c>
      <c r="G308" t="n">
        <v>2.8</v>
      </c>
      <c r="H308" t="n">
        <v>0</v>
      </c>
      <c r="I308" t="n">
        <v>0</v>
      </c>
      <c r="J308" t="n">
        <v>0</v>
      </c>
      <c r="K308" t="n">
        <v>0</v>
      </c>
      <c r="L308" t="n">
        <v>0</v>
      </c>
      <c r="M308" t="n">
        <v>0</v>
      </c>
      <c r="N308" t="n">
        <v>0</v>
      </c>
      <c r="O308" t="n">
        <v>0</v>
      </c>
      <c r="P308" t="n">
        <v>0</v>
      </c>
      <c r="Q308" t="n">
        <v>0</v>
      </c>
      <c r="R308" s="2" t="inlineStr"/>
    </row>
    <row r="309" ht="15" customHeight="1">
      <c r="A309" t="inlineStr">
        <is>
          <t>A 43317-2018</t>
        </is>
      </c>
      <c r="B309" s="1" t="n">
        <v>43353</v>
      </c>
      <c r="C309" s="1" t="n">
        <v>45345</v>
      </c>
      <c r="D309" t="inlineStr">
        <is>
          <t>VÄSTMANLANDS LÄN</t>
        </is>
      </c>
      <c r="E309" t="inlineStr">
        <is>
          <t>NORBERG</t>
        </is>
      </c>
      <c r="G309" t="n">
        <v>1.5</v>
      </c>
      <c r="H309" t="n">
        <v>0</v>
      </c>
      <c r="I309" t="n">
        <v>0</v>
      </c>
      <c r="J309" t="n">
        <v>0</v>
      </c>
      <c r="K309" t="n">
        <v>0</v>
      </c>
      <c r="L309" t="n">
        <v>0</v>
      </c>
      <c r="M309" t="n">
        <v>0</v>
      </c>
      <c r="N309" t="n">
        <v>0</v>
      </c>
      <c r="O309" t="n">
        <v>0</v>
      </c>
      <c r="P309" t="n">
        <v>0</v>
      </c>
      <c r="Q309" t="n">
        <v>0</v>
      </c>
      <c r="R309" s="2" t="inlineStr"/>
    </row>
    <row r="310" ht="15" customHeight="1">
      <c r="A310" t="inlineStr">
        <is>
          <t>A 43378-2018</t>
        </is>
      </c>
      <c r="B310" s="1" t="n">
        <v>43356</v>
      </c>
      <c r="C310" s="1" t="n">
        <v>45345</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44504-2018</t>
        </is>
      </c>
      <c r="B311" s="1" t="n">
        <v>43356</v>
      </c>
      <c r="C311" s="1" t="n">
        <v>45345</v>
      </c>
      <c r="D311" t="inlineStr">
        <is>
          <t>VÄSTMANLANDS LÄN</t>
        </is>
      </c>
      <c r="E311" t="inlineStr">
        <is>
          <t>VÄSTERÅS</t>
        </is>
      </c>
      <c r="G311" t="n">
        <v>4.9</v>
      </c>
      <c r="H311" t="n">
        <v>0</v>
      </c>
      <c r="I311" t="n">
        <v>0</v>
      </c>
      <c r="J311" t="n">
        <v>0</v>
      </c>
      <c r="K311" t="n">
        <v>0</v>
      </c>
      <c r="L311" t="n">
        <v>0</v>
      </c>
      <c r="M311" t="n">
        <v>0</v>
      </c>
      <c r="N311" t="n">
        <v>0</v>
      </c>
      <c r="O311" t="n">
        <v>0</v>
      </c>
      <c r="P311" t="n">
        <v>0</v>
      </c>
      <c r="Q311" t="n">
        <v>0</v>
      </c>
      <c r="R311" s="2" t="inlineStr"/>
    </row>
    <row r="312" ht="15" customHeight="1">
      <c r="A312" t="inlineStr">
        <is>
          <t>A 43363-2018</t>
        </is>
      </c>
      <c r="B312" s="1" t="n">
        <v>43356</v>
      </c>
      <c r="C312" s="1" t="n">
        <v>45345</v>
      </c>
      <c r="D312" t="inlineStr">
        <is>
          <t>VÄSTMANLANDS LÄN</t>
        </is>
      </c>
      <c r="E312" t="inlineStr">
        <is>
          <t>NORBERG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45919-2018</t>
        </is>
      </c>
      <c r="B313" s="1" t="n">
        <v>43361</v>
      </c>
      <c r="C313" s="1" t="n">
        <v>45345</v>
      </c>
      <c r="D313" t="inlineStr">
        <is>
          <t>VÄSTMANLANDS LÄN</t>
        </is>
      </c>
      <c r="E313" t="inlineStr">
        <is>
          <t>VÄSTERÅS</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44601-2018</t>
        </is>
      </c>
      <c r="B314" s="1" t="n">
        <v>43361</v>
      </c>
      <c r="C314" s="1" t="n">
        <v>45345</v>
      </c>
      <c r="D314" t="inlineStr">
        <is>
          <t>VÄSTMANLANDS LÄN</t>
        </is>
      </c>
      <c r="E314" t="inlineStr">
        <is>
          <t>SALA</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44653-2018</t>
        </is>
      </c>
      <c r="B315" s="1" t="n">
        <v>43361</v>
      </c>
      <c r="C315" s="1" t="n">
        <v>45345</v>
      </c>
      <c r="D315" t="inlineStr">
        <is>
          <t>VÄSTMANLANDS LÄN</t>
        </is>
      </c>
      <c r="E315" t="inlineStr">
        <is>
          <t>VÄSTERÅS</t>
        </is>
      </c>
      <c r="F315" t="inlineStr">
        <is>
          <t>Kommuner</t>
        </is>
      </c>
      <c r="G315" t="n">
        <v>7</v>
      </c>
      <c r="H315" t="n">
        <v>0</v>
      </c>
      <c r="I315" t="n">
        <v>0</v>
      </c>
      <c r="J315" t="n">
        <v>0</v>
      </c>
      <c r="K315" t="n">
        <v>0</v>
      </c>
      <c r="L315" t="n">
        <v>0</v>
      </c>
      <c r="M315" t="n">
        <v>0</v>
      </c>
      <c r="N315" t="n">
        <v>0</v>
      </c>
      <c r="O315" t="n">
        <v>0</v>
      </c>
      <c r="P315" t="n">
        <v>0</v>
      </c>
      <c r="Q315" t="n">
        <v>0</v>
      </c>
      <c r="R315" s="2" t="inlineStr"/>
    </row>
    <row r="316" ht="15" customHeight="1">
      <c r="A316" t="inlineStr">
        <is>
          <t>A 45765-2018</t>
        </is>
      </c>
      <c r="B316" s="1" t="n">
        <v>43362</v>
      </c>
      <c r="C316" s="1" t="n">
        <v>45345</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45177-2018</t>
        </is>
      </c>
      <c r="B317" s="1" t="n">
        <v>43362</v>
      </c>
      <c r="C317" s="1" t="n">
        <v>45345</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46293-2018</t>
        </is>
      </c>
      <c r="B318" s="1" t="n">
        <v>43367</v>
      </c>
      <c r="C318" s="1" t="n">
        <v>45345</v>
      </c>
      <c r="D318" t="inlineStr">
        <is>
          <t>VÄSTMANLANDS LÄN</t>
        </is>
      </c>
      <c r="E318" t="inlineStr">
        <is>
          <t>SKINNSKATTEBERG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47193-2018</t>
        </is>
      </c>
      <c r="B319" s="1" t="n">
        <v>43369</v>
      </c>
      <c r="C319" s="1" t="n">
        <v>45345</v>
      </c>
      <c r="D319" t="inlineStr">
        <is>
          <t>VÄSTMANLANDS LÄN</t>
        </is>
      </c>
      <c r="E319" t="inlineStr">
        <is>
          <t>VÄSTERÅS</t>
        </is>
      </c>
      <c r="G319" t="n">
        <v>4.1</v>
      </c>
      <c r="H319" t="n">
        <v>0</v>
      </c>
      <c r="I319" t="n">
        <v>0</v>
      </c>
      <c r="J319" t="n">
        <v>0</v>
      </c>
      <c r="K319" t="n">
        <v>0</v>
      </c>
      <c r="L319" t="n">
        <v>0</v>
      </c>
      <c r="M319" t="n">
        <v>0</v>
      </c>
      <c r="N319" t="n">
        <v>0</v>
      </c>
      <c r="O319" t="n">
        <v>0</v>
      </c>
      <c r="P319" t="n">
        <v>0</v>
      </c>
      <c r="Q319" t="n">
        <v>0</v>
      </c>
      <c r="R319" s="2" t="inlineStr"/>
    </row>
    <row r="320" ht="15" customHeight="1">
      <c r="A320" t="inlineStr">
        <is>
          <t>A 47813-2018</t>
        </is>
      </c>
      <c r="B320" s="1" t="n">
        <v>43370</v>
      </c>
      <c r="C320" s="1" t="n">
        <v>45345</v>
      </c>
      <c r="D320" t="inlineStr">
        <is>
          <t>VÄSTMANLANDS LÄN</t>
        </is>
      </c>
      <c r="E320" t="inlineStr">
        <is>
          <t>FAGERSTA</t>
        </is>
      </c>
      <c r="G320" t="n">
        <v>2.2</v>
      </c>
      <c r="H320" t="n">
        <v>0</v>
      </c>
      <c r="I320" t="n">
        <v>0</v>
      </c>
      <c r="J320" t="n">
        <v>0</v>
      </c>
      <c r="K320" t="n">
        <v>0</v>
      </c>
      <c r="L320" t="n">
        <v>0</v>
      </c>
      <c r="M320" t="n">
        <v>0</v>
      </c>
      <c r="N320" t="n">
        <v>0</v>
      </c>
      <c r="O320" t="n">
        <v>0</v>
      </c>
      <c r="P320" t="n">
        <v>0</v>
      </c>
      <c r="Q320" t="n">
        <v>0</v>
      </c>
      <c r="R320" s="2" t="inlineStr"/>
    </row>
    <row r="321" ht="15" customHeight="1">
      <c r="A321" t="inlineStr">
        <is>
          <t>A 48335-2018</t>
        </is>
      </c>
      <c r="B321" s="1" t="n">
        <v>43373</v>
      </c>
      <c r="C321" s="1" t="n">
        <v>45345</v>
      </c>
      <c r="D321" t="inlineStr">
        <is>
          <t>VÄSTMANLANDS LÄN</t>
        </is>
      </c>
      <c r="E321" t="inlineStr">
        <is>
          <t>SKINNSKATTEBERG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48367-2018</t>
        </is>
      </c>
      <c r="B322" s="1" t="n">
        <v>43374</v>
      </c>
      <c r="C322" s="1" t="n">
        <v>45345</v>
      </c>
      <c r="D322" t="inlineStr">
        <is>
          <t>VÄSTMANLANDS LÄN</t>
        </is>
      </c>
      <c r="E322" t="inlineStr">
        <is>
          <t>SKINNSKATTEBERG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48366-2018</t>
        </is>
      </c>
      <c r="B323" s="1" t="n">
        <v>43374</v>
      </c>
      <c r="C323" s="1" t="n">
        <v>45345</v>
      </c>
      <c r="D323" t="inlineStr">
        <is>
          <t>VÄSTMANLANDS LÄN</t>
        </is>
      </c>
      <c r="E323" t="inlineStr">
        <is>
          <t>SKINNSKATTEBERG</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48899-2018</t>
        </is>
      </c>
      <c r="B324" s="1" t="n">
        <v>43375</v>
      </c>
      <c r="C324" s="1" t="n">
        <v>45345</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49125-2018</t>
        </is>
      </c>
      <c r="B325" s="1" t="n">
        <v>43375</v>
      </c>
      <c r="C325" s="1" t="n">
        <v>45345</v>
      </c>
      <c r="D325" t="inlineStr">
        <is>
          <t>VÄSTMANLANDS LÄN</t>
        </is>
      </c>
      <c r="E325" t="inlineStr">
        <is>
          <t>KÖPING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49631-2018</t>
        </is>
      </c>
      <c r="B326" s="1" t="n">
        <v>43377</v>
      </c>
      <c r="C326" s="1" t="n">
        <v>45345</v>
      </c>
      <c r="D326" t="inlineStr">
        <is>
          <t>VÄSTMANLANDS LÄN</t>
        </is>
      </c>
      <c r="E326" t="inlineStr">
        <is>
          <t>SALA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50552-2018</t>
        </is>
      </c>
      <c r="B327" s="1" t="n">
        <v>43377</v>
      </c>
      <c r="C327" s="1" t="n">
        <v>45345</v>
      </c>
      <c r="D327" t="inlineStr">
        <is>
          <t>VÄSTMANLANDS LÄN</t>
        </is>
      </c>
      <c r="E327" t="inlineStr">
        <is>
          <t>NORBERG</t>
        </is>
      </c>
      <c r="G327" t="n">
        <v>1.5</v>
      </c>
      <c r="H327" t="n">
        <v>0</v>
      </c>
      <c r="I327" t="n">
        <v>0</v>
      </c>
      <c r="J327" t="n">
        <v>0</v>
      </c>
      <c r="K327" t="n">
        <v>0</v>
      </c>
      <c r="L327" t="n">
        <v>0</v>
      </c>
      <c r="M327" t="n">
        <v>0</v>
      </c>
      <c r="N327" t="n">
        <v>0</v>
      </c>
      <c r="O327" t="n">
        <v>0</v>
      </c>
      <c r="P327" t="n">
        <v>0</v>
      </c>
      <c r="Q327" t="n">
        <v>0</v>
      </c>
      <c r="R327" s="2" t="inlineStr"/>
    </row>
    <row r="328" ht="15" customHeight="1">
      <c r="A328" t="inlineStr">
        <is>
          <t>A 54313-2018</t>
        </is>
      </c>
      <c r="B328" s="1" t="n">
        <v>43389</v>
      </c>
      <c r="C328" s="1" t="n">
        <v>45345</v>
      </c>
      <c r="D328" t="inlineStr">
        <is>
          <t>VÄSTMANLANDS LÄN</t>
        </is>
      </c>
      <c r="E328" t="inlineStr">
        <is>
          <t>NORBERG</t>
        </is>
      </c>
      <c r="G328" t="n">
        <v>7</v>
      </c>
      <c r="H328" t="n">
        <v>0</v>
      </c>
      <c r="I328" t="n">
        <v>0</v>
      </c>
      <c r="J328" t="n">
        <v>0</v>
      </c>
      <c r="K328" t="n">
        <v>0</v>
      </c>
      <c r="L328" t="n">
        <v>0</v>
      </c>
      <c r="M328" t="n">
        <v>0</v>
      </c>
      <c r="N328" t="n">
        <v>0</v>
      </c>
      <c r="O328" t="n">
        <v>0</v>
      </c>
      <c r="P328" t="n">
        <v>0</v>
      </c>
      <c r="Q328" t="n">
        <v>0</v>
      </c>
      <c r="R328" s="2" t="inlineStr"/>
    </row>
    <row r="329" ht="15" customHeight="1">
      <c r="A329" t="inlineStr">
        <is>
          <t>A 63940-2018</t>
        </is>
      </c>
      <c r="B329" s="1" t="n">
        <v>43389</v>
      </c>
      <c r="C329" s="1" t="n">
        <v>45345</v>
      </c>
      <c r="D329" t="inlineStr">
        <is>
          <t>VÄSTMANLANDS LÄN</t>
        </is>
      </c>
      <c r="E329" t="inlineStr">
        <is>
          <t>NORBERG</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52700-2018</t>
        </is>
      </c>
      <c r="B330" s="1" t="n">
        <v>43389</v>
      </c>
      <c r="C330" s="1" t="n">
        <v>45345</v>
      </c>
      <c r="D330" t="inlineStr">
        <is>
          <t>VÄSTMANLANDS LÄN</t>
        </is>
      </c>
      <c r="E330" t="inlineStr">
        <is>
          <t>NORBERG</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54197-2018</t>
        </is>
      </c>
      <c r="B331" s="1" t="n">
        <v>43392</v>
      </c>
      <c r="C331" s="1" t="n">
        <v>45345</v>
      </c>
      <c r="D331" t="inlineStr">
        <is>
          <t>VÄSTMANLANDS LÄN</t>
        </is>
      </c>
      <c r="E331" t="inlineStr">
        <is>
          <t>VÄSTERÅS</t>
        </is>
      </c>
      <c r="G331" t="n">
        <v>3.9</v>
      </c>
      <c r="H331" t="n">
        <v>0</v>
      </c>
      <c r="I331" t="n">
        <v>0</v>
      </c>
      <c r="J331" t="n">
        <v>0</v>
      </c>
      <c r="K331" t="n">
        <v>0</v>
      </c>
      <c r="L331" t="n">
        <v>0</v>
      </c>
      <c r="M331" t="n">
        <v>0</v>
      </c>
      <c r="N331" t="n">
        <v>0</v>
      </c>
      <c r="O331" t="n">
        <v>0</v>
      </c>
      <c r="P331" t="n">
        <v>0</v>
      </c>
      <c r="Q331" t="n">
        <v>0</v>
      </c>
      <c r="R331" s="2" t="inlineStr"/>
    </row>
    <row r="332" ht="15" customHeight="1">
      <c r="A332" t="inlineStr">
        <is>
          <t>A 55584-2018</t>
        </is>
      </c>
      <c r="B332" s="1" t="n">
        <v>43397</v>
      </c>
      <c r="C332" s="1" t="n">
        <v>45345</v>
      </c>
      <c r="D332" t="inlineStr">
        <is>
          <t>VÄSTMANLANDS LÄN</t>
        </is>
      </c>
      <c r="E332" t="inlineStr">
        <is>
          <t>NORBERG</t>
        </is>
      </c>
      <c r="G332" t="n">
        <v>10.6</v>
      </c>
      <c r="H332" t="n">
        <v>0</v>
      </c>
      <c r="I332" t="n">
        <v>0</v>
      </c>
      <c r="J332" t="n">
        <v>0</v>
      </c>
      <c r="K332" t="n">
        <v>0</v>
      </c>
      <c r="L332" t="n">
        <v>0</v>
      </c>
      <c r="M332" t="n">
        <v>0</v>
      </c>
      <c r="N332" t="n">
        <v>0</v>
      </c>
      <c r="O332" t="n">
        <v>0</v>
      </c>
      <c r="P332" t="n">
        <v>0</v>
      </c>
      <c r="Q332" t="n">
        <v>0</v>
      </c>
      <c r="R332" s="2" t="inlineStr"/>
    </row>
    <row r="333" ht="15" customHeight="1">
      <c r="A333" t="inlineStr">
        <is>
          <t>A 58053-2018</t>
        </is>
      </c>
      <c r="B333" s="1" t="n">
        <v>43406</v>
      </c>
      <c r="C333" s="1" t="n">
        <v>45345</v>
      </c>
      <c r="D333" t="inlineStr">
        <is>
          <t>VÄSTMANLANDS LÄN</t>
        </is>
      </c>
      <c r="E333" t="inlineStr">
        <is>
          <t>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58717-2018</t>
        </is>
      </c>
      <c r="B334" s="1" t="n">
        <v>43410</v>
      </c>
      <c r="C334" s="1" t="n">
        <v>45345</v>
      </c>
      <c r="D334" t="inlineStr">
        <is>
          <t>VÄSTMANLANDS LÄN</t>
        </is>
      </c>
      <c r="E334" t="inlineStr">
        <is>
          <t>ARBOGA</t>
        </is>
      </c>
      <c r="G334" t="n">
        <v>6.1</v>
      </c>
      <c r="H334" t="n">
        <v>0</v>
      </c>
      <c r="I334" t="n">
        <v>0</v>
      </c>
      <c r="J334" t="n">
        <v>0</v>
      </c>
      <c r="K334" t="n">
        <v>0</v>
      </c>
      <c r="L334" t="n">
        <v>0</v>
      </c>
      <c r="M334" t="n">
        <v>0</v>
      </c>
      <c r="N334" t="n">
        <v>0</v>
      </c>
      <c r="O334" t="n">
        <v>0</v>
      </c>
      <c r="P334" t="n">
        <v>0</v>
      </c>
      <c r="Q334" t="n">
        <v>0</v>
      </c>
      <c r="R334" s="2" t="inlineStr"/>
    </row>
    <row r="335" ht="15" customHeight="1">
      <c r="A335" t="inlineStr">
        <is>
          <t>A 58796-2018</t>
        </is>
      </c>
      <c r="B335" s="1" t="n">
        <v>43410</v>
      </c>
      <c r="C335" s="1" t="n">
        <v>45345</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59303-2018</t>
        </is>
      </c>
      <c r="B336" s="1" t="n">
        <v>43418</v>
      </c>
      <c r="C336" s="1" t="n">
        <v>45345</v>
      </c>
      <c r="D336" t="inlineStr">
        <is>
          <t>VÄSTMANLANDS LÄN</t>
        </is>
      </c>
      <c r="E336" t="inlineStr">
        <is>
          <t>SURAHAMMAR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63994-2018</t>
        </is>
      </c>
      <c r="B337" s="1" t="n">
        <v>43418</v>
      </c>
      <c r="C337" s="1" t="n">
        <v>45345</v>
      </c>
      <c r="D337" t="inlineStr">
        <is>
          <t>VÄSTMANLANDS LÄN</t>
        </is>
      </c>
      <c r="E337" t="inlineStr">
        <is>
          <t>NORBERG</t>
        </is>
      </c>
      <c r="G337" t="n">
        <v>1.4</v>
      </c>
      <c r="H337" t="n">
        <v>0</v>
      </c>
      <c r="I337" t="n">
        <v>0</v>
      </c>
      <c r="J337" t="n">
        <v>0</v>
      </c>
      <c r="K337" t="n">
        <v>0</v>
      </c>
      <c r="L337" t="n">
        <v>0</v>
      </c>
      <c r="M337" t="n">
        <v>0</v>
      </c>
      <c r="N337" t="n">
        <v>0</v>
      </c>
      <c r="O337" t="n">
        <v>0</v>
      </c>
      <c r="P337" t="n">
        <v>0</v>
      </c>
      <c r="Q337" t="n">
        <v>0</v>
      </c>
      <c r="R337" s="2" t="inlineStr"/>
    </row>
    <row r="338" ht="15" customHeight="1">
      <c r="A338" t="inlineStr">
        <is>
          <t>A 59617-2018</t>
        </is>
      </c>
      <c r="B338" s="1" t="n">
        <v>43419</v>
      </c>
      <c r="C338" s="1" t="n">
        <v>45345</v>
      </c>
      <c r="D338" t="inlineStr">
        <is>
          <t>VÄSTMANLANDS LÄN</t>
        </is>
      </c>
      <c r="E338" t="inlineStr">
        <is>
          <t>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59556-2018</t>
        </is>
      </c>
      <c r="B339" s="1" t="n">
        <v>43419</v>
      </c>
      <c r="C339" s="1" t="n">
        <v>45345</v>
      </c>
      <c r="D339" t="inlineStr">
        <is>
          <t>VÄSTMANLANDS LÄN</t>
        </is>
      </c>
      <c r="E339" t="inlineStr">
        <is>
          <t>SKINNSKATTEBERG</t>
        </is>
      </c>
      <c r="G339" t="n">
        <v>0.3</v>
      </c>
      <c r="H339" t="n">
        <v>0</v>
      </c>
      <c r="I339" t="n">
        <v>0</v>
      </c>
      <c r="J339" t="n">
        <v>0</v>
      </c>
      <c r="K339" t="n">
        <v>0</v>
      </c>
      <c r="L339" t="n">
        <v>0</v>
      </c>
      <c r="M339" t="n">
        <v>0</v>
      </c>
      <c r="N339" t="n">
        <v>0</v>
      </c>
      <c r="O339" t="n">
        <v>0</v>
      </c>
      <c r="P339" t="n">
        <v>0</v>
      </c>
      <c r="Q339" t="n">
        <v>0</v>
      </c>
      <c r="R339" s="2" t="inlineStr"/>
    </row>
    <row r="340" ht="15" customHeight="1">
      <c r="A340" t="inlineStr">
        <is>
          <t>A 59838-2018</t>
        </is>
      </c>
      <c r="B340" s="1" t="n">
        <v>43419</v>
      </c>
      <c r="C340" s="1" t="n">
        <v>45345</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65262-2018</t>
        </is>
      </c>
      <c r="B341" s="1" t="n">
        <v>43423</v>
      </c>
      <c r="C341" s="1" t="n">
        <v>45345</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61201-2018</t>
        </is>
      </c>
      <c r="B342" s="1" t="n">
        <v>43423</v>
      </c>
      <c r="C342" s="1" t="n">
        <v>45345</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65272-2018</t>
        </is>
      </c>
      <c r="B343" s="1" t="n">
        <v>43423</v>
      </c>
      <c r="C343" s="1" t="n">
        <v>45345</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61582-2018</t>
        </is>
      </c>
      <c r="B344" s="1" t="n">
        <v>43424</v>
      </c>
      <c r="C344" s="1" t="n">
        <v>45345</v>
      </c>
      <c r="D344" t="inlineStr">
        <is>
          <t>VÄSTMANLANDS LÄN</t>
        </is>
      </c>
      <c r="E344" t="inlineStr">
        <is>
          <t>SALA</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62605-2018</t>
        </is>
      </c>
      <c r="B345" s="1" t="n">
        <v>43426</v>
      </c>
      <c r="C345" s="1" t="n">
        <v>45345</v>
      </c>
      <c r="D345" t="inlineStr">
        <is>
          <t>VÄSTMANLANDS LÄN</t>
        </is>
      </c>
      <c r="E345" t="inlineStr">
        <is>
          <t>NORBERG</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62317-2018</t>
        </is>
      </c>
      <c r="B346" s="1" t="n">
        <v>43426</v>
      </c>
      <c r="C346" s="1" t="n">
        <v>45345</v>
      </c>
      <c r="D346" t="inlineStr">
        <is>
          <t>VÄSTMANLANDS LÄN</t>
        </is>
      </c>
      <c r="E346" t="inlineStr">
        <is>
          <t>KUNGSÖR</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66283-2018</t>
        </is>
      </c>
      <c r="B347" s="1" t="n">
        <v>43427</v>
      </c>
      <c r="C347" s="1" t="n">
        <v>45345</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64093-2018</t>
        </is>
      </c>
      <c r="B348" s="1" t="n">
        <v>43430</v>
      </c>
      <c r="C348" s="1" t="n">
        <v>45345</v>
      </c>
      <c r="D348" t="inlineStr">
        <is>
          <t>VÄSTMANLANDS LÄN</t>
        </is>
      </c>
      <c r="E348" t="inlineStr">
        <is>
          <t>SKINNSKATTEBERG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64392-2018</t>
        </is>
      </c>
      <c r="B349" s="1" t="n">
        <v>43430</v>
      </c>
      <c r="C349" s="1" t="n">
        <v>45345</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64099-2018</t>
        </is>
      </c>
      <c r="B350" s="1" t="n">
        <v>43430</v>
      </c>
      <c r="C350" s="1" t="n">
        <v>45345</v>
      </c>
      <c r="D350" t="inlineStr">
        <is>
          <t>VÄSTMANLANDS LÄN</t>
        </is>
      </c>
      <c r="E350" t="inlineStr">
        <is>
          <t>SKINNSKATTEBERG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64873-2018</t>
        </is>
      </c>
      <c r="B351" s="1" t="n">
        <v>43431</v>
      </c>
      <c r="C351" s="1" t="n">
        <v>45345</v>
      </c>
      <c r="D351" t="inlineStr">
        <is>
          <t>VÄSTMANLANDS LÄN</t>
        </is>
      </c>
      <c r="E351" t="inlineStr">
        <is>
          <t>HALLSTAHAMMAR</t>
        </is>
      </c>
      <c r="G351" t="n">
        <v>3.7</v>
      </c>
      <c r="H351" t="n">
        <v>0</v>
      </c>
      <c r="I351" t="n">
        <v>0</v>
      </c>
      <c r="J351" t="n">
        <v>0</v>
      </c>
      <c r="K351" t="n">
        <v>0</v>
      </c>
      <c r="L351" t="n">
        <v>0</v>
      </c>
      <c r="M351" t="n">
        <v>0</v>
      </c>
      <c r="N351" t="n">
        <v>0</v>
      </c>
      <c r="O351" t="n">
        <v>0</v>
      </c>
      <c r="P351" t="n">
        <v>0</v>
      </c>
      <c r="Q351" t="n">
        <v>0</v>
      </c>
      <c r="R351" s="2" t="inlineStr"/>
    </row>
    <row r="352" ht="15" customHeight="1">
      <c r="A352" t="inlineStr">
        <is>
          <t>A 64900-2018</t>
        </is>
      </c>
      <c r="B352" s="1" t="n">
        <v>43431</v>
      </c>
      <c r="C352" s="1" t="n">
        <v>45345</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64764-2018</t>
        </is>
      </c>
      <c r="B353" s="1" t="n">
        <v>43431</v>
      </c>
      <c r="C353" s="1" t="n">
        <v>45345</v>
      </c>
      <c r="D353" t="inlineStr">
        <is>
          <t>VÄSTMANLANDS LÄN</t>
        </is>
      </c>
      <c r="E353" t="inlineStr">
        <is>
          <t>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65286-2018</t>
        </is>
      </c>
      <c r="B354" s="1" t="n">
        <v>43432</v>
      </c>
      <c r="C354" s="1" t="n">
        <v>45345</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65724-2018</t>
        </is>
      </c>
      <c r="B355" s="1" t="n">
        <v>43433</v>
      </c>
      <c r="C355" s="1" t="n">
        <v>45345</v>
      </c>
      <c r="D355" t="inlineStr">
        <is>
          <t>VÄSTMANLANDS LÄN</t>
        </is>
      </c>
      <c r="E355" t="inlineStr">
        <is>
          <t>VÄSTERÅS</t>
        </is>
      </c>
      <c r="G355" t="n">
        <v>2.6</v>
      </c>
      <c r="H355" t="n">
        <v>0</v>
      </c>
      <c r="I355" t="n">
        <v>0</v>
      </c>
      <c r="J355" t="n">
        <v>0</v>
      </c>
      <c r="K355" t="n">
        <v>0</v>
      </c>
      <c r="L355" t="n">
        <v>0</v>
      </c>
      <c r="M355" t="n">
        <v>0</v>
      </c>
      <c r="N355" t="n">
        <v>0</v>
      </c>
      <c r="O355" t="n">
        <v>0</v>
      </c>
      <c r="P355" t="n">
        <v>0</v>
      </c>
      <c r="Q355" t="n">
        <v>0</v>
      </c>
      <c r="R355" s="2" t="inlineStr"/>
    </row>
    <row r="356" ht="15" customHeight="1">
      <c r="A356" t="inlineStr">
        <is>
          <t>A 66171-2018</t>
        </is>
      </c>
      <c r="B356" s="1" t="n">
        <v>43434</v>
      </c>
      <c r="C356" s="1" t="n">
        <v>45345</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66172-2018</t>
        </is>
      </c>
      <c r="B357" s="1" t="n">
        <v>43434</v>
      </c>
      <c r="C357" s="1" t="n">
        <v>45345</v>
      </c>
      <c r="D357" t="inlineStr">
        <is>
          <t>VÄSTMANLANDS LÄN</t>
        </is>
      </c>
      <c r="E357" t="inlineStr">
        <is>
          <t>ARBOGA</t>
        </is>
      </c>
      <c r="G357" t="n">
        <v>4.2</v>
      </c>
      <c r="H357" t="n">
        <v>0</v>
      </c>
      <c r="I357" t="n">
        <v>0</v>
      </c>
      <c r="J357" t="n">
        <v>0</v>
      </c>
      <c r="K357" t="n">
        <v>0</v>
      </c>
      <c r="L357" t="n">
        <v>0</v>
      </c>
      <c r="M357" t="n">
        <v>0</v>
      </c>
      <c r="N357" t="n">
        <v>0</v>
      </c>
      <c r="O357" t="n">
        <v>0</v>
      </c>
      <c r="P357" t="n">
        <v>0</v>
      </c>
      <c r="Q357" t="n">
        <v>0</v>
      </c>
      <c r="R357" s="2" t="inlineStr"/>
    </row>
    <row r="358" ht="15" customHeight="1">
      <c r="A358" t="inlineStr">
        <is>
          <t>A 67957-2018</t>
        </is>
      </c>
      <c r="B358" s="1" t="n">
        <v>43434</v>
      </c>
      <c r="C358" s="1" t="n">
        <v>45345</v>
      </c>
      <c r="D358" t="inlineStr">
        <is>
          <t>VÄSTMANLANDS LÄN</t>
        </is>
      </c>
      <c r="E358" t="inlineStr">
        <is>
          <t>SKINNSKATTEBERG</t>
        </is>
      </c>
      <c r="G358" t="n">
        <v>0.9</v>
      </c>
      <c r="H358" t="n">
        <v>0</v>
      </c>
      <c r="I358" t="n">
        <v>0</v>
      </c>
      <c r="J358" t="n">
        <v>0</v>
      </c>
      <c r="K358" t="n">
        <v>0</v>
      </c>
      <c r="L358" t="n">
        <v>0</v>
      </c>
      <c r="M358" t="n">
        <v>0</v>
      </c>
      <c r="N358" t="n">
        <v>0</v>
      </c>
      <c r="O358" t="n">
        <v>0</v>
      </c>
      <c r="P358" t="n">
        <v>0</v>
      </c>
      <c r="Q358" t="n">
        <v>0</v>
      </c>
      <c r="R358" s="2" t="inlineStr"/>
    </row>
    <row r="359" ht="15" customHeight="1">
      <c r="A359" t="inlineStr">
        <is>
          <t>A 66001-2018</t>
        </is>
      </c>
      <c r="B359" s="1" t="n">
        <v>43434</v>
      </c>
      <c r="C359" s="1" t="n">
        <v>45345</v>
      </c>
      <c r="D359" t="inlineStr">
        <is>
          <t>VÄSTMANLANDS LÄN</t>
        </is>
      </c>
      <c r="E359" t="inlineStr">
        <is>
          <t>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66169-2018</t>
        </is>
      </c>
      <c r="B360" s="1" t="n">
        <v>43434</v>
      </c>
      <c r="C360" s="1" t="n">
        <v>45345</v>
      </c>
      <c r="D360" t="inlineStr">
        <is>
          <t>VÄSTMANLANDS LÄN</t>
        </is>
      </c>
      <c r="E360" t="inlineStr">
        <is>
          <t>ARBOGA</t>
        </is>
      </c>
      <c r="G360" t="n">
        <v>1.8</v>
      </c>
      <c r="H360" t="n">
        <v>0</v>
      </c>
      <c r="I360" t="n">
        <v>0</v>
      </c>
      <c r="J360" t="n">
        <v>0</v>
      </c>
      <c r="K360" t="n">
        <v>0</v>
      </c>
      <c r="L360" t="n">
        <v>0</v>
      </c>
      <c r="M360" t="n">
        <v>0</v>
      </c>
      <c r="N360" t="n">
        <v>0</v>
      </c>
      <c r="O360" t="n">
        <v>0</v>
      </c>
      <c r="P360" t="n">
        <v>0</v>
      </c>
      <c r="Q360" t="n">
        <v>0</v>
      </c>
      <c r="R360" s="2" t="inlineStr"/>
    </row>
    <row r="361" ht="15" customHeight="1">
      <c r="A361" t="inlineStr">
        <is>
          <t>A 66162-2018</t>
        </is>
      </c>
      <c r="B361" s="1" t="n">
        <v>43434</v>
      </c>
      <c r="C361" s="1" t="n">
        <v>45345</v>
      </c>
      <c r="D361" t="inlineStr">
        <is>
          <t>VÄSTMANLANDS LÄN</t>
        </is>
      </c>
      <c r="E361" t="inlineStr">
        <is>
          <t>KUNGSÖR</t>
        </is>
      </c>
      <c r="G361" t="n">
        <v>4.8</v>
      </c>
      <c r="H361" t="n">
        <v>0</v>
      </c>
      <c r="I361" t="n">
        <v>0</v>
      </c>
      <c r="J361" t="n">
        <v>0</v>
      </c>
      <c r="K361" t="n">
        <v>0</v>
      </c>
      <c r="L361" t="n">
        <v>0</v>
      </c>
      <c r="M361" t="n">
        <v>0</v>
      </c>
      <c r="N361" t="n">
        <v>0</v>
      </c>
      <c r="O361" t="n">
        <v>0</v>
      </c>
      <c r="P361" t="n">
        <v>0</v>
      </c>
      <c r="Q361" t="n">
        <v>0</v>
      </c>
      <c r="R361" s="2" t="inlineStr"/>
    </row>
    <row r="362" ht="15" customHeight="1">
      <c r="A362" t="inlineStr">
        <is>
          <t>A 65923-2018</t>
        </is>
      </c>
      <c r="B362" s="1" t="n">
        <v>43434</v>
      </c>
      <c r="C362" s="1" t="n">
        <v>45345</v>
      </c>
      <c r="D362" t="inlineStr">
        <is>
          <t>VÄSTMANLANDS LÄN</t>
        </is>
      </c>
      <c r="E362" t="inlineStr">
        <is>
          <t>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66363-2018</t>
        </is>
      </c>
      <c r="B363" s="1" t="n">
        <v>43436</v>
      </c>
      <c r="C363" s="1" t="n">
        <v>45345</v>
      </c>
      <c r="D363" t="inlineStr">
        <is>
          <t>VÄSTMANLANDS LÄN</t>
        </is>
      </c>
      <c r="E363" t="inlineStr">
        <is>
          <t>ARBOGA</t>
        </is>
      </c>
      <c r="G363" t="n">
        <v>5.9</v>
      </c>
      <c r="H363" t="n">
        <v>0</v>
      </c>
      <c r="I363" t="n">
        <v>0</v>
      </c>
      <c r="J363" t="n">
        <v>0</v>
      </c>
      <c r="K363" t="n">
        <v>0</v>
      </c>
      <c r="L363" t="n">
        <v>0</v>
      </c>
      <c r="M363" t="n">
        <v>0</v>
      </c>
      <c r="N363" t="n">
        <v>0</v>
      </c>
      <c r="O363" t="n">
        <v>0</v>
      </c>
      <c r="P363" t="n">
        <v>0</v>
      </c>
      <c r="Q363" t="n">
        <v>0</v>
      </c>
      <c r="R363" s="2" t="inlineStr"/>
    </row>
    <row r="364" ht="15" customHeight="1">
      <c r="A364" t="inlineStr">
        <is>
          <t>A 66357-2018</t>
        </is>
      </c>
      <c r="B364" s="1" t="n">
        <v>43436</v>
      </c>
      <c r="C364" s="1" t="n">
        <v>45345</v>
      </c>
      <c r="D364" t="inlineStr">
        <is>
          <t>VÄSTMANLANDS LÄN</t>
        </is>
      </c>
      <c r="E364" t="inlineStr">
        <is>
          <t>KUNGSÖR</t>
        </is>
      </c>
      <c r="G364" t="n">
        <v>0.4</v>
      </c>
      <c r="H364" t="n">
        <v>0</v>
      </c>
      <c r="I364" t="n">
        <v>0</v>
      </c>
      <c r="J364" t="n">
        <v>0</v>
      </c>
      <c r="K364" t="n">
        <v>0</v>
      </c>
      <c r="L364" t="n">
        <v>0</v>
      </c>
      <c r="M364" t="n">
        <v>0</v>
      </c>
      <c r="N364" t="n">
        <v>0</v>
      </c>
      <c r="O364" t="n">
        <v>0</v>
      </c>
      <c r="P364" t="n">
        <v>0</v>
      </c>
      <c r="Q364" t="n">
        <v>0</v>
      </c>
      <c r="R364" s="2" t="inlineStr"/>
    </row>
    <row r="365" ht="15" customHeight="1">
      <c r="A365" t="inlineStr">
        <is>
          <t>A 66627-2018</t>
        </is>
      </c>
      <c r="B365" s="1" t="n">
        <v>43437</v>
      </c>
      <c r="C365" s="1" t="n">
        <v>45345</v>
      </c>
      <c r="D365" t="inlineStr">
        <is>
          <t>VÄSTMANLANDS LÄN</t>
        </is>
      </c>
      <c r="E365" t="inlineStr">
        <is>
          <t>FAGERSTA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66516-2018</t>
        </is>
      </c>
      <c r="B366" s="1" t="n">
        <v>43437</v>
      </c>
      <c r="C366" s="1" t="n">
        <v>45345</v>
      </c>
      <c r="D366" t="inlineStr">
        <is>
          <t>VÄSTMANLANDS LÄN</t>
        </is>
      </c>
      <c r="E366" t="inlineStr">
        <is>
          <t>VÄSTERÅS</t>
        </is>
      </c>
      <c r="G366" t="n">
        <v>1.2</v>
      </c>
      <c r="H366" t="n">
        <v>0</v>
      </c>
      <c r="I366" t="n">
        <v>0</v>
      </c>
      <c r="J366" t="n">
        <v>0</v>
      </c>
      <c r="K366" t="n">
        <v>0</v>
      </c>
      <c r="L366" t="n">
        <v>0</v>
      </c>
      <c r="M366" t="n">
        <v>0</v>
      </c>
      <c r="N366" t="n">
        <v>0</v>
      </c>
      <c r="O366" t="n">
        <v>0</v>
      </c>
      <c r="P366" t="n">
        <v>0</v>
      </c>
      <c r="Q366" t="n">
        <v>0</v>
      </c>
      <c r="R366" s="2" t="inlineStr"/>
    </row>
    <row r="367" ht="15" customHeight="1">
      <c r="A367" t="inlineStr">
        <is>
          <t>A 68421-2018</t>
        </is>
      </c>
      <c r="B367" s="1" t="n">
        <v>43438</v>
      </c>
      <c r="C367" s="1" t="n">
        <v>45345</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68430-2018</t>
        </is>
      </c>
      <c r="B368" s="1" t="n">
        <v>43438</v>
      </c>
      <c r="C368" s="1" t="n">
        <v>45345</v>
      </c>
      <c r="D368" t="inlineStr">
        <is>
          <t>VÄSTMANLANDS LÄN</t>
        </is>
      </c>
      <c r="E368" t="inlineStr">
        <is>
          <t>KUNGSÖR</t>
        </is>
      </c>
      <c r="G368" t="n">
        <v>2.6</v>
      </c>
      <c r="H368" t="n">
        <v>0</v>
      </c>
      <c r="I368" t="n">
        <v>0</v>
      </c>
      <c r="J368" t="n">
        <v>0</v>
      </c>
      <c r="K368" t="n">
        <v>0</v>
      </c>
      <c r="L368" t="n">
        <v>0</v>
      </c>
      <c r="M368" t="n">
        <v>0</v>
      </c>
      <c r="N368" t="n">
        <v>0</v>
      </c>
      <c r="O368" t="n">
        <v>0</v>
      </c>
      <c r="P368" t="n">
        <v>0</v>
      </c>
      <c r="Q368" t="n">
        <v>0</v>
      </c>
      <c r="R368" s="2" t="inlineStr"/>
    </row>
    <row r="369" ht="15" customHeight="1">
      <c r="A369" t="inlineStr">
        <is>
          <t>A 67544-2018</t>
        </is>
      </c>
      <c r="B369" s="1" t="n">
        <v>43439</v>
      </c>
      <c r="C369" s="1" t="n">
        <v>45345</v>
      </c>
      <c r="D369" t="inlineStr">
        <is>
          <t>VÄSTMANLANDS LÄN</t>
        </is>
      </c>
      <c r="E369" t="inlineStr">
        <is>
          <t>SALA</t>
        </is>
      </c>
      <c r="G369" t="n">
        <v>8</v>
      </c>
      <c r="H369" t="n">
        <v>0</v>
      </c>
      <c r="I369" t="n">
        <v>0</v>
      </c>
      <c r="J369" t="n">
        <v>0</v>
      </c>
      <c r="K369" t="n">
        <v>0</v>
      </c>
      <c r="L369" t="n">
        <v>0</v>
      </c>
      <c r="M369" t="n">
        <v>0</v>
      </c>
      <c r="N369" t="n">
        <v>0</v>
      </c>
      <c r="O369" t="n">
        <v>0</v>
      </c>
      <c r="P369" t="n">
        <v>0</v>
      </c>
      <c r="Q369" t="n">
        <v>0</v>
      </c>
      <c r="R369" s="2" t="inlineStr"/>
    </row>
    <row r="370" ht="15" customHeight="1">
      <c r="A370" t="inlineStr">
        <is>
          <t>A 67645-2018</t>
        </is>
      </c>
      <c r="B370" s="1" t="n">
        <v>43440</v>
      </c>
      <c r="C370" s="1" t="n">
        <v>45345</v>
      </c>
      <c r="D370" t="inlineStr">
        <is>
          <t>VÄSTMANLANDS LÄN</t>
        </is>
      </c>
      <c r="E370" t="inlineStr">
        <is>
          <t>FAGERSTA</t>
        </is>
      </c>
      <c r="G370" t="n">
        <v>0.6</v>
      </c>
      <c r="H370" t="n">
        <v>0</v>
      </c>
      <c r="I370" t="n">
        <v>0</v>
      </c>
      <c r="J370" t="n">
        <v>0</v>
      </c>
      <c r="K370" t="n">
        <v>0</v>
      </c>
      <c r="L370" t="n">
        <v>0</v>
      </c>
      <c r="M370" t="n">
        <v>0</v>
      </c>
      <c r="N370" t="n">
        <v>0</v>
      </c>
      <c r="O370" t="n">
        <v>0</v>
      </c>
      <c r="P370" t="n">
        <v>0</v>
      </c>
      <c r="Q370" t="n">
        <v>0</v>
      </c>
      <c r="R370" s="2" t="inlineStr"/>
    </row>
    <row r="371" ht="15" customHeight="1">
      <c r="A371" t="inlineStr">
        <is>
          <t>A 67778-2018</t>
        </is>
      </c>
      <c r="B371" s="1" t="n">
        <v>43440</v>
      </c>
      <c r="C371" s="1" t="n">
        <v>45345</v>
      </c>
      <c r="D371" t="inlineStr">
        <is>
          <t>VÄSTMANLANDS LÄN</t>
        </is>
      </c>
      <c r="E371" t="inlineStr">
        <is>
          <t>VÄSTERÅS</t>
        </is>
      </c>
      <c r="G371" t="n">
        <v>2.4</v>
      </c>
      <c r="H371" t="n">
        <v>0</v>
      </c>
      <c r="I371" t="n">
        <v>0</v>
      </c>
      <c r="J371" t="n">
        <v>0</v>
      </c>
      <c r="K371" t="n">
        <v>0</v>
      </c>
      <c r="L371" t="n">
        <v>0</v>
      </c>
      <c r="M371" t="n">
        <v>0</v>
      </c>
      <c r="N371" t="n">
        <v>0</v>
      </c>
      <c r="O371" t="n">
        <v>0</v>
      </c>
      <c r="P371" t="n">
        <v>0</v>
      </c>
      <c r="Q371" t="n">
        <v>0</v>
      </c>
      <c r="R371" s="2" t="inlineStr"/>
    </row>
    <row r="372" ht="15" customHeight="1">
      <c r="A372" t="inlineStr">
        <is>
          <t>A 68269-2018</t>
        </is>
      </c>
      <c r="B372" s="1" t="n">
        <v>43441</v>
      </c>
      <c r="C372" s="1" t="n">
        <v>45345</v>
      </c>
      <c r="D372" t="inlineStr">
        <is>
          <t>VÄSTMANLANDS LÄN</t>
        </is>
      </c>
      <c r="E372" t="inlineStr">
        <is>
          <t>ARBOGA</t>
        </is>
      </c>
      <c r="G372" t="n">
        <v>1.1</v>
      </c>
      <c r="H372" t="n">
        <v>0</v>
      </c>
      <c r="I372" t="n">
        <v>0</v>
      </c>
      <c r="J372" t="n">
        <v>0</v>
      </c>
      <c r="K372" t="n">
        <v>0</v>
      </c>
      <c r="L372" t="n">
        <v>0</v>
      </c>
      <c r="M372" t="n">
        <v>0</v>
      </c>
      <c r="N372" t="n">
        <v>0</v>
      </c>
      <c r="O372" t="n">
        <v>0</v>
      </c>
      <c r="P372" t="n">
        <v>0</v>
      </c>
      <c r="Q372" t="n">
        <v>0</v>
      </c>
      <c r="R372" s="2" t="inlineStr"/>
    </row>
    <row r="373" ht="15" customHeight="1">
      <c r="A373" t="inlineStr">
        <is>
          <t>A 69523-2018</t>
        </is>
      </c>
      <c r="B373" s="1" t="n">
        <v>43444</v>
      </c>
      <c r="C373" s="1" t="n">
        <v>45345</v>
      </c>
      <c r="D373" t="inlineStr">
        <is>
          <t>VÄSTMANLANDS LÄN</t>
        </is>
      </c>
      <c r="E373" t="inlineStr">
        <is>
          <t>NORBERG</t>
        </is>
      </c>
      <c r="G373" t="n">
        <v>0.7</v>
      </c>
      <c r="H373" t="n">
        <v>0</v>
      </c>
      <c r="I373" t="n">
        <v>0</v>
      </c>
      <c r="J373" t="n">
        <v>0</v>
      </c>
      <c r="K373" t="n">
        <v>0</v>
      </c>
      <c r="L373" t="n">
        <v>0</v>
      </c>
      <c r="M373" t="n">
        <v>0</v>
      </c>
      <c r="N373" t="n">
        <v>0</v>
      </c>
      <c r="O373" t="n">
        <v>0</v>
      </c>
      <c r="P373" t="n">
        <v>0</v>
      </c>
      <c r="Q373" t="n">
        <v>0</v>
      </c>
      <c r="R373" s="2" t="inlineStr"/>
    </row>
    <row r="374" ht="15" customHeight="1">
      <c r="A374" t="inlineStr">
        <is>
          <t>A 69535-2018</t>
        </is>
      </c>
      <c r="B374" s="1" t="n">
        <v>43444</v>
      </c>
      <c r="C374" s="1" t="n">
        <v>45345</v>
      </c>
      <c r="D374" t="inlineStr">
        <is>
          <t>VÄSTMANLANDS LÄN</t>
        </is>
      </c>
      <c r="E374" t="inlineStr">
        <is>
          <t>NORBERG</t>
        </is>
      </c>
      <c r="G374" t="n">
        <v>1.5</v>
      </c>
      <c r="H374" t="n">
        <v>0</v>
      </c>
      <c r="I374" t="n">
        <v>0</v>
      </c>
      <c r="J374" t="n">
        <v>0</v>
      </c>
      <c r="K374" t="n">
        <v>0</v>
      </c>
      <c r="L374" t="n">
        <v>0</v>
      </c>
      <c r="M374" t="n">
        <v>0</v>
      </c>
      <c r="N374" t="n">
        <v>0</v>
      </c>
      <c r="O374" t="n">
        <v>0</v>
      </c>
      <c r="P374" t="n">
        <v>0</v>
      </c>
      <c r="Q374" t="n">
        <v>0</v>
      </c>
      <c r="R374" s="2" t="inlineStr"/>
    </row>
    <row r="375" ht="15" customHeight="1">
      <c r="A375" t="inlineStr">
        <is>
          <t>A 69032-2018</t>
        </is>
      </c>
      <c r="B375" s="1" t="n">
        <v>43445</v>
      </c>
      <c r="C375" s="1" t="n">
        <v>45345</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69201-2018</t>
        </is>
      </c>
      <c r="B376" s="1" t="n">
        <v>43445</v>
      </c>
      <c r="C376" s="1" t="n">
        <v>45345</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68914-2018</t>
        </is>
      </c>
      <c r="B377" s="1" t="n">
        <v>43445</v>
      </c>
      <c r="C377" s="1" t="n">
        <v>45345</v>
      </c>
      <c r="D377" t="inlineStr">
        <is>
          <t>VÄSTMANLANDS LÄN</t>
        </is>
      </c>
      <c r="E377" t="inlineStr">
        <is>
          <t>KUNGSÖR</t>
        </is>
      </c>
      <c r="G377" t="n">
        <v>0.8</v>
      </c>
      <c r="H377" t="n">
        <v>0</v>
      </c>
      <c r="I377" t="n">
        <v>0</v>
      </c>
      <c r="J377" t="n">
        <v>0</v>
      </c>
      <c r="K377" t="n">
        <v>0</v>
      </c>
      <c r="L377" t="n">
        <v>0</v>
      </c>
      <c r="M377" t="n">
        <v>0</v>
      </c>
      <c r="N377" t="n">
        <v>0</v>
      </c>
      <c r="O377" t="n">
        <v>0</v>
      </c>
      <c r="P377" t="n">
        <v>0</v>
      </c>
      <c r="Q377" t="n">
        <v>0</v>
      </c>
      <c r="R377" s="2" t="inlineStr"/>
    </row>
    <row r="378" ht="15" customHeight="1">
      <c r="A378" t="inlineStr">
        <is>
          <t>A 69582-2018</t>
        </is>
      </c>
      <c r="B378" s="1" t="n">
        <v>43446</v>
      </c>
      <c r="C378" s="1" t="n">
        <v>45345</v>
      </c>
      <c r="D378" t="inlineStr">
        <is>
          <t>VÄSTMANLANDS LÄN</t>
        </is>
      </c>
      <c r="E378" t="inlineStr">
        <is>
          <t>SURAHAMMAR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69576-2018</t>
        </is>
      </c>
      <c r="B379" s="1" t="n">
        <v>43446</v>
      </c>
      <c r="C379" s="1" t="n">
        <v>45345</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69844-2018</t>
        </is>
      </c>
      <c r="B380" s="1" t="n">
        <v>43447</v>
      </c>
      <c r="C380" s="1" t="n">
        <v>45345</v>
      </c>
      <c r="D380" t="inlineStr">
        <is>
          <t>VÄSTMANLANDS LÄN</t>
        </is>
      </c>
      <c r="E380" t="inlineStr">
        <is>
          <t>VÄSTERÅS</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69895-2018</t>
        </is>
      </c>
      <c r="B381" s="1" t="n">
        <v>43447</v>
      </c>
      <c r="C381" s="1" t="n">
        <v>45345</v>
      </c>
      <c r="D381" t="inlineStr">
        <is>
          <t>VÄSTMANLANDS LÄN</t>
        </is>
      </c>
      <c r="E381" t="inlineStr">
        <is>
          <t>VÄSTERÅS</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70915-2018</t>
        </is>
      </c>
      <c r="B382" s="1" t="n">
        <v>43447</v>
      </c>
      <c r="C382" s="1" t="n">
        <v>45345</v>
      </c>
      <c r="D382" t="inlineStr">
        <is>
          <t>VÄSTMANLANDS LÄN</t>
        </is>
      </c>
      <c r="E382" t="inlineStr">
        <is>
          <t>SALA</t>
        </is>
      </c>
      <c r="G382" t="n">
        <v>5.9</v>
      </c>
      <c r="H382" t="n">
        <v>0</v>
      </c>
      <c r="I382" t="n">
        <v>0</v>
      </c>
      <c r="J382" t="n">
        <v>0</v>
      </c>
      <c r="K382" t="n">
        <v>0</v>
      </c>
      <c r="L382" t="n">
        <v>0</v>
      </c>
      <c r="M382" t="n">
        <v>0</v>
      </c>
      <c r="N382" t="n">
        <v>0</v>
      </c>
      <c r="O382" t="n">
        <v>0</v>
      </c>
      <c r="P382" t="n">
        <v>0</v>
      </c>
      <c r="Q382" t="n">
        <v>0</v>
      </c>
      <c r="R382" s="2" t="inlineStr"/>
    </row>
    <row r="383" ht="15" customHeight="1">
      <c r="A383" t="inlineStr">
        <is>
          <t>A 69958-2018</t>
        </is>
      </c>
      <c r="B383" s="1" t="n">
        <v>43447</v>
      </c>
      <c r="C383" s="1" t="n">
        <v>45345</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69873-2018</t>
        </is>
      </c>
      <c r="B384" s="1" t="n">
        <v>43447</v>
      </c>
      <c r="C384" s="1" t="n">
        <v>45345</v>
      </c>
      <c r="D384" t="inlineStr">
        <is>
          <t>VÄSTMANLANDS LÄN</t>
        </is>
      </c>
      <c r="E384" t="inlineStr">
        <is>
          <t>VÄSTERÅS</t>
        </is>
      </c>
      <c r="F384" t="inlineStr">
        <is>
          <t>Övriga Aktiebolag</t>
        </is>
      </c>
      <c r="G384" t="n">
        <v>8</v>
      </c>
      <c r="H384" t="n">
        <v>0</v>
      </c>
      <c r="I384" t="n">
        <v>0</v>
      </c>
      <c r="J384" t="n">
        <v>0</v>
      </c>
      <c r="K384" t="n">
        <v>0</v>
      </c>
      <c r="L384" t="n">
        <v>0</v>
      </c>
      <c r="M384" t="n">
        <v>0</v>
      </c>
      <c r="N384" t="n">
        <v>0</v>
      </c>
      <c r="O384" t="n">
        <v>0</v>
      </c>
      <c r="P384" t="n">
        <v>0</v>
      </c>
      <c r="Q384" t="n">
        <v>0</v>
      </c>
      <c r="R384" s="2" t="inlineStr"/>
    </row>
    <row r="385" ht="15" customHeight="1">
      <c r="A385" t="inlineStr">
        <is>
          <t>A 70004-2018</t>
        </is>
      </c>
      <c r="B385" s="1" t="n">
        <v>43447</v>
      </c>
      <c r="C385" s="1" t="n">
        <v>45345</v>
      </c>
      <c r="D385" t="inlineStr">
        <is>
          <t>VÄSTMANLANDS LÄN</t>
        </is>
      </c>
      <c r="E385" t="inlineStr">
        <is>
          <t>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69959-2018</t>
        </is>
      </c>
      <c r="B386" s="1" t="n">
        <v>43447</v>
      </c>
      <c r="C386" s="1" t="n">
        <v>45345</v>
      </c>
      <c r="D386" t="inlineStr">
        <is>
          <t>VÄSTMANLANDS LÄN</t>
        </is>
      </c>
      <c r="E386" t="inlineStr">
        <is>
          <t>SALA</t>
        </is>
      </c>
      <c r="G386" t="n">
        <v>6.7</v>
      </c>
      <c r="H386" t="n">
        <v>0</v>
      </c>
      <c r="I386" t="n">
        <v>0</v>
      </c>
      <c r="J386" t="n">
        <v>0</v>
      </c>
      <c r="K386" t="n">
        <v>0</v>
      </c>
      <c r="L386" t="n">
        <v>0</v>
      </c>
      <c r="M386" t="n">
        <v>0</v>
      </c>
      <c r="N386" t="n">
        <v>0</v>
      </c>
      <c r="O386" t="n">
        <v>0</v>
      </c>
      <c r="P386" t="n">
        <v>0</v>
      </c>
      <c r="Q386" t="n">
        <v>0</v>
      </c>
      <c r="R386" s="2" t="inlineStr"/>
    </row>
    <row r="387" ht="15" customHeight="1">
      <c r="A387" t="inlineStr">
        <is>
          <t>A 70068-2018</t>
        </is>
      </c>
      <c r="B387" s="1" t="n">
        <v>43448</v>
      </c>
      <c r="C387" s="1" t="n">
        <v>45345</v>
      </c>
      <c r="D387" t="inlineStr">
        <is>
          <t>VÄSTMANLANDS LÄN</t>
        </is>
      </c>
      <c r="E387" t="inlineStr">
        <is>
          <t>NORBERG</t>
        </is>
      </c>
      <c r="F387" t="inlineStr">
        <is>
          <t>Bergvik skog väst AB</t>
        </is>
      </c>
      <c r="G387" t="n">
        <v>22.7</v>
      </c>
      <c r="H387" t="n">
        <v>0</v>
      </c>
      <c r="I387" t="n">
        <v>0</v>
      </c>
      <c r="J387" t="n">
        <v>0</v>
      </c>
      <c r="K387" t="n">
        <v>0</v>
      </c>
      <c r="L387" t="n">
        <v>0</v>
      </c>
      <c r="M387" t="n">
        <v>0</v>
      </c>
      <c r="N387" t="n">
        <v>0</v>
      </c>
      <c r="O387" t="n">
        <v>0</v>
      </c>
      <c r="P387" t="n">
        <v>0</v>
      </c>
      <c r="Q387" t="n">
        <v>0</v>
      </c>
      <c r="R387" s="2" t="inlineStr"/>
    </row>
    <row r="388" ht="15" customHeight="1">
      <c r="A388" t="inlineStr">
        <is>
          <t>A 70058-2018</t>
        </is>
      </c>
      <c r="B388" s="1" t="n">
        <v>43448</v>
      </c>
      <c r="C388" s="1" t="n">
        <v>45345</v>
      </c>
      <c r="D388" t="inlineStr">
        <is>
          <t>VÄSTMANLANDS LÄN</t>
        </is>
      </c>
      <c r="E388" t="inlineStr">
        <is>
          <t>NORBERG</t>
        </is>
      </c>
      <c r="F388" t="inlineStr">
        <is>
          <t>Bergvik skog väst AB</t>
        </is>
      </c>
      <c r="G388" t="n">
        <v>15.7</v>
      </c>
      <c r="H388" t="n">
        <v>0</v>
      </c>
      <c r="I388" t="n">
        <v>0</v>
      </c>
      <c r="J388" t="n">
        <v>0</v>
      </c>
      <c r="K388" t="n">
        <v>0</v>
      </c>
      <c r="L388" t="n">
        <v>0</v>
      </c>
      <c r="M388" t="n">
        <v>0</v>
      </c>
      <c r="N388" t="n">
        <v>0</v>
      </c>
      <c r="O388" t="n">
        <v>0</v>
      </c>
      <c r="P388" t="n">
        <v>0</v>
      </c>
      <c r="Q388" t="n">
        <v>0</v>
      </c>
      <c r="R388" s="2" t="inlineStr"/>
    </row>
    <row r="389" ht="15" customHeight="1">
      <c r="A389" t="inlineStr">
        <is>
          <t>A 71189-2018</t>
        </is>
      </c>
      <c r="B389" s="1" t="n">
        <v>43451</v>
      </c>
      <c r="C389" s="1" t="n">
        <v>45345</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70848-2018</t>
        </is>
      </c>
      <c r="B390" s="1" t="n">
        <v>43452</v>
      </c>
      <c r="C390" s="1" t="n">
        <v>45345</v>
      </c>
      <c r="D390" t="inlineStr">
        <is>
          <t>VÄSTMANLANDS LÄN</t>
        </is>
      </c>
      <c r="E390" t="inlineStr">
        <is>
          <t>NORBERG</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71783-2018</t>
        </is>
      </c>
      <c r="B391" s="1" t="n">
        <v>43453</v>
      </c>
      <c r="C391" s="1" t="n">
        <v>45345</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71377-2018</t>
        </is>
      </c>
      <c r="B392" s="1" t="n">
        <v>43453</v>
      </c>
      <c r="C392" s="1" t="n">
        <v>45345</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267-2019</t>
        </is>
      </c>
      <c r="B393" s="1" t="n">
        <v>43454</v>
      </c>
      <c r="C393" s="1" t="n">
        <v>45345</v>
      </c>
      <c r="D393" t="inlineStr">
        <is>
          <t>VÄSTMANLANDS LÄN</t>
        </is>
      </c>
      <c r="E393" t="inlineStr">
        <is>
          <t>VÄSTERÅS</t>
        </is>
      </c>
      <c r="G393" t="n">
        <v>4.8</v>
      </c>
      <c r="H393" t="n">
        <v>0</v>
      </c>
      <c r="I393" t="n">
        <v>0</v>
      </c>
      <c r="J393" t="n">
        <v>0</v>
      </c>
      <c r="K393" t="n">
        <v>0</v>
      </c>
      <c r="L393" t="n">
        <v>0</v>
      </c>
      <c r="M393" t="n">
        <v>0</v>
      </c>
      <c r="N393" t="n">
        <v>0</v>
      </c>
      <c r="O393" t="n">
        <v>0</v>
      </c>
      <c r="P393" t="n">
        <v>0</v>
      </c>
      <c r="Q393" t="n">
        <v>0</v>
      </c>
      <c r="R393" s="2" t="inlineStr"/>
    </row>
    <row r="394" ht="15" customHeight="1">
      <c r="A394" t="inlineStr">
        <is>
          <t>A 72029-2018</t>
        </is>
      </c>
      <c r="B394" s="1" t="n">
        <v>43455</v>
      </c>
      <c r="C394" s="1" t="n">
        <v>45345</v>
      </c>
      <c r="D394" t="inlineStr">
        <is>
          <t>VÄSTMANLANDS LÄN</t>
        </is>
      </c>
      <c r="E394" t="inlineStr">
        <is>
          <t>VÄSTERÅS</t>
        </is>
      </c>
      <c r="G394" t="n">
        <v>3.7</v>
      </c>
      <c r="H394" t="n">
        <v>0</v>
      </c>
      <c r="I394" t="n">
        <v>0</v>
      </c>
      <c r="J394" t="n">
        <v>0</v>
      </c>
      <c r="K394" t="n">
        <v>0</v>
      </c>
      <c r="L394" t="n">
        <v>0</v>
      </c>
      <c r="M394" t="n">
        <v>0</v>
      </c>
      <c r="N394" t="n">
        <v>0</v>
      </c>
      <c r="O394" t="n">
        <v>0</v>
      </c>
      <c r="P394" t="n">
        <v>0</v>
      </c>
      <c r="Q394" t="n">
        <v>0</v>
      </c>
      <c r="R394" s="2" t="inlineStr"/>
    </row>
    <row r="395" ht="15" customHeight="1">
      <c r="A395" t="inlineStr">
        <is>
          <t>A 72031-2018</t>
        </is>
      </c>
      <c r="B395" s="1" t="n">
        <v>43455</v>
      </c>
      <c r="C395" s="1" t="n">
        <v>45345</v>
      </c>
      <c r="D395" t="inlineStr">
        <is>
          <t>VÄSTMANLANDS LÄN</t>
        </is>
      </c>
      <c r="E395" t="inlineStr">
        <is>
          <t>VÄSTERÅS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72307-2018</t>
        </is>
      </c>
      <c r="B396" s="1" t="n">
        <v>43455</v>
      </c>
      <c r="C396" s="1" t="n">
        <v>45345</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72015-2018</t>
        </is>
      </c>
      <c r="B397" s="1" t="n">
        <v>43455</v>
      </c>
      <c r="C397" s="1" t="n">
        <v>45345</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72276-2018</t>
        </is>
      </c>
      <c r="B398" s="1" t="n">
        <v>43455</v>
      </c>
      <c r="C398" s="1" t="n">
        <v>45345</v>
      </c>
      <c r="D398" t="inlineStr">
        <is>
          <t>VÄSTMANLANDS LÄN</t>
        </is>
      </c>
      <c r="E398" t="inlineStr">
        <is>
          <t>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72315-2018</t>
        </is>
      </c>
      <c r="B399" s="1" t="n">
        <v>43456</v>
      </c>
      <c r="C399" s="1" t="n">
        <v>45345</v>
      </c>
      <c r="D399" t="inlineStr">
        <is>
          <t>VÄSTMANLANDS LÄN</t>
        </is>
      </c>
      <c r="E399" t="inlineStr">
        <is>
          <t>ARBOGA</t>
        </is>
      </c>
      <c r="G399" t="n">
        <v>2.4</v>
      </c>
      <c r="H399" t="n">
        <v>0</v>
      </c>
      <c r="I399" t="n">
        <v>0</v>
      </c>
      <c r="J399" t="n">
        <v>0</v>
      </c>
      <c r="K399" t="n">
        <v>0</v>
      </c>
      <c r="L399" t="n">
        <v>0</v>
      </c>
      <c r="M399" t="n">
        <v>0</v>
      </c>
      <c r="N399" t="n">
        <v>0</v>
      </c>
      <c r="O399" t="n">
        <v>0</v>
      </c>
      <c r="P399" t="n">
        <v>0</v>
      </c>
      <c r="Q399" t="n">
        <v>0</v>
      </c>
      <c r="R399" s="2" t="inlineStr"/>
    </row>
    <row r="400" ht="15" customHeight="1">
      <c r="A400" t="inlineStr">
        <is>
          <t>A 72313-2018</t>
        </is>
      </c>
      <c r="B400" s="1" t="n">
        <v>43456</v>
      </c>
      <c r="C400" s="1" t="n">
        <v>45345</v>
      </c>
      <c r="D400" t="inlineStr">
        <is>
          <t>VÄSTMANLANDS LÄN</t>
        </is>
      </c>
      <c r="E400" t="inlineStr">
        <is>
          <t>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72314-2018</t>
        </is>
      </c>
      <c r="B401" s="1" t="n">
        <v>43456</v>
      </c>
      <c r="C401" s="1" t="n">
        <v>45345</v>
      </c>
      <c r="D401" t="inlineStr">
        <is>
          <t>VÄSTMANLANDS LÄN</t>
        </is>
      </c>
      <c r="E401" t="inlineStr">
        <is>
          <t>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72312-2018</t>
        </is>
      </c>
      <c r="B402" s="1" t="n">
        <v>43456</v>
      </c>
      <c r="C402" s="1" t="n">
        <v>45345</v>
      </c>
      <c r="D402" t="inlineStr">
        <is>
          <t>VÄSTMANLANDS LÄN</t>
        </is>
      </c>
      <c r="E402" t="inlineStr">
        <is>
          <t>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72317-2018</t>
        </is>
      </c>
      <c r="B403" s="1" t="n">
        <v>43456</v>
      </c>
      <c r="C403" s="1" t="n">
        <v>45345</v>
      </c>
      <c r="D403" t="inlineStr">
        <is>
          <t>VÄSTMANLANDS LÄN</t>
        </is>
      </c>
      <c r="E403" t="inlineStr">
        <is>
          <t>ARBOGA</t>
        </is>
      </c>
      <c r="G403" t="n">
        <v>3.2</v>
      </c>
      <c r="H403" t="n">
        <v>0</v>
      </c>
      <c r="I403" t="n">
        <v>0</v>
      </c>
      <c r="J403" t="n">
        <v>0</v>
      </c>
      <c r="K403" t="n">
        <v>0</v>
      </c>
      <c r="L403" t="n">
        <v>0</v>
      </c>
      <c r="M403" t="n">
        <v>0</v>
      </c>
      <c r="N403" t="n">
        <v>0</v>
      </c>
      <c r="O403" t="n">
        <v>0</v>
      </c>
      <c r="P403" t="n">
        <v>0</v>
      </c>
      <c r="Q403" t="n">
        <v>0</v>
      </c>
      <c r="R403" s="2" t="inlineStr"/>
    </row>
    <row r="404" ht="15" customHeight="1">
      <c r="A404" t="inlineStr">
        <is>
          <t>A 72361-2018</t>
        </is>
      </c>
      <c r="B404" s="1" t="n">
        <v>43461</v>
      </c>
      <c r="C404" s="1" t="n">
        <v>45345</v>
      </c>
      <c r="D404" t="inlineStr">
        <is>
          <t>VÄSTMANLANDS LÄN</t>
        </is>
      </c>
      <c r="E404" t="inlineStr">
        <is>
          <t>ARBOGA</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1589-2019</t>
        </is>
      </c>
      <c r="B405" s="1" t="n">
        <v>43461</v>
      </c>
      <c r="C405" s="1" t="n">
        <v>45345</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72364-2018</t>
        </is>
      </c>
      <c r="B406" s="1" t="n">
        <v>43461</v>
      </c>
      <c r="C406" s="1" t="n">
        <v>45345</v>
      </c>
      <c r="D406" t="inlineStr">
        <is>
          <t>VÄSTMANLANDS LÄN</t>
        </is>
      </c>
      <c r="E406" t="inlineStr">
        <is>
          <t>ARBOGA</t>
        </is>
      </c>
      <c r="F406" t="inlineStr">
        <is>
          <t>Allmännings- och besparingsskogar</t>
        </is>
      </c>
      <c r="G406" t="n">
        <v>14.6</v>
      </c>
      <c r="H406" t="n">
        <v>0</v>
      </c>
      <c r="I406" t="n">
        <v>0</v>
      </c>
      <c r="J406" t="n">
        <v>0</v>
      </c>
      <c r="K406" t="n">
        <v>0</v>
      </c>
      <c r="L406" t="n">
        <v>0</v>
      </c>
      <c r="M406" t="n">
        <v>0</v>
      </c>
      <c r="N406" t="n">
        <v>0</v>
      </c>
      <c r="O406" t="n">
        <v>0</v>
      </c>
      <c r="P406" t="n">
        <v>0</v>
      </c>
      <c r="Q406" t="n">
        <v>0</v>
      </c>
      <c r="R406" s="2" t="inlineStr"/>
    </row>
    <row r="407" ht="15" customHeight="1">
      <c r="A407" t="inlineStr">
        <is>
          <t>A 72448-2018</t>
        </is>
      </c>
      <c r="B407" s="1" t="n">
        <v>43461</v>
      </c>
      <c r="C407" s="1" t="n">
        <v>45345</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72383-2018</t>
        </is>
      </c>
      <c r="B408" s="1" t="n">
        <v>43461</v>
      </c>
      <c r="C408" s="1" t="n">
        <v>45345</v>
      </c>
      <c r="D408" t="inlineStr">
        <is>
          <t>VÄSTMANLANDS LÄN</t>
        </is>
      </c>
      <c r="E408" t="inlineStr">
        <is>
          <t>KUNGSÖR</t>
        </is>
      </c>
      <c r="G408" t="n">
        <v>3.5</v>
      </c>
      <c r="H408" t="n">
        <v>0</v>
      </c>
      <c r="I408" t="n">
        <v>0</v>
      </c>
      <c r="J408" t="n">
        <v>0</v>
      </c>
      <c r="K408" t="n">
        <v>0</v>
      </c>
      <c r="L408" t="n">
        <v>0</v>
      </c>
      <c r="M408" t="n">
        <v>0</v>
      </c>
      <c r="N408" t="n">
        <v>0</v>
      </c>
      <c r="O408" t="n">
        <v>0</v>
      </c>
      <c r="P408" t="n">
        <v>0</v>
      </c>
      <c r="Q408" t="n">
        <v>0</v>
      </c>
      <c r="R408" s="2" t="inlineStr"/>
    </row>
    <row r="409" ht="15" customHeight="1">
      <c r="A409" t="inlineStr">
        <is>
          <t>A 1921-2019</t>
        </is>
      </c>
      <c r="B409" s="1" t="n">
        <v>43462</v>
      </c>
      <c r="C409" s="1" t="n">
        <v>45345</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72495-2018</t>
        </is>
      </c>
      <c r="B410" s="1" t="n">
        <v>43462</v>
      </c>
      <c r="C410" s="1" t="n">
        <v>45345</v>
      </c>
      <c r="D410" t="inlineStr">
        <is>
          <t>VÄSTMANLANDS LÄN</t>
        </is>
      </c>
      <c r="E410" t="inlineStr">
        <is>
          <t>ARBOGA</t>
        </is>
      </c>
      <c r="F410" t="inlineStr">
        <is>
          <t>Allmännings- och besparingsskogar</t>
        </is>
      </c>
      <c r="G410" t="n">
        <v>18.6</v>
      </c>
      <c r="H410" t="n">
        <v>0</v>
      </c>
      <c r="I410" t="n">
        <v>0</v>
      </c>
      <c r="J410" t="n">
        <v>0</v>
      </c>
      <c r="K410" t="n">
        <v>0</v>
      </c>
      <c r="L410" t="n">
        <v>0</v>
      </c>
      <c r="M410" t="n">
        <v>0</v>
      </c>
      <c r="N410" t="n">
        <v>0</v>
      </c>
      <c r="O410" t="n">
        <v>0</v>
      </c>
      <c r="P410" t="n">
        <v>0</v>
      </c>
      <c r="Q410" t="n">
        <v>0</v>
      </c>
      <c r="R410" s="2" t="inlineStr"/>
    </row>
    <row r="411" ht="15" customHeight="1">
      <c r="A411" t="inlineStr">
        <is>
          <t>A 143-2019</t>
        </is>
      </c>
      <c r="B411" s="1" t="n">
        <v>43467</v>
      </c>
      <c r="C411" s="1" t="n">
        <v>45345</v>
      </c>
      <c r="D411" t="inlineStr">
        <is>
          <t>VÄSTMANLANDS LÄN</t>
        </is>
      </c>
      <c r="E411" t="inlineStr">
        <is>
          <t>SURAHAMMAR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2110-2019</t>
        </is>
      </c>
      <c r="B412" s="1" t="n">
        <v>43467</v>
      </c>
      <c r="C412" s="1" t="n">
        <v>45345</v>
      </c>
      <c r="D412" t="inlineStr">
        <is>
          <t>VÄSTMANLANDS LÄN</t>
        </is>
      </c>
      <c r="E412" t="inlineStr">
        <is>
          <t>ARBOGA</t>
        </is>
      </c>
      <c r="G412" t="n">
        <v>6</v>
      </c>
      <c r="H412" t="n">
        <v>0</v>
      </c>
      <c r="I412" t="n">
        <v>0</v>
      </c>
      <c r="J412" t="n">
        <v>0</v>
      </c>
      <c r="K412" t="n">
        <v>0</v>
      </c>
      <c r="L412" t="n">
        <v>0</v>
      </c>
      <c r="M412" t="n">
        <v>0</v>
      </c>
      <c r="N412" t="n">
        <v>0</v>
      </c>
      <c r="O412" t="n">
        <v>0</v>
      </c>
      <c r="P412" t="n">
        <v>0</v>
      </c>
      <c r="Q412" t="n">
        <v>0</v>
      </c>
      <c r="R412" s="2" t="inlineStr"/>
    </row>
    <row r="413" ht="15" customHeight="1">
      <c r="A413" t="inlineStr">
        <is>
          <t>A 390-2019</t>
        </is>
      </c>
      <c r="B413" s="1" t="n">
        <v>43468</v>
      </c>
      <c r="C413" s="1" t="n">
        <v>45345</v>
      </c>
      <c r="D413" t="inlineStr">
        <is>
          <t>VÄSTMANLANDS LÄN</t>
        </is>
      </c>
      <c r="E413" t="inlineStr">
        <is>
          <t>NORBERG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342-2019</t>
        </is>
      </c>
      <c r="B414" s="1" t="n">
        <v>43468</v>
      </c>
      <c r="C414" s="1" t="n">
        <v>45345</v>
      </c>
      <c r="D414" t="inlineStr">
        <is>
          <t>VÄSTMANLANDS LÄN</t>
        </is>
      </c>
      <c r="E414" t="inlineStr">
        <is>
          <t>NORBERG</t>
        </is>
      </c>
      <c r="G414" t="n">
        <v>4.2</v>
      </c>
      <c r="H414" t="n">
        <v>0</v>
      </c>
      <c r="I414" t="n">
        <v>0</v>
      </c>
      <c r="J414" t="n">
        <v>0</v>
      </c>
      <c r="K414" t="n">
        <v>0</v>
      </c>
      <c r="L414" t="n">
        <v>0</v>
      </c>
      <c r="M414" t="n">
        <v>0</v>
      </c>
      <c r="N414" t="n">
        <v>0</v>
      </c>
      <c r="O414" t="n">
        <v>0</v>
      </c>
      <c r="P414" t="n">
        <v>0</v>
      </c>
      <c r="Q414" t="n">
        <v>0</v>
      </c>
      <c r="R414" s="2" t="inlineStr"/>
    </row>
    <row r="415" ht="15" customHeight="1">
      <c r="A415" t="inlineStr">
        <is>
          <t>A 339-2019</t>
        </is>
      </c>
      <c r="B415" s="1" t="n">
        <v>43468</v>
      </c>
      <c r="C415" s="1" t="n">
        <v>45345</v>
      </c>
      <c r="D415" t="inlineStr">
        <is>
          <t>VÄSTMANLANDS LÄN</t>
        </is>
      </c>
      <c r="E415" t="inlineStr">
        <is>
          <t>NORBERG</t>
        </is>
      </c>
      <c r="G415" t="n">
        <v>2.6</v>
      </c>
      <c r="H415" t="n">
        <v>0</v>
      </c>
      <c r="I415" t="n">
        <v>0</v>
      </c>
      <c r="J415" t="n">
        <v>0</v>
      </c>
      <c r="K415" t="n">
        <v>0</v>
      </c>
      <c r="L415" t="n">
        <v>0</v>
      </c>
      <c r="M415" t="n">
        <v>0</v>
      </c>
      <c r="N415" t="n">
        <v>0</v>
      </c>
      <c r="O415" t="n">
        <v>0</v>
      </c>
      <c r="P415" t="n">
        <v>0</v>
      </c>
      <c r="Q415" t="n">
        <v>0</v>
      </c>
      <c r="R415" s="2" t="inlineStr"/>
    </row>
    <row r="416" ht="15" customHeight="1">
      <c r="A416" t="inlineStr">
        <is>
          <t>A 635-2019</t>
        </is>
      </c>
      <c r="B416" s="1" t="n">
        <v>43469</v>
      </c>
      <c r="C416" s="1" t="n">
        <v>45345</v>
      </c>
      <c r="D416" t="inlineStr">
        <is>
          <t>VÄSTMANLANDS LÄN</t>
        </is>
      </c>
      <c r="E416" t="inlineStr">
        <is>
          <t>ARBOGA</t>
        </is>
      </c>
      <c r="G416" t="n">
        <v>3</v>
      </c>
      <c r="H416" t="n">
        <v>0</v>
      </c>
      <c r="I416" t="n">
        <v>0</v>
      </c>
      <c r="J416" t="n">
        <v>0</v>
      </c>
      <c r="K416" t="n">
        <v>0</v>
      </c>
      <c r="L416" t="n">
        <v>0</v>
      </c>
      <c r="M416" t="n">
        <v>0</v>
      </c>
      <c r="N416" t="n">
        <v>0</v>
      </c>
      <c r="O416" t="n">
        <v>0</v>
      </c>
      <c r="P416" t="n">
        <v>0</v>
      </c>
      <c r="Q416" t="n">
        <v>0</v>
      </c>
      <c r="R416" s="2" t="inlineStr"/>
    </row>
    <row r="417" ht="15" customHeight="1">
      <c r="A417" t="inlineStr">
        <is>
          <t>A 894-2019</t>
        </is>
      </c>
      <c r="B417" s="1" t="n">
        <v>43472</v>
      </c>
      <c r="C417" s="1" t="n">
        <v>45345</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1475-2019</t>
        </is>
      </c>
      <c r="B418" s="1" t="n">
        <v>43473</v>
      </c>
      <c r="C418" s="1" t="n">
        <v>45345</v>
      </c>
      <c r="D418" t="inlineStr">
        <is>
          <t>VÄSTMANLANDS LÄN</t>
        </is>
      </c>
      <c r="E418" t="inlineStr">
        <is>
          <t>ARBOGA</t>
        </is>
      </c>
      <c r="G418" t="n">
        <v>1.1</v>
      </c>
      <c r="H418" t="n">
        <v>0</v>
      </c>
      <c r="I418" t="n">
        <v>0</v>
      </c>
      <c r="J418" t="n">
        <v>0</v>
      </c>
      <c r="K418" t="n">
        <v>0</v>
      </c>
      <c r="L418" t="n">
        <v>0</v>
      </c>
      <c r="M418" t="n">
        <v>0</v>
      </c>
      <c r="N418" t="n">
        <v>0</v>
      </c>
      <c r="O418" t="n">
        <v>0</v>
      </c>
      <c r="P418" t="n">
        <v>0</v>
      </c>
      <c r="Q418" t="n">
        <v>0</v>
      </c>
      <c r="R418" s="2" t="inlineStr"/>
    </row>
    <row r="419" ht="15" customHeight="1">
      <c r="A419" t="inlineStr">
        <is>
          <t>A 3010-2019</t>
        </is>
      </c>
      <c r="B419" s="1" t="n">
        <v>43473</v>
      </c>
      <c r="C419" s="1" t="n">
        <v>45345</v>
      </c>
      <c r="D419" t="inlineStr">
        <is>
          <t>VÄSTMANLANDS LÄN</t>
        </is>
      </c>
      <c r="E419" t="inlineStr">
        <is>
          <t>NORBERG</t>
        </is>
      </c>
      <c r="G419" t="n">
        <v>0.7</v>
      </c>
      <c r="H419" t="n">
        <v>0</v>
      </c>
      <c r="I419" t="n">
        <v>0</v>
      </c>
      <c r="J419" t="n">
        <v>0</v>
      </c>
      <c r="K419" t="n">
        <v>0</v>
      </c>
      <c r="L419" t="n">
        <v>0</v>
      </c>
      <c r="M419" t="n">
        <v>0</v>
      </c>
      <c r="N419" t="n">
        <v>0</v>
      </c>
      <c r="O419" t="n">
        <v>0</v>
      </c>
      <c r="P419" t="n">
        <v>0</v>
      </c>
      <c r="Q419" t="n">
        <v>0</v>
      </c>
      <c r="R419" s="2" t="inlineStr"/>
    </row>
    <row r="420" ht="15" customHeight="1">
      <c r="A420" t="inlineStr">
        <is>
          <t>A 1455-2019</t>
        </is>
      </c>
      <c r="B420" s="1" t="n">
        <v>43473</v>
      </c>
      <c r="C420" s="1" t="n">
        <v>45345</v>
      </c>
      <c r="D420" t="inlineStr">
        <is>
          <t>VÄSTMANLANDS LÄN</t>
        </is>
      </c>
      <c r="E420" t="inlineStr">
        <is>
          <t>SALA</t>
        </is>
      </c>
      <c r="G420" t="n">
        <v>6</v>
      </c>
      <c r="H420" t="n">
        <v>0</v>
      </c>
      <c r="I420" t="n">
        <v>0</v>
      </c>
      <c r="J420" t="n">
        <v>0</v>
      </c>
      <c r="K420" t="n">
        <v>0</v>
      </c>
      <c r="L420" t="n">
        <v>0</v>
      </c>
      <c r="M420" t="n">
        <v>0</v>
      </c>
      <c r="N420" t="n">
        <v>0</v>
      </c>
      <c r="O420" t="n">
        <v>0</v>
      </c>
      <c r="P420" t="n">
        <v>0</v>
      </c>
      <c r="Q420" t="n">
        <v>0</v>
      </c>
      <c r="R420" s="2" t="inlineStr"/>
    </row>
    <row r="421" ht="15" customHeight="1">
      <c r="A421" t="inlineStr">
        <is>
          <t>A 1356-2019</t>
        </is>
      </c>
      <c r="B421" s="1" t="n">
        <v>43473</v>
      </c>
      <c r="C421" s="1" t="n">
        <v>45345</v>
      </c>
      <c r="D421" t="inlineStr">
        <is>
          <t>VÄSTMANLANDS LÄN</t>
        </is>
      </c>
      <c r="E421" t="inlineStr">
        <is>
          <t>HALLSTAHAMMAR</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1883-2019</t>
        </is>
      </c>
      <c r="B422" s="1" t="n">
        <v>43474</v>
      </c>
      <c r="C422" s="1" t="n">
        <v>45345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2026-2019</t>
        </is>
      </c>
      <c r="B423" s="1" t="n">
        <v>43475</v>
      </c>
      <c r="C423" s="1" t="n">
        <v>45345</v>
      </c>
      <c r="D423" t="inlineStr">
        <is>
          <t>VÄSTMANLANDS LÄN</t>
        </is>
      </c>
      <c r="E423" t="inlineStr">
        <is>
          <t>KUNGSÖR</t>
        </is>
      </c>
      <c r="F423" t="inlineStr">
        <is>
          <t>Allmännings- och besparingsskogar</t>
        </is>
      </c>
      <c r="G423" t="n">
        <v>13.2</v>
      </c>
      <c r="H423" t="n">
        <v>0</v>
      </c>
      <c r="I423" t="n">
        <v>0</v>
      </c>
      <c r="J423" t="n">
        <v>0</v>
      </c>
      <c r="K423" t="n">
        <v>0</v>
      </c>
      <c r="L423" t="n">
        <v>0</v>
      </c>
      <c r="M423" t="n">
        <v>0</v>
      </c>
      <c r="N423" t="n">
        <v>0</v>
      </c>
      <c r="O423" t="n">
        <v>0</v>
      </c>
      <c r="P423" t="n">
        <v>0</v>
      </c>
      <c r="Q423" t="n">
        <v>0</v>
      </c>
      <c r="R423" s="2" t="inlineStr"/>
    </row>
    <row r="424" ht="15" customHeight="1">
      <c r="A424" t="inlineStr">
        <is>
          <t>A 2254-2019</t>
        </is>
      </c>
      <c r="B424" s="1" t="n">
        <v>43475</v>
      </c>
      <c r="C424" s="1" t="n">
        <v>45345</v>
      </c>
      <c r="D424" t="inlineStr">
        <is>
          <t>VÄSTMANLANDS LÄN</t>
        </is>
      </c>
      <c r="E424" t="inlineStr">
        <is>
          <t>SKINNSKATTEBERG</t>
        </is>
      </c>
      <c r="G424" t="n">
        <v>4.4</v>
      </c>
      <c r="H424" t="n">
        <v>0</v>
      </c>
      <c r="I424" t="n">
        <v>0</v>
      </c>
      <c r="J424" t="n">
        <v>0</v>
      </c>
      <c r="K424" t="n">
        <v>0</v>
      </c>
      <c r="L424" t="n">
        <v>0</v>
      </c>
      <c r="M424" t="n">
        <v>0</v>
      </c>
      <c r="N424" t="n">
        <v>0</v>
      </c>
      <c r="O424" t="n">
        <v>0</v>
      </c>
      <c r="P424" t="n">
        <v>0</v>
      </c>
      <c r="Q424" t="n">
        <v>0</v>
      </c>
      <c r="R424" s="2" t="inlineStr"/>
    </row>
    <row r="425" ht="15" customHeight="1">
      <c r="A425" t="inlineStr">
        <is>
          <t>A 2465-2019</t>
        </is>
      </c>
      <c r="B425" s="1" t="n">
        <v>43476</v>
      </c>
      <c r="C425" s="1" t="n">
        <v>45345</v>
      </c>
      <c r="D425" t="inlineStr">
        <is>
          <t>VÄSTMANLANDS LÄN</t>
        </is>
      </c>
      <c r="E425" t="inlineStr">
        <is>
          <t>HALLSTAHAMMAR</t>
        </is>
      </c>
      <c r="G425" t="n">
        <v>6.8</v>
      </c>
      <c r="H425" t="n">
        <v>0</v>
      </c>
      <c r="I425" t="n">
        <v>0</v>
      </c>
      <c r="J425" t="n">
        <v>0</v>
      </c>
      <c r="K425" t="n">
        <v>0</v>
      </c>
      <c r="L425" t="n">
        <v>0</v>
      </c>
      <c r="M425" t="n">
        <v>0</v>
      </c>
      <c r="N425" t="n">
        <v>0</v>
      </c>
      <c r="O425" t="n">
        <v>0</v>
      </c>
      <c r="P425" t="n">
        <v>0</v>
      </c>
      <c r="Q425" t="n">
        <v>0</v>
      </c>
      <c r="R425" s="2" t="inlineStr"/>
    </row>
    <row r="426" ht="15" customHeight="1">
      <c r="A426" t="inlineStr">
        <is>
          <t>A 2633-2019</t>
        </is>
      </c>
      <c r="B426" s="1" t="n">
        <v>43478</v>
      </c>
      <c r="C426" s="1" t="n">
        <v>45345</v>
      </c>
      <c r="D426" t="inlineStr">
        <is>
          <t>VÄSTMANLANDS LÄN</t>
        </is>
      </c>
      <c r="E426" t="inlineStr">
        <is>
          <t>VÄSTERÅS</t>
        </is>
      </c>
      <c r="G426" t="n">
        <v>4.9</v>
      </c>
      <c r="H426" t="n">
        <v>0</v>
      </c>
      <c r="I426" t="n">
        <v>0</v>
      </c>
      <c r="J426" t="n">
        <v>0</v>
      </c>
      <c r="K426" t="n">
        <v>0</v>
      </c>
      <c r="L426" t="n">
        <v>0</v>
      </c>
      <c r="M426" t="n">
        <v>0</v>
      </c>
      <c r="N426" t="n">
        <v>0</v>
      </c>
      <c r="O426" t="n">
        <v>0</v>
      </c>
      <c r="P426" t="n">
        <v>0</v>
      </c>
      <c r="Q426" t="n">
        <v>0</v>
      </c>
      <c r="R426" s="2" t="inlineStr"/>
    </row>
    <row r="427" ht="15" customHeight="1">
      <c r="A427" t="inlineStr">
        <is>
          <t>A 4478-2019</t>
        </is>
      </c>
      <c r="B427" s="1" t="n">
        <v>43479</v>
      </c>
      <c r="C427" s="1" t="n">
        <v>45345</v>
      </c>
      <c r="D427" t="inlineStr">
        <is>
          <t>VÄSTMANLANDS LÄN</t>
        </is>
      </c>
      <c r="E427" t="inlineStr">
        <is>
          <t>ARBOGA</t>
        </is>
      </c>
      <c r="G427" t="n">
        <v>5.7</v>
      </c>
      <c r="H427" t="n">
        <v>0</v>
      </c>
      <c r="I427" t="n">
        <v>0</v>
      </c>
      <c r="J427" t="n">
        <v>0</v>
      </c>
      <c r="K427" t="n">
        <v>0</v>
      </c>
      <c r="L427" t="n">
        <v>0</v>
      </c>
      <c r="M427" t="n">
        <v>0</v>
      </c>
      <c r="N427" t="n">
        <v>0</v>
      </c>
      <c r="O427" t="n">
        <v>0</v>
      </c>
      <c r="P427" t="n">
        <v>0</v>
      </c>
      <c r="Q427" t="n">
        <v>0</v>
      </c>
      <c r="R427" s="2" t="inlineStr"/>
    </row>
    <row r="428" ht="15" customHeight="1">
      <c r="A428" t="inlineStr">
        <is>
          <t>A 3085-2019</t>
        </is>
      </c>
      <c r="B428" s="1" t="n">
        <v>43479</v>
      </c>
      <c r="C428" s="1" t="n">
        <v>45345</v>
      </c>
      <c r="D428" t="inlineStr">
        <is>
          <t>VÄSTMANLANDS LÄN</t>
        </is>
      </c>
      <c r="E428" t="inlineStr">
        <is>
          <t>FAGERSTA</t>
        </is>
      </c>
      <c r="G428" t="n">
        <v>0.7</v>
      </c>
      <c r="H428" t="n">
        <v>0</v>
      </c>
      <c r="I428" t="n">
        <v>0</v>
      </c>
      <c r="J428" t="n">
        <v>0</v>
      </c>
      <c r="K428" t="n">
        <v>0</v>
      </c>
      <c r="L428" t="n">
        <v>0</v>
      </c>
      <c r="M428" t="n">
        <v>0</v>
      </c>
      <c r="N428" t="n">
        <v>0</v>
      </c>
      <c r="O428" t="n">
        <v>0</v>
      </c>
      <c r="P428" t="n">
        <v>0</v>
      </c>
      <c r="Q428" t="n">
        <v>0</v>
      </c>
      <c r="R428" s="2" t="inlineStr"/>
    </row>
    <row r="429" ht="15" customHeight="1">
      <c r="A429" t="inlineStr">
        <is>
          <t>A 4481-2019</t>
        </is>
      </c>
      <c r="B429" s="1" t="n">
        <v>43479</v>
      </c>
      <c r="C429" s="1" t="n">
        <v>45345</v>
      </c>
      <c r="D429" t="inlineStr">
        <is>
          <t>VÄSTMANLANDS LÄN</t>
        </is>
      </c>
      <c r="E429" t="inlineStr">
        <is>
          <t>ARBOGA</t>
        </is>
      </c>
      <c r="G429" t="n">
        <v>11.6</v>
      </c>
      <c r="H429" t="n">
        <v>0</v>
      </c>
      <c r="I429" t="n">
        <v>0</v>
      </c>
      <c r="J429" t="n">
        <v>0</v>
      </c>
      <c r="K429" t="n">
        <v>0</v>
      </c>
      <c r="L429" t="n">
        <v>0</v>
      </c>
      <c r="M429" t="n">
        <v>0</v>
      </c>
      <c r="N429" t="n">
        <v>0</v>
      </c>
      <c r="O429" t="n">
        <v>0</v>
      </c>
      <c r="P429" t="n">
        <v>0</v>
      </c>
      <c r="Q429" t="n">
        <v>0</v>
      </c>
      <c r="R429" s="2" t="inlineStr"/>
    </row>
    <row r="430" ht="15" customHeight="1">
      <c r="A430" t="inlineStr">
        <is>
          <t>A 3403-2019</t>
        </is>
      </c>
      <c r="B430" s="1" t="n">
        <v>43480</v>
      </c>
      <c r="C430" s="1" t="n">
        <v>45345</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3977-2019</t>
        </is>
      </c>
      <c r="B431" s="1" t="n">
        <v>43482</v>
      </c>
      <c r="C431" s="1" t="n">
        <v>45345</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4445-2019</t>
        </is>
      </c>
      <c r="B432" s="1" t="n">
        <v>43485</v>
      </c>
      <c r="C432" s="1" t="n">
        <v>45345</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4886-2019</t>
        </is>
      </c>
      <c r="B433" s="1" t="n">
        <v>43487</v>
      </c>
      <c r="C433" s="1" t="n">
        <v>45345</v>
      </c>
      <c r="D433" t="inlineStr">
        <is>
          <t>VÄSTMANLANDS LÄN</t>
        </is>
      </c>
      <c r="E433" t="inlineStr">
        <is>
          <t>VÄSTERÅS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5211-2019</t>
        </is>
      </c>
      <c r="B434" s="1" t="n">
        <v>43488</v>
      </c>
      <c r="C434" s="1" t="n">
        <v>45345</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5221-2019</t>
        </is>
      </c>
      <c r="B435" s="1" t="n">
        <v>43488</v>
      </c>
      <c r="C435" s="1" t="n">
        <v>45345</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7751-2019</t>
        </is>
      </c>
      <c r="B436" s="1" t="n">
        <v>43493</v>
      </c>
      <c r="C436" s="1" t="n">
        <v>45345</v>
      </c>
      <c r="D436" t="inlineStr">
        <is>
          <t>VÄSTMANLANDS LÄN</t>
        </is>
      </c>
      <c r="E436" t="inlineStr">
        <is>
          <t>SURAHAMMAR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7446-2019</t>
        </is>
      </c>
      <c r="B437" s="1" t="n">
        <v>43493</v>
      </c>
      <c r="C437" s="1" t="n">
        <v>45345</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6364-2019</t>
        </is>
      </c>
      <c r="B438" s="1" t="n">
        <v>43493</v>
      </c>
      <c r="C438" s="1" t="n">
        <v>45345</v>
      </c>
      <c r="D438" t="inlineStr">
        <is>
          <t>VÄSTMANLANDS LÄN</t>
        </is>
      </c>
      <c r="E438" t="inlineStr">
        <is>
          <t>KUNGSÖR</t>
        </is>
      </c>
      <c r="G438" t="n">
        <v>2.2</v>
      </c>
      <c r="H438" t="n">
        <v>0</v>
      </c>
      <c r="I438" t="n">
        <v>0</v>
      </c>
      <c r="J438" t="n">
        <v>0</v>
      </c>
      <c r="K438" t="n">
        <v>0</v>
      </c>
      <c r="L438" t="n">
        <v>0</v>
      </c>
      <c r="M438" t="n">
        <v>0</v>
      </c>
      <c r="N438" t="n">
        <v>0</v>
      </c>
      <c r="O438" t="n">
        <v>0</v>
      </c>
      <c r="P438" t="n">
        <v>0</v>
      </c>
      <c r="Q438" t="n">
        <v>0</v>
      </c>
      <c r="R438" s="2" t="inlineStr"/>
    </row>
    <row r="439" ht="15" customHeight="1">
      <c r="A439" t="inlineStr">
        <is>
          <t>A 6633-2019</t>
        </is>
      </c>
      <c r="B439" s="1" t="n">
        <v>43494</v>
      </c>
      <c r="C439" s="1" t="n">
        <v>45345</v>
      </c>
      <c r="D439" t="inlineStr">
        <is>
          <t>VÄSTMANLANDS LÄN</t>
        </is>
      </c>
      <c r="E439" t="inlineStr">
        <is>
          <t>KUNGSÖR</t>
        </is>
      </c>
      <c r="G439" t="n">
        <v>3.3</v>
      </c>
      <c r="H439" t="n">
        <v>0</v>
      </c>
      <c r="I439" t="n">
        <v>0</v>
      </c>
      <c r="J439" t="n">
        <v>0</v>
      </c>
      <c r="K439" t="n">
        <v>0</v>
      </c>
      <c r="L439" t="n">
        <v>0</v>
      </c>
      <c r="M439" t="n">
        <v>0</v>
      </c>
      <c r="N439" t="n">
        <v>0</v>
      </c>
      <c r="O439" t="n">
        <v>0</v>
      </c>
      <c r="P439" t="n">
        <v>0</v>
      </c>
      <c r="Q439" t="n">
        <v>0</v>
      </c>
      <c r="R439" s="2" t="inlineStr"/>
    </row>
    <row r="440" ht="15" customHeight="1">
      <c r="A440" t="inlineStr">
        <is>
          <t>A 7225-2019</t>
        </is>
      </c>
      <c r="B440" s="1" t="n">
        <v>43496</v>
      </c>
      <c r="C440" s="1" t="n">
        <v>45345</v>
      </c>
      <c r="D440" t="inlineStr">
        <is>
          <t>VÄSTMANLANDS LÄN</t>
        </is>
      </c>
      <c r="E440" t="inlineStr">
        <is>
          <t>ARBOGA</t>
        </is>
      </c>
      <c r="G440" t="n">
        <v>4.9</v>
      </c>
      <c r="H440" t="n">
        <v>0</v>
      </c>
      <c r="I440" t="n">
        <v>0</v>
      </c>
      <c r="J440" t="n">
        <v>0</v>
      </c>
      <c r="K440" t="n">
        <v>0</v>
      </c>
      <c r="L440" t="n">
        <v>0</v>
      </c>
      <c r="M440" t="n">
        <v>0</v>
      </c>
      <c r="N440" t="n">
        <v>0</v>
      </c>
      <c r="O440" t="n">
        <v>0</v>
      </c>
      <c r="P440" t="n">
        <v>0</v>
      </c>
      <c r="Q440" t="n">
        <v>0</v>
      </c>
      <c r="R440" s="2" t="inlineStr"/>
    </row>
    <row r="441" ht="15" customHeight="1">
      <c r="A441" t="inlineStr">
        <is>
          <t>A 7219-2019</t>
        </is>
      </c>
      <c r="B441" s="1" t="n">
        <v>43496</v>
      </c>
      <c r="C441" s="1" t="n">
        <v>45345</v>
      </c>
      <c r="D441" t="inlineStr">
        <is>
          <t>VÄSTMANLANDS LÄN</t>
        </is>
      </c>
      <c r="E441" t="inlineStr">
        <is>
          <t>ARBOGA</t>
        </is>
      </c>
      <c r="G441" t="n">
        <v>0.9</v>
      </c>
      <c r="H441" t="n">
        <v>0</v>
      </c>
      <c r="I441" t="n">
        <v>0</v>
      </c>
      <c r="J441" t="n">
        <v>0</v>
      </c>
      <c r="K441" t="n">
        <v>0</v>
      </c>
      <c r="L441" t="n">
        <v>0</v>
      </c>
      <c r="M441" t="n">
        <v>0</v>
      </c>
      <c r="N441" t="n">
        <v>0</v>
      </c>
      <c r="O441" t="n">
        <v>0</v>
      </c>
      <c r="P441" t="n">
        <v>0</v>
      </c>
      <c r="Q441" t="n">
        <v>0</v>
      </c>
      <c r="R441" s="2" t="inlineStr"/>
    </row>
    <row r="442" ht="15" customHeight="1">
      <c r="A442" t="inlineStr">
        <is>
          <t>A 7273-2019</t>
        </is>
      </c>
      <c r="B442" s="1" t="n">
        <v>43496</v>
      </c>
      <c r="C442" s="1" t="n">
        <v>45345</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7244-2019</t>
        </is>
      </c>
      <c r="B443" s="1" t="n">
        <v>43496</v>
      </c>
      <c r="C443" s="1" t="n">
        <v>45345</v>
      </c>
      <c r="D443" t="inlineStr">
        <is>
          <t>VÄSTMANLANDS LÄN</t>
        </is>
      </c>
      <c r="E443" t="inlineStr">
        <is>
          <t>KUNGSÖR</t>
        </is>
      </c>
      <c r="G443" t="n">
        <v>3.9</v>
      </c>
      <c r="H443" t="n">
        <v>0</v>
      </c>
      <c r="I443" t="n">
        <v>0</v>
      </c>
      <c r="J443" t="n">
        <v>0</v>
      </c>
      <c r="K443" t="n">
        <v>0</v>
      </c>
      <c r="L443" t="n">
        <v>0</v>
      </c>
      <c r="M443" t="n">
        <v>0</v>
      </c>
      <c r="N443" t="n">
        <v>0</v>
      </c>
      <c r="O443" t="n">
        <v>0</v>
      </c>
      <c r="P443" t="n">
        <v>0</v>
      </c>
      <c r="Q443" t="n">
        <v>0</v>
      </c>
      <c r="R443" s="2" t="inlineStr"/>
    </row>
    <row r="444" ht="15" customHeight="1">
      <c r="A444" t="inlineStr">
        <is>
          <t>A 7229-2019</t>
        </is>
      </c>
      <c r="B444" s="1" t="n">
        <v>43496</v>
      </c>
      <c r="C444" s="1" t="n">
        <v>45345</v>
      </c>
      <c r="D444" t="inlineStr">
        <is>
          <t>VÄSTMANLANDS LÄN</t>
        </is>
      </c>
      <c r="E444" t="inlineStr">
        <is>
          <t>KUNGSÖR</t>
        </is>
      </c>
      <c r="G444" t="n">
        <v>2.9</v>
      </c>
      <c r="H444" t="n">
        <v>0</v>
      </c>
      <c r="I444" t="n">
        <v>0</v>
      </c>
      <c r="J444" t="n">
        <v>0</v>
      </c>
      <c r="K444" t="n">
        <v>0</v>
      </c>
      <c r="L444" t="n">
        <v>0</v>
      </c>
      <c r="M444" t="n">
        <v>0</v>
      </c>
      <c r="N444" t="n">
        <v>0</v>
      </c>
      <c r="O444" t="n">
        <v>0</v>
      </c>
      <c r="P444" t="n">
        <v>0</v>
      </c>
      <c r="Q444" t="n">
        <v>0</v>
      </c>
      <c r="R444" s="2" t="inlineStr"/>
    </row>
    <row r="445" ht="15" customHeight="1">
      <c r="A445" t="inlineStr">
        <is>
          <t>A 7533-2019</t>
        </is>
      </c>
      <c r="B445" s="1" t="n">
        <v>43497</v>
      </c>
      <c r="C445" s="1" t="n">
        <v>45345</v>
      </c>
      <c r="D445" t="inlineStr">
        <is>
          <t>VÄSTMANLANDS LÄN</t>
        </is>
      </c>
      <c r="E445" t="inlineStr">
        <is>
          <t>KUNGSÖR</t>
        </is>
      </c>
      <c r="G445" t="n">
        <v>2.6</v>
      </c>
      <c r="H445" t="n">
        <v>0</v>
      </c>
      <c r="I445" t="n">
        <v>0</v>
      </c>
      <c r="J445" t="n">
        <v>0</v>
      </c>
      <c r="K445" t="n">
        <v>0</v>
      </c>
      <c r="L445" t="n">
        <v>0</v>
      </c>
      <c r="M445" t="n">
        <v>0</v>
      </c>
      <c r="N445" t="n">
        <v>0</v>
      </c>
      <c r="O445" t="n">
        <v>0</v>
      </c>
      <c r="P445" t="n">
        <v>0</v>
      </c>
      <c r="Q445" t="n">
        <v>0</v>
      </c>
      <c r="R445" s="2" t="inlineStr"/>
    </row>
    <row r="446" ht="15" customHeight="1">
      <c r="A446" t="inlineStr">
        <is>
          <t>A 7866-2019</t>
        </is>
      </c>
      <c r="B446" s="1" t="n">
        <v>43500</v>
      </c>
      <c r="C446" s="1" t="n">
        <v>45345</v>
      </c>
      <c r="D446" t="inlineStr">
        <is>
          <t>VÄSTMANLANDS LÄN</t>
        </is>
      </c>
      <c r="E446" t="inlineStr">
        <is>
          <t>HALLSTAHAMMAR</t>
        </is>
      </c>
      <c r="G446" t="n">
        <v>6.9</v>
      </c>
      <c r="H446" t="n">
        <v>0</v>
      </c>
      <c r="I446" t="n">
        <v>0</v>
      </c>
      <c r="J446" t="n">
        <v>0</v>
      </c>
      <c r="K446" t="n">
        <v>0</v>
      </c>
      <c r="L446" t="n">
        <v>0</v>
      </c>
      <c r="M446" t="n">
        <v>0</v>
      </c>
      <c r="N446" t="n">
        <v>0</v>
      </c>
      <c r="O446" t="n">
        <v>0</v>
      </c>
      <c r="P446" t="n">
        <v>0</v>
      </c>
      <c r="Q446" t="n">
        <v>0</v>
      </c>
      <c r="R446" s="2" t="inlineStr"/>
    </row>
    <row r="447" ht="15" customHeight="1">
      <c r="A447" t="inlineStr">
        <is>
          <t>A 8042-2019</t>
        </is>
      </c>
      <c r="B447" s="1" t="n">
        <v>43501</v>
      </c>
      <c r="C447" s="1" t="n">
        <v>45345</v>
      </c>
      <c r="D447" t="inlineStr">
        <is>
          <t>VÄSTMANLANDS LÄN</t>
        </is>
      </c>
      <c r="E447" t="inlineStr">
        <is>
          <t>ARBOGA</t>
        </is>
      </c>
      <c r="G447" t="n">
        <v>1.8</v>
      </c>
      <c r="H447" t="n">
        <v>0</v>
      </c>
      <c r="I447" t="n">
        <v>0</v>
      </c>
      <c r="J447" t="n">
        <v>0</v>
      </c>
      <c r="K447" t="n">
        <v>0</v>
      </c>
      <c r="L447" t="n">
        <v>0</v>
      </c>
      <c r="M447" t="n">
        <v>0</v>
      </c>
      <c r="N447" t="n">
        <v>0</v>
      </c>
      <c r="O447" t="n">
        <v>0</v>
      </c>
      <c r="P447" t="n">
        <v>0</v>
      </c>
      <c r="Q447" t="n">
        <v>0</v>
      </c>
      <c r="R447" s="2" t="inlineStr"/>
    </row>
    <row r="448" ht="15" customHeight="1">
      <c r="A448" t="inlineStr">
        <is>
          <t>A 8071-2019</t>
        </is>
      </c>
      <c r="B448" s="1" t="n">
        <v>43501</v>
      </c>
      <c r="C448" s="1" t="n">
        <v>45345</v>
      </c>
      <c r="D448" t="inlineStr">
        <is>
          <t>VÄSTMANLANDS LÄN</t>
        </is>
      </c>
      <c r="E448" t="inlineStr">
        <is>
          <t>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8061-2019</t>
        </is>
      </c>
      <c r="B449" s="1" t="n">
        <v>43501</v>
      </c>
      <c r="C449" s="1" t="n">
        <v>45345</v>
      </c>
      <c r="D449" t="inlineStr">
        <is>
          <t>VÄSTMANLANDS LÄN</t>
        </is>
      </c>
      <c r="E449" t="inlineStr">
        <is>
          <t>ARBOGA</t>
        </is>
      </c>
      <c r="G449" t="n">
        <v>3.7</v>
      </c>
      <c r="H449" t="n">
        <v>0</v>
      </c>
      <c r="I449" t="n">
        <v>0</v>
      </c>
      <c r="J449" t="n">
        <v>0</v>
      </c>
      <c r="K449" t="n">
        <v>0</v>
      </c>
      <c r="L449" t="n">
        <v>0</v>
      </c>
      <c r="M449" t="n">
        <v>0</v>
      </c>
      <c r="N449" t="n">
        <v>0</v>
      </c>
      <c r="O449" t="n">
        <v>0</v>
      </c>
      <c r="P449" t="n">
        <v>0</v>
      </c>
      <c r="Q449" t="n">
        <v>0</v>
      </c>
      <c r="R449" s="2" t="inlineStr"/>
    </row>
    <row r="450" ht="15" customHeight="1">
      <c r="A450" t="inlineStr">
        <is>
          <t>A 8492-2019</t>
        </is>
      </c>
      <c r="B450" s="1" t="n">
        <v>43502</v>
      </c>
      <c r="C450" s="1" t="n">
        <v>45345</v>
      </c>
      <c r="D450" t="inlineStr">
        <is>
          <t>VÄSTMANLANDS LÄN</t>
        </is>
      </c>
      <c r="E450" t="inlineStr">
        <is>
          <t>SALA</t>
        </is>
      </c>
      <c r="F450" t="inlineStr">
        <is>
          <t>Kommuner</t>
        </is>
      </c>
      <c r="G450" t="n">
        <v>8</v>
      </c>
      <c r="H450" t="n">
        <v>0</v>
      </c>
      <c r="I450" t="n">
        <v>0</v>
      </c>
      <c r="J450" t="n">
        <v>0</v>
      </c>
      <c r="K450" t="n">
        <v>0</v>
      </c>
      <c r="L450" t="n">
        <v>0</v>
      </c>
      <c r="M450" t="n">
        <v>0</v>
      </c>
      <c r="N450" t="n">
        <v>0</v>
      </c>
      <c r="O450" t="n">
        <v>0</v>
      </c>
      <c r="P450" t="n">
        <v>0</v>
      </c>
      <c r="Q450" t="n">
        <v>0</v>
      </c>
      <c r="R450" s="2" t="inlineStr"/>
    </row>
    <row r="451" ht="15" customHeight="1">
      <c r="A451" t="inlineStr">
        <is>
          <t>A 8417-2019</t>
        </is>
      </c>
      <c r="B451" s="1" t="n">
        <v>43502</v>
      </c>
      <c r="C451" s="1" t="n">
        <v>45345</v>
      </c>
      <c r="D451" t="inlineStr">
        <is>
          <t>VÄSTMANLANDS LÄN</t>
        </is>
      </c>
      <c r="E451" t="inlineStr">
        <is>
          <t>VÄSTERÅS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8564-2019</t>
        </is>
      </c>
      <c r="B452" s="1" t="n">
        <v>43502</v>
      </c>
      <c r="C452" s="1" t="n">
        <v>45345</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8578-2019</t>
        </is>
      </c>
      <c r="B453" s="1" t="n">
        <v>43502</v>
      </c>
      <c r="C453" s="1" t="n">
        <v>45345</v>
      </c>
      <c r="D453" t="inlineStr">
        <is>
          <t>VÄSTMANLANDS LÄN</t>
        </is>
      </c>
      <c r="E453" t="inlineStr">
        <is>
          <t>VÄSTERÅS</t>
        </is>
      </c>
      <c r="F453" t="inlineStr">
        <is>
          <t>Övriga Aktiebolag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8575-2019</t>
        </is>
      </c>
      <c r="B454" s="1" t="n">
        <v>43502</v>
      </c>
      <c r="C454" s="1" t="n">
        <v>45345</v>
      </c>
      <c r="D454" t="inlineStr">
        <is>
          <t>VÄSTMANLANDS LÄN</t>
        </is>
      </c>
      <c r="E454" t="inlineStr">
        <is>
          <t>VÄSTERÅS</t>
        </is>
      </c>
      <c r="G454" t="n">
        <v>0.7</v>
      </c>
      <c r="H454" t="n">
        <v>0</v>
      </c>
      <c r="I454" t="n">
        <v>0</v>
      </c>
      <c r="J454" t="n">
        <v>0</v>
      </c>
      <c r="K454" t="n">
        <v>0</v>
      </c>
      <c r="L454" t="n">
        <v>0</v>
      </c>
      <c r="M454" t="n">
        <v>0</v>
      </c>
      <c r="N454" t="n">
        <v>0</v>
      </c>
      <c r="O454" t="n">
        <v>0</v>
      </c>
      <c r="P454" t="n">
        <v>0</v>
      </c>
      <c r="Q454" t="n">
        <v>0</v>
      </c>
      <c r="R454" s="2" t="inlineStr"/>
    </row>
    <row r="455" ht="15" customHeight="1">
      <c r="A455" t="inlineStr">
        <is>
          <t>A 8488-2019</t>
        </is>
      </c>
      <c r="B455" s="1" t="n">
        <v>43502</v>
      </c>
      <c r="C455" s="1" t="n">
        <v>45345</v>
      </c>
      <c r="D455" t="inlineStr">
        <is>
          <t>VÄSTMANLANDS LÄN</t>
        </is>
      </c>
      <c r="E455" t="inlineStr">
        <is>
          <t>SALA</t>
        </is>
      </c>
      <c r="F455" t="inlineStr">
        <is>
          <t>Kommuner</t>
        </is>
      </c>
      <c r="G455" t="n">
        <v>9</v>
      </c>
      <c r="H455" t="n">
        <v>0</v>
      </c>
      <c r="I455" t="n">
        <v>0</v>
      </c>
      <c r="J455" t="n">
        <v>0</v>
      </c>
      <c r="K455" t="n">
        <v>0</v>
      </c>
      <c r="L455" t="n">
        <v>0</v>
      </c>
      <c r="M455" t="n">
        <v>0</v>
      </c>
      <c r="N455" t="n">
        <v>0</v>
      </c>
      <c r="O455" t="n">
        <v>0</v>
      </c>
      <c r="P455" t="n">
        <v>0</v>
      </c>
      <c r="Q455" t="n">
        <v>0</v>
      </c>
      <c r="R455" s="2" t="inlineStr"/>
    </row>
    <row r="456" ht="15" customHeight="1">
      <c r="A456" t="inlineStr">
        <is>
          <t>A 8468-2019</t>
        </is>
      </c>
      <c r="B456" s="1" t="n">
        <v>43502</v>
      </c>
      <c r="C456" s="1" t="n">
        <v>45345</v>
      </c>
      <c r="D456" t="inlineStr">
        <is>
          <t>VÄSTMANLANDS LÄN</t>
        </is>
      </c>
      <c r="E456" t="inlineStr">
        <is>
          <t>SKINNSKATTEBERG</t>
        </is>
      </c>
      <c r="G456" t="n">
        <v>5</v>
      </c>
      <c r="H456" t="n">
        <v>0</v>
      </c>
      <c r="I456" t="n">
        <v>0</v>
      </c>
      <c r="J456" t="n">
        <v>0</v>
      </c>
      <c r="K456" t="n">
        <v>0</v>
      </c>
      <c r="L456" t="n">
        <v>0</v>
      </c>
      <c r="M456" t="n">
        <v>0</v>
      </c>
      <c r="N456" t="n">
        <v>0</v>
      </c>
      <c r="O456" t="n">
        <v>0</v>
      </c>
      <c r="P456" t="n">
        <v>0</v>
      </c>
      <c r="Q456" t="n">
        <v>0</v>
      </c>
      <c r="R456" s="2" t="inlineStr"/>
    </row>
    <row r="457" ht="15" customHeight="1">
      <c r="A457" t="inlineStr">
        <is>
          <t>A 8420-2019</t>
        </is>
      </c>
      <c r="B457" s="1" t="n">
        <v>43502</v>
      </c>
      <c r="C457" s="1" t="n">
        <v>45345</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8429-2019</t>
        </is>
      </c>
      <c r="B458" s="1" t="n">
        <v>43502</v>
      </c>
      <c r="C458" s="1" t="n">
        <v>45345</v>
      </c>
      <c r="D458" t="inlineStr">
        <is>
          <t>VÄSTMANLANDS LÄN</t>
        </is>
      </c>
      <c r="E458" t="inlineStr">
        <is>
          <t>SKINNSKATTEBERG</t>
        </is>
      </c>
      <c r="G458" t="n">
        <v>13.5</v>
      </c>
      <c r="H458" t="n">
        <v>0</v>
      </c>
      <c r="I458" t="n">
        <v>0</v>
      </c>
      <c r="J458" t="n">
        <v>0</v>
      </c>
      <c r="K458" t="n">
        <v>0</v>
      </c>
      <c r="L458" t="n">
        <v>0</v>
      </c>
      <c r="M458" t="n">
        <v>0</v>
      </c>
      <c r="N458" t="n">
        <v>0</v>
      </c>
      <c r="O458" t="n">
        <v>0</v>
      </c>
      <c r="P458" t="n">
        <v>0</v>
      </c>
      <c r="Q458" t="n">
        <v>0</v>
      </c>
      <c r="R458" s="2" t="inlineStr"/>
    </row>
    <row r="459" ht="15" customHeight="1">
      <c r="A459" t="inlineStr">
        <is>
          <t>A 8583-2019</t>
        </is>
      </c>
      <c r="B459" s="1" t="n">
        <v>43502</v>
      </c>
      <c r="C459" s="1" t="n">
        <v>45345</v>
      </c>
      <c r="D459" t="inlineStr">
        <is>
          <t>VÄSTMANLANDS LÄN</t>
        </is>
      </c>
      <c r="E459" t="inlineStr">
        <is>
          <t>VÄSTERÅS</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8471-2019</t>
        </is>
      </c>
      <c r="B460" s="1" t="n">
        <v>43502</v>
      </c>
      <c r="C460" s="1" t="n">
        <v>45345</v>
      </c>
      <c r="D460" t="inlineStr">
        <is>
          <t>VÄSTMANLANDS LÄN</t>
        </is>
      </c>
      <c r="E460" t="inlineStr">
        <is>
          <t>SKINNSKATTEBERG</t>
        </is>
      </c>
      <c r="G460" t="n">
        <v>5.1</v>
      </c>
      <c r="H460" t="n">
        <v>0</v>
      </c>
      <c r="I460" t="n">
        <v>0</v>
      </c>
      <c r="J460" t="n">
        <v>0</v>
      </c>
      <c r="K460" t="n">
        <v>0</v>
      </c>
      <c r="L460" t="n">
        <v>0</v>
      </c>
      <c r="M460" t="n">
        <v>0</v>
      </c>
      <c r="N460" t="n">
        <v>0</v>
      </c>
      <c r="O460" t="n">
        <v>0</v>
      </c>
      <c r="P460" t="n">
        <v>0</v>
      </c>
      <c r="Q460" t="n">
        <v>0</v>
      </c>
      <c r="R460" s="2" t="inlineStr"/>
    </row>
    <row r="461" ht="15" customHeight="1">
      <c r="A461" t="inlineStr">
        <is>
          <t>A 8865-2019</t>
        </is>
      </c>
      <c r="B461" s="1" t="n">
        <v>43503</v>
      </c>
      <c r="C461" s="1" t="n">
        <v>45345</v>
      </c>
      <c r="D461" t="inlineStr">
        <is>
          <t>VÄSTMANLANDS LÄN</t>
        </is>
      </c>
      <c r="E461" t="inlineStr">
        <is>
          <t>SALA</t>
        </is>
      </c>
      <c r="G461" t="n">
        <v>6.7</v>
      </c>
      <c r="H461" t="n">
        <v>0</v>
      </c>
      <c r="I461" t="n">
        <v>0</v>
      </c>
      <c r="J461" t="n">
        <v>0</v>
      </c>
      <c r="K461" t="n">
        <v>0</v>
      </c>
      <c r="L461" t="n">
        <v>0</v>
      </c>
      <c r="M461" t="n">
        <v>0</v>
      </c>
      <c r="N461" t="n">
        <v>0</v>
      </c>
      <c r="O461" t="n">
        <v>0</v>
      </c>
      <c r="P461" t="n">
        <v>0</v>
      </c>
      <c r="Q461" t="n">
        <v>0</v>
      </c>
      <c r="R461" s="2" t="inlineStr"/>
    </row>
    <row r="462" ht="15" customHeight="1">
      <c r="A462" t="inlineStr">
        <is>
          <t>A 8914-2019</t>
        </is>
      </c>
      <c r="B462" s="1" t="n">
        <v>43503</v>
      </c>
      <c r="C462" s="1" t="n">
        <v>45345</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8830-2019</t>
        </is>
      </c>
      <c r="B463" s="1" t="n">
        <v>43503</v>
      </c>
      <c r="C463" s="1" t="n">
        <v>45345</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9130-2019</t>
        </is>
      </c>
      <c r="B464" s="1" t="n">
        <v>43504</v>
      </c>
      <c r="C464" s="1" t="n">
        <v>45345</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9397-2019</t>
        </is>
      </c>
      <c r="B465" s="1" t="n">
        <v>43507</v>
      </c>
      <c r="C465" s="1" t="n">
        <v>45345</v>
      </c>
      <c r="D465" t="inlineStr">
        <is>
          <t>VÄSTMANLANDS LÄN</t>
        </is>
      </c>
      <c r="E465" t="inlineStr">
        <is>
          <t>SURAHAMMAR</t>
        </is>
      </c>
      <c r="G465" t="n">
        <v>1</v>
      </c>
      <c r="H465" t="n">
        <v>0</v>
      </c>
      <c r="I465" t="n">
        <v>0</v>
      </c>
      <c r="J465" t="n">
        <v>0</v>
      </c>
      <c r="K465" t="n">
        <v>0</v>
      </c>
      <c r="L465" t="n">
        <v>0</v>
      </c>
      <c r="M465" t="n">
        <v>0</v>
      </c>
      <c r="N465" t="n">
        <v>0</v>
      </c>
      <c r="O465" t="n">
        <v>0</v>
      </c>
      <c r="P465" t="n">
        <v>0</v>
      </c>
      <c r="Q465" t="n">
        <v>0</v>
      </c>
      <c r="R465" s="2" t="inlineStr"/>
    </row>
    <row r="466" ht="15" customHeight="1">
      <c r="A466" t="inlineStr">
        <is>
          <t>A 9310-2019</t>
        </is>
      </c>
      <c r="B466" s="1" t="n">
        <v>43507</v>
      </c>
      <c r="C466" s="1" t="n">
        <v>45345</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9515-2019</t>
        </is>
      </c>
      <c r="B467" s="1" t="n">
        <v>43507</v>
      </c>
      <c r="C467" s="1" t="n">
        <v>45345</v>
      </c>
      <c r="D467" t="inlineStr">
        <is>
          <t>VÄSTMANLANDS LÄN</t>
        </is>
      </c>
      <c r="E467" t="inlineStr">
        <is>
          <t>SALA</t>
        </is>
      </c>
      <c r="G467" t="n">
        <v>4.1</v>
      </c>
      <c r="H467" t="n">
        <v>0</v>
      </c>
      <c r="I467" t="n">
        <v>0</v>
      </c>
      <c r="J467" t="n">
        <v>0</v>
      </c>
      <c r="K467" t="n">
        <v>0</v>
      </c>
      <c r="L467" t="n">
        <v>0</v>
      </c>
      <c r="M467" t="n">
        <v>0</v>
      </c>
      <c r="N467" t="n">
        <v>0</v>
      </c>
      <c r="O467" t="n">
        <v>0</v>
      </c>
      <c r="P467" t="n">
        <v>0</v>
      </c>
      <c r="Q467" t="n">
        <v>0</v>
      </c>
      <c r="R467" s="2" t="inlineStr"/>
    </row>
    <row r="468" ht="15" customHeight="1">
      <c r="A468" t="inlineStr">
        <is>
          <t>A 9390-2019</t>
        </is>
      </c>
      <c r="B468" s="1" t="n">
        <v>43507</v>
      </c>
      <c r="C468" s="1" t="n">
        <v>45345</v>
      </c>
      <c r="D468" t="inlineStr">
        <is>
          <t>VÄSTMANLANDS LÄN</t>
        </is>
      </c>
      <c r="E468" t="inlineStr">
        <is>
          <t>KÖPING</t>
        </is>
      </c>
      <c r="G468" t="n">
        <v>11.1</v>
      </c>
      <c r="H468" t="n">
        <v>0</v>
      </c>
      <c r="I468" t="n">
        <v>0</v>
      </c>
      <c r="J468" t="n">
        <v>0</v>
      </c>
      <c r="K468" t="n">
        <v>0</v>
      </c>
      <c r="L468" t="n">
        <v>0</v>
      </c>
      <c r="M468" t="n">
        <v>0</v>
      </c>
      <c r="N468" t="n">
        <v>0</v>
      </c>
      <c r="O468" t="n">
        <v>0</v>
      </c>
      <c r="P468" t="n">
        <v>0</v>
      </c>
      <c r="Q468" t="n">
        <v>0</v>
      </c>
      <c r="R468" s="2" t="inlineStr"/>
    </row>
    <row r="469" ht="15" customHeight="1">
      <c r="A469" t="inlineStr">
        <is>
          <t>A 9503-2019</t>
        </is>
      </c>
      <c r="B469" s="1" t="n">
        <v>43507</v>
      </c>
      <c r="C469" s="1" t="n">
        <v>45345</v>
      </c>
      <c r="D469" t="inlineStr">
        <is>
          <t>VÄSTMANLANDS LÄN</t>
        </is>
      </c>
      <c r="E469" t="inlineStr">
        <is>
          <t>NORBERG</t>
        </is>
      </c>
      <c r="G469" t="n">
        <v>5.6</v>
      </c>
      <c r="H469" t="n">
        <v>0</v>
      </c>
      <c r="I469" t="n">
        <v>0</v>
      </c>
      <c r="J469" t="n">
        <v>0</v>
      </c>
      <c r="K469" t="n">
        <v>0</v>
      </c>
      <c r="L469" t="n">
        <v>0</v>
      </c>
      <c r="M469" t="n">
        <v>0</v>
      </c>
      <c r="N469" t="n">
        <v>0</v>
      </c>
      <c r="O469" t="n">
        <v>0</v>
      </c>
      <c r="P469" t="n">
        <v>0</v>
      </c>
      <c r="Q469" t="n">
        <v>0</v>
      </c>
      <c r="R469" s="2" t="inlineStr"/>
    </row>
    <row r="470" ht="15" customHeight="1">
      <c r="A470" t="inlineStr">
        <is>
          <t>A 9743-2019</t>
        </is>
      </c>
      <c r="B470" s="1" t="n">
        <v>43508</v>
      </c>
      <c r="C470" s="1" t="n">
        <v>45345</v>
      </c>
      <c r="D470" t="inlineStr">
        <is>
          <t>VÄSTMANLANDS LÄN</t>
        </is>
      </c>
      <c r="E470" t="inlineStr">
        <is>
          <t>NORBERG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9790-2019</t>
        </is>
      </c>
      <c r="B471" s="1" t="n">
        <v>43509</v>
      </c>
      <c r="C471" s="1" t="n">
        <v>45345</v>
      </c>
      <c r="D471" t="inlineStr">
        <is>
          <t>VÄSTMANLANDS LÄN</t>
        </is>
      </c>
      <c r="E471" t="inlineStr">
        <is>
          <t>SURAHAMMAR</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10137-2019</t>
        </is>
      </c>
      <c r="B472" s="1" t="n">
        <v>43510</v>
      </c>
      <c r="C472" s="1" t="n">
        <v>45345</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10115-2019</t>
        </is>
      </c>
      <c r="B473" s="1" t="n">
        <v>43510</v>
      </c>
      <c r="C473" s="1" t="n">
        <v>45345</v>
      </c>
      <c r="D473" t="inlineStr">
        <is>
          <t>VÄSTMANLANDS LÄN</t>
        </is>
      </c>
      <c r="E473" t="inlineStr">
        <is>
          <t>ARBOGA</t>
        </is>
      </c>
      <c r="G473" t="n">
        <v>3</v>
      </c>
      <c r="H473" t="n">
        <v>0</v>
      </c>
      <c r="I473" t="n">
        <v>0</v>
      </c>
      <c r="J473" t="n">
        <v>0</v>
      </c>
      <c r="K473" t="n">
        <v>0</v>
      </c>
      <c r="L473" t="n">
        <v>0</v>
      </c>
      <c r="M473" t="n">
        <v>0</v>
      </c>
      <c r="N473" t="n">
        <v>0</v>
      </c>
      <c r="O473" t="n">
        <v>0</v>
      </c>
      <c r="P473" t="n">
        <v>0</v>
      </c>
      <c r="Q473" t="n">
        <v>0</v>
      </c>
      <c r="R473" s="2" t="inlineStr"/>
    </row>
    <row r="474" ht="15" customHeight="1">
      <c r="A474" t="inlineStr">
        <is>
          <t>A 10144-2019</t>
        </is>
      </c>
      <c r="B474" s="1" t="n">
        <v>43510</v>
      </c>
      <c r="C474" s="1" t="n">
        <v>45345</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10127-2019</t>
        </is>
      </c>
      <c r="B475" s="1" t="n">
        <v>43510</v>
      </c>
      <c r="C475" s="1" t="n">
        <v>45345</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10155-2019</t>
        </is>
      </c>
      <c r="B476" s="1" t="n">
        <v>43510</v>
      </c>
      <c r="C476" s="1" t="n">
        <v>45345</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10479-2019</t>
        </is>
      </c>
      <c r="B477" s="1" t="n">
        <v>43511</v>
      </c>
      <c r="C477" s="1" t="n">
        <v>45345</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10273-2019</t>
        </is>
      </c>
      <c r="B478" s="1" t="n">
        <v>43511</v>
      </c>
      <c r="C478" s="1" t="n">
        <v>45345</v>
      </c>
      <c r="D478" t="inlineStr">
        <is>
          <t>VÄSTMANLANDS LÄN</t>
        </is>
      </c>
      <c r="E478" t="inlineStr">
        <is>
          <t>KUNGSÖR</t>
        </is>
      </c>
      <c r="G478" t="n">
        <v>2.7</v>
      </c>
      <c r="H478" t="n">
        <v>0</v>
      </c>
      <c r="I478" t="n">
        <v>0</v>
      </c>
      <c r="J478" t="n">
        <v>0</v>
      </c>
      <c r="K478" t="n">
        <v>0</v>
      </c>
      <c r="L478" t="n">
        <v>0</v>
      </c>
      <c r="M478" t="n">
        <v>0</v>
      </c>
      <c r="N478" t="n">
        <v>0</v>
      </c>
      <c r="O478" t="n">
        <v>0</v>
      </c>
      <c r="P478" t="n">
        <v>0</v>
      </c>
      <c r="Q478" t="n">
        <v>0</v>
      </c>
      <c r="R478" s="2" t="inlineStr"/>
    </row>
    <row r="479" ht="15" customHeight="1">
      <c r="A479" t="inlineStr">
        <is>
          <t>A 10876-2019</t>
        </is>
      </c>
      <c r="B479" s="1" t="n">
        <v>43514</v>
      </c>
      <c r="C479" s="1" t="n">
        <v>45345</v>
      </c>
      <c r="D479" t="inlineStr">
        <is>
          <t>VÄSTMANLANDS LÄN</t>
        </is>
      </c>
      <c r="E479" t="inlineStr">
        <is>
          <t>KÖPING</t>
        </is>
      </c>
      <c r="G479" t="n">
        <v>11.5</v>
      </c>
      <c r="H479" t="n">
        <v>0</v>
      </c>
      <c r="I479" t="n">
        <v>0</v>
      </c>
      <c r="J479" t="n">
        <v>0</v>
      </c>
      <c r="K479" t="n">
        <v>0</v>
      </c>
      <c r="L479" t="n">
        <v>0</v>
      </c>
      <c r="M479" t="n">
        <v>0</v>
      </c>
      <c r="N479" t="n">
        <v>0</v>
      </c>
      <c r="O479" t="n">
        <v>0</v>
      </c>
      <c r="P479" t="n">
        <v>0</v>
      </c>
      <c r="Q479" t="n">
        <v>0</v>
      </c>
      <c r="R479" s="2" t="inlineStr"/>
    </row>
    <row r="480" ht="15" customHeight="1">
      <c r="A480" t="inlineStr">
        <is>
          <t>A 10885-2019</t>
        </is>
      </c>
      <c r="B480" s="1" t="n">
        <v>43515</v>
      </c>
      <c r="C480" s="1" t="n">
        <v>45345</v>
      </c>
      <c r="D480" t="inlineStr">
        <is>
          <t>VÄSTMANLANDS LÄN</t>
        </is>
      </c>
      <c r="E480" t="inlineStr">
        <is>
          <t>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10867-2019</t>
        </is>
      </c>
      <c r="B481" s="1" t="n">
        <v>43515</v>
      </c>
      <c r="C481" s="1" t="n">
        <v>45345</v>
      </c>
      <c r="D481" t="inlineStr">
        <is>
          <t>VÄSTMANLANDS LÄN</t>
        </is>
      </c>
      <c r="E481" t="inlineStr">
        <is>
          <t>VÄSTERÅS</t>
        </is>
      </c>
      <c r="F481" t="inlineStr">
        <is>
          <t>Kyrkan</t>
        </is>
      </c>
      <c r="G481" t="n">
        <v>4.9</v>
      </c>
      <c r="H481" t="n">
        <v>0</v>
      </c>
      <c r="I481" t="n">
        <v>0</v>
      </c>
      <c r="J481" t="n">
        <v>0</v>
      </c>
      <c r="K481" t="n">
        <v>0</v>
      </c>
      <c r="L481" t="n">
        <v>0</v>
      </c>
      <c r="M481" t="n">
        <v>0</v>
      </c>
      <c r="N481" t="n">
        <v>0</v>
      </c>
      <c r="O481" t="n">
        <v>0</v>
      </c>
      <c r="P481" t="n">
        <v>0</v>
      </c>
      <c r="Q481" t="n">
        <v>0</v>
      </c>
      <c r="R481" s="2" t="inlineStr"/>
    </row>
    <row r="482" ht="15" customHeight="1">
      <c r="A482" t="inlineStr">
        <is>
          <t>A 11912-2019</t>
        </is>
      </c>
      <c r="B482" s="1" t="n">
        <v>43519</v>
      </c>
      <c r="C482" s="1" t="n">
        <v>45345</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12080-2019</t>
        </is>
      </c>
      <c r="B483" s="1" t="n">
        <v>43522</v>
      </c>
      <c r="C483" s="1" t="n">
        <v>45345</v>
      </c>
      <c r="D483" t="inlineStr">
        <is>
          <t>VÄSTMANLANDS LÄN</t>
        </is>
      </c>
      <c r="E483" t="inlineStr">
        <is>
          <t>KUNGSÖR</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12244-2019</t>
        </is>
      </c>
      <c r="B484" s="1" t="n">
        <v>43522</v>
      </c>
      <c r="C484" s="1" t="n">
        <v>45345</v>
      </c>
      <c r="D484" t="inlineStr">
        <is>
          <t>VÄSTMANLANDS LÄN</t>
        </is>
      </c>
      <c r="E484" t="inlineStr">
        <is>
          <t>FAGERSTA</t>
        </is>
      </c>
      <c r="G484" t="n">
        <v>1.2</v>
      </c>
      <c r="H484" t="n">
        <v>0</v>
      </c>
      <c r="I484" t="n">
        <v>0</v>
      </c>
      <c r="J484" t="n">
        <v>0</v>
      </c>
      <c r="K484" t="n">
        <v>0</v>
      </c>
      <c r="L484" t="n">
        <v>0</v>
      </c>
      <c r="M484" t="n">
        <v>0</v>
      </c>
      <c r="N484" t="n">
        <v>0</v>
      </c>
      <c r="O484" t="n">
        <v>0</v>
      </c>
      <c r="P484" t="n">
        <v>0</v>
      </c>
      <c r="Q484" t="n">
        <v>0</v>
      </c>
      <c r="R484" s="2" t="inlineStr"/>
    </row>
    <row r="485" ht="15" customHeight="1">
      <c r="A485" t="inlineStr">
        <is>
          <t>A 12383-2019</t>
        </is>
      </c>
      <c r="B485" s="1" t="n">
        <v>43523</v>
      </c>
      <c r="C485" s="1" t="n">
        <v>45345</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12933-2019</t>
        </is>
      </c>
      <c r="B486" s="1" t="n">
        <v>43525</v>
      </c>
      <c r="C486" s="1" t="n">
        <v>45345</v>
      </c>
      <c r="D486" t="inlineStr">
        <is>
          <t>VÄSTMANLANDS LÄN</t>
        </is>
      </c>
      <c r="E486" t="inlineStr">
        <is>
          <t>KUNGSÖR</t>
        </is>
      </c>
      <c r="G486" t="n">
        <v>1.4</v>
      </c>
      <c r="H486" t="n">
        <v>0</v>
      </c>
      <c r="I486" t="n">
        <v>0</v>
      </c>
      <c r="J486" t="n">
        <v>0</v>
      </c>
      <c r="K486" t="n">
        <v>0</v>
      </c>
      <c r="L486" t="n">
        <v>0</v>
      </c>
      <c r="M486" t="n">
        <v>0</v>
      </c>
      <c r="N486" t="n">
        <v>0</v>
      </c>
      <c r="O486" t="n">
        <v>0</v>
      </c>
      <c r="P486" t="n">
        <v>0</v>
      </c>
      <c r="Q486" t="n">
        <v>0</v>
      </c>
      <c r="R486" s="2" t="inlineStr"/>
    </row>
    <row r="487" ht="15" customHeight="1">
      <c r="A487" t="inlineStr">
        <is>
          <t>A 12892-2019</t>
        </is>
      </c>
      <c r="B487" s="1" t="n">
        <v>43525</v>
      </c>
      <c r="C487" s="1" t="n">
        <v>45345</v>
      </c>
      <c r="D487" t="inlineStr">
        <is>
          <t>VÄSTMANLANDS LÄN</t>
        </is>
      </c>
      <c r="E487" t="inlineStr">
        <is>
          <t>ARBOGA</t>
        </is>
      </c>
      <c r="G487" t="n">
        <v>4.2</v>
      </c>
      <c r="H487" t="n">
        <v>0</v>
      </c>
      <c r="I487" t="n">
        <v>0</v>
      </c>
      <c r="J487" t="n">
        <v>0</v>
      </c>
      <c r="K487" t="n">
        <v>0</v>
      </c>
      <c r="L487" t="n">
        <v>0</v>
      </c>
      <c r="M487" t="n">
        <v>0</v>
      </c>
      <c r="N487" t="n">
        <v>0</v>
      </c>
      <c r="O487" t="n">
        <v>0</v>
      </c>
      <c r="P487" t="n">
        <v>0</v>
      </c>
      <c r="Q487" t="n">
        <v>0</v>
      </c>
      <c r="R487" s="2" t="inlineStr"/>
    </row>
    <row r="488" ht="15" customHeight="1">
      <c r="A488" t="inlineStr">
        <is>
          <t>A 12823-2019</t>
        </is>
      </c>
      <c r="B488" s="1" t="n">
        <v>43525</v>
      </c>
      <c r="C488" s="1" t="n">
        <v>45345</v>
      </c>
      <c r="D488" t="inlineStr">
        <is>
          <t>VÄSTMANLANDS LÄN</t>
        </is>
      </c>
      <c r="E488" t="inlineStr">
        <is>
          <t>VÄSTERÅS</t>
        </is>
      </c>
      <c r="G488" t="n">
        <v>5.3</v>
      </c>
      <c r="H488" t="n">
        <v>0</v>
      </c>
      <c r="I488" t="n">
        <v>0</v>
      </c>
      <c r="J488" t="n">
        <v>0</v>
      </c>
      <c r="K488" t="n">
        <v>0</v>
      </c>
      <c r="L488" t="n">
        <v>0</v>
      </c>
      <c r="M488" t="n">
        <v>0</v>
      </c>
      <c r="N488" t="n">
        <v>0</v>
      </c>
      <c r="O488" t="n">
        <v>0</v>
      </c>
      <c r="P488" t="n">
        <v>0</v>
      </c>
      <c r="Q488" t="n">
        <v>0</v>
      </c>
      <c r="R488" s="2" t="inlineStr"/>
    </row>
    <row r="489" ht="15" customHeight="1">
      <c r="A489" t="inlineStr">
        <is>
          <t>A 12877-2019</t>
        </is>
      </c>
      <c r="B489" s="1" t="n">
        <v>43525</v>
      </c>
      <c r="C489" s="1" t="n">
        <v>45345</v>
      </c>
      <c r="D489" t="inlineStr">
        <is>
          <t>VÄSTMANLANDS LÄN</t>
        </is>
      </c>
      <c r="E489" t="inlineStr">
        <is>
          <t>VÄSTERÅS</t>
        </is>
      </c>
      <c r="G489" t="n">
        <v>4.2</v>
      </c>
      <c r="H489" t="n">
        <v>0</v>
      </c>
      <c r="I489" t="n">
        <v>0</v>
      </c>
      <c r="J489" t="n">
        <v>0</v>
      </c>
      <c r="K489" t="n">
        <v>0</v>
      </c>
      <c r="L489" t="n">
        <v>0</v>
      </c>
      <c r="M489" t="n">
        <v>0</v>
      </c>
      <c r="N489" t="n">
        <v>0</v>
      </c>
      <c r="O489" t="n">
        <v>0</v>
      </c>
      <c r="P489" t="n">
        <v>0</v>
      </c>
      <c r="Q489" t="n">
        <v>0</v>
      </c>
      <c r="R489" s="2" t="inlineStr"/>
    </row>
    <row r="490" ht="15" customHeight="1">
      <c r="A490" t="inlineStr">
        <is>
          <t>A 13081-2019</t>
        </is>
      </c>
      <c r="B490" s="1" t="n">
        <v>43527</v>
      </c>
      <c r="C490" s="1" t="n">
        <v>45345</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13078-2019</t>
        </is>
      </c>
      <c r="B491" s="1" t="n">
        <v>43528</v>
      </c>
      <c r="C491" s="1" t="n">
        <v>45345</v>
      </c>
      <c r="D491" t="inlineStr">
        <is>
          <t>VÄSTMANLANDS LÄN</t>
        </is>
      </c>
      <c r="E491" t="inlineStr">
        <is>
          <t>KUNGSÖR</t>
        </is>
      </c>
      <c r="G491" t="n">
        <v>4.4</v>
      </c>
      <c r="H491" t="n">
        <v>0</v>
      </c>
      <c r="I491" t="n">
        <v>0</v>
      </c>
      <c r="J491" t="n">
        <v>0</v>
      </c>
      <c r="K491" t="n">
        <v>0</v>
      </c>
      <c r="L491" t="n">
        <v>0</v>
      </c>
      <c r="M491" t="n">
        <v>0</v>
      </c>
      <c r="N491" t="n">
        <v>0</v>
      </c>
      <c r="O491" t="n">
        <v>0</v>
      </c>
      <c r="P491" t="n">
        <v>0</v>
      </c>
      <c r="Q491" t="n">
        <v>0</v>
      </c>
      <c r="R491" s="2" t="inlineStr"/>
    </row>
    <row r="492" ht="15" customHeight="1">
      <c r="A492" t="inlineStr">
        <is>
          <t>A 13357-2019</t>
        </is>
      </c>
      <c r="B492" s="1" t="n">
        <v>43529</v>
      </c>
      <c r="C492" s="1" t="n">
        <v>45345</v>
      </c>
      <c r="D492" t="inlineStr">
        <is>
          <t>VÄSTMANLANDS LÄN</t>
        </is>
      </c>
      <c r="E492" t="inlineStr">
        <is>
          <t>SKINNSKATTEBERG</t>
        </is>
      </c>
      <c r="G492" t="n">
        <v>0.9</v>
      </c>
      <c r="H492" t="n">
        <v>0</v>
      </c>
      <c r="I492" t="n">
        <v>0</v>
      </c>
      <c r="J492" t="n">
        <v>0</v>
      </c>
      <c r="K492" t="n">
        <v>0</v>
      </c>
      <c r="L492" t="n">
        <v>0</v>
      </c>
      <c r="M492" t="n">
        <v>0</v>
      </c>
      <c r="N492" t="n">
        <v>0</v>
      </c>
      <c r="O492" t="n">
        <v>0</v>
      </c>
      <c r="P492" t="n">
        <v>0</v>
      </c>
      <c r="Q492" t="n">
        <v>0</v>
      </c>
      <c r="R492" s="2" t="inlineStr"/>
    </row>
    <row r="493" ht="15" customHeight="1">
      <c r="A493" t="inlineStr">
        <is>
          <t>A 13359-2019</t>
        </is>
      </c>
      <c r="B493" s="1" t="n">
        <v>43529</v>
      </c>
      <c r="C493" s="1" t="n">
        <v>45345</v>
      </c>
      <c r="D493" t="inlineStr">
        <is>
          <t>VÄSTMANLANDS LÄN</t>
        </is>
      </c>
      <c r="E493" t="inlineStr">
        <is>
          <t>VÄSTERÅS</t>
        </is>
      </c>
      <c r="G493" t="n">
        <v>10.3</v>
      </c>
      <c r="H493" t="n">
        <v>0</v>
      </c>
      <c r="I493" t="n">
        <v>0</v>
      </c>
      <c r="J493" t="n">
        <v>0</v>
      </c>
      <c r="K493" t="n">
        <v>0</v>
      </c>
      <c r="L493" t="n">
        <v>0</v>
      </c>
      <c r="M493" t="n">
        <v>0</v>
      </c>
      <c r="N493" t="n">
        <v>0</v>
      </c>
      <c r="O493" t="n">
        <v>0</v>
      </c>
      <c r="P493" t="n">
        <v>0</v>
      </c>
      <c r="Q493" t="n">
        <v>0</v>
      </c>
      <c r="R493" s="2" t="inlineStr"/>
    </row>
    <row r="494" ht="15" customHeight="1">
      <c r="A494" t="inlineStr">
        <is>
          <t>A 13564-2019</t>
        </is>
      </c>
      <c r="B494" s="1" t="n">
        <v>43530</v>
      </c>
      <c r="C494" s="1" t="n">
        <v>45345</v>
      </c>
      <c r="D494" t="inlineStr">
        <is>
          <t>VÄSTMANLANDS LÄN</t>
        </is>
      </c>
      <c r="E494" t="inlineStr">
        <is>
          <t>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13887-2019</t>
        </is>
      </c>
      <c r="B495" s="1" t="n">
        <v>43531</v>
      </c>
      <c r="C495" s="1" t="n">
        <v>45345</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14052-2019</t>
        </is>
      </c>
      <c r="B496" s="1" t="n">
        <v>43532</v>
      </c>
      <c r="C496" s="1" t="n">
        <v>45345</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14314-2019</t>
        </is>
      </c>
      <c r="B497" s="1" t="n">
        <v>43535</v>
      </c>
      <c r="C497" s="1" t="n">
        <v>45345</v>
      </c>
      <c r="D497" t="inlineStr">
        <is>
          <t>VÄSTMANLANDS LÄN</t>
        </is>
      </c>
      <c r="E497" t="inlineStr">
        <is>
          <t>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14708-2019</t>
        </is>
      </c>
      <c r="B498" s="1" t="n">
        <v>43535</v>
      </c>
      <c r="C498" s="1" t="n">
        <v>45345</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14257-2019</t>
        </is>
      </c>
      <c r="B499" s="1" t="n">
        <v>43535</v>
      </c>
      <c r="C499" s="1" t="n">
        <v>45345</v>
      </c>
      <c r="D499" t="inlineStr">
        <is>
          <t>VÄSTMANLANDS LÄN</t>
        </is>
      </c>
      <c r="E499" t="inlineStr">
        <is>
          <t>VÄSTERÅS</t>
        </is>
      </c>
      <c r="G499" t="n">
        <v>1</v>
      </c>
      <c r="H499" t="n">
        <v>0</v>
      </c>
      <c r="I499" t="n">
        <v>0</v>
      </c>
      <c r="J499" t="n">
        <v>0</v>
      </c>
      <c r="K499" t="n">
        <v>0</v>
      </c>
      <c r="L499" t="n">
        <v>0</v>
      </c>
      <c r="M499" t="n">
        <v>0</v>
      </c>
      <c r="N499" t="n">
        <v>0</v>
      </c>
      <c r="O499" t="n">
        <v>0</v>
      </c>
      <c r="P499" t="n">
        <v>0</v>
      </c>
      <c r="Q499" t="n">
        <v>0</v>
      </c>
      <c r="R499" s="2" t="inlineStr"/>
    </row>
    <row r="500" ht="15" customHeight="1">
      <c r="A500" t="inlineStr">
        <is>
          <t>A 14313-2019</t>
        </is>
      </c>
      <c r="B500" s="1" t="n">
        <v>43535</v>
      </c>
      <c r="C500" s="1" t="n">
        <v>45345</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14318-2019</t>
        </is>
      </c>
      <c r="B501" s="1" t="n">
        <v>43535</v>
      </c>
      <c r="C501" s="1" t="n">
        <v>45345</v>
      </c>
      <c r="D501" t="inlineStr">
        <is>
          <t>VÄSTMANLANDS LÄN</t>
        </is>
      </c>
      <c r="E501" t="inlineStr">
        <is>
          <t>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14471-2019</t>
        </is>
      </c>
      <c r="B502" s="1" t="n">
        <v>43536</v>
      </c>
      <c r="C502" s="1" t="n">
        <v>45345</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14860-2019</t>
        </is>
      </c>
      <c r="B503" s="1" t="n">
        <v>43537</v>
      </c>
      <c r="C503" s="1" t="n">
        <v>45345</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14975-2019</t>
        </is>
      </c>
      <c r="B504" s="1" t="n">
        <v>43538</v>
      </c>
      <c r="C504" s="1" t="n">
        <v>45345</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15010-2019</t>
        </is>
      </c>
      <c r="B505" s="1" t="n">
        <v>43538</v>
      </c>
      <c r="C505" s="1" t="n">
        <v>45345</v>
      </c>
      <c r="D505" t="inlineStr">
        <is>
          <t>VÄSTMANLANDS LÄN</t>
        </is>
      </c>
      <c r="E505" t="inlineStr">
        <is>
          <t>KUNGSÖR</t>
        </is>
      </c>
      <c r="G505" t="n">
        <v>0.5</v>
      </c>
      <c r="H505" t="n">
        <v>0</v>
      </c>
      <c r="I505" t="n">
        <v>0</v>
      </c>
      <c r="J505" t="n">
        <v>0</v>
      </c>
      <c r="K505" t="n">
        <v>0</v>
      </c>
      <c r="L505" t="n">
        <v>0</v>
      </c>
      <c r="M505" t="n">
        <v>0</v>
      </c>
      <c r="N505" t="n">
        <v>0</v>
      </c>
      <c r="O505" t="n">
        <v>0</v>
      </c>
      <c r="P505" t="n">
        <v>0</v>
      </c>
      <c r="Q505" t="n">
        <v>0</v>
      </c>
      <c r="R505" s="2" t="inlineStr"/>
    </row>
    <row r="506" ht="15" customHeight="1">
      <c r="A506" t="inlineStr">
        <is>
          <t>A 15340-2019</t>
        </is>
      </c>
      <c r="B506" s="1" t="n">
        <v>43542</v>
      </c>
      <c r="C506" s="1" t="n">
        <v>45345</v>
      </c>
      <c r="D506" t="inlineStr">
        <is>
          <t>VÄSTMANLANDS LÄN</t>
        </is>
      </c>
      <c r="E506" t="inlineStr">
        <is>
          <t>KUNGSÖR</t>
        </is>
      </c>
      <c r="G506" t="n">
        <v>2.9</v>
      </c>
      <c r="H506" t="n">
        <v>0</v>
      </c>
      <c r="I506" t="n">
        <v>0</v>
      </c>
      <c r="J506" t="n">
        <v>0</v>
      </c>
      <c r="K506" t="n">
        <v>0</v>
      </c>
      <c r="L506" t="n">
        <v>0</v>
      </c>
      <c r="M506" t="n">
        <v>0</v>
      </c>
      <c r="N506" t="n">
        <v>0</v>
      </c>
      <c r="O506" t="n">
        <v>0</v>
      </c>
      <c r="P506" t="n">
        <v>0</v>
      </c>
      <c r="Q506" t="n">
        <v>0</v>
      </c>
      <c r="R506" s="2" t="inlineStr"/>
    </row>
    <row r="507" ht="15" customHeight="1">
      <c r="A507" t="inlineStr">
        <is>
          <t>A 15544-2019</t>
        </is>
      </c>
      <c r="B507" s="1" t="n">
        <v>43542</v>
      </c>
      <c r="C507" s="1" t="n">
        <v>45345</v>
      </c>
      <c r="D507" t="inlineStr">
        <is>
          <t>VÄSTMANLANDS LÄN</t>
        </is>
      </c>
      <c r="E507" t="inlineStr">
        <is>
          <t>ARBOGA</t>
        </is>
      </c>
      <c r="G507" t="n">
        <v>4.6</v>
      </c>
      <c r="H507" t="n">
        <v>0</v>
      </c>
      <c r="I507" t="n">
        <v>0</v>
      </c>
      <c r="J507" t="n">
        <v>0</v>
      </c>
      <c r="K507" t="n">
        <v>0</v>
      </c>
      <c r="L507" t="n">
        <v>0</v>
      </c>
      <c r="M507" t="n">
        <v>0</v>
      </c>
      <c r="N507" t="n">
        <v>0</v>
      </c>
      <c r="O507" t="n">
        <v>0</v>
      </c>
      <c r="P507" t="n">
        <v>0</v>
      </c>
      <c r="Q507" t="n">
        <v>0</v>
      </c>
      <c r="R507" s="2" t="inlineStr"/>
    </row>
    <row r="508" ht="15" customHeight="1">
      <c r="A508" t="inlineStr">
        <is>
          <t>A 15689-2019</t>
        </is>
      </c>
      <c r="B508" s="1" t="n">
        <v>43542</v>
      </c>
      <c r="C508" s="1" t="n">
        <v>45345</v>
      </c>
      <c r="D508" t="inlineStr">
        <is>
          <t>VÄSTMANLANDS LÄN</t>
        </is>
      </c>
      <c r="E508" t="inlineStr">
        <is>
          <t>ARBOGA</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15545-2019</t>
        </is>
      </c>
      <c r="B509" s="1" t="n">
        <v>43542</v>
      </c>
      <c r="C509" s="1" t="n">
        <v>45345</v>
      </c>
      <c r="D509" t="inlineStr">
        <is>
          <t>VÄSTMANLANDS LÄN</t>
        </is>
      </c>
      <c r="E509" t="inlineStr">
        <is>
          <t>ARBOGA</t>
        </is>
      </c>
      <c r="G509" t="n">
        <v>1.4</v>
      </c>
      <c r="H509" t="n">
        <v>0</v>
      </c>
      <c r="I509" t="n">
        <v>0</v>
      </c>
      <c r="J509" t="n">
        <v>0</v>
      </c>
      <c r="K509" t="n">
        <v>0</v>
      </c>
      <c r="L509" t="n">
        <v>0</v>
      </c>
      <c r="M509" t="n">
        <v>0</v>
      </c>
      <c r="N509" t="n">
        <v>0</v>
      </c>
      <c r="O509" t="n">
        <v>0</v>
      </c>
      <c r="P509" t="n">
        <v>0</v>
      </c>
      <c r="Q509" t="n">
        <v>0</v>
      </c>
      <c r="R509" s="2" t="inlineStr"/>
    </row>
    <row r="510" ht="15" customHeight="1">
      <c r="A510" t="inlineStr">
        <is>
          <t>A 15679-2019</t>
        </is>
      </c>
      <c r="B510" s="1" t="n">
        <v>43542</v>
      </c>
      <c r="C510" s="1" t="n">
        <v>45345</v>
      </c>
      <c r="D510" t="inlineStr">
        <is>
          <t>VÄSTMANLANDS LÄN</t>
        </is>
      </c>
      <c r="E510" t="inlineStr">
        <is>
          <t>ARBOGA</t>
        </is>
      </c>
      <c r="F510" t="inlineStr">
        <is>
          <t>Kommuner</t>
        </is>
      </c>
      <c r="G510" t="n">
        <v>7.9</v>
      </c>
      <c r="H510" t="n">
        <v>0</v>
      </c>
      <c r="I510" t="n">
        <v>0</v>
      </c>
      <c r="J510" t="n">
        <v>0</v>
      </c>
      <c r="K510" t="n">
        <v>0</v>
      </c>
      <c r="L510" t="n">
        <v>0</v>
      </c>
      <c r="M510" t="n">
        <v>0</v>
      </c>
      <c r="N510" t="n">
        <v>0</v>
      </c>
      <c r="O510" t="n">
        <v>0</v>
      </c>
      <c r="P510" t="n">
        <v>0</v>
      </c>
      <c r="Q510" t="n">
        <v>0</v>
      </c>
      <c r="R510" s="2" t="inlineStr"/>
    </row>
    <row r="511" ht="15" customHeight="1">
      <c r="A511" t="inlineStr">
        <is>
          <t>A 15694-2019</t>
        </is>
      </c>
      <c r="B511" s="1" t="n">
        <v>43543</v>
      </c>
      <c r="C511" s="1" t="n">
        <v>45345</v>
      </c>
      <c r="D511" t="inlineStr">
        <is>
          <t>VÄSTMANLANDS LÄN</t>
        </is>
      </c>
      <c r="E511" t="inlineStr">
        <is>
          <t>SALA</t>
        </is>
      </c>
      <c r="G511" t="n">
        <v>5.3</v>
      </c>
      <c r="H511" t="n">
        <v>0</v>
      </c>
      <c r="I511" t="n">
        <v>0</v>
      </c>
      <c r="J511" t="n">
        <v>0</v>
      </c>
      <c r="K511" t="n">
        <v>0</v>
      </c>
      <c r="L511" t="n">
        <v>0</v>
      </c>
      <c r="M511" t="n">
        <v>0</v>
      </c>
      <c r="N511" t="n">
        <v>0</v>
      </c>
      <c r="O511" t="n">
        <v>0</v>
      </c>
      <c r="P511" t="n">
        <v>0</v>
      </c>
      <c r="Q511" t="n">
        <v>0</v>
      </c>
      <c r="R511" s="2" t="inlineStr"/>
    </row>
    <row r="512" ht="15" customHeight="1">
      <c r="A512" t="inlineStr">
        <is>
          <t>A 15840-2019</t>
        </is>
      </c>
      <c r="B512" s="1" t="n">
        <v>43543</v>
      </c>
      <c r="C512" s="1" t="n">
        <v>45345</v>
      </c>
      <c r="D512" t="inlineStr">
        <is>
          <t>VÄSTMANLANDS LÄN</t>
        </is>
      </c>
      <c r="E512" t="inlineStr">
        <is>
          <t>SALA</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15781-2019</t>
        </is>
      </c>
      <c r="B513" s="1" t="n">
        <v>43543</v>
      </c>
      <c r="C513" s="1" t="n">
        <v>45345</v>
      </c>
      <c r="D513" t="inlineStr">
        <is>
          <t>VÄSTMANLANDS LÄN</t>
        </is>
      </c>
      <c r="E513" t="inlineStr">
        <is>
          <t>VÄSTERÅS</t>
        </is>
      </c>
      <c r="G513" t="n">
        <v>10.8</v>
      </c>
      <c r="H513" t="n">
        <v>0</v>
      </c>
      <c r="I513" t="n">
        <v>0</v>
      </c>
      <c r="J513" t="n">
        <v>0</v>
      </c>
      <c r="K513" t="n">
        <v>0</v>
      </c>
      <c r="L513" t="n">
        <v>0</v>
      </c>
      <c r="M513" t="n">
        <v>0</v>
      </c>
      <c r="N513" t="n">
        <v>0</v>
      </c>
      <c r="O513" t="n">
        <v>0</v>
      </c>
      <c r="P513" t="n">
        <v>0</v>
      </c>
      <c r="Q513" t="n">
        <v>0</v>
      </c>
      <c r="R513" s="2" t="inlineStr"/>
    </row>
    <row r="514" ht="15" customHeight="1">
      <c r="A514" t="inlineStr">
        <is>
          <t>A 16159-2019</t>
        </is>
      </c>
      <c r="B514" s="1" t="n">
        <v>43545</v>
      </c>
      <c r="C514" s="1" t="n">
        <v>45345</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16587-2019</t>
        </is>
      </c>
      <c r="B515" s="1" t="n">
        <v>43548</v>
      </c>
      <c r="C515" s="1" t="n">
        <v>45345</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16932-2019</t>
        </is>
      </c>
      <c r="B516" s="1" t="n">
        <v>43549</v>
      </c>
      <c r="C516" s="1" t="n">
        <v>45345</v>
      </c>
      <c r="D516" t="inlineStr">
        <is>
          <t>VÄSTMANLANDS LÄN</t>
        </is>
      </c>
      <c r="E516" t="inlineStr">
        <is>
          <t>NORBERG</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16620-2019</t>
        </is>
      </c>
      <c r="B517" s="1" t="n">
        <v>43549</v>
      </c>
      <c r="C517" s="1" t="n">
        <v>45345</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16903-2019</t>
        </is>
      </c>
      <c r="B518" s="1" t="n">
        <v>43550</v>
      </c>
      <c r="C518" s="1" t="n">
        <v>45345</v>
      </c>
      <c r="D518" t="inlineStr">
        <is>
          <t>VÄSTMANLANDS LÄN</t>
        </is>
      </c>
      <c r="E518" t="inlineStr">
        <is>
          <t>VÄSTERÅS</t>
        </is>
      </c>
      <c r="G518" t="n">
        <v>1.1</v>
      </c>
      <c r="H518" t="n">
        <v>0</v>
      </c>
      <c r="I518" t="n">
        <v>0</v>
      </c>
      <c r="J518" t="n">
        <v>0</v>
      </c>
      <c r="K518" t="n">
        <v>0</v>
      </c>
      <c r="L518" t="n">
        <v>0</v>
      </c>
      <c r="M518" t="n">
        <v>0</v>
      </c>
      <c r="N518" t="n">
        <v>0</v>
      </c>
      <c r="O518" t="n">
        <v>0</v>
      </c>
      <c r="P518" t="n">
        <v>0</v>
      </c>
      <c r="Q518" t="n">
        <v>0</v>
      </c>
      <c r="R518" s="2" t="inlineStr"/>
    </row>
    <row r="519" ht="15" customHeight="1">
      <c r="A519" t="inlineStr">
        <is>
          <t>A 17212-2019</t>
        </is>
      </c>
      <c r="B519" s="1" t="n">
        <v>43551</v>
      </c>
      <c r="C519" s="1" t="n">
        <v>45345</v>
      </c>
      <c r="D519" t="inlineStr">
        <is>
          <t>VÄSTMANLANDS LÄN</t>
        </is>
      </c>
      <c r="E519" t="inlineStr">
        <is>
          <t>ARBOGA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17221-2019</t>
        </is>
      </c>
      <c r="B520" s="1" t="n">
        <v>43551</v>
      </c>
      <c r="C520" s="1" t="n">
        <v>45345</v>
      </c>
      <c r="D520" t="inlineStr">
        <is>
          <t>VÄSTMANLANDS LÄN</t>
        </is>
      </c>
      <c r="E520" t="inlineStr">
        <is>
          <t>ARBOGA</t>
        </is>
      </c>
      <c r="F520" t="inlineStr">
        <is>
          <t>Kommuner</t>
        </is>
      </c>
      <c r="G520" t="n">
        <v>7.7</v>
      </c>
      <c r="H520" t="n">
        <v>0</v>
      </c>
      <c r="I520" t="n">
        <v>0</v>
      </c>
      <c r="J520" t="n">
        <v>0</v>
      </c>
      <c r="K520" t="n">
        <v>0</v>
      </c>
      <c r="L520" t="n">
        <v>0</v>
      </c>
      <c r="M520" t="n">
        <v>0</v>
      </c>
      <c r="N520" t="n">
        <v>0</v>
      </c>
      <c r="O520" t="n">
        <v>0</v>
      </c>
      <c r="P520" t="n">
        <v>0</v>
      </c>
      <c r="Q520" t="n">
        <v>0</v>
      </c>
      <c r="R520" s="2" t="inlineStr"/>
    </row>
    <row r="521" ht="15" customHeight="1">
      <c r="A521" t="inlineStr">
        <is>
          <t>A 17401-2019</t>
        </is>
      </c>
      <c r="B521" s="1" t="n">
        <v>43552</v>
      </c>
      <c r="C521" s="1" t="n">
        <v>45345</v>
      </c>
      <c r="D521" t="inlineStr">
        <is>
          <t>VÄSTMANLANDS LÄN</t>
        </is>
      </c>
      <c r="E521" t="inlineStr">
        <is>
          <t>KUNGSÖR</t>
        </is>
      </c>
      <c r="G521" t="n">
        <v>0.8</v>
      </c>
      <c r="H521" t="n">
        <v>0</v>
      </c>
      <c r="I521" t="n">
        <v>0</v>
      </c>
      <c r="J521" t="n">
        <v>0</v>
      </c>
      <c r="K521" t="n">
        <v>0</v>
      </c>
      <c r="L521" t="n">
        <v>0</v>
      </c>
      <c r="M521" t="n">
        <v>0</v>
      </c>
      <c r="N521" t="n">
        <v>0</v>
      </c>
      <c r="O521" t="n">
        <v>0</v>
      </c>
      <c r="P521" t="n">
        <v>0</v>
      </c>
      <c r="Q521" t="n">
        <v>0</v>
      </c>
      <c r="R521" s="2" t="inlineStr"/>
    </row>
    <row r="522" ht="15" customHeight="1">
      <c r="A522" t="inlineStr">
        <is>
          <t>A 17509-2019</t>
        </is>
      </c>
      <c r="B522" s="1" t="n">
        <v>43553</v>
      </c>
      <c r="C522" s="1" t="n">
        <v>45345</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17482-2019</t>
        </is>
      </c>
      <c r="B523" s="1" t="n">
        <v>43553</v>
      </c>
      <c r="C523" s="1" t="n">
        <v>45345</v>
      </c>
      <c r="D523" t="inlineStr">
        <is>
          <t>VÄSTMANLANDS LÄN</t>
        </is>
      </c>
      <c r="E523" t="inlineStr">
        <is>
          <t>NORBERG</t>
        </is>
      </c>
      <c r="G523" t="n">
        <v>0.4</v>
      </c>
      <c r="H523" t="n">
        <v>0</v>
      </c>
      <c r="I523" t="n">
        <v>0</v>
      </c>
      <c r="J523" t="n">
        <v>0</v>
      </c>
      <c r="K523" t="n">
        <v>0</v>
      </c>
      <c r="L523" t="n">
        <v>0</v>
      </c>
      <c r="M523" t="n">
        <v>0</v>
      </c>
      <c r="N523" t="n">
        <v>0</v>
      </c>
      <c r="O523" t="n">
        <v>0</v>
      </c>
      <c r="P523" t="n">
        <v>0</v>
      </c>
      <c r="Q523" t="n">
        <v>0</v>
      </c>
      <c r="R523" s="2" t="inlineStr"/>
    </row>
    <row r="524" ht="15" customHeight="1">
      <c r="A524" t="inlineStr">
        <is>
          <t>A 17518-2019</t>
        </is>
      </c>
      <c r="B524" s="1" t="n">
        <v>43553</v>
      </c>
      <c r="C524" s="1" t="n">
        <v>45345</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17568-2019</t>
        </is>
      </c>
      <c r="B525" s="1" t="n">
        <v>43553</v>
      </c>
      <c r="C525" s="1" t="n">
        <v>45345</v>
      </c>
      <c r="D525" t="inlineStr">
        <is>
          <t>VÄSTMANLANDS LÄN</t>
        </is>
      </c>
      <c r="E525" t="inlineStr">
        <is>
          <t>NORBERG</t>
        </is>
      </c>
      <c r="G525" t="n">
        <v>11.3</v>
      </c>
      <c r="H525" t="n">
        <v>0</v>
      </c>
      <c r="I525" t="n">
        <v>0</v>
      </c>
      <c r="J525" t="n">
        <v>0</v>
      </c>
      <c r="K525" t="n">
        <v>0</v>
      </c>
      <c r="L525" t="n">
        <v>0</v>
      </c>
      <c r="M525" t="n">
        <v>0</v>
      </c>
      <c r="N525" t="n">
        <v>0</v>
      </c>
      <c r="O525" t="n">
        <v>0</v>
      </c>
      <c r="P525" t="n">
        <v>0</v>
      </c>
      <c r="Q525" t="n">
        <v>0</v>
      </c>
      <c r="R525" s="2" t="inlineStr"/>
    </row>
    <row r="526" ht="15" customHeight="1">
      <c r="A526" t="inlineStr">
        <is>
          <t>A 17486-2019</t>
        </is>
      </c>
      <c r="B526" s="1" t="n">
        <v>43553</v>
      </c>
      <c r="C526" s="1" t="n">
        <v>45345</v>
      </c>
      <c r="D526" t="inlineStr">
        <is>
          <t>VÄSTMANLANDS LÄN</t>
        </is>
      </c>
      <c r="E526" t="inlineStr">
        <is>
          <t>NORBERG</t>
        </is>
      </c>
      <c r="G526" t="n">
        <v>2.5</v>
      </c>
      <c r="H526" t="n">
        <v>0</v>
      </c>
      <c r="I526" t="n">
        <v>0</v>
      </c>
      <c r="J526" t="n">
        <v>0</v>
      </c>
      <c r="K526" t="n">
        <v>0</v>
      </c>
      <c r="L526" t="n">
        <v>0</v>
      </c>
      <c r="M526" t="n">
        <v>0</v>
      </c>
      <c r="N526" t="n">
        <v>0</v>
      </c>
      <c r="O526" t="n">
        <v>0</v>
      </c>
      <c r="P526" t="n">
        <v>0</v>
      </c>
      <c r="Q526" t="n">
        <v>0</v>
      </c>
      <c r="R526" s="2" t="inlineStr"/>
    </row>
    <row r="527" ht="15" customHeight="1">
      <c r="A527" t="inlineStr">
        <is>
          <t>A 17521-2019</t>
        </is>
      </c>
      <c r="B527" s="1" t="n">
        <v>43553</v>
      </c>
      <c r="C527" s="1" t="n">
        <v>45345</v>
      </c>
      <c r="D527" t="inlineStr">
        <is>
          <t>VÄSTMANLANDS LÄN</t>
        </is>
      </c>
      <c r="E527" t="inlineStr">
        <is>
          <t>HALLSTAHAMMAR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17491-2019</t>
        </is>
      </c>
      <c r="B528" s="1" t="n">
        <v>43553</v>
      </c>
      <c r="C528" s="1" t="n">
        <v>45345</v>
      </c>
      <c r="D528" t="inlineStr">
        <is>
          <t>VÄSTMANLANDS LÄN</t>
        </is>
      </c>
      <c r="E528" t="inlineStr">
        <is>
          <t>NORBERG</t>
        </is>
      </c>
      <c r="G528" t="n">
        <v>5.9</v>
      </c>
      <c r="H528" t="n">
        <v>0</v>
      </c>
      <c r="I528" t="n">
        <v>0</v>
      </c>
      <c r="J528" t="n">
        <v>0</v>
      </c>
      <c r="K528" t="n">
        <v>0</v>
      </c>
      <c r="L528" t="n">
        <v>0</v>
      </c>
      <c r="M528" t="n">
        <v>0</v>
      </c>
      <c r="N528" t="n">
        <v>0</v>
      </c>
      <c r="O528" t="n">
        <v>0</v>
      </c>
      <c r="P528" t="n">
        <v>0</v>
      </c>
      <c r="Q528" t="n">
        <v>0</v>
      </c>
      <c r="R528" s="2" t="inlineStr"/>
    </row>
    <row r="529" ht="15" customHeight="1">
      <c r="A529" t="inlineStr">
        <is>
          <t>A 17575-2019</t>
        </is>
      </c>
      <c r="B529" s="1" t="n">
        <v>43553</v>
      </c>
      <c r="C529" s="1" t="n">
        <v>45345</v>
      </c>
      <c r="D529" t="inlineStr">
        <is>
          <t>VÄSTMANLANDS LÄN</t>
        </is>
      </c>
      <c r="E529" t="inlineStr">
        <is>
          <t>FAGERSTA</t>
        </is>
      </c>
      <c r="G529" t="n">
        <v>9.9</v>
      </c>
      <c r="H529" t="n">
        <v>0</v>
      </c>
      <c r="I529" t="n">
        <v>0</v>
      </c>
      <c r="J529" t="n">
        <v>0</v>
      </c>
      <c r="K529" t="n">
        <v>0</v>
      </c>
      <c r="L529" t="n">
        <v>0</v>
      </c>
      <c r="M529" t="n">
        <v>0</v>
      </c>
      <c r="N529" t="n">
        <v>0</v>
      </c>
      <c r="O529" t="n">
        <v>0</v>
      </c>
      <c r="P529" t="n">
        <v>0</v>
      </c>
      <c r="Q529" t="n">
        <v>0</v>
      </c>
      <c r="R529" s="2" t="inlineStr"/>
    </row>
    <row r="530" ht="15" customHeight="1">
      <c r="A530" t="inlineStr">
        <is>
          <t>A 17490-2019</t>
        </is>
      </c>
      <c r="B530" s="1" t="n">
        <v>43553</v>
      </c>
      <c r="C530" s="1" t="n">
        <v>45345</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17569-2019</t>
        </is>
      </c>
      <c r="B531" s="1" t="n">
        <v>43553</v>
      </c>
      <c r="C531" s="1" t="n">
        <v>45345</v>
      </c>
      <c r="D531" t="inlineStr">
        <is>
          <t>VÄSTMANLANDS LÄN</t>
        </is>
      </c>
      <c r="E531" t="inlineStr">
        <is>
          <t>NORBERG</t>
        </is>
      </c>
      <c r="G531" t="n">
        <v>2.1</v>
      </c>
      <c r="H531" t="n">
        <v>0</v>
      </c>
      <c r="I531" t="n">
        <v>0</v>
      </c>
      <c r="J531" t="n">
        <v>0</v>
      </c>
      <c r="K531" t="n">
        <v>0</v>
      </c>
      <c r="L531" t="n">
        <v>0</v>
      </c>
      <c r="M531" t="n">
        <v>0</v>
      </c>
      <c r="N531" t="n">
        <v>0</v>
      </c>
      <c r="O531" t="n">
        <v>0</v>
      </c>
      <c r="P531" t="n">
        <v>0</v>
      </c>
      <c r="Q531" t="n">
        <v>0</v>
      </c>
      <c r="R531" s="2" t="inlineStr"/>
    </row>
    <row r="532" ht="15" customHeight="1">
      <c r="A532" t="inlineStr">
        <is>
          <t>A 17915-2019</t>
        </is>
      </c>
      <c r="B532" s="1" t="n">
        <v>43557</v>
      </c>
      <c r="C532" s="1" t="n">
        <v>45345</v>
      </c>
      <c r="D532" t="inlineStr">
        <is>
          <t>VÄSTMANLANDS LÄN</t>
        </is>
      </c>
      <c r="E532" t="inlineStr">
        <is>
          <t>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17946-2019</t>
        </is>
      </c>
      <c r="B533" s="1" t="n">
        <v>43557</v>
      </c>
      <c r="C533" s="1" t="n">
        <v>45345</v>
      </c>
      <c r="D533" t="inlineStr">
        <is>
          <t>VÄSTMANLANDS LÄN</t>
        </is>
      </c>
      <c r="E533" t="inlineStr">
        <is>
          <t>SURAHAMMAR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18255-2019</t>
        </is>
      </c>
      <c r="B534" s="1" t="n">
        <v>43558</v>
      </c>
      <c r="C534" s="1" t="n">
        <v>45345</v>
      </c>
      <c r="D534" t="inlineStr">
        <is>
          <t>VÄSTMANLANDS LÄN</t>
        </is>
      </c>
      <c r="E534" t="inlineStr">
        <is>
          <t>SALA</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18352-2019</t>
        </is>
      </c>
      <c r="B535" s="1" t="n">
        <v>43559</v>
      </c>
      <c r="C535" s="1" t="n">
        <v>45345</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18469-2019</t>
        </is>
      </c>
      <c r="B536" s="1" t="n">
        <v>43559</v>
      </c>
      <c r="C536" s="1" t="n">
        <v>45345</v>
      </c>
      <c r="D536" t="inlineStr">
        <is>
          <t>VÄSTMANLANDS LÄN</t>
        </is>
      </c>
      <c r="E536" t="inlineStr">
        <is>
          <t>HALLSTAHAMMAR</t>
        </is>
      </c>
      <c r="F536" t="inlineStr">
        <is>
          <t>Kyrkan</t>
        </is>
      </c>
      <c r="G536" t="n">
        <v>6.8</v>
      </c>
      <c r="H536" t="n">
        <v>0</v>
      </c>
      <c r="I536" t="n">
        <v>0</v>
      </c>
      <c r="J536" t="n">
        <v>0</v>
      </c>
      <c r="K536" t="n">
        <v>0</v>
      </c>
      <c r="L536" t="n">
        <v>0</v>
      </c>
      <c r="M536" t="n">
        <v>0</v>
      </c>
      <c r="N536" t="n">
        <v>0</v>
      </c>
      <c r="O536" t="n">
        <v>0</v>
      </c>
      <c r="P536" t="n">
        <v>0</v>
      </c>
      <c r="Q536" t="n">
        <v>0</v>
      </c>
      <c r="R536" s="2" t="inlineStr"/>
    </row>
    <row r="537" ht="15" customHeight="1">
      <c r="A537" t="inlineStr">
        <is>
          <t>A 18641-2019</t>
        </is>
      </c>
      <c r="B537" s="1" t="n">
        <v>43560</v>
      </c>
      <c r="C537" s="1" t="n">
        <v>45345</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18765-2019</t>
        </is>
      </c>
      <c r="B538" s="1" t="n">
        <v>43560</v>
      </c>
      <c r="C538" s="1" t="n">
        <v>45345</v>
      </c>
      <c r="D538" t="inlineStr">
        <is>
          <t>VÄSTMANLANDS LÄN</t>
        </is>
      </c>
      <c r="E538" t="inlineStr">
        <is>
          <t>VÄSTERÅS</t>
        </is>
      </c>
      <c r="G538" t="n">
        <v>1</v>
      </c>
      <c r="H538" t="n">
        <v>0</v>
      </c>
      <c r="I538" t="n">
        <v>0</v>
      </c>
      <c r="J538" t="n">
        <v>0</v>
      </c>
      <c r="K538" t="n">
        <v>0</v>
      </c>
      <c r="L538" t="n">
        <v>0</v>
      </c>
      <c r="M538" t="n">
        <v>0</v>
      </c>
      <c r="N538" t="n">
        <v>0</v>
      </c>
      <c r="O538" t="n">
        <v>0</v>
      </c>
      <c r="P538" t="n">
        <v>0</v>
      </c>
      <c r="Q538" t="n">
        <v>0</v>
      </c>
      <c r="R538" s="2" t="inlineStr"/>
    </row>
    <row r="539" ht="15" customHeight="1">
      <c r="A539" t="inlineStr">
        <is>
          <t>A 18791-2019</t>
        </is>
      </c>
      <c r="B539" s="1" t="n">
        <v>43562</v>
      </c>
      <c r="C539" s="1" t="n">
        <v>45345</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18953-2019</t>
        </is>
      </c>
      <c r="B540" s="1" t="n">
        <v>43563</v>
      </c>
      <c r="C540" s="1" t="n">
        <v>45345</v>
      </c>
      <c r="D540" t="inlineStr">
        <is>
          <t>VÄSTMANLANDS LÄN</t>
        </is>
      </c>
      <c r="E540" t="inlineStr">
        <is>
          <t>SURAHAMMAR</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18960-2019</t>
        </is>
      </c>
      <c r="B541" s="1" t="n">
        <v>43563</v>
      </c>
      <c r="C541" s="1" t="n">
        <v>45345</v>
      </c>
      <c r="D541" t="inlineStr">
        <is>
          <t>VÄSTMANLANDS LÄN</t>
        </is>
      </c>
      <c r="E541" t="inlineStr">
        <is>
          <t>SURAHAMMAR</t>
        </is>
      </c>
      <c r="F541" t="inlineStr">
        <is>
          <t>Övriga Aktiebolag</t>
        </is>
      </c>
      <c r="G541" t="n">
        <v>4.1</v>
      </c>
      <c r="H541" t="n">
        <v>0</v>
      </c>
      <c r="I541" t="n">
        <v>0</v>
      </c>
      <c r="J541" t="n">
        <v>0</v>
      </c>
      <c r="K541" t="n">
        <v>0</v>
      </c>
      <c r="L541" t="n">
        <v>0</v>
      </c>
      <c r="M541" t="n">
        <v>0</v>
      </c>
      <c r="N541" t="n">
        <v>0</v>
      </c>
      <c r="O541" t="n">
        <v>0</v>
      </c>
      <c r="P541" t="n">
        <v>0</v>
      </c>
      <c r="Q541" t="n">
        <v>0</v>
      </c>
      <c r="R541" s="2" t="inlineStr"/>
    </row>
    <row r="542" ht="15" customHeight="1">
      <c r="A542" t="inlineStr">
        <is>
          <t>A 18961-2019</t>
        </is>
      </c>
      <c r="B542" s="1" t="n">
        <v>43563</v>
      </c>
      <c r="C542" s="1" t="n">
        <v>45345</v>
      </c>
      <c r="D542" t="inlineStr">
        <is>
          <t>VÄSTMANLANDS LÄN</t>
        </is>
      </c>
      <c r="E542" t="inlineStr">
        <is>
          <t>SALA</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19127-2019</t>
        </is>
      </c>
      <c r="B543" s="1" t="n">
        <v>43564</v>
      </c>
      <c r="C543" s="1" t="n">
        <v>45345</v>
      </c>
      <c r="D543" t="inlineStr">
        <is>
          <t>VÄSTMANLANDS LÄN</t>
        </is>
      </c>
      <c r="E543" t="inlineStr">
        <is>
          <t>FAGERSTA</t>
        </is>
      </c>
      <c r="G543" t="n">
        <v>2</v>
      </c>
      <c r="H543" t="n">
        <v>0</v>
      </c>
      <c r="I543" t="n">
        <v>0</v>
      </c>
      <c r="J543" t="n">
        <v>0</v>
      </c>
      <c r="K543" t="n">
        <v>0</v>
      </c>
      <c r="L543" t="n">
        <v>0</v>
      </c>
      <c r="M543" t="n">
        <v>0</v>
      </c>
      <c r="N543" t="n">
        <v>0</v>
      </c>
      <c r="O543" t="n">
        <v>0</v>
      </c>
      <c r="P543" t="n">
        <v>0</v>
      </c>
      <c r="Q543" t="n">
        <v>0</v>
      </c>
      <c r="R543" s="2" t="inlineStr"/>
    </row>
    <row r="544" ht="15" customHeight="1">
      <c r="A544" t="inlineStr">
        <is>
          <t>A 19312-2019</t>
        </is>
      </c>
      <c r="B544" s="1" t="n">
        <v>43565</v>
      </c>
      <c r="C544" s="1" t="n">
        <v>45345</v>
      </c>
      <c r="D544" t="inlineStr">
        <is>
          <t>VÄSTMANLANDS LÄN</t>
        </is>
      </c>
      <c r="E544" t="inlineStr">
        <is>
          <t>VÄSTERÅS</t>
        </is>
      </c>
      <c r="G544" t="n">
        <v>5.3</v>
      </c>
      <c r="H544" t="n">
        <v>0</v>
      </c>
      <c r="I544" t="n">
        <v>0</v>
      </c>
      <c r="J544" t="n">
        <v>0</v>
      </c>
      <c r="K544" t="n">
        <v>0</v>
      </c>
      <c r="L544" t="n">
        <v>0</v>
      </c>
      <c r="M544" t="n">
        <v>0</v>
      </c>
      <c r="N544" t="n">
        <v>0</v>
      </c>
      <c r="O544" t="n">
        <v>0</v>
      </c>
      <c r="P544" t="n">
        <v>0</v>
      </c>
      <c r="Q544" t="n">
        <v>0</v>
      </c>
      <c r="R544" s="2" t="inlineStr"/>
    </row>
    <row r="545" ht="15" customHeight="1">
      <c r="A545" t="inlineStr">
        <is>
          <t>A 19318-2019</t>
        </is>
      </c>
      <c r="B545" s="1" t="n">
        <v>43565</v>
      </c>
      <c r="C545" s="1" t="n">
        <v>45345</v>
      </c>
      <c r="D545" t="inlineStr">
        <is>
          <t>VÄSTMANLANDS LÄN</t>
        </is>
      </c>
      <c r="E545" t="inlineStr">
        <is>
          <t>VÄSTERÅS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19659-2019</t>
        </is>
      </c>
      <c r="B546" s="1" t="n">
        <v>43566</v>
      </c>
      <c r="C546" s="1" t="n">
        <v>45345</v>
      </c>
      <c r="D546" t="inlineStr">
        <is>
          <t>VÄSTMANLANDS LÄN</t>
        </is>
      </c>
      <c r="E546" t="inlineStr">
        <is>
          <t>SURAHAMMAR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19482-2019</t>
        </is>
      </c>
      <c r="B547" s="1" t="n">
        <v>43567</v>
      </c>
      <c r="C547" s="1" t="n">
        <v>45345</v>
      </c>
      <c r="D547" t="inlineStr">
        <is>
          <t>VÄSTMANLANDS LÄN</t>
        </is>
      </c>
      <c r="E547" t="inlineStr">
        <is>
          <t>HALLSTAHAMMAR</t>
        </is>
      </c>
      <c r="G547" t="n">
        <v>6</v>
      </c>
      <c r="H547" t="n">
        <v>0</v>
      </c>
      <c r="I547" t="n">
        <v>0</v>
      </c>
      <c r="J547" t="n">
        <v>0</v>
      </c>
      <c r="K547" t="n">
        <v>0</v>
      </c>
      <c r="L547" t="n">
        <v>0</v>
      </c>
      <c r="M547" t="n">
        <v>0</v>
      </c>
      <c r="N547" t="n">
        <v>0</v>
      </c>
      <c r="O547" t="n">
        <v>0</v>
      </c>
      <c r="P547" t="n">
        <v>0</v>
      </c>
      <c r="Q547" t="n">
        <v>0</v>
      </c>
      <c r="R547" s="2" t="inlineStr"/>
    </row>
    <row r="548" ht="15" customHeight="1">
      <c r="A548" t="inlineStr">
        <is>
          <t>A 19869-2019</t>
        </is>
      </c>
      <c r="B548" s="1" t="n">
        <v>43567</v>
      </c>
      <c r="C548" s="1" t="n">
        <v>45345</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19950-2019</t>
        </is>
      </c>
      <c r="B549" s="1" t="n">
        <v>43569</v>
      </c>
      <c r="C549" s="1" t="n">
        <v>45345</v>
      </c>
      <c r="D549" t="inlineStr">
        <is>
          <t>VÄSTMANLANDS LÄN</t>
        </is>
      </c>
      <c r="E549" t="inlineStr">
        <is>
          <t>KUNGSÖR</t>
        </is>
      </c>
      <c r="G549" t="n">
        <v>0.9</v>
      </c>
      <c r="H549" t="n">
        <v>0</v>
      </c>
      <c r="I549" t="n">
        <v>0</v>
      </c>
      <c r="J549" t="n">
        <v>0</v>
      </c>
      <c r="K549" t="n">
        <v>0</v>
      </c>
      <c r="L549" t="n">
        <v>0</v>
      </c>
      <c r="M549" t="n">
        <v>0</v>
      </c>
      <c r="N549" t="n">
        <v>0</v>
      </c>
      <c r="O549" t="n">
        <v>0</v>
      </c>
      <c r="P549" t="n">
        <v>0</v>
      </c>
      <c r="Q549" t="n">
        <v>0</v>
      </c>
      <c r="R549" s="2" t="inlineStr"/>
    </row>
    <row r="550" ht="15" customHeight="1">
      <c r="A550" t="inlineStr">
        <is>
          <t>A 20057-2019</t>
        </is>
      </c>
      <c r="B550" s="1" t="n">
        <v>43570</v>
      </c>
      <c r="C550" s="1" t="n">
        <v>45345</v>
      </c>
      <c r="D550" t="inlineStr">
        <is>
          <t>VÄSTMANLANDS LÄN</t>
        </is>
      </c>
      <c r="E550" t="inlineStr">
        <is>
          <t>ARBOGA</t>
        </is>
      </c>
      <c r="G550" t="n">
        <v>1.2</v>
      </c>
      <c r="H550" t="n">
        <v>0</v>
      </c>
      <c r="I550" t="n">
        <v>0</v>
      </c>
      <c r="J550" t="n">
        <v>0</v>
      </c>
      <c r="K550" t="n">
        <v>0</v>
      </c>
      <c r="L550" t="n">
        <v>0</v>
      </c>
      <c r="M550" t="n">
        <v>0</v>
      </c>
      <c r="N550" t="n">
        <v>0</v>
      </c>
      <c r="O550" t="n">
        <v>0</v>
      </c>
      <c r="P550" t="n">
        <v>0</v>
      </c>
      <c r="Q550" t="n">
        <v>0</v>
      </c>
      <c r="R550" s="2" t="inlineStr"/>
    </row>
    <row r="551" ht="15" customHeight="1">
      <c r="A551" t="inlineStr">
        <is>
          <t>A 20171-2019</t>
        </is>
      </c>
      <c r="B551" s="1" t="n">
        <v>43570</v>
      </c>
      <c r="C551" s="1" t="n">
        <v>45345</v>
      </c>
      <c r="D551" t="inlineStr">
        <is>
          <t>VÄSTMANLANDS LÄN</t>
        </is>
      </c>
      <c r="E551" t="inlineStr">
        <is>
          <t>ARBOGA</t>
        </is>
      </c>
      <c r="G551" t="n">
        <v>3.1</v>
      </c>
      <c r="H551" t="n">
        <v>0</v>
      </c>
      <c r="I551" t="n">
        <v>0</v>
      </c>
      <c r="J551" t="n">
        <v>0</v>
      </c>
      <c r="K551" t="n">
        <v>0</v>
      </c>
      <c r="L551" t="n">
        <v>0</v>
      </c>
      <c r="M551" t="n">
        <v>0</v>
      </c>
      <c r="N551" t="n">
        <v>0</v>
      </c>
      <c r="O551" t="n">
        <v>0</v>
      </c>
      <c r="P551" t="n">
        <v>0</v>
      </c>
      <c r="Q551" t="n">
        <v>0</v>
      </c>
      <c r="R551" s="2" t="inlineStr"/>
    </row>
    <row r="552" ht="15" customHeight="1">
      <c r="A552" t="inlineStr">
        <is>
          <t>A 20096-2019</t>
        </is>
      </c>
      <c r="B552" s="1" t="n">
        <v>43570</v>
      </c>
      <c r="C552" s="1" t="n">
        <v>45345</v>
      </c>
      <c r="D552" t="inlineStr">
        <is>
          <t>VÄSTMANLANDS LÄN</t>
        </is>
      </c>
      <c r="E552" t="inlineStr">
        <is>
          <t>NORBERG</t>
        </is>
      </c>
      <c r="G552" t="n">
        <v>0.9</v>
      </c>
      <c r="H552" t="n">
        <v>0</v>
      </c>
      <c r="I552" t="n">
        <v>0</v>
      </c>
      <c r="J552" t="n">
        <v>0</v>
      </c>
      <c r="K552" t="n">
        <v>0</v>
      </c>
      <c r="L552" t="n">
        <v>0</v>
      </c>
      <c r="M552" t="n">
        <v>0</v>
      </c>
      <c r="N552" t="n">
        <v>0</v>
      </c>
      <c r="O552" t="n">
        <v>0</v>
      </c>
      <c r="P552" t="n">
        <v>0</v>
      </c>
      <c r="Q552" t="n">
        <v>0</v>
      </c>
      <c r="R552" s="2" t="inlineStr"/>
    </row>
    <row r="553" ht="15" customHeight="1">
      <c r="A553" t="inlineStr">
        <is>
          <t>A 20127-2019</t>
        </is>
      </c>
      <c r="B553" s="1" t="n">
        <v>43570</v>
      </c>
      <c r="C553" s="1" t="n">
        <v>45345</v>
      </c>
      <c r="D553" t="inlineStr">
        <is>
          <t>VÄSTMANLANDS LÄN</t>
        </is>
      </c>
      <c r="E553" t="inlineStr">
        <is>
          <t>SURAHAMMAR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20151-2019</t>
        </is>
      </c>
      <c r="B554" s="1" t="n">
        <v>43570</v>
      </c>
      <c r="C554" s="1" t="n">
        <v>45345</v>
      </c>
      <c r="D554" t="inlineStr">
        <is>
          <t>VÄSTMANLANDS LÄN</t>
        </is>
      </c>
      <c r="E554" t="inlineStr">
        <is>
          <t>ARBOGA</t>
        </is>
      </c>
      <c r="G554" t="n">
        <v>3.3</v>
      </c>
      <c r="H554" t="n">
        <v>0</v>
      </c>
      <c r="I554" t="n">
        <v>0</v>
      </c>
      <c r="J554" t="n">
        <v>0</v>
      </c>
      <c r="K554" t="n">
        <v>0</v>
      </c>
      <c r="L554" t="n">
        <v>0</v>
      </c>
      <c r="M554" t="n">
        <v>0</v>
      </c>
      <c r="N554" t="n">
        <v>0</v>
      </c>
      <c r="O554" t="n">
        <v>0</v>
      </c>
      <c r="P554" t="n">
        <v>0</v>
      </c>
      <c r="Q554" t="n">
        <v>0</v>
      </c>
      <c r="R554" s="2" t="inlineStr"/>
    </row>
    <row r="555" ht="15" customHeight="1">
      <c r="A555" t="inlineStr">
        <is>
          <t>A 20412-2019</t>
        </is>
      </c>
      <c r="B555" s="1" t="n">
        <v>43571</v>
      </c>
      <c r="C555" s="1" t="n">
        <v>45345</v>
      </c>
      <c r="D555" t="inlineStr">
        <is>
          <t>VÄSTMANLANDS LÄN</t>
        </is>
      </c>
      <c r="E555" t="inlineStr">
        <is>
          <t>FAGERSTA</t>
        </is>
      </c>
      <c r="G555" t="n">
        <v>6.8</v>
      </c>
      <c r="H555" t="n">
        <v>0</v>
      </c>
      <c r="I555" t="n">
        <v>0</v>
      </c>
      <c r="J555" t="n">
        <v>0</v>
      </c>
      <c r="K555" t="n">
        <v>0</v>
      </c>
      <c r="L555" t="n">
        <v>0</v>
      </c>
      <c r="M555" t="n">
        <v>0</v>
      </c>
      <c r="N555" t="n">
        <v>0</v>
      </c>
      <c r="O555" t="n">
        <v>0</v>
      </c>
      <c r="P555" t="n">
        <v>0</v>
      </c>
      <c r="Q555" t="n">
        <v>0</v>
      </c>
      <c r="R555" s="2" t="inlineStr"/>
    </row>
    <row r="556" ht="15" customHeight="1">
      <c r="A556" t="inlineStr">
        <is>
          <t>A 20254-2019</t>
        </is>
      </c>
      <c r="B556" s="1" t="n">
        <v>43571</v>
      </c>
      <c r="C556" s="1" t="n">
        <v>45345</v>
      </c>
      <c r="D556" t="inlineStr">
        <is>
          <t>VÄSTMANLANDS LÄN</t>
        </is>
      </c>
      <c r="E556" t="inlineStr">
        <is>
          <t>SKINNSKATTEBERG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20474-2019</t>
        </is>
      </c>
      <c r="B557" s="1" t="n">
        <v>43572</v>
      </c>
      <c r="C557" s="1" t="n">
        <v>45345</v>
      </c>
      <c r="D557" t="inlineStr">
        <is>
          <t>VÄSTMANLANDS LÄN</t>
        </is>
      </c>
      <c r="E557" t="inlineStr">
        <is>
          <t>ARBOGA</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20627-2019</t>
        </is>
      </c>
      <c r="B558" s="1" t="n">
        <v>43572</v>
      </c>
      <c r="C558" s="1" t="n">
        <v>45345</v>
      </c>
      <c r="D558" t="inlineStr">
        <is>
          <t>VÄSTMANLANDS LÄN</t>
        </is>
      </c>
      <c r="E558" t="inlineStr">
        <is>
          <t>ARBOGA</t>
        </is>
      </c>
      <c r="G558" t="n">
        <v>9.9</v>
      </c>
      <c r="H558" t="n">
        <v>0</v>
      </c>
      <c r="I558" t="n">
        <v>0</v>
      </c>
      <c r="J558" t="n">
        <v>0</v>
      </c>
      <c r="K558" t="n">
        <v>0</v>
      </c>
      <c r="L558" t="n">
        <v>0</v>
      </c>
      <c r="M558" t="n">
        <v>0</v>
      </c>
      <c r="N558" t="n">
        <v>0</v>
      </c>
      <c r="O558" t="n">
        <v>0</v>
      </c>
      <c r="P558" t="n">
        <v>0</v>
      </c>
      <c r="Q558" t="n">
        <v>0</v>
      </c>
      <c r="R558" s="2" t="inlineStr"/>
    </row>
    <row r="559" ht="15" customHeight="1">
      <c r="A559" t="inlineStr">
        <is>
          <t>A 20721-2019</t>
        </is>
      </c>
      <c r="B559" s="1" t="n">
        <v>43573</v>
      </c>
      <c r="C559" s="1" t="n">
        <v>45345</v>
      </c>
      <c r="D559" t="inlineStr">
        <is>
          <t>VÄSTMANLANDS LÄN</t>
        </is>
      </c>
      <c r="E559" t="inlineStr">
        <is>
          <t>ARBOGA</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20834-2019</t>
        </is>
      </c>
      <c r="B560" s="1" t="n">
        <v>43575</v>
      </c>
      <c r="C560" s="1" t="n">
        <v>45345</v>
      </c>
      <c r="D560" t="inlineStr">
        <is>
          <t>VÄSTMANLANDS LÄN</t>
        </is>
      </c>
      <c r="E560" t="inlineStr">
        <is>
          <t>ARBOGA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20849-2019</t>
        </is>
      </c>
      <c r="B561" s="1" t="n">
        <v>43577</v>
      </c>
      <c r="C561" s="1" t="n">
        <v>45345</v>
      </c>
      <c r="D561" t="inlineStr">
        <is>
          <t>VÄSTMANLANDS LÄN</t>
        </is>
      </c>
      <c r="E561" t="inlineStr">
        <is>
          <t>ARBOGA</t>
        </is>
      </c>
      <c r="F561" t="inlineStr">
        <is>
          <t>Allmännings- och besparingsskogar</t>
        </is>
      </c>
      <c r="G561" t="n">
        <v>20.6</v>
      </c>
      <c r="H561" t="n">
        <v>0</v>
      </c>
      <c r="I561" t="n">
        <v>0</v>
      </c>
      <c r="J561" t="n">
        <v>0</v>
      </c>
      <c r="K561" t="n">
        <v>0</v>
      </c>
      <c r="L561" t="n">
        <v>0</v>
      </c>
      <c r="M561" t="n">
        <v>0</v>
      </c>
      <c r="N561" t="n">
        <v>0</v>
      </c>
      <c r="O561" t="n">
        <v>0</v>
      </c>
      <c r="P561" t="n">
        <v>0</v>
      </c>
      <c r="Q561" t="n">
        <v>0</v>
      </c>
      <c r="R561" s="2" t="inlineStr"/>
    </row>
    <row r="562" ht="15" customHeight="1">
      <c r="A562" t="inlineStr">
        <is>
          <t>A 20904-2019</t>
        </is>
      </c>
      <c r="B562" s="1" t="n">
        <v>43578</v>
      </c>
      <c r="C562" s="1" t="n">
        <v>45345</v>
      </c>
      <c r="D562" t="inlineStr">
        <is>
          <t>VÄSTMANLANDS LÄN</t>
        </is>
      </c>
      <c r="E562" t="inlineStr">
        <is>
          <t>SURAHAMMAR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20879-2019</t>
        </is>
      </c>
      <c r="B563" s="1" t="n">
        <v>43578</v>
      </c>
      <c r="C563" s="1" t="n">
        <v>45345</v>
      </c>
      <c r="D563" t="inlineStr">
        <is>
          <t>VÄSTMANLANDS LÄN</t>
        </is>
      </c>
      <c r="E563" t="inlineStr">
        <is>
          <t>ARBOGA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21205-2019</t>
        </is>
      </c>
      <c r="B564" s="1" t="n">
        <v>43579</v>
      </c>
      <c r="C564" s="1" t="n">
        <v>45345</v>
      </c>
      <c r="D564" t="inlineStr">
        <is>
          <t>VÄSTMANLANDS LÄN</t>
        </is>
      </c>
      <c r="E564" t="inlineStr">
        <is>
          <t>ARBOGA</t>
        </is>
      </c>
      <c r="G564" t="n">
        <v>3.8</v>
      </c>
      <c r="H564" t="n">
        <v>0</v>
      </c>
      <c r="I564" t="n">
        <v>0</v>
      </c>
      <c r="J564" t="n">
        <v>0</v>
      </c>
      <c r="K564" t="n">
        <v>0</v>
      </c>
      <c r="L564" t="n">
        <v>0</v>
      </c>
      <c r="M564" t="n">
        <v>0</v>
      </c>
      <c r="N564" t="n">
        <v>0</v>
      </c>
      <c r="O564" t="n">
        <v>0</v>
      </c>
      <c r="P564" t="n">
        <v>0</v>
      </c>
      <c r="Q564" t="n">
        <v>0</v>
      </c>
      <c r="R564" s="2" t="inlineStr"/>
    </row>
    <row r="565" ht="15" customHeight="1">
      <c r="A565" t="inlineStr">
        <is>
          <t>A 21396-2019</t>
        </is>
      </c>
      <c r="B565" s="1" t="n">
        <v>43580</v>
      </c>
      <c r="C565" s="1" t="n">
        <v>45345</v>
      </c>
      <c r="D565" t="inlineStr">
        <is>
          <t>VÄSTMANLANDS LÄN</t>
        </is>
      </c>
      <c r="E565" t="inlineStr">
        <is>
          <t>NORBERG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21397-2019</t>
        </is>
      </c>
      <c r="B566" s="1" t="n">
        <v>43580</v>
      </c>
      <c r="C566" s="1" t="n">
        <v>45345</v>
      </c>
      <c r="D566" t="inlineStr">
        <is>
          <t>VÄSTMANLANDS LÄN</t>
        </is>
      </c>
      <c r="E566" t="inlineStr">
        <is>
          <t>VÄSTERÅS</t>
        </is>
      </c>
      <c r="G566" t="n">
        <v>2.2</v>
      </c>
      <c r="H566" t="n">
        <v>0</v>
      </c>
      <c r="I566" t="n">
        <v>0</v>
      </c>
      <c r="J566" t="n">
        <v>0</v>
      </c>
      <c r="K566" t="n">
        <v>0</v>
      </c>
      <c r="L566" t="n">
        <v>0</v>
      </c>
      <c r="M566" t="n">
        <v>0</v>
      </c>
      <c r="N566" t="n">
        <v>0</v>
      </c>
      <c r="O566" t="n">
        <v>0</v>
      </c>
      <c r="P566" t="n">
        <v>0</v>
      </c>
      <c r="Q566" t="n">
        <v>0</v>
      </c>
      <c r="R566" s="2" t="inlineStr"/>
    </row>
    <row r="567" ht="15" customHeight="1">
      <c r="A567" t="inlineStr">
        <is>
          <t>A 21392-2019</t>
        </is>
      </c>
      <c r="B567" s="1" t="n">
        <v>43580</v>
      </c>
      <c r="C567" s="1" t="n">
        <v>45345</v>
      </c>
      <c r="D567" t="inlineStr">
        <is>
          <t>VÄSTMANLANDS LÄN</t>
        </is>
      </c>
      <c r="E567" t="inlineStr">
        <is>
          <t>NORBERG</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21768-2019</t>
        </is>
      </c>
      <c r="B568" s="1" t="n">
        <v>43581</v>
      </c>
      <c r="C568" s="1" t="n">
        <v>45345</v>
      </c>
      <c r="D568" t="inlineStr">
        <is>
          <t>VÄSTMANLANDS LÄN</t>
        </is>
      </c>
      <c r="E568" t="inlineStr">
        <is>
          <t>VÄSTERÅS</t>
        </is>
      </c>
      <c r="G568" t="n">
        <v>3.5</v>
      </c>
      <c r="H568" t="n">
        <v>0</v>
      </c>
      <c r="I568" t="n">
        <v>0</v>
      </c>
      <c r="J568" t="n">
        <v>0</v>
      </c>
      <c r="K568" t="n">
        <v>0</v>
      </c>
      <c r="L568" t="n">
        <v>0</v>
      </c>
      <c r="M568" t="n">
        <v>0</v>
      </c>
      <c r="N568" t="n">
        <v>0</v>
      </c>
      <c r="O568" t="n">
        <v>0</v>
      </c>
      <c r="P568" t="n">
        <v>0</v>
      </c>
      <c r="Q568" t="n">
        <v>0</v>
      </c>
      <c r="R568" s="2" t="inlineStr"/>
    </row>
    <row r="569" ht="15" customHeight="1">
      <c r="A569" t="inlineStr">
        <is>
          <t>A 21642-2019</t>
        </is>
      </c>
      <c r="B569" s="1" t="n">
        <v>43581</v>
      </c>
      <c r="C569" s="1" t="n">
        <v>45345</v>
      </c>
      <c r="D569" t="inlineStr">
        <is>
          <t>VÄSTMANLANDS LÄN</t>
        </is>
      </c>
      <c r="E569" t="inlineStr">
        <is>
          <t>KUNGSÖR</t>
        </is>
      </c>
      <c r="G569" t="n">
        <v>2.7</v>
      </c>
      <c r="H569" t="n">
        <v>0</v>
      </c>
      <c r="I569" t="n">
        <v>0</v>
      </c>
      <c r="J569" t="n">
        <v>0</v>
      </c>
      <c r="K569" t="n">
        <v>0</v>
      </c>
      <c r="L569" t="n">
        <v>0</v>
      </c>
      <c r="M569" t="n">
        <v>0</v>
      </c>
      <c r="N569" t="n">
        <v>0</v>
      </c>
      <c r="O569" t="n">
        <v>0</v>
      </c>
      <c r="P569" t="n">
        <v>0</v>
      </c>
      <c r="Q569" t="n">
        <v>0</v>
      </c>
      <c r="R569" s="2" t="inlineStr"/>
    </row>
    <row r="570" ht="15" customHeight="1">
      <c r="A570" t="inlineStr">
        <is>
          <t>A 21859-2019</t>
        </is>
      </c>
      <c r="B570" s="1" t="n">
        <v>43584</v>
      </c>
      <c r="C570" s="1" t="n">
        <v>45345</v>
      </c>
      <c r="D570" t="inlineStr">
        <is>
          <t>VÄSTMANLANDS LÄN</t>
        </is>
      </c>
      <c r="E570" t="inlineStr">
        <is>
          <t>NORBERG</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21985-2019</t>
        </is>
      </c>
      <c r="B571" s="1" t="n">
        <v>43584</v>
      </c>
      <c r="C571" s="1" t="n">
        <v>45345</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21997-2019</t>
        </is>
      </c>
      <c r="B572" s="1" t="n">
        <v>43584</v>
      </c>
      <c r="C572" s="1" t="n">
        <v>45345</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22249-2019</t>
        </is>
      </c>
      <c r="B573" s="1" t="n">
        <v>43585</v>
      </c>
      <c r="C573" s="1" t="n">
        <v>45345</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22221-2019</t>
        </is>
      </c>
      <c r="B574" s="1" t="n">
        <v>43585</v>
      </c>
      <c r="C574" s="1" t="n">
        <v>45345</v>
      </c>
      <c r="D574" t="inlineStr">
        <is>
          <t>VÄSTMANLANDS LÄN</t>
        </is>
      </c>
      <c r="E574" t="inlineStr">
        <is>
          <t>VÄSTERÅS</t>
        </is>
      </c>
      <c r="G574" t="n">
        <v>5.9</v>
      </c>
      <c r="H574" t="n">
        <v>0</v>
      </c>
      <c r="I574" t="n">
        <v>0</v>
      </c>
      <c r="J574" t="n">
        <v>0</v>
      </c>
      <c r="K574" t="n">
        <v>0</v>
      </c>
      <c r="L574" t="n">
        <v>0</v>
      </c>
      <c r="M574" t="n">
        <v>0</v>
      </c>
      <c r="N574" t="n">
        <v>0</v>
      </c>
      <c r="O574" t="n">
        <v>0</v>
      </c>
      <c r="P574" t="n">
        <v>0</v>
      </c>
      <c r="Q574" t="n">
        <v>0</v>
      </c>
      <c r="R574" s="2" t="inlineStr"/>
    </row>
    <row r="575" ht="15" customHeight="1">
      <c r="A575" t="inlineStr">
        <is>
          <t>A 23153-2019</t>
        </is>
      </c>
      <c r="B575" s="1" t="n">
        <v>43588</v>
      </c>
      <c r="C575" s="1" t="n">
        <v>45345</v>
      </c>
      <c r="D575" t="inlineStr">
        <is>
          <t>VÄSTMANLANDS LÄN</t>
        </is>
      </c>
      <c r="E575" t="inlineStr">
        <is>
          <t>NORBERG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22947-2019</t>
        </is>
      </c>
      <c r="B576" s="1" t="n">
        <v>43591</v>
      </c>
      <c r="C576" s="1" t="n">
        <v>45345</v>
      </c>
      <c r="D576" t="inlineStr">
        <is>
          <t>VÄSTMANLANDS LÄN</t>
        </is>
      </c>
      <c r="E576" t="inlineStr">
        <is>
          <t>NORBERG</t>
        </is>
      </c>
      <c r="G576" t="n">
        <v>5.4</v>
      </c>
      <c r="H576" t="n">
        <v>0</v>
      </c>
      <c r="I576" t="n">
        <v>0</v>
      </c>
      <c r="J576" t="n">
        <v>0</v>
      </c>
      <c r="K576" t="n">
        <v>0</v>
      </c>
      <c r="L576" t="n">
        <v>0</v>
      </c>
      <c r="M576" t="n">
        <v>0</v>
      </c>
      <c r="N576" t="n">
        <v>0</v>
      </c>
      <c r="O576" t="n">
        <v>0</v>
      </c>
      <c r="P576" t="n">
        <v>0</v>
      </c>
      <c r="Q576" t="n">
        <v>0</v>
      </c>
      <c r="R576" s="2" t="inlineStr"/>
    </row>
    <row r="577" ht="15" customHeight="1">
      <c r="A577" t="inlineStr">
        <is>
          <t>A 22834-2019</t>
        </is>
      </c>
      <c r="B577" s="1" t="n">
        <v>43591</v>
      </c>
      <c r="C577" s="1" t="n">
        <v>45345</v>
      </c>
      <c r="D577" t="inlineStr">
        <is>
          <t>VÄSTMANLANDS LÄN</t>
        </is>
      </c>
      <c r="E577" t="inlineStr">
        <is>
          <t>SURAHAMMAR</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22953-2019</t>
        </is>
      </c>
      <c r="B578" s="1" t="n">
        <v>43591</v>
      </c>
      <c r="C578" s="1" t="n">
        <v>45345</v>
      </c>
      <c r="D578" t="inlineStr">
        <is>
          <t>VÄSTMANLANDS LÄN</t>
        </is>
      </c>
      <c r="E578" t="inlineStr">
        <is>
          <t>NORBERG</t>
        </is>
      </c>
      <c r="G578" t="n">
        <v>1.9</v>
      </c>
      <c r="H578" t="n">
        <v>0</v>
      </c>
      <c r="I578" t="n">
        <v>0</v>
      </c>
      <c r="J578" t="n">
        <v>0</v>
      </c>
      <c r="K578" t="n">
        <v>0</v>
      </c>
      <c r="L578" t="n">
        <v>0</v>
      </c>
      <c r="M578" t="n">
        <v>0</v>
      </c>
      <c r="N578" t="n">
        <v>0</v>
      </c>
      <c r="O578" t="n">
        <v>0</v>
      </c>
      <c r="P578" t="n">
        <v>0</v>
      </c>
      <c r="Q578" t="n">
        <v>0</v>
      </c>
      <c r="R578" s="2" t="inlineStr"/>
    </row>
    <row r="579" ht="15" customHeight="1">
      <c r="A579" t="inlineStr">
        <is>
          <t>A 22972-2019</t>
        </is>
      </c>
      <c r="B579" s="1" t="n">
        <v>43591</v>
      </c>
      <c r="C579" s="1" t="n">
        <v>45345</v>
      </c>
      <c r="D579" t="inlineStr">
        <is>
          <t>VÄSTMANLANDS LÄN</t>
        </is>
      </c>
      <c r="E579" t="inlineStr">
        <is>
          <t>ARBOGA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22833-2019</t>
        </is>
      </c>
      <c r="B580" s="1" t="n">
        <v>43591</v>
      </c>
      <c r="C580" s="1" t="n">
        <v>45345</v>
      </c>
      <c r="D580" t="inlineStr">
        <is>
          <t>VÄSTMANLANDS LÄN</t>
        </is>
      </c>
      <c r="E580" t="inlineStr">
        <is>
          <t>SALA</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23090-2019</t>
        </is>
      </c>
      <c r="B581" s="1" t="n">
        <v>43592</v>
      </c>
      <c r="C581" s="1" t="n">
        <v>45345</v>
      </c>
      <c r="D581" t="inlineStr">
        <is>
          <t>VÄSTMANLANDS LÄN</t>
        </is>
      </c>
      <c r="E581" t="inlineStr">
        <is>
          <t>SKINNSKATTEBERG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23433-2019</t>
        </is>
      </c>
      <c r="B582" s="1" t="n">
        <v>43593</v>
      </c>
      <c r="C582" s="1" t="n">
        <v>45345</v>
      </c>
      <c r="D582" t="inlineStr">
        <is>
          <t>VÄSTMANLANDS LÄN</t>
        </is>
      </c>
      <c r="E582" t="inlineStr">
        <is>
          <t>SKINNSKATTEBERG</t>
        </is>
      </c>
      <c r="G582" t="n">
        <v>1.2</v>
      </c>
      <c r="H582" t="n">
        <v>0</v>
      </c>
      <c r="I582" t="n">
        <v>0</v>
      </c>
      <c r="J582" t="n">
        <v>0</v>
      </c>
      <c r="K582" t="n">
        <v>0</v>
      </c>
      <c r="L582" t="n">
        <v>0</v>
      </c>
      <c r="M582" t="n">
        <v>0</v>
      </c>
      <c r="N582" t="n">
        <v>0</v>
      </c>
      <c r="O582" t="n">
        <v>0</v>
      </c>
      <c r="P582" t="n">
        <v>0</v>
      </c>
      <c r="Q582" t="n">
        <v>0</v>
      </c>
      <c r="R582" s="2" t="inlineStr"/>
    </row>
    <row r="583" ht="15" customHeight="1">
      <c r="A583" t="inlineStr">
        <is>
          <t>A 23592-2019</t>
        </is>
      </c>
      <c r="B583" s="1" t="n">
        <v>43593</v>
      </c>
      <c r="C583" s="1" t="n">
        <v>45345</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24107-2019</t>
        </is>
      </c>
      <c r="B584" s="1" t="n">
        <v>43595</v>
      </c>
      <c r="C584" s="1" t="n">
        <v>45345</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23890-2019</t>
        </is>
      </c>
      <c r="B585" s="1" t="n">
        <v>43595</v>
      </c>
      <c r="C585" s="1" t="n">
        <v>45345</v>
      </c>
      <c r="D585" t="inlineStr">
        <is>
          <t>VÄSTMANLANDS LÄN</t>
        </is>
      </c>
      <c r="E585" t="inlineStr">
        <is>
          <t>FAGERSTA</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24147-2019</t>
        </is>
      </c>
      <c r="B586" s="1" t="n">
        <v>43598</v>
      </c>
      <c r="C586" s="1" t="n">
        <v>45345</v>
      </c>
      <c r="D586" t="inlineStr">
        <is>
          <t>VÄSTMANLANDS LÄN</t>
        </is>
      </c>
      <c r="E586" t="inlineStr">
        <is>
          <t>KUNGSÖR</t>
        </is>
      </c>
      <c r="G586" t="n">
        <v>0.4</v>
      </c>
      <c r="H586" t="n">
        <v>0</v>
      </c>
      <c r="I586" t="n">
        <v>0</v>
      </c>
      <c r="J586" t="n">
        <v>0</v>
      </c>
      <c r="K586" t="n">
        <v>0</v>
      </c>
      <c r="L586" t="n">
        <v>0</v>
      </c>
      <c r="M586" t="n">
        <v>0</v>
      </c>
      <c r="N586" t="n">
        <v>0</v>
      </c>
      <c r="O586" t="n">
        <v>0</v>
      </c>
      <c r="P586" t="n">
        <v>0</v>
      </c>
      <c r="Q586" t="n">
        <v>0</v>
      </c>
      <c r="R586" s="2" t="inlineStr"/>
    </row>
    <row r="587" ht="15" customHeight="1">
      <c r="A587" t="inlineStr">
        <is>
          <t>A 24071-2019</t>
        </is>
      </c>
      <c r="B587" s="1" t="n">
        <v>43598</v>
      </c>
      <c r="C587" s="1" t="n">
        <v>45345</v>
      </c>
      <c r="D587" t="inlineStr">
        <is>
          <t>VÄSTMANLANDS LÄN</t>
        </is>
      </c>
      <c r="E587" t="inlineStr">
        <is>
          <t>ARBOGA</t>
        </is>
      </c>
      <c r="G587" t="n">
        <v>1.4</v>
      </c>
      <c r="H587" t="n">
        <v>0</v>
      </c>
      <c r="I587" t="n">
        <v>0</v>
      </c>
      <c r="J587" t="n">
        <v>0</v>
      </c>
      <c r="K587" t="n">
        <v>0</v>
      </c>
      <c r="L587" t="n">
        <v>0</v>
      </c>
      <c r="M587" t="n">
        <v>0</v>
      </c>
      <c r="N587" t="n">
        <v>0</v>
      </c>
      <c r="O587" t="n">
        <v>0</v>
      </c>
      <c r="P587" t="n">
        <v>0</v>
      </c>
      <c r="Q587" t="n">
        <v>0</v>
      </c>
      <c r="R587" s="2" t="inlineStr"/>
    </row>
    <row r="588" ht="15" customHeight="1">
      <c r="A588" t="inlineStr">
        <is>
          <t>A 24017-2019</t>
        </is>
      </c>
      <c r="B588" s="1" t="n">
        <v>43598</v>
      </c>
      <c r="C588" s="1" t="n">
        <v>45345</v>
      </c>
      <c r="D588" t="inlineStr">
        <is>
          <t>VÄSTMANLANDS LÄN</t>
        </is>
      </c>
      <c r="E588" t="inlineStr">
        <is>
          <t>KÖPING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24383-2019</t>
        </is>
      </c>
      <c r="B589" s="1" t="n">
        <v>43599</v>
      </c>
      <c r="C589" s="1" t="n">
        <v>45345</v>
      </c>
      <c r="D589" t="inlineStr">
        <is>
          <t>VÄSTMANLANDS LÄN</t>
        </is>
      </c>
      <c r="E589" t="inlineStr">
        <is>
          <t>SKINNSKATTEBERG</t>
        </is>
      </c>
      <c r="G589" t="n">
        <v>3.7</v>
      </c>
      <c r="H589" t="n">
        <v>0</v>
      </c>
      <c r="I589" t="n">
        <v>0</v>
      </c>
      <c r="J589" t="n">
        <v>0</v>
      </c>
      <c r="K589" t="n">
        <v>0</v>
      </c>
      <c r="L589" t="n">
        <v>0</v>
      </c>
      <c r="M589" t="n">
        <v>0</v>
      </c>
      <c r="N589" t="n">
        <v>0</v>
      </c>
      <c r="O589" t="n">
        <v>0</v>
      </c>
      <c r="P589" t="n">
        <v>0</v>
      </c>
      <c r="Q589" t="n">
        <v>0</v>
      </c>
      <c r="R589" s="2" t="inlineStr"/>
    </row>
    <row r="590" ht="15" customHeight="1">
      <c r="A590" t="inlineStr">
        <is>
          <t>A 24417-2019</t>
        </is>
      </c>
      <c r="B590" s="1" t="n">
        <v>43600</v>
      </c>
      <c r="C590" s="1" t="n">
        <v>45345</v>
      </c>
      <c r="D590" t="inlineStr">
        <is>
          <t>VÄSTMANLANDS LÄN</t>
        </is>
      </c>
      <c r="E590" t="inlineStr">
        <is>
          <t>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24539-2019</t>
        </is>
      </c>
      <c r="B591" s="1" t="n">
        <v>43600</v>
      </c>
      <c r="C591" s="1" t="n">
        <v>45345</v>
      </c>
      <c r="D591" t="inlineStr">
        <is>
          <t>VÄSTMANLANDS LÄN</t>
        </is>
      </c>
      <c r="E591" t="inlineStr">
        <is>
          <t>SKINNSKATTEBERG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24985-2019</t>
        </is>
      </c>
      <c r="B592" s="1" t="n">
        <v>43602</v>
      </c>
      <c r="C592" s="1" t="n">
        <v>45345</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24909-2019</t>
        </is>
      </c>
      <c r="B593" s="1" t="n">
        <v>43602</v>
      </c>
      <c r="C593" s="1" t="n">
        <v>45345</v>
      </c>
      <c r="D593" t="inlineStr">
        <is>
          <t>VÄSTMANLANDS LÄN</t>
        </is>
      </c>
      <c r="E593" t="inlineStr">
        <is>
          <t>KÖPING</t>
        </is>
      </c>
      <c r="G593" t="n">
        <v>6.2</v>
      </c>
      <c r="H593" t="n">
        <v>0</v>
      </c>
      <c r="I593" t="n">
        <v>0</v>
      </c>
      <c r="J593" t="n">
        <v>0</v>
      </c>
      <c r="K593" t="n">
        <v>0</v>
      </c>
      <c r="L593" t="n">
        <v>0</v>
      </c>
      <c r="M593" t="n">
        <v>0</v>
      </c>
      <c r="N593" t="n">
        <v>0</v>
      </c>
      <c r="O593" t="n">
        <v>0</v>
      </c>
      <c r="P593" t="n">
        <v>0</v>
      </c>
      <c r="Q593" t="n">
        <v>0</v>
      </c>
      <c r="R593" s="2" t="inlineStr"/>
    </row>
    <row r="594" ht="15" customHeight="1">
      <c r="A594" t="inlineStr">
        <is>
          <t>A 24978-2019</t>
        </is>
      </c>
      <c r="B594" s="1" t="n">
        <v>43602</v>
      </c>
      <c r="C594" s="1" t="n">
        <v>45345</v>
      </c>
      <c r="D594" t="inlineStr">
        <is>
          <t>VÄSTMANLANDS LÄN</t>
        </is>
      </c>
      <c r="E594" t="inlineStr">
        <is>
          <t>SKINNSKATTEBERG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24882-2019</t>
        </is>
      </c>
      <c r="B595" s="1" t="n">
        <v>43602</v>
      </c>
      <c r="C595" s="1" t="n">
        <v>45345</v>
      </c>
      <c r="D595" t="inlineStr">
        <is>
          <t>VÄSTMANLANDS LÄN</t>
        </is>
      </c>
      <c r="E595" t="inlineStr">
        <is>
          <t>SKINNSKATTEBERG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24892-2019</t>
        </is>
      </c>
      <c r="B596" s="1" t="n">
        <v>43602</v>
      </c>
      <c r="C596" s="1" t="n">
        <v>45345</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25005-2019</t>
        </is>
      </c>
      <c r="B597" s="1" t="n">
        <v>43602</v>
      </c>
      <c r="C597" s="1" t="n">
        <v>45345</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25324-2019</t>
        </is>
      </c>
      <c r="B598" s="1" t="n">
        <v>43606</v>
      </c>
      <c r="C598" s="1" t="n">
        <v>45345</v>
      </c>
      <c r="D598" t="inlineStr">
        <is>
          <t>VÄSTMANLANDS LÄN</t>
        </is>
      </c>
      <c r="E598" t="inlineStr">
        <is>
          <t>SKINNSKATTEBERG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25741-2019</t>
        </is>
      </c>
      <c r="B599" s="1" t="n">
        <v>43608</v>
      </c>
      <c r="C599" s="1" t="n">
        <v>45345</v>
      </c>
      <c r="D599" t="inlineStr">
        <is>
          <t>VÄSTMANLANDS LÄN</t>
        </is>
      </c>
      <c r="E599" t="inlineStr">
        <is>
          <t>KÖPING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25743-2019</t>
        </is>
      </c>
      <c r="B600" s="1" t="n">
        <v>43608</v>
      </c>
      <c r="C600" s="1" t="n">
        <v>45345</v>
      </c>
      <c r="D600" t="inlineStr">
        <is>
          <t>VÄSTMANLANDS LÄN</t>
        </is>
      </c>
      <c r="E600" t="inlineStr">
        <is>
          <t>SKINNSKATTEBERG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25882-2019</t>
        </is>
      </c>
      <c r="B601" s="1" t="n">
        <v>43608</v>
      </c>
      <c r="C601" s="1" t="n">
        <v>45345</v>
      </c>
      <c r="D601" t="inlineStr">
        <is>
          <t>VÄSTMANLANDS LÄN</t>
        </is>
      </c>
      <c r="E601" t="inlineStr">
        <is>
          <t>ARBOGA</t>
        </is>
      </c>
      <c r="G601" t="n">
        <v>0.7</v>
      </c>
      <c r="H601" t="n">
        <v>0</v>
      </c>
      <c r="I601" t="n">
        <v>0</v>
      </c>
      <c r="J601" t="n">
        <v>0</v>
      </c>
      <c r="K601" t="n">
        <v>0</v>
      </c>
      <c r="L601" t="n">
        <v>0</v>
      </c>
      <c r="M601" t="n">
        <v>0</v>
      </c>
      <c r="N601" t="n">
        <v>0</v>
      </c>
      <c r="O601" t="n">
        <v>0</v>
      </c>
      <c r="P601" t="n">
        <v>0</v>
      </c>
      <c r="Q601" t="n">
        <v>0</v>
      </c>
      <c r="R601" s="2" t="inlineStr"/>
    </row>
    <row r="602" ht="15" customHeight="1">
      <c r="A602" t="inlineStr">
        <is>
          <t>A 25814-2019</t>
        </is>
      </c>
      <c r="B602" s="1" t="n">
        <v>43608</v>
      </c>
      <c r="C602" s="1" t="n">
        <v>45345</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26467-2019</t>
        </is>
      </c>
      <c r="B603" s="1" t="n">
        <v>43612</v>
      </c>
      <c r="C603" s="1" t="n">
        <v>45345</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26472-2019</t>
        </is>
      </c>
      <c r="B604" s="1" t="n">
        <v>43612</v>
      </c>
      <c r="C604" s="1" t="n">
        <v>45345</v>
      </c>
      <c r="D604" t="inlineStr">
        <is>
          <t>VÄSTMANLANDS LÄN</t>
        </is>
      </c>
      <c r="E604" t="inlineStr">
        <is>
          <t>SKINNSKATTEBERG</t>
        </is>
      </c>
      <c r="F604" t="inlineStr">
        <is>
          <t>Sveaskog</t>
        </is>
      </c>
      <c r="G604" t="n">
        <v>3.6</v>
      </c>
      <c r="H604" t="n">
        <v>0</v>
      </c>
      <c r="I604" t="n">
        <v>0</v>
      </c>
      <c r="J604" t="n">
        <v>0</v>
      </c>
      <c r="K604" t="n">
        <v>0</v>
      </c>
      <c r="L604" t="n">
        <v>0</v>
      </c>
      <c r="M604" t="n">
        <v>0</v>
      </c>
      <c r="N604" t="n">
        <v>0</v>
      </c>
      <c r="O604" t="n">
        <v>0</v>
      </c>
      <c r="P604" t="n">
        <v>0</v>
      </c>
      <c r="Q604" t="n">
        <v>0</v>
      </c>
      <c r="R604" s="2" t="inlineStr"/>
    </row>
    <row r="605" ht="15" customHeight="1">
      <c r="A605" t="inlineStr">
        <is>
          <t>A 26614-2019</t>
        </is>
      </c>
      <c r="B605" s="1" t="n">
        <v>43612</v>
      </c>
      <c r="C605" s="1" t="n">
        <v>45345</v>
      </c>
      <c r="D605" t="inlineStr">
        <is>
          <t>VÄSTMANLANDS LÄN</t>
        </is>
      </c>
      <c r="E605" t="inlineStr">
        <is>
          <t>VÄSTERÅS</t>
        </is>
      </c>
      <c r="F605" t="inlineStr">
        <is>
          <t>Kyrkan</t>
        </is>
      </c>
      <c r="G605" t="n">
        <v>1.1</v>
      </c>
      <c r="H605" t="n">
        <v>0</v>
      </c>
      <c r="I605" t="n">
        <v>0</v>
      </c>
      <c r="J605" t="n">
        <v>0</v>
      </c>
      <c r="K605" t="n">
        <v>0</v>
      </c>
      <c r="L605" t="n">
        <v>0</v>
      </c>
      <c r="M605" t="n">
        <v>0</v>
      </c>
      <c r="N605" t="n">
        <v>0</v>
      </c>
      <c r="O605" t="n">
        <v>0</v>
      </c>
      <c r="P605" t="n">
        <v>0</v>
      </c>
      <c r="Q605" t="n">
        <v>0</v>
      </c>
      <c r="R605" s="2" t="inlineStr"/>
    </row>
    <row r="606" ht="15" customHeight="1">
      <c r="A606" t="inlineStr">
        <is>
          <t>A 26414-2019</t>
        </is>
      </c>
      <c r="B606" s="1" t="n">
        <v>43612</v>
      </c>
      <c r="C606" s="1" t="n">
        <v>45345</v>
      </c>
      <c r="D606" t="inlineStr">
        <is>
          <t>VÄSTMANLANDS LÄN</t>
        </is>
      </c>
      <c r="E606" t="inlineStr">
        <is>
          <t>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26593-2019</t>
        </is>
      </c>
      <c r="B607" s="1" t="n">
        <v>43612</v>
      </c>
      <c r="C607" s="1" t="n">
        <v>45345</v>
      </c>
      <c r="D607" t="inlineStr">
        <is>
          <t>VÄSTMANLANDS LÄN</t>
        </is>
      </c>
      <c r="E607" t="inlineStr">
        <is>
          <t>ARBOGA</t>
        </is>
      </c>
      <c r="G607" t="n">
        <v>1.7</v>
      </c>
      <c r="H607" t="n">
        <v>0</v>
      </c>
      <c r="I607" t="n">
        <v>0</v>
      </c>
      <c r="J607" t="n">
        <v>0</v>
      </c>
      <c r="K607" t="n">
        <v>0</v>
      </c>
      <c r="L607" t="n">
        <v>0</v>
      </c>
      <c r="M607" t="n">
        <v>0</v>
      </c>
      <c r="N607" t="n">
        <v>0</v>
      </c>
      <c r="O607" t="n">
        <v>0</v>
      </c>
      <c r="P607" t="n">
        <v>0</v>
      </c>
      <c r="Q607" t="n">
        <v>0</v>
      </c>
      <c r="R607" s="2" t="inlineStr"/>
    </row>
    <row r="608" ht="15" customHeight="1">
      <c r="A608" t="inlineStr">
        <is>
          <t>A 26861-2019</t>
        </is>
      </c>
      <c r="B608" s="1" t="n">
        <v>43613</v>
      </c>
      <c r="C608" s="1" t="n">
        <v>45345</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26656-2019</t>
        </is>
      </c>
      <c r="B609" s="1" t="n">
        <v>43613</v>
      </c>
      <c r="C609" s="1" t="n">
        <v>45345</v>
      </c>
      <c r="D609" t="inlineStr">
        <is>
          <t>VÄSTMANLANDS LÄN</t>
        </is>
      </c>
      <c r="E609" t="inlineStr">
        <is>
          <t>ARBOGA</t>
        </is>
      </c>
      <c r="F609" t="inlineStr">
        <is>
          <t>Allmännings- och besparingsskogar</t>
        </is>
      </c>
      <c r="G609" t="n">
        <v>2.9</v>
      </c>
      <c r="H609" t="n">
        <v>0</v>
      </c>
      <c r="I609" t="n">
        <v>0</v>
      </c>
      <c r="J609" t="n">
        <v>0</v>
      </c>
      <c r="K609" t="n">
        <v>0</v>
      </c>
      <c r="L609" t="n">
        <v>0</v>
      </c>
      <c r="M609" t="n">
        <v>0</v>
      </c>
      <c r="N609" t="n">
        <v>0</v>
      </c>
      <c r="O609" t="n">
        <v>0</v>
      </c>
      <c r="P609" t="n">
        <v>0</v>
      </c>
      <c r="Q609" t="n">
        <v>0</v>
      </c>
      <c r="R609" s="2" t="inlineStr"/>
    </row>
    <row r="610" ht="15" customHeight="1">
      <c r="A610" t="inlineStr">
        <is>
          <t>A 27164-2019</t>
        </is>
      </c>
      <c r="B610" s="1" t="n">
        <v>43614</v>
      </c>
      <c r="C610" s="1" t="n">
        <v>45345</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27182-2019</t>
        </is>
      </c>
      <c r="B611" s="1" t="n">
        <v>43614</v>
      </c>
      <c r="C611" s="1" t="n">
        <v>45345</v>
      </c>
      <c r="D611" t="inlineStr">
        <is>
          <t>VÄSTMANLANDS LÄN</t>
        </is>
      </c>
      <c r="E611" t="inlineStr">
        <is>
          <t>KÖPING</t>
        </is>
      </c>
      <c r="G611" t="n">
        <v>6</v>
      </c>
      <c r="H611" t="n">
        <v>0</v>
      </c>
      <c r="I611" t="n">
        <v>0</v>
      </c>
      <c r="J611" t="n">
        <v>0</v>
      </c>
      <c r="K611" t="n">
        <v>0</v>
      </c>
      <c r="L611" t="n">
        <v>0</v>
      </c>
      <c r="M611" t="n">
        <v>0</v>
      </c>
      <c r="N611" t="n">
        <v>0</v>
      </c>
      <c r="O611" t="n">
        <v>0</v>
      </c>
      <c r="P611" t="n">
        <v>0</v>
      </c>
      <c r="Q611" t="n">
        <v>0</v>
      </c>
      <c r="R611" s="2" t="inlineStr"/>
    </row>
    <row r="612" ht="15" customHeight="1">
      <c r="A612" t="inlineStr">
        <is>
          <t>A 27040-2019</t>
        </is>
      </c>
      <c r="B612" s="1" t="n">
        <v>43614</v>
      </c>
      <c r="C612" s="1" t="n">
        <v>45345</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27181-2019</t>
        </is>
      </c>
      <c r="B613" s="1" t="n">
        <v>43614</v>
      </c>
      <c r="C613" s="1" t="n">
        <v>45345</v>
      </c>
      <c r="D613" t="inlineStr">
        <is>
          <t>VÄSTMANLANDS LÄN</t>
        </is>
      </c>
      <c r="E613" t="inlineStr">
        <is>
          <t>VÄSTERÅS</t>
        </is>
      </c>
      <c r="G613" t="n">
        <v>12.5</v>
      </c>
      <c r="H613" t="n">
        <v>0</v>
      </c>
      <c r="I613" t="n">
        <v>0</v>
      </c>
      <c r="J613" t="n">
        <v>0</v>
      </c>
      <c r="K613" t="n">
        <v>0</v>
      </c>
      <c r="L613" t="n">
        <v>0</v>
      </c>
      <c r="M613" t="n">
        <v>0</v>
      </c>
      <c r="N613" t="n">
        <v>0</v>
      </c>
      <c r="O613" t="n">
        <v>0</v>
      </c>
      <c r="P613" t="n">
        <v>0</v>
      </c>
      <c r="Q613" t="n">
        <v>0</v>
      </c>
      <c r="R613" s="2" t="inlineStr"/>
    </row>
    <row r="614" ht="15" customHeight="1">
      <c r="A614" t="inlineStr">
        <is>
          <t>A 27093-2019</t>
        </is>
      </c>
      <c r="B614" s="1" t="n">
        <v>43614</v>
      </c>
      <c r="C614" s="1" t="n">
        <v>45345</v>
      </c>
      <c r="D614" t="inlineStr">
        <is>
          <t>VÄSTMANLANDS LÄN</t>
        </is>
      </c>
      <c r="E614" t="inlineStr">
        <is>
          <t>SKINNSKATTEBERG</t>
        </is>
      </c>
      <c r="G614" t="n">
        <v>5.6</v>
      </c>
      <c r="H614" t="n">
        <v>0</v>
      </c>
      <c r="I614" t="n">
        <v>0</v>
      </c>
      <c r="J614" t="n">
        <v>0</v>
      </c>
      <c r="K614" t="n">
        <v>0</v>
      </c>
      <c r="L614" t="n">
        <v>0</v>
      </c>
      <c r="M614" t="n">
        <v>0</v>
      </c>
      <c r="N614" t="n">
        <v>0</v>
      </c>
      <c r="O614" t="n">
        <v>0</v>
      </c>
      <c r="P614" t="n">
        <v>0</v>
      </c>
      <c r="Q614" t="n">
        <v>0</v>
      </c>
      <c r="R614" s="2" t="inlineStr"/>
    </row>
    <row r="615" ht="15" customHeight="1">
      <c r="A615" t="inlineStr">
        <is>
          <t>A 27381-2019</t>
        </is>
      </c>
      <c r="B615" s="1" t="n">
        <v>43616</v>
      </c>
      <c r="C615" s="1" t="n">
        <v>45345</v>
      </c>
      <c r="D615" t="inlineStr">
        <is>
          <t>VÄSTMANLANDS LÄN</t>
        </is>
      </c>
      <c r="E615" t="inlineStr">
        <is>
          <t>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27391-2019</t>
        </is>
      </c>
      <c r="B616" s="1" t="n">
        <v>43616</v>
      </c>
      <c r="C616" s="1" t="n">
        <v>45345</v>
      </c>
      <c r="D616" t="inlineStr">
        <is>
          <t>VÄSTMANLANDS LÄN</t>
        </is>
      </c>
      <c r="E616" t="inlineStr">
        <is>
          <t>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27472-2019</t>
        </is>
      </c>
      <c r="B617" s="1" t="n">
        <v>43619</v>
      </c>
      <c r="C617" s="1" t="n">
        <v>45345</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27914-2019</t>
        </is>
      </c>
      <c r="B618" s="1" t="n">
        <v>43620</v>
      </c>
      <c r="C618" s="1" t="n">
        <v>45345</v>
      </c>
      <c r="D618" t="inlineStr">
        <is>
          <t>VÄSTMANLANDS LÄN</t>
        </is>
      </c>
      <c r="E618" t="inlineStr">
        <is>
          <t>KÖPING</t>
        </is>
      </c>
      <c r="G618" t="n">
        <v>7.6</v>
      </c>
      <c r="H618" t="n">
        <v>0</v>
      </c>
      <c r="I618" t="n">
        <v>0</v>
      </c>
      <c r="J618" t="n">
        <v>0</v>
      </c>
      <c r="K618" t="n">
        <v>0</v>
      </c>
      <c r="L618" t="n">
        <v>0</v>
      </c>
      <c r="M618" t="n">
        <v>0</v>
      </c>
      <c r="N618" t="n">
        <v>0</v>
      </c>
      <c r="O618" t="n">
        <v>0</v>
      </c>
      <c r="P618" t="n">
        <v>0</v>
      </c>
      <c r="Q618" t="n">
        <v>0</v>
      </c>
      <c r="R618" s="2" t="inlineStr"/>
    </row>
    <row r="619" ht="15" customHeight="1">
      <c r="A619" t="inlineStr">
        <is>
          <t>A 27947-2019</t>
        </is>
      </c>
      <c r="B619" s="1" t="n">
        <v>43620</v>
      </c>
      <c r="C619" s="1" t="n">
        <v>45345</v>
      </c>
      <c r="D619" t="inlineStr">
        <is>
          <t>VÄSTMANLANDS LÄN</t>
        </is>
      </c>
      <c r="E619" t="inlineStr">
        <is>
          <t>HALLSTAHAMMAR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27832-2019</t>
        </is>
      </c>
      <c r="B620" s="1" t="n">
        <v>43620</v>
      </c>
      <c r="C620" s="1" t="n">
        <v>45345</v>
      </c>
      <c r="D620" t="inlineStr">
        <is>
          <t>VÄSTMANLANDS LÄN</t>
        </is>
      </c>
      <c r="E620" t="inlineStr">
        <is>
          <t>SKINNSKATTEBERG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28148-2019</t>
        </is>
      </c>
      <c r="B621" s="1" t="n">
        <v>43621</v>
      </c>
      <c r="C621" s="1" t="n">
        <v>45345</v>
      </c>
      <c r="D621" t="inlineStr">
        <is>
          <t>VÄSTMANLANDS LÄN</t>
        </is>
      </c>
      <c r="E621" t="inlineStr">
        <is>
          <t>HALLSTAHAMMAR</t>
        </is>
      </c>
      <c r="F621" t="inlineStr">
        <is>
          <t>Allmännings- och besparingsskogar</t>
        </is>
      </c>
      <c r="G621" t="n">
        <v>0.6</v>
      </c>
      <c r="H621" t="n">
        <v>0</v>
      </c>
      <c r="I621" t="n">
        <v>0</v>
      </c>
      <c r="J621" t="n">
        <v>0</v>
      </c>
      <c r="K621" t="n">
        <v>0</v>
      </c>
      <c r="L621" t="n">
        <v>0</v>
      </c>
      <c r="M621" t="n">
        <v>0</v>
      </c>
      <c r="N621" t="n">
        <v>0</v>
      </c>
      <c r="O621" t="n">
        <v>0</v>
      </c>
      <c r="P621" t="n">
        <v>0</v>
      </c>
      <c r="Q621" t="n">
        <v>0</v>
      </c>
      <c r="R621" s="2" t="inlineStr"/>
    </row>
    <row r="622" ht="15" customHeight="1">
      <c r="A622" t="inlineStr">
        <is>
          <t>A 28170-2019</t>
        </is>
      </c>
      <c r="B622" s="1" t="n">
        <v>43621</v>
      </c>
      <c r="C622" s="1" t="n">
        <v>45345</v>
      </c>
      <c r="D622" t="inlineStr">
        <is>
          <t>VÄSTMANLANDS LÄN</t>
        </is>
      </c>
      <c r="E622" t="inlineStr">
        <is>
          <t>NORBERG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28132-2019</t>
        </is>
      </c>
      <c r="B623" s="1" t="n">
        <v>43621</v>
      </c>
      <c r="C623" s="1" t="n">
        <v>45345</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28143-2019</t>
        </is>
      </c>
      <c r="B624" s="1" t="n">
        <v>43621</v>
      </c>
      <c r="C624" s="1" t="n">
        <v>45345</v>
      </c>
      <c r="D624" t="inlineStr">
        <is>
          <t>VÄSTMANLANDS LÄN</t>
        </is>
      </c>
      <c r="E624" t="inlineStr">
        <is>
          <t>SALA</t>
        </is>
      </c>
      <c r="G624" t="n">
        <v>2.3</v>
      </c>
      <c r="H624" t="n">
        <v>0</v>
      </c>
      <c r="I624" t="n">
        <v>0</v>
      </c>
      <c r="J624" t="n">
        <v>0</v>
      </c>
      <c r="K624" t="n">
        <v>0</v>
      </c>
      <c r="L624" t="n">
        <v>0</v>
      </c>
      <c r="M624" t="n">
        <v>0</v>
      </c>
      <c r="N624" t="n">
        <v>0</v>
      </c>
      <c r="O624" t="n">
        <v>0</v>
      </c>
      <c r="P624" t="n">
        <v>0</v>
      </c>
      <c r="Q624" t="n">
        <v>0</v>
      </c>
      <c r="R624" s="2" t="inlineStr"/>
    </row>
    <row r="625" ht="15" customHeight="1">
      <c r="A625" t="inlineStr">
        <is>
          <t>A 28162-2019</t>
        </is>
      </c>
      <c r="B625" s="1" t="n">
        <v>43621</v>
      </c>
      <c r="C625" s="1" t="n">
        <v>45345</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28189-2019</t>
        </is>
      </c>
      <c r="B626" s="1" t="n">
        <v>43621</v>
      </c>
      <c r="C626" s="1" t="n">
        <v>45345</v>
      </c>
      <c r="D626" t="inlineStr">
        <is>
          <t>VÄSTMANLANDS LÄN</t>
        </is>
      </c>
      <c r="E626" t="inlineStr">
        <is>
          <t>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28136-2019</t>
        </is>
      </c>
      <c r="B627" s="1" t="n">
        <v>43621</v>
      </c>
      <c r="C627" s="1" t="n">
        <v>45345</v>
      </c>
      <c r="D627" t="inlineStr">
        <is>
          <t>VÄSTMANLANDS LÄN</t>
        </is>
      </c>
      <c r="E627" t="inlineStr">
        <is>
          <t>NORBERG</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28297-2019</t>
        </is>
      </c>
      <c r="B628" s="1" t="n">
        <v>43623</v>
      </c>
      <c r="C628" s="1" t="n">
        <v>45345</v>
      </c>
      <c r="D628" t="inlineStr">
        <is>
          <t>VÄSTMANLANDS LÄN</t>
        </is>
      </c>
      <c r="E628" t="inlineStr">
        <is>
          <t>HALLSTAHAMMAR</t>
        </is>
      </c>
      <c r="F628" t="inlineStr">
        <is>
          <t>Allmännings- och besparingsskogar</t>
        </is>
      </c>
      <c r="G628" t="n">
        <v>7.5</v>
      </c>
      <c r="H628" t="n">
        <v>0</v>
      </c>
      <c r="I628" t="n">
        <v>0</v>
      </c>
      <c r="J628" t="n">
        <v>0</v>
      </c>
      <c r="K628" t="n">
        <v>0</v>
      </c>
      <c r="L628" t="n">
        <v>0</v>
      </c>
      <c r="M628" t="n">
        <v>0</v>
      </c>
      <c r="N628" t="n">
        <v>0</v>
      </c>
      <c r="O628" t="n">
        <v>0</v>
      </c>
      <c r="P628" t="n">
        <v>0</v>
      </c>
      <c r="Q628" t="n">
        <v>0</v>
      </c>
      <c r="R628" s="2" t="inlineStr"/>
    </row>
    <row r="629" ht="15" customHeight="1">
      <c r="A629" t="inlineStr">
        <is>
          <t>A 28274-2019</t>
        </is>
      </c>
      <c r="B629" s="1" t="n">
        <v>43623</v>
      </c>
      <c r="C629" s="1" t="n">
        <v>45345</v>
      </c>
      <c r="D629" t="inlineStr">
        <is>
          <t>VÄSTMANLANDS LÄN</t>
        </is>
      </c>
      <c r="E629" t="inlineStr">
        <is>
          <t>SURAHAMMAR</t>
        </is>
      </c>
      <c r="F629" t="inlineStr">
        <is>
          <t>Allmännings- och besparingsskogar</t>
        </is>
      </c>
      <c r="G629" t="n">
        <v>0.7</v>
      </c>
      <c r="H629" t="n">
        <v>0</v>
      </c>
      <c r="I629" t="n">
        <v>0</v>
      </c>
      <c r="J629" t="n">
        <v>0</v>
      </c>
      <c r="K629" t="n">
        <v>0</v>
      </c>
      <c r="L629" t="n">
        <v>0</v>
      </c>
      <c r="M629" t="n">
        <v>0</v>
      </c>
      <c r="N629" t="n">
        <v>0</v>
      </c>
      <c r="O629" t="n">
        <v>0</v>
      </c>
      <c r="P629" t="n">
        <v>0</v>
      </c>
      <c r="Q629" t="n">
        <v>0</v>
      </c>
      <c r="R629" s="2" t="inlineStr"/>
    </row>
    <row r="630" ht="15" customHeight="1">
      <c r="A630" t="inlineStr">
        <is>
          <t>A 28365-2019</t>
        </is>
      </c>
      <c r="B630" s="1" t="n">
        <v>43625</v>
      </c>
      <c r="C630" s="1" t="n">
        <v>45345</v>
      </c>
      <c r="D630" t="inlineStr">
        <is>
          <t>VÄSTMANLANDS LÄN</t>
        </is>
      </c>
      <c r="E630" t="inlineStr">
        <is>
          <t>ARBOGA</t>
        </is>
      </c>
      <c r="G630" t="n">
        <v>2.7</v>
      </c>
      <c r="H630" t="n">
        <v>0</v>
      </c>
      <c r="I630" t="n">
        <v>0</v>
      </c>
      <c r="J630" t="n">
        <v>0</v>
      </c>
      <c r="K630" t="n">
        <v>0</v>
      </c>
      <c r="L630" t="n">
        <v>0</v>
      </c>
      <c r="M630" t="n">
        <v>0</v>
      </c>
      <c r="N630" t="n">
        <v>0</v>
      </c>
      <c r="O630" t="n">
        <v>0</v>
      </c>
      <c r="P630" t="n">
        <v>0</v>
      </c>
      <c r="Q630" t="n">
        <v>0</v>
      </c>
      <c r="R630" s="2" t="inlineStr"/>
    </row>
    <row r="631" ht="15" customHeight="1">
      <c r="A631" t="inlineStr">
        <is>
          <t>A 28359-2019</t>
        </is>
      </c>
      <c r="B631" s="1" t="n">
        <v>43625</v>
      </c>
      <c r="C631" s="1" t="n">
        <v>45345</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29023-2019</t>
        </is>
      </c>
      <c r="B632" s="1" t="n">
        <v>43628</v>
      </c>
      <c r="C632" s="1" t="n">
        <v>45345</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29402-2019</t>
        </is>
      </c>
      <c r="B633" s="1" t="n">
        <v>43629</v>
      </c>
      <c r="C633" s="1" t="n">
        <v>45345</v>
      </c>
      <c r="D633" t="inlineStr">
        <is>
          <t>VÄSTMANLANDS LÄN</t>
        </is>
      </c>
      <c r="E633" t="inlineStr">
        <is>
          <t>HALLSTAHAMMAR</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29418-2019</t>
        </is>
      </c>
      <c r="B634" s="1" t="n">
        <v>43629</v>
      </c>
      <c r="C634" s="1" t="n">
        <v>45345</v>
      </c>
      <c r="D634" t="inlineStr">
        <is>
          <t>VÄSTMANLANDS LÄN</t>
        </is>
      </c>
      <c r="E634" t="inlineStr">
        <is>
          <t>SKINNSKATTEBERG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29832-2019</t>
        </is>
      </c>
      <c r="B635" s="1" t="n">
        <v>43629</v>
      </c>
      <c r="C635" s="1" t="n">
        <v>45345</v>
      </c>
      <c r="D635" t="inlineStr">
        <is>
          <t>VÄSTMANLANDS LÄN</t>
        </is>
      </c>
      <c r="E635" t="inlineStr">
        <is>
          <t>NORBERG</t>
        </is>
      </c>
      <c r="G635" t="n">
        <v>1.5</v>
      </c>
      <c r="H635" t="n">
        <v>0</v>
      </c>
      <c r="I635" t="n">
        <v>0</v>
      </c>
      <c r="J635" t="n">
        <v>0</v>
      </c>
      <c r="K635" t="n">
        <v>0</v>
      </c>
      <c r="L635" t="n">
        <v>0</v>
      </c>
      <c r="M635" t="n">
        <v>0</v>
      </c>
      <c r="N635" t="n">
        <v>0</v>
      </c>
      <c r="O635" t="n">
        <v>0</v>
      </c>
      <c r="P635" t="n">
        <v>0</v>
      </c>
      <c r="Q635" t="n">
        <v>0</v>
      </c>
      <c r="R635" s="2" t="inlineStr"/>
    </row>
    <row r="636" ht="15" customHeight="1">
      <c r="A636" t="inlineStr">
        <is>
          <t>A 29331-2019</t>
        </is>
      </c>
      <c r="B636" s="1" t="n">
        <v>43629</v>
      </c>
      <c r="C636" s="1" t="n">
        <v>45345</v>
      </c>
      <c r="D636" t="inlineStr">
        <is>
          <t>VÄSTMANLANDS LÄN</t>
        </is>
      </c>
      <c r="E636" t="inlineStr">
        <is>
          <t>SALA</t>
        </is>
      </c>
      <c r="G636" t="n">
        <v>5</v>
      </c>
      <c r="H636" t="n">
        <v>0</v>
      </c>
      <c r="I636" t="n">
        <v>0</v>
      </c>
      <c r="J636" t="n">
        <v>0</v>
      </c>
      <c r="K636" t="n">
        <v>0</v>
      </c>
      <c r="L636" t="n">
        <v>0</v>
      </c>
      <c r="M636" t="n">
        <v>0</v>
      </c>
      <c r="N636" t="n">
        <v>0</v>
      </c>
      <c r="O636" t="n">
        <v>0</v>
      </c>
      <c r="P636" t="n">
        <v>0</v>
      </c>
      <c r="Q636" t="n">
        <v>0</v>
      </c>
      <c r="R636" s="2" t="inlineStr"/>
    </row>
    <row r="637" ht="15" customHeight="1">
      <c r="A637" t="inlineStr">
        <is>
          <t>A 29523-2019</t>
        </is>
      </c>
      <c r="B637" s="1" t="n">
        <v>43630</v>
      </c>
      <c r="C637" s="1" t="n">
        <v>45345</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29961-2019</t>
        </is>
      </c>
      <c r="B638" s="1" t="n">
        <v>43633</v>
      </c>
      <c r="C638" s="1" t="n">
        <v>45345</v>
      </c>
      <c r="D638" t="inlineStr">
        <is>
          <t>VÄSTMANLANDS LÄN</t>
        </is>
      </c>
      <c r="E638" t="inlineStr">
        <is>
          <t>NORBERG</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30161-2019</t>
        </is>
      </c>
      <c r="B639" s="1" t="n">
        <v>43634</v>
      </c>
      <c r="C639" s="1" t="n">
        <v>45345</v>
      </c>
      <c r="D639" t="inlineStr">
        <is>
          <t>VÄSTMANLANDS LÄN</t>
        </is>
      </c>
      <c r="E639" t="inlineStr">
        <is>
          <t>SKINNSKATTEBERG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31225-2019</t>
        </is>
      </c>
      <c r="B640" s="1" t="n">
        <v>43635</v>
      </c>
      <c r="C640" s="1" t="n">
        <v>45345</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31029-2019</t>
        </is>
      </c>
      <c r="B641" s="1" t="n">
        <v>43635</v>
      </c>
      <c r="C641" s="1" t="n">
        <v>45345</v>
      </c>
      <c r="D641" t="inlineStr">
        <is>
          <t>VÄSTMANLANDS LÄN</t>
        </is>
      </c>
      <c r="E641" t="inlineStr">
        <is>
          <t>NORBERG</t>
        </is>
      </c>
      <c r="G641" t="n">
        <v>0.5</v>
      </c>
      <c r="H641" t="n">
        <v>0</v>
      </c>
      <c r="I641" t="n">
        <v>0</v>
      </c>
      <c r="J641" t="n">
        <v>0</v>
      </c>
      <c r="K641" t="n">
        <v>0</v>
      </c>
      <c r="L641" t="n">
        <v>0</v>
      </c>
      <c r="M641" t="n">
        <v>0</v>
      </c>
      <c r="N641" t="n">
        <v>0</v>
      </c>
      <c r="O641" t="n">
        <v>0</v>
      </c>
      <c r="P641" t="n">
        <v>0</v>
      </c>
      <c r="Q641" t="n">
        <v>0</v>
      </c>
      <c r="R641" s="2" t="inlineStr"/>
    </row>
    <row r="642" ht="15" customHeight="1">
      <c r="A642" t="inlineStr">
        <is>
          <t>A 30745-2019</t>
        </is>
      </c>
      <c r="B642" s="1" t="n">
        <v>43636</v>
      </c>
      <c r="C642" s="1" t="n">
        <v>45345</v>
      </c>
      <c r="D642" t="inlineStr">
        <is>
          <t>VÄSTMANLANDS LÄN</t>
        </is>
      </c>
      <c r="E642" t="inlineStr">
        <is>
          <t>VÄSTERÅS</t>
        </is>
      </c>
      <c r="G642" t="n">
        <v>13.6</v>
      </c>
      <c r="H642" t="n">
        <v>0</v>
      </c>
      <c r="I642" t="n">
        <v>0</v>
      </c>
      <c r="J642" t="n">
        <v>0</v>
      </c>
      <c r="K642" t="n">
        <v>0</v>
      </c>
      <c r="L642" t="n">
        <v>0</v>
      </c>
      <c r="M642" t="n">
        <v>0</v>
      </c>
      <c r="N642" t="n">
        <v>0</v>
      </c>
      <c r="O642" t="n">
        <v>0</v>
      </c>
      <c r="P642" t="n">
        <v>0</v>
      </c>
      <c r="Q642" t="n">
        <v>0</v>
      </c>
      <c r="R642" s="2" t="inlineStr"/>
    </row>
    <row r="643" ht="15" customHeight="1">
      <c r="A643" t="inlineStr">
        <is>
          <t>A 30826-2019</t>
        </is>
      </c>
      <c r="B643" s="1" t="n">
        <v>43636</v>
      </c>
      <c r="C643" s="1" t="n">
        <v>45345</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30974-2019</t>
        </is>
      </c>
      <c r="B644" s="1" t="n">
        <v>43639</v>
      </c>
      <c r="C644" s="1" t="n">
        <v>45345</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31008-2019</t>
        </is>
      </c>
      <c r="B645" s="1" t="n">
        <v>43640</v>
      </c>
      <c r="C645" s="1" t="n">
        <v>45345</v>
      </c>
      <c r="D645" t="inlineStr">
        <is>
          <t>VÄSTMANLANDS LÄN</t>
        </is>
      </c>
      <c r="E645" t="inlineStr">
        <is>
          <t>SURAHAMMAR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31641-2019</t>
        </is>
      </c>
      <c r="B646" s="1" t="n">
        <v>43640</v>
      </c>
      <c r="C646" s="1" t="n">
        <v>45345</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31725-2019</t>
        </is>
      </c>
      <c r="B647" s="1" t="n">
        <v>43642</v>
      </c>
      <c r="C647" s="1" t="n">
        <v>45345</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31721-2019</t>
        </is>
      </c>
      <c r="B648" s="1" t="n">
        <v>43642</v>
      </c>
      <c r="C648" s="1" t="n">
        <v>45345</v>
      </c>
      <c r="D648" t="inlineStr">
        <is>
          <t>VÄSTMANLANDS LÄN</t>
        </is>
      </c>
      <c r="E648" t="inlineStr">
        <is>
          <t>SKINNSKATTEBERG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31748-2019</t>
        </is>
      </c>
      <c r="B649" s="1" t="n">
        <v>43642</v>
      </c>
      <c r="C649" s="1" t="n">
        <v>45345</v>
      </c>
      <c r="D649" t="inlineStr">
        <is>
          <t>VÄSTMANLANDS LÄN</t>
        </is>
      </c>
      <c r="E649" t="inlineStr">
        <is>
          <t>NORBERG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31643-2019</t>
        </is>
      </c>
      <c r="B650" s="1" t="n">
        <v>43642</v>
      </c>
      <c r="C650" s="1" t="n">
        <v>45345</v>
      </c>
      <c r="D650" t="inlineStr">
        <is>
          <t>VÄSTMANLANDS LÄN</t>
        </is>
      </c>
      <c r="E650" t="inlineStr">
        <is>
          <t>SKINNSKATTEBERG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32245-2019</t>
        </is>
      </c>
      <c r="B651" s="1" t="n">
        <v>43643</v>
      </c>
      <c r="C651" s="1" t="n">
        <v>45345</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32448-2019</t>
        </is>
      </c>
      <c r="B652" s="1" t="n">
        <v>43644</v>
      </c>
      <c r="C652" s="1" t="n">
        <v>45345</v>
      </c>
      <c r="D652" t="inlineStr">
        <is>
          <t>VÄSTMANLANDS LÄN</t>
        </is>
      </c>
      <c r="E652" t="inlineStr">
        <is>
          <t>KÖPING</t>
        </is>
      </c>
      <c r="G652" t="n">
        <v>5.6</v>
      </c>
      <c r="H652" t="n">
        <v>0</v>
      </c>
      <c r="I652" t="n">
        <v>0</v>
      </c>
      <c r="J652" t="n">
        <v>0</v>
      </c>
      <c r="K652" t="n">
        <v>0</v>
      </c>
      <c r="L652" t="n">
        <v>0</v>
      </c>
      <c r="M652" t="n">
        <v>0</v>
      </c>
      <c r="N652" t="n">
        <v>0</v>
      </c>
      <c r="O652" t="n">
        <v>0</v>
      </c>
      <c r="P652" t="n">
        <v>0</v>
      </c>
      <c r="Q652" t="n">
        <v>0</v>
      </c>
      <c r="R652" s="2" t="inlineStr"/>
    </row>
    <row r="653" ht="15" customHeight="1">
      <c r="A653" t="inlineStr">
        <is>
          <t>A 32430-2019</t>
        </is>
      </c>
      <c r="B653" s="1" t="n">
        <v>43644</v>
      </c>
      <c r="C653" s="1" t="n">
        <v>45345</v>
      </c>
      <c r="D653" t="inlineStr">
        <is>
          <t>VÄSTMANLANDS LÄN</t>
        </is>
      </c>
      <c r="E653" t="inlineStr">
        <is>
          <t>SKINNSKATTEBERG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34565-2019</t>
        </is>
      </c>
      <c r="B654" s="1" t="n">
        <v>43647</v>
      </c>
      <c r="C654" s="1" t="n">
        <v>45345</v>
      </c>
      <c r="D654" t="inlineStr">
        <is>
          <t>VÄSTMANLANDS LÄN</t>
        </is>
      </c>
      <c r="E654" t="inlineStr">
        <is>
          <t>SKINNSKATTEBERG</t>
        </is>
      </c>
      <c r="G654" t="n">
        <v>5.3</v>
      </c>
      <c r="H654" t="n">
        <v>0</v>
      </c>
      <c r="I654" t="n">
        <v>0</v>
      </c>
      <c r="J654" t="n">
        <v>0</v>
      </c>
      <c r="K654" t="n">
        <v>0</v>
      </c>
      <c r="L654" t="n">
        <v>0</v>
      </c>
      <c r="M654" t="n">
        <v>0</v>
      </c>
      <c r="N654" t="n">
        <v>0</v>
      </c>
      <c r="O654" t="n">
        <v>0</v>
      </c>
      <c r="P654" t="n">
        <v>0</v>
      </c>
      <c r="Q654" t="n">
        <v>0</v>
      </c>
      <c r="R654" s="2" t="inlineStr"/>
    </row>
    <row r="655" ht="15" customHeight="1">
      <c r="A655" t="inlineStr">
        <is>
          <t>A 32850-2019</t>
        </is>
      </c>
      <c r="B655" s="1" t="n">
        <v>43648</v>
      </c>
      <c r="C655" s="1" t="n">
        <v>45345</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32856-2019</t>
        </is>
      </c>
      <c r="B656" s="1" t="n">
        <v>43648</v>
      </c>
      <c r="C656" s="1" t="n">
        <v>45345</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34709-2019</t>
        </is>
      </c>
      <c r="B657" s="1" t="n">
        <v>43648</v>
      </c>
      <c r="C657" s="1" t="n">
        <v>45345</v>
      </c>
      <c r="D657" t="inlineStr">
        <is>
          <t>VÄSTMANLANDS LÄN</t>
        </is>
      </c>
      <c r="E657" t="inlineStr">
        <is>
          <t>SALA</t>
        </is>
      </c>
      <c r="G657" t="n">
        <v>1.7</v>
      </c>
      <c r="H657" t="n">
        <v>0</v>
      </c>
      <c r="I657" t="n">
        <v>0</v>
      </c>
      <c r="J657" t="n">
        <v>0</v>
      </c>
      <c r="K657" t="n">
        <v>0</v>
      </c>
      <c r="L657" t="n">
        <v>0</v>
      </c>
      <c r="M657" t="n">
        <v>0</v>
      </c>
      <c r="N657" t="n">
        <v>0</v>
      </c>
      <c r="O657" t="n">
        <v>0</v>
      </c>
      <c r="P657" t="n">
        <v>0</v>
      </c>
      <c r="Q657" t="n">
        <v>0</v>
      </c>
      <c r="R657" s="2" t="inlineStr"/>
    </row>
    <row r="658" ht="15" customHeight="1">
      <c r="A658" t="inlineStr">
        <is>
          <t>A 33440-2019</t>
        </is>
      </c>
      <c r="B658" s="1" t="n">
        <v>43650</v>
      </c>
      <c r="C658" s="1" t="n">
        <v>45345</v>
      </c>
      <c r="D658" t="inlineStr">
        <is>
          <t>VÄSTMANLANDS LÄN</t>
        </is>
      </c>
      <c r="E658" t="inlineStr">
        <is>
          <t>FAGERSTA</t>
        </is>
      </c>
      <c r="G658" t="n">
        <v>4.4</v>
      </c>
      <c r="H658" t="n">
        <v>0</v>
      </c>
      <c r="I658" t="n">
        <v>0</v>
      </c>
      <c r="J658" t="n">
        <v>0</v>
      </c>
      <c r="K658" t="n">
        <v>0</v>
      </c>
      <c r="L658" t="n">
        <v>0</v>
      </c>
      <c r="M658" t="n">
        <v>0</v>
      </c>
      <c r="N658" t="n">
        <v>0</v>
      </c>
      <c r="O658" t="n">
        <v>0</v>
      </c>
      <c r="P658" t="n">
        <v>0</v>
      </c>
      <c r="Q658" t="n">
        <v>0</v>
      </c>
      <c r="R658" s="2" t="inlineStr"/>
    </row>
    <row r="659" ht="15" customHeight="1">
      <c r="A659" t="inlineStr">
        <is>
          <t>A 33647-2019</t>
        </is>
      </c>
      <c r="B659" s="1" t="n">
        <v>43651</v>
      </c>
      <c r="C659" s="1" t="n">
        <v>45345</v>
      </c>
      <c r="D659" t="inlineStr">
        <is>
          <t>VÄSTMANLANDS LÄN</t>
        </is>
      </c>
      <c r="E659" t="inlineStr">
        <is>
          <t>SKINNSKATTEBERG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33758-2019</t>
        </is>
      </c>
      <c r="B660" s="1" t="n">
        <v>43651</v>
      </c>
      <c r="C660" s="1" t="n">
        <v>45345</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33782-2019</t>
        </is>
      </c>
      <c r="B661" s="1" t="n">
        <v>43651</v>
      </c>
      <c r="C661" s="1" t="n">
        <v>45345</v>
      </c>
      <c r="D661" t="inlineStr">
        <is>
          <t>VÄSTMANLANDS LÄN</t>
        </is>
      </c>
      <c r="E661" t="inlineStr">
        <is>
          <t>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33581-2019</t>
        </is>
      </c>
      <c r="B662" s="1" t="n">
        <v>43651</v>
      </c>
      <c r="C662" s="1" t="n">
        <v>45345</v>
      </c>
      <c r="D662" t="inlineStr">
        <is>
          <t>VÄSTMANLANDS LÄN</t>
        </is>
      </c>
      <c r="E662" t="inlineStr">
        <is>
          <t>SKINNSKATTEBERG</t>
        </is>
      </c>
      <c r="G662" t="n">
        <v>5.4</v>
      </c>
      <c r="H662" t="n">
        <v>0</v>
      </c>
      <c r="I662" t="n">
        <v>0</v>
      </c>
      <c r="J662" t="n">
        <v>0</v>
      </c>
      <c r="K662" t="n">
        <v>0</v>
      </c>
      <c r="L662" t="n">
        <v>0</v>
      </c>
      <c r="M662" t="n">
        <v>0</v>
      </c>
      <c r="N662" t="n">
        <v>0</v>
      </c>
      <c r="O662" t="n">
        <v>0</v>
      </c>
      <c r="P662" t="n">
        <v>0</v>
      </c>
      <c r="Q662" t="n">
        <v>0</v>
      </c>
      <c r="R662" s="2" t="inlineStr"/>
    </row>
    <row r="663" ht="15" customHeight="1">
      <c r="A663" t="inlineStr">
        <is>
          <t>A 34010-2019</t>
        </is>
      </c>
      <c r="B663" s="1" t="n">
        <v>43654</v>
      </c>
      <c r="C663" s="1" t="n">
        <v>45345</v>
      </c>
      <c r="D663" t="inlineStr">
        <is>
          <t>VÄSTMANLANDS LÄN</t>
        </is>
      </c>
      <c r="E663" t="inlineStr">
        <is>
          <t>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35787-2019</t>
        </is>
      </c>
      <c r="B664" s="1" t="n">
        <v>43656</v>
      </c>
      <c r="C664" s="1" t="n">
        <v>45345</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35779-2019</t>
        </is>
      </c>
      <c r="B665" s="1" t="n">
        <v>43656</v>
      </c>
      <c r="C665" s="1" t="n">
        <v>45345</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35074-2019</t>
        </is>
      </c>
      <c r="B666" s="1" t="n">
        <v>43661</v>
      </c>
      <c r="C666" s="1" t="n">
        <v>45345</v>
      </c>
      <c r="D666" t="inlineStr">
        <is>
          <t>VÄSTMANLANDS LÄN</t>
        </is>
      </c>
      <c r="E666" t="inlineStr">
        <is>
          <t>NORBERG</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35690-2019</t>
        </is>
      </c>
      <c r="B667" s="1" t="n">
        <v>43664</v>
      </c>
      <c r="C667" s="1" t="n">
        <v>45345</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35939-2019</t>
        </is>
      </c>
      <c r="B668" s="1" t="n">
        <v>43665</v>
      </c>
      <c r="C668" s="1" t="n">
        <v>45345</v>
      </c>
      <c r="D668" t="inlineStr">
        <is>
          <t>VÄSTMANLANDS LÄN</t>
        </is>
      </c>
      <c r="E668" t="inlineStr">
        <is>
          <t>KÖPING</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35801-2019</t>
        </is>
      </c>
      <c r="B669" s="1" t="n">
        <v>43665</v>
      </c>
      <c r="C669" s="1" t="n">
        <v>45345</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36142-2019</t>
        </is>
      </c>
      <c r="B670" s="1" t="n">
        <v>43668</v>
      </c>
      <c r="C670" s="1" t="n">
        <v>45345</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36069-2019</t>
        </is>
      </c>
      <c r="B671" s="1" t="n">
        <v>43668</v>
      </c>
      <c r="C671" s="1" t="n">
        <v>45345</v>
      </c>
      <c r="D671" t="inlineStr">
        <is>
          <t>VÄSTMANLANDS LÄN</t>
        </is>
      </c>
      <c r="E671" t="inlineStr">
        <is>
          <t>FAGERSTA</t>
        </is>
      </c>
      <c r="G671" t="n">
        <v>3.6</v>
      </c>
      <c r="H671" t="n">
        <v>0</v>
      </c>
      <c r="I671" t="n">
        <v>0</v>
      </c>
      <c r="J671" t="n">
        <v>0</v>
      </c>
      <c r="K671" t="n">
        <v>0</v>
      </c>
      <c r="L671" t="n">
        <v>0</v>
      </c>
      <c r="M671" t="n">
        <v>0</v>
      </c>
      <c r="N671" t="n">
        <v>0</v>
      </c>
      <c r="O671" t="n">
        <v>0</v>
      </c>
      <c r="P671" t="n">
        <v>0</v>
      </c>
      <c r="Q671" t="n">
        <v>0</v>
      </c>
      <c r="R671" s="2" t="inlineStr"/>
    </row>
    <row r="672" ht="15" customHeight="1">
      <c r="A672" t="inlineStr">
        <is>
          <t>A 36429-2019</t>
        </is>
      </c>
      <c r="B672" s="1" t="n">
        <v>43670</v>
      </c>
      <c r="C672" s="1" t="n">
        <v>45345</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36437-2019</t>
        </is>
      </c>
      <c r="B673" s="1" t="n">
        <v>43670</v>
      </c>
      <c r="C673" s="1" t="n">
        <v>45345</v>
      </c>
      <c r="D673" t="inlineStr">
        <is>
          <t>VÄSTMANLANDS LÄN</t>
        </is>
      </c>
      <c r="E673" t="inlineStr">
        <is>
          <t>VÄSTERÅS</t>
        </is>
      </c>
      <c r="G673" t="n">
        <v>2.7</v>
      </c>
      <c r="H673" t="n">
        <v>0</v>
      </c>
      <c r="I673" t="n">
        <v>0</v>
      </c>
      <c r="J673" t="n">
        <v>0</v>
      </c>
      <c r="K673" t="n">
        <v>0</v>
      </c>
      <c r="L673" t="n">
        <v>0</v>
      </c>
      <c r="M673" t="n">
        <v>0</v>
      </c>
      <c r="N673" t="n">
        <v>0</v>
      </c>
      <c r="O673" t="n">
        <v>0</v>
      </c>
      <c r="P673" t="n">
        <v>0</v>
      </c>
      <c r="Q673" t="n">
        <v>0</v>
      </c>
      <c r="R673" s="2" t="inlineStr"/>
    </row>
    <row r="674" ht="15" customHeight="1">
      <c r="A674" t="inlineStr">
        <is>
          <t>A 36600-2019</t>
        </is>
      </c>
      <c r="B674" s="1" t="n">
        <v>43671</v>
      </c>
      <c r="C674" s="1" t="n">
        <v>45345</v>
      </c>
      <c r="D674" t="inlineStr">
        <is>
          <t>VÄSTMANLANDS LÄN</t>
        </is>
      </c>
      <c r="E674" t="inlineStr">
        <is>
          <t>SALA</t>
        </is>
      </c>
      <c r="F674" t="inlineStr">
        <is>
          <t>Kyrkan</t>
        </is>
      </c>
      <c r="G674" t="n">
        <v>4.3</v>
      </c>
      <c r="H674" t="n">
        <v>0</v>
      </c>
      <c r="I674" t="n">
        <v>0</v>
      </c>
      <c r="J674" t="n">
        <v>0</v>
      </c>
      <c r="K674" t="n">
        <v>0</v>
      </c>
      <c r="L674" t="n">
        <v>0</v>
      </c>
      <c r="M674" t="n">
        <v>0</v>
      </c>
      <c r="N674" t="n">
        <v>0</v>
      </c>
      <c r="O674" t="n">
        <v>0</v>
      </c>
      <c r="P674" t="n">
        <v>0</v>
      </c>
      <c r="Q674" t="n">
        <v>0</v>
      </c>
      <c r="R674" s="2" t="inlineStr"/>
    </row>
    <row r="675" ht="15" customHeight="1">
      <c r="A675" t="inlineStr">
        <is>
          <t>A 36695-2019</t>
        </is>
      </c>
      <c r="B675" s="1" t="n">
        <v>43671</v>
      </c>
      <c r="C675" s="1" t="n">
        <v>45345</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36802-2019</t>
        </is>
      </c>
      <c r="B676" s="1" t="n">
        <v>43672</v>
      </c>
      <c r="C676" s="1" t="n">
        <v>45345</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37186-2019</t>
        </is>
      </c>
      <c r="B677" s="1" t="n">
        <v>43677</v>
      </c>
      <c r="C677" s="1" t="n">
        <v>45345</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37533-2019</t>
        </is>
      </c>
      <c r="B678" s="1" t="n">
        <v>43679</v>
      </c>
      <c r="C678" s="1" t="n">
        <v>45345</v>
      </c>
      <c r="D678" t="inlineStr">
        <is>
          <t>VÄSTMANLANDS LÄN</t>
        </is>
      </c>
      <c r="E678" t="inlineStr">
        <is>
          <t>SALA</t>
        </is>
      </c>
      <c r="G678" t="n">
        <v>7.9</v>
      </c>
      <c r="H678" t="n">
        <v>0</v>
      </c>
      <c r="I678" t="n">
        <v>0</v>
      </c>
      <c r="J678" t="n">
        <v>0</v>
      </c>
      <c r="K678" t="n">
        <v>0</v>
      </c>
      <c r="L678" t="n">
        <v>0</v>
      </c>
      <c r="M678" t="n">
        <v>0</v>
      </c>
      <c r="N678" t="n">
        <v>0</v>
      </c>
      <c r="O678" t="n">
        <v>0</v>
      </c>
      <c r="P678" t="n">
        <v>0</v>
      </c>
      <c r="Q678" t="n">
        <v>0</v>
      </c>
      <c r="R678" s="2" t="inlineStr"/>
    </row>
    <row r="679" ht="15" customHeight="1">
      <c r="A679" t="inlineStr">
        <is>
          <t>A 37524-2019</t>
        </is>
      </c>
      <c r="B679" s="1" t="n">
        <v>43679</v>
      </c>
      <c r="C679" s="1" t="n">
        <v>45345</v>
      </c>
      <c r="D679" t="inlineStr">
        <is>
          <t>VÄSTMANLANDS LÄN</t>
        </is>
      </c>
      <c r="E679" t="inlineStr">
        <is>
          <t>NORBERG</t>
        </is>
      </c>
      <c r="G679" t="n">
        <v>2.4</v>
      </c>
      <c r="H679" t="n">
        <v>0</v>
      </c>
      <c r="I679" t="n">
        <v>0</v>
      </c>
      <c r="J679" t="n">
        <v>0</v>
      </c>
      <c r="K679" t="n">
        <v>0</v>
      </c>
      <c r="L679" t="n">
        <v>0</v>
      </c>
      <c r="M679" t="n">
        <v>0</v>
      </c>
      <c r="N679" t="n">
        <v>0</v>
      </c>
      <c r="O679" t="n">
        <v>0</v>
      </c>
      <c r="P679" t="n">
        <v>0</v>
      </c>
      <c r="Q679" t="n">
        <v>0</v>
      </c>
      <c r="R679" s="2" t="inlineStr"/>
    </row>
    <row r="680" ht="15" customHeight="1">
      <c r="A680" t="inlineStr">
        <is>
          <t>A 38084-2019</t>
        </is>
      </c>
      <c r="B680" s="1" t="n">
        <v>43683</v>
      </c>
      <c r="C680" s="1" t="n">
        <v>45345</v>
      </c>
      <c r="D680" t="inlineStr">
        <is>
          <t>VÄSTMANLANDS LÄN</t>
        </is>
      </c>
      <c r="E680" t="inlineStr">
        <is>
          <t>VÄSTERÅS</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38158-2019</t>
        </is>
      </c>
      <c r="B681" s="1" t="n">
        <v>43683</v>
      </c>
      <c r="C681" s="1" t="n">
        <v>45345</v>
      </c>
      <c r="D681" t="inlineStr">
        <is>
          <t>VÄSTMANLANDS LÄN</t>
        </is>
      </c>
      <c r="E681" t="inlineStr">
        <is>
          <t>SKINNSKATTEBERG</t>
        </is>
      </c>
      <c r="G681" t="n">
        <v>5.4</v>
      </c>
      <c r="H681" t="n">
        <v>0</v>
      </c>
      <c r="I681" t="n">
        <v>0</v>
      </c>
      <c r="J681" t="n">
        <v>0</v>
      </c>
      <c r="K681" t="n">
        <v>0</v>
      </c>
      <c r="L681" t="n">
        <v>0</v>
      </c>
      <c r="M681" t="n">
        <v>0</v>
      </c>
      <c r="N681" t="n">
        <v>0</v>
      </c>
      <c r="O681" t="n">
        <v>0</v>
      </c>
      <c r="P681" t="n">
        <v>0</v>
      </c>
      <c r="Q681" t="n">
        <v>0</v>
      </c>
      <c r="R681" s="2" t="inlineStr"/>
    </row>
    <row r="682" ht="15" customHeight="1">
      <c r="A682" t="inlineStr">
        <is>
          <t>A 38087-2019</t>
        </is>
      </c>
      <c r="B682" s="1" t="n">
        <v>43683</v>
      </c>
      <c r="C682" s="1" t="n">
        <v>45345</v>
      </c>
      <c r="D682" t="inlineStr">
        <is>
          <t>VÄSTMANLANDS LÄN</t>
        </is>
      </c>
      <c r="E682" t="inlineStr">
        <is>
          <t>SKINNSKATTEBERG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38489-2019</t>
        </is>
      </c>
      <c r="B683" s="1" t="n">
        <v>43685</v>
      </c>
      <c r="C683" s="1" t="n">
        <v>45345</v>
      </c>
      <c r="D683" t="inlineStr">
        <is>
          <t>VÄSTMANLANDS LÄN</t>
        </is>
      </c>
      <c r="E683" t="inlineStr">
        <is>
          <t>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38487-2019</t>
        </is>
      </c>
      <c r="B684" s="1" t="n">
        <v>43685</v>
      </c>
      <c r="C684" s="1" t="n">
        <v>45345</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38387-2019</t>
        </is>
      </c>
      <c r="B685" s="1" t="n">
        <v>43685</v>
      </c>
      <c r="C685" s="1" t="n">
        <v>45345</v>
      </c>
      <c r="D685" t="inlineStr">
        <is>
          <t>VÄSTMANLANDS LÄN</t>
        </is>
      </c>
      <c r="E685" t="inlineStr">
        <is>
          <t>FAGERSTA</t>
        </is>
      </c>
      <c r="F685" t="inlineStr">
        <is>
          <t>Övriga Aktiebolag</t>
        </is>
      </c>
      <c r="G685" t="n">
        <v>3.6</v>
      </c>
      <c r="H685" t="n">
        <v>0</v>
      </c>
      <c r="I685" t="n">
        <v>0</v>
      </c>
      <c r="J685" t="n">
        <v>0</v>
      </c>
      <c r="K685" t="n">
        <v>0</v>
      </c>
      <c r="L685" t="n">
        <v>0</v>
      </c>
      <c r="M685" t="n">
        <v>0</v>
      </c>
      <c r="N685" t="n">
        <v>0</v>
      </c>
      <c r="O685" t="n">
        <v>0</v>
      </c>
      <c r="P685" t="n">
        <v>0</v>
      </c>
      <c r="Q685" t="n">
        <v>0</v>
      </c>
      <c r="R685" s="2" t="inlineStr"/>
    </row>
    <row r="686" ht="15" customHeight="1">
      <c r="A686" t="inlineStr">
        <is>
          <t>A 38479-2019</t>
        </is>
      </c>
      <c r="B686" s="1" t="n">
        <v>43685</v>
      </c>
      <c r="C686" s="1" t="n">
        <v>45345</v>
      </c>
      <c r="D686" t="inlineStr">
        <is>
          <t>VÄSTMANLANDS LÄN</t>
        </is>
      </c>
      <c r="E686" t="inlineStr">
        <is>
          <t>ARBOGA</t>
        </is>
      </c>
      <c r="G686" t="n">
        <v>5.6</v>
      </c>
      <c r="H686" t="n">
        <v>0</v>
      </c>
      <c r="I686" t="n">
        <v>0</v>
      </c>
      <c r="J686" t="n">
        <v>0</v>
      </c>
      <c r="K686" t="n">
        <v>0</v>
      </c>
      <c r="L686" t="n">
        <v>0</v>
      </c>
      <c r="M686" t="n">
        <v>0</v>
      </c>
      <c r="N686" t="n">
        <v>0</v>
      </c>
      <c r="O686" t="n">
        <v>0</v>
      </c>
      <c r="P686" t="n">
        <v>0</v>
      </c>
      <c r="Q686" t="n">
        <v>0</v>
      </c>
      <c r="R686" s="2" t="inlineStr"/>
    </row>
    <row r="687" ht="15" customHeight="1">
      <c r="A687" t="inlineStr">
        <is>
          <t>A 39177-2019</t>
        </is>
      </c>
      <c r="B687" s="1" t="n">
        <v>43685</v>
      </c>
      <c r="C687" s="1" t="n">
        <v>45345</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39198-2019</t>
        </is>
      </c>
      <c r="B688" s="1" t="n">
        <v>43685</v>
      </c>
      <c r="C688" s="1" t="n">
        <v>45345</v>
      </c>
      <c r="D688" t="inlineStr">
        <is>
          <t>VÄSTMANLANDS LÄN</t>
        </is>
      </c>
      <c r="E688" t="inlineStr">
        <is>
          <t>NORBERG</t>
        </is>
      </c>
      <c r="G688" t="n">
        <v>1.4</v>
      </c>
      <c r="H688" t="n">
        <v>0</v>
      </c>
      <c r="I688" t="n">
        <v>0</v>
      </c>
      <c r="J688" t="n">
        <v>0</v>
      </c>
      <c r="K688" t="n">
        <v>0</v>
      </c>
      <c r="L688" t="n">
        <v>0</v>
      </c>
      <c r="M688" t="n">
        <v>0</v>
      </c>
      <c r="N688" t="n">
        <v>0</v>
      </c>
      <c r="O688" t="n">
        <v>0</v>
      </c>
      <c r="P688" t="n">
        <v>0</v>
      </c>
      <c r="Q688" t="n">
        <v>0</v>
      </c>
      <c r="R688" s="2" t="inlineStr"/>
    </row>
    <row r="689" ht="15" customHeight="1">
      <c r="A689" t="inlineStr">
        <is>
          <t>A 39178-2019</t>
        </is>
      </c>
      <c r="B689" s="1" t="n">
        <v>43685</v>
      </c>
      <c r="C689" s="1" t="n">
        <v>45345</v>
      </c>
      <c r="D689" t="inlineStr">
        <is>
          <t>VÄSTMANLANDS LÄN</t>
        </is>
      </c>
      <c r="E689" t="inlineStr">
        <is>
          <t>VÄSTERÅS</t>
        </is>
      </c>
      <c r="G689" t="n">
        <v>4.5</v>
      </c>
      <c r="H689" t="n">
        <v>0</v>
      </c>
      <c r="I689" t="n">
        <v>0</v>
      </c>
      <c r="J689" t="n">
        <v>0</v>
      </c>
      <c r="K689" t="n">
        <v>0</v>
      </c>
      <c r="L689" t="n">
        <v>0</v>
      </c>
      <c r="M689" t="n">
        <v>0</v>
      </c>
      <c r="N689" t="n">
        <v>0</v>
      </c>
      <c r="O689" t="n">
        <v>0</v>
      </c>
      <c r="P689" t="n">
        <v>0</v>
      </c>
      <c r="Q689" t="n">
        <v>0</v>
      </c>
      <c r="R689" s="2" t="inlineStr"/>
    </row>
    <row r="690" ht="15" customHeight="1">
      <c r="A690" t="inlineStr">
        <is>
          <t>A 38645-2019</t>
        </is>
      </c>
      <c r="B690" s="1" t="n">
        <v>43686</v>
      </c>
      <c r="C690" s="1" t="n">
        <v>45345</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38922-2019</t>
        </is>
      </c>
      <c r="B691" s="1" t="n">
        <v>43689</v>
      </c>
      <c r="C691" s="1" t="n">
        <v>45345</v>
      </c>
      <c r="D691" t="inlineStr">
        <is>
          <t>VÄSTMANLANDS LÄN</t>
        </is>
      </c>
      <c r="E691" t="inlineStr">
        <is>
          <t>VÄSTERÅS</t>
        </is>
      </c>
      <c r="G691" t="n">
        <v>6.4</v>
      </c>
      <c r="H691" t="n">
        <v>0</v>
      </c>
      <c r="I691" t="n">
        <v>0</v>
      </c>
      <c r="J691" t="n">
        <v>0</v>
      </c>
      <c r="K691" t="n">
        <v>0</v>
      </c>
      <c r="L691" t="n">
        <v>0</v>
      </c>
      <c r="M691" t="n">
        <v>0</v>
      </c>
      <c r="N691" t="n">
        <v>0</v>
      </c>
      <c r="O691" t="n">
        <v>0</v>
      </c>
      <c r="P691" t="n">
        <v>0</v>
      </c>
      <c r="Q691" t="n">
        <v>0</v>
      </c>
      <c r="R691" s="2" t="inlineStr"/>
    </row>
    <row r="692" ht="15" customHeight="1">
      <c r="A692" t="inlineStr">
        <is>
          <t>A 38986-2019</t>
        </is>
      </c>
      <c r="B692" s="1" t="n">
        <v>43689</v>
      </c>
      <c r="C692" s="1" t="n">
        <v>45345</v>
      </c>
      <c r="D692" t="inlineStr">
        <is>
          <t>VÄSTMANLANDS LÄN</t>
        </is>
      </c>
      <c r="E692" t="inlineStr">
        <is>
          <t>VÄSTERÅS</t>
        </is>
      </c>
      <c r="G692" t="n">
        <v>1.7</v>
      </c>
      <c r="H692" t="n">
        <v>0</v>
      </c>
      <c r="I692" t="n">
        <v>0</v>
      </c>
      <c r="J692" t="n">
        <v>0</v>
      </c>
      <c r="K692" t="n">
        <v>0</v>
      </c>
      <c r="L692" t="n">
        <v>0</v>
      </c>
      <c r="M692" t="n">
        <v>0</v>
      </c>
      <c r="N692" t="n">
        <v>0</v>
      </c>
      <c r="O692" t="n">
        <v>0</v>
      </c>
      <c r="P692" t="n">
        <v>0</v>
      </c>
      <c r="Q692" t="n">
        <v>0</v>
      </c>
      <c r="R692" s="2" t="inlineStr"/>
    </row>
    <row r="693" ht="15" customHeight="1">
      <c r="A693" t="inlineStr">
        <is>
          <t>A 38981-2019</t>
        </is>
      </c>
      <c r="B693" s="1" t="n">
        <v>43689</v>
      </c>
      <c r="C693" s="1" t="n">
        <v>45345</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39088-2019</t>
        </is>
      </c>
      <c r="B694" s="1" t="n">
        <v>43689</v>
      </c>
      <c r="C694" s="1" t="n">
        <v>45345</v>
      </c>
      <c r="D694" t="inlineStr">
        <is>
          <t>VÄSTMANLANDS LÄN</t>
        </is>
      </c>
      <c r="E694" t="inlineStr">
        <is>
          <t>ARBOGA</t>
        </is>
      </c>
      <c r="G694" t="n">
        <v>2</v>
      </c>
      <c r="H694" t="n">
        <v>0</v>
      </c>
      <c r="I694" t="n">
        <v>0</v>
      </c>
      <c r="J694" t="n">
        <v>0</v>
      </c>
      <c r="K694" t="n">
        <v>0</v>
      </c>
      <c r="L694" t="n">
        <v>0</v>
      </c>
      <c r="M694" t="n">
        <v>0</v>
      </c>
      <c r="N694" t="n">
        <v>0</v>
      </c>
      <c r="O694" t="n">
        <v>0</v>
      </c>
      <c r="P694" t="n">
        <v>0</v>
      </c>
      <c r="Q694" t="n">
        <v>0</v>
      </c>
      <c r="R694" s="2" t="inlineStr"/>
    </row>
    <row r="695" ht="15" customHeight="1">
      <c r="A695" t="inlineStr">
        <is>
          <t>A 38848-2019</t>
        </is>
      </c>
      <c r="B695" s="1" t="n">
        <v>43689</v>
      </c>
      <c r="C695" s="1" t="n">
        <v>45345</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39231-2019</t>
        </is>
      </c>
      <c r="B696" s="1" t="n">
        <v>43690</v>
      </c>
      <c r="C696" s="1" t="n">
        <v>45345</v>
      </c>
      <c r="D696" t="inlineStr">
        <is>
          <t>VÄSTMANLANDS LÄN</t>
        </is>
      </c>
      <c r="E696" t="inlineStr">
        <is>
          <t>ARBOGA</t>
        </is>
      </c>
      <c r="G696" t="n">
        <v>22.7</v>
      </c>
      <c r="H696" t="n">
        <v>0</v>
      </c>
      <c r="I696" t="n">
        <v>0</v>
      </c>
      <c r="J696" t="n">
        <v>0</v>
      </c>
      <c r="K696" t="n">
        <v>0</v>
      </c>
      <c r="L696" t="n">
        <v>0</v>
      </c>
      <c r="M696" t="n">
        <v>0</v>
      </c>
      <c r="N696" t="n">
        <v>0</v>
      </c>
      <c r="O696" t="n">
        <v>0</v>
      </c>
      <c r="P696" t="n">
        <v>0</v>
      </c>
      <c r="Q696" t="n">
        <v>0</v>
      </c>
      <c r="R696" s="2" t="inlineStr"/>
    </row>
    <row r="697" ht="15" customHeight="1">
      <c r="A697" t="inlineStr">
        <is>
          <t>A 39483-2019</t>
        </is>
      </c>
      <c r="B697" s="1" t="n">
        <v>43691</v>
      </c>
      <c r="C697" s="1" t="n">
        <v>45345</v>
      </c>
      <c r="D697" t="inlineStr">
        <is>
          <t>VÄSTMANLANDS LÄN</t>
        </is>
      </c>
      <c r="E697" t="inlineStr">
        <is>
          <t>SALA</t>
        </is>
      </c>
      <c r="G697" t="n">
        <v>4.6</v>
      </c>
      <c r="H697" t="n">
        <v>0</v>
      </c>
      <c r="I697" t="n">
        <v>0</v>
      </c>
      <c r="J697" t="n">
        <v>0</v>
      </c>
      <c r="K697" t="n">
        <v>0</v>
      </c>
      <c r="L697" t="n">
        <v>0</v>
      </c>
      <c r="M697" t="n">
        <v>0</v>
      </c>
      <c r="N697" t="n">
        <v>0</v>
      </c>
      <c r="O697" t="n">
        <v>0</v>
      </c>
      <c r="P697" t="n">
        <v>0</v>
      </c>
      <c r="Q697" t="n">
        <v>0</v>
      </c>
      <c r="R697" s="2" t="inlineStr"/>
    </row>
    <row r="698" ht="15" customHeight="1">
      <c r="A698" t="inlineStr">
        <is>
          <t>A 39497-2019</t>
        </is>
      </c>
      <c r="B698" s="1" t="n">
        <v>43691</v>
      </c>
      <c r="C698" s="1" t="n">
        <v>45345</v>
      </c>
      <c r="D698" t="inlineStr">
        <is>
          <t>VÄSTMANLANDS LÄN</t>
        </is>
      </c>
      <c r="E698" t="inlineStr">
        <is>
          <t>VÄSTERÅS</t>
        </is>
      </c>
      <c r="F698" t="inlineStr">
        <is>
          <t>Kommuner</t>
        </is>
      </c>
      <c r="G698" t="n">
        <v>3.2</v>
      </c>
      <c r="H698" t="n">
        <v>0</v>
      </c>
      <c r="I698" t="n">
        <v>0</v>
      </c>
      <c r="J698" t="n">
        <v>0</v>
      </c>
      <c r="K698" t="n">
        <v>0</v>
      </c>
      <c r="L698" t="n">
        <v>0</v>
      </c>
      <c r="M698" t="n">
        <v>0</v>
      </c>
      <c r="N698" t="n">
        <v>0</v>
      </c>
      <c r="O698" t="n">
        <v>0</v>
      </c>
      <c r="P698" t="n">
        <v>0</v>
      </c>
      <c r="Q698" t="n">
        <v>0</v>
      </c>
      <c r="R698" s="2" t="inlineStr"/>
    </row>
    <row r="699" ht="15" customHeight="1">
      <c r="A699" t="inlineStr">
        <is>
          <t>A 39552-2019</t>
        </is>
      </c>
      <c r="B699" s="1" t="n">
        <v>43691</v>
      </c>
      <c r="C699" s="1" t="n">
        <v>45345</v>
      </c>
      <c r="D699" t="inlineStr">
        <is>
          <t>VÄSTMANLANDS LÄN</t>
        </is>
      </c>
      <c r="E699" t="inlineStr">
        <is>
          <t>SURAHAMMAR</t>
        </is>
      </c>
      <c r="F699" t="inlineStr">
        <is>
          <t>Övriga Aktiebolag</t>
        </is>
      </c>
      <c r="G699" t="n">
        <v>4.4</v>
      </c>
      <c r="H699" t="n">
        <v>0</v>
      </c>
      <c r="I699" t="n">
        <v>0</v>
      </c>
      <c r="J699" t="n">
        <v>0</v>
      </c>
      <c r="K699" t="n">
        <v>0</v>
      </c>
      <c r="L699" t="n">
        <v>0</v>
      </c>
      <c r="M699" t="n">
        <v>0</v>
      </c>
      <c r="N699" t="n">
        <v>0</v>
      </c>
      <c r="O699" t="n">
        <v>0</v>
      </c>
      <c r="P699" t="n">
        <v>0</v>
      </c>
      <c r="Q699" t="n">
        <v>0</v>
      </c>
      <c r="R699" s="2" t="inlineStr"/>
    </row>
    <row r="700" ht="15" customHeight="1">
      <c r="A700" t="inlineStr">
        <is>
          <t>A 39756-2019</t>
        </is>
      </c>
      <c r="B700" s="1" t="n">
        <v>43692</v>
      </c>
      <c r="C700" s="1" t="n">
        <v>45345</v>
      </c>
      <c r="D700" t="inlineStr">
        <is>
          <t>VÄSTMANLANDS LÄN</t>
        </is>
      </c>
      <c r="E700" t="inlineStr">
        <is>
          <t>VÄSTERÅS</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39754-2019</t>
        </is>
      </c>
      <c r="B701" s="1" t="n">
        <v>43692</v>
      </c>
      <c r="C701" s="1" t="n">
        <v>45345</v>
      </c>
      <c r="D701" t="inlineStr">
        <is>
          <t>VÄSTMANLANDS LÄN</t>
        </is>
      </c>
      <c r="E701" t="inlineStr">
        <is>
          <t>SURAHAMMAR</t>
        </is>
      </c>
      <c r="F701" t="inlineStr">
        <is>
          <t>Övriga Aktiebolag</t>
        </is>
      </c>
      <c r="G701" t="n">
        <v>5.7</v>
      </c>
      <c r="H701" t="n">
        <v>0</v>
      </c>
      <c r="I701" t="n">
        <v>0</v>
      </c>
      <c r="J701" t="n">
        <v>0</v>
      </c>
      <c r="K701" t="n">
        <v>0</v>
      </c>
      <c r="L701" t="n">
        <v>0</v>
      </c>
      <c r="M701" t="n">
        <v>0</v>
      </c>
      <c r="N701" t="n">
        <v>0</v>
      </c>
      <c r="O701" t="n">
        <v>0</v>
      </c>
      <c r="P701" t="n">
        <v>0</v>
      </c>
      <c r="Q701" t="n">
        <v>0</v>
      </c>
      <c r="R701" s="2" t="inlineStr"/>
    </row>
    <row r="702" ht="15" customHeight="1">
      <c r="A702" t="inlineStr">
        <is>
          <t>A 39803-2019</t>
        </is>
      </c>
      <c r="B702" s="1" t="n">
        <v>43692</v>
      </c>
      <c r="C702" s="1" t="n">
        <v>45345</v>
      </c>
      <c r="D702" t="inlineStr">
        <is>
          <t>VÄSTMANLANDS LÄN</t>
        </is>
      </c>
      <c r="E702" t="inlineStr">
        <is>
          <t>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40191-2019</t>
        </is>
      </c>
      <c r="B703" s="1" t="n">
        <v>43693</v>
      </c>
      <c r="C703" s="1" t="n">
        <v>45345</v>
      </c>
      <c r="D703" t="inlineStr">
        <is>
          <t>VÄSTMANLANDS LÄN</t>
        </is>
      </c>
      <c r="E703" t="inlineStr">
        <is>
          <t>SURAHAMMAR</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40439-2019</t>
        </is>
      </c>
      <c r="B704" s="1" t="n">
        <v>43696</v>
      </c>
      <c r="C704" s="1" t="n">
        <v>45345</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40598-2019</t>
        </is>
      </c>
      <c r="B705" s="1" t="n">
        <v>43696</v>
      </c>
      <c r="C705" s="1" t="n">
        <v>45345</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40923-2019</t>
        </is>
      </c>
      <c r="B706" s="1" t="n">
        <v>43697</v>
      </c>
      <c r="C706" s="1" t="n">
        <v>45345</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40925-2019</t>
        </is>
      </c>
      <c r="B707" s="1" t="n">
        <v>43697</v>
      </c>
      <c r="C707" s="1" t="n">
        <v>45345</v>
      </c>
      <c r="D707" t="inlineStr">
        <is>
          <t>VÄSTMANLANDS LÄN</t>
        </is>
      </c>
      <c r="E707" t="inlineStr">
        <is>
          <t>KÖPING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41300-2019</t>
        </is>
      </c>
      <c r="B708" s="1" t="n">
        <v>43698</v>
      </c>
      <c r="C708" s="1" t="n">
        <v>45345</v>
      </c>
      <c r="D708" t="inlineStr">
        <is>
          <t>VÄSTMANLANDS LÄN</t>
        </is>
      </c>
      <c r="E708" t="inlineStr">
        <is>
          <t>SKINNSKATTEBERG</t>
        </is>
      </c>
      <c r="G708" t="n">
        <v>2.2</v>
      </c>
      <c r="H708" t="n">
        <v>0</v>
      </c>
      <c r="I708" t="n">
        <v>0</v>
      </c>
      <c r="J708" t="n">
        <v>0</v>
      </c>
      <c r="K708" t="n">
        <v>0</v>
      </c>
      <c r="L708" t="n">
        <v>0</v>
      </c>
      <c r="M708" t="n">
        <v>0</v>
      </c>
      <c r="N708" t="n">
        <v>0</v>
      </c>
      <c r="O708" t="n">
        <v>0</v>
      </c>
      <c r="P708" t="n">
        <v>0</v>
      </c>
      <c r="Q708" t="n">
        <v>0</v>
      </c>
      <c r="R708" s="2" t="inlineStr"/>
    </row>
    <row r="709" ht="15" customHeight="1">
      <c r="A709" t="inlineStr">
        <is>
          <t>A 41259-2019</t>
        </is>
      </c>
      <c r="B709" s="1" t="n">
        <v>43698</v>
      </c>
      <c r="C709" s="1" t="n">
        <v>45345</v>
      </c>
      <c r="D709" t="inlineStr">
        <is>
          <t>VÄSTMANLANDS LÄN</t>
        </is>
      </c>
      <c r="E709" t="inlineStr">
        <is>
          <t>SALA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41568-2019</t>
        </is>
      </c>
      <c r="B710" s="1" t="n">
        <v>43699</v>
      </c>
      <c r="C710" s="1" t="n">
        <v>45345</v>
      </c>
      <c r="D710" t="inlineStr">
        <is>
          <t>VÄSTMANLANDS LÄN</t>
        </is>
      </c>
      <c r="E710" t="inlineStr">
        <is>
          <t>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41630-2019</t>
        </is>
      </c>
      <c r="B711" s="1" t="n">
        <v>43699</v>
      </c>
      <c r="C711" s="1" t="n">
        <v>45345</v>
      </c>
      <c r="D711" t="inlineStr">
        <is>
          <t>VÄSTMANLANDS LÄN</t>
        </is>
      </c>
      <c r="E711" t="inlineStr">
        <is>
          <t>SKINNSKATTEBERG</t>
        </is>
      </c>
      <c r="G711" t="n">
        <v>6.5</v>
      </c>
      <c r="H711" t="n">
        <v>0</v>
      </c>
      <c r="I711" t="n">
        <v>0</v>
      </c>
      <c r="J711" t="n">
        <v>0</v>
      </c>
      <c r="K711" t="n">
        <v>0</v>
      </c>
      <c r="L711" t="n">
        <v>0</v>
      </c>
      <c r="M711" t="n">
        <v>0</v>
      </c>
      <c r="N711" t="n">
        <v>0</v>
      </c>
      <c r="O711" t="n">
        <v>0</v>
      </c>
      <c r="P711" t="n">
        <v>0</v>
      </c>
      <c r="Q711" t="n">
        <v>0</v>
      </c>
      <c r="R711" s="2" t="inlineStr"/>
    </row>
    <row r="712" ht="15" customHeight="1">
      <c r="A712" t="inlineStr">
        <is>
          <t>A 41762-2019</t>
        </is>
      </c>
      <c r="B712" s="1" t="n">
        <v>43699</v>
      </c>
      <c r="C712" s="1" t="n">
        <v>45345</v>
      </c>
      <c r="D712" t="inlineStr">
        <is>
          <t>VÄSTMANLANDS LÄN</t>
        </is>
      </c>
      <c r="E712" t="inlineStr">
        <is>
          <t>VÄSTERÅS</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42003-2019</t>
        </is>
      </c>
      <c r="B713" s="1" t="n">
        <v>43700</v>
      </c>
      <c r="C713" s="1" t="n">
        <v>45345</v>
      </c>
      <c r="D713" t="inlineStr">
        <is>
          <t>VÄSTMANLANDS LÄN</t>
        </is>
      </c>
      <c r="E713" t="inlineStr">
        <is>
          <t>ARBOGA</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42061-2019</t>
        </is>
      </c>
      <c r="B714" s="1" t="n">
        <v>43700</v>
      </c>
      <c r="C714" s="1" t="n">
        <v>45345</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42058-2019</t>
        </is>
      </c>
      <c r="B715" s="1" t="n">
        <v>43700</v>
      </c>
      <c r="C715" s="1" t="n">
        <v>45345</v>
      </c>
      <c r="D715" t="inlineStr">
        <is>
          <t>VÄSTMANLANDS LÄN</t>
        </is>
      </c>
      <c r="E715" t="inlineStr">
        <is>
          <t>VÄSTERÅS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42158-2019</t>
        </is>
      </c>
      <c r="B716" s="1" t="n">
        <v>43703</v>
      </c>
      <c r="C716" s="1" t="n">
        <v>45345</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42385-2019</t>
        </is>
      </c>
      <c r="B717" s="1" t="n">
        <v>43703</v>
      </c>
      <c r="C717" s="1" t="n">
        <v>45345</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42438-2019</t>
        </is>
      </c>
      <c r="B718" s="1" t="n">
        <v>43704</v>
      </c>
      <c r="C718" s="1" t="n">
        <v>45345</v>
      </c>
      <c r="D718" t="inlineStr">
        <is>
          <t>VÄSTMANLANDS LÄN</t>
        </is>
      </c>
      <c r="E718" t="inlineStr">
        <is>
          <t>KÖPING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42437-2019</t>
        </is>
      </c>
      <c r="B719" s="1" t="n">
        <v>43704</v>
      </c>
      <c r="C719" s="1" t="n">
        <v>45345</v>
      </c>
      <c r="D719" t="inlineStr">
        <is>
          <t>VÄSTMANLANDS LÄN</t>
        </is>
      </c>
      <c r="E719" t="inlineStr">
        <is>
          <t>KÖPING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42450-2019</t>
        </is>
      </c>
      <c r="B720" s="1" t="n">
        <v>43704</v>
      </c>
      <c r="C720" s="1" t="n">
        <v>45345</v>
      </c>
      <c r="D720" t="inlineStr">
        <is>
          <t>VÄSTMANLANDS LÄN</t>
        </is>
      </c>
      <c r="E720" t="inlineStr">
        <is>
          <t>KÖPING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42480-2019</t>
        </is>
      </c>
      <c r="B721" s="1" t="n">
        <v>43704</v>
      </c>
      <c r="C721" s="1" t="n">
        <v>45345</v>
      </c>
      <c r="D721" t="inlineStr">
        <is>
          <t>VÄSTMANLANDS LÄN</t>
        </is>
      </c>
      <c r="E721" t="inlineStr">
        <is>
          <t>KÖPING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43235-2019</t>
        </is>
      </c>
      <c r="B722" s="1" t="n">
        <v>43706</v>
      </c>
      <c r="C722" s="1" t="n">
        <v>45345</v>
      </c>
      <c r="D722" t="inlineStr">
        <is>
          <t>VÄSTMANLANDS LÄN</t>
        </is>
      </c>
      <c r="E722" t="inlineStr">
        <is>
          <t>VÄSTERÅS</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43508-2019</t>
        </is>
      </c>
      <c r="B723" s="1" t="n">
        <v>43706</v>
      </c>
      <c r="C723" s="1" t="n">
        <v>45345</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43724-2019</t>
        </is>
      </c>
      <c r="B724" s="1" t="n">
        <v>43707</v>
      </c>
      <c r="C724" s="1" t="n">
        <v>45345</v>
      </c>
      <c r="D724" t="inlineStr">
        <is>
          <t>VÄSTMANLANDS LÄN</t>
        </is>
      </c>
      <c r="E724" t="inlineStr">
        <is>
          <t>ARBOGA</t>
        </is>
      </c>
      <c r="G724" t="n">
        <v>4.1</v>
      </c>
      <c r="H724" t="n">
        <v>0</v>
      </c>
      <c r="I724" t="n">
        <v>0</v>
      </c>
      <c r="J724" t="n">
        <v>0</v>
      </c>
      <c r="K724" t="n">
        <v>0</v>
      </c>
      <c r="L724" t="n">
        <v>0</v>
      </c>
      <c r="M724" t="n">
        <v>0</v>
      </c>
      <c r="N724" t="n">
        <v>0</v>
      </c>
      <c r="O724" t="n">
        <v>0</v>
      </c>
      <c r="P724" t="n">
        <v>0</v>
      </c>
      <c r="Q724" t="n">
        <v>0</v>
      </c>
      <c r="R724" s="2" t="inlineStr"/>
    </row>
    <row r="725" ht="15" customHeight="1">
      <c r="A725" t="inlineStr">
        <is>
          <t>A 43866-2019</t>
        </is>
      </c>
      <c r="B725" s="1" t="n">
        <v>43707</v>
      </c>
      <c r="C725" s="1" t="n">
        <v>45345</v>
      </c>
      <c r="D725" t="inlineStr">
        <is>
          <t>VÄSTMANLANDS LÄN</t>
        </is>
      </c>
      <c r="E725" t="inlineStr">
        <is>
          <t>SKINNSKATTEBERG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43920-2019</t>
        </is>
      </c>
      <c r="B726" s="1" t="n">
        <v>43707</v>
      </c>
      <c r="C726" s="1" t="n">
        <v>45345</v>
      </c>
      <c r="D726" t="inlineStr">
        <is>
          <t>VÄSTMANLANDS LÄN</t>
        </is>
      </c>
      <c r="E726" t="inlineStr">
        <is>
          <t>KUNGSÖR</t>
        </is>
      </c>
      <c r="G726" t="n">
        <v>4.3</v>
      </c>
      <c r="H726" t="n">
        <v>0</v>
      </c>
      <c r="I726" t="n">
        <v>0</v>
      </c>
      <c r="J726" t="n">
        <v>0</v>
      </c>
      <c r="K726" t="n">
        <v>0</v>
      </c>
      <c r="L726" t="n">
        <v>0</v>
      </c>
      <c r="M726" t="n">
        <v>0</v>
      </c>
      <c r="N726" t="n">
        <v>0</v>
      </c>
      <c r="O726" t="n">
        <v>0</v>
      </c>
      <c r="P726" t="n">
        <v>0</v>
      </c>
      <c r="Q726" t="n">
        <v>0</v>
      </c>
      <c r="R726" s="2" t="inlineStr"/>
    </row>
    <row r="727" ht="15" customHeight="1">
      <c r="A727" t="inlineStr">
        <is>
          <t>A 45302-2019</t>
        </is>
      </c>
      <c r="B727" s="1" t="n">
        <v>43707</v>
      </c>
      <c r="C727" s="1" t="n">
        <v>45345</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43865-2019</t>
        </is>
      </c>
      <c r="B728" s="1" t="n">
        <v>43707</v>
      </c>
      <c r="C728" s="1" t="n">
        <v>45345</v>
      </c>
      <c r="D728" t="inlineStr">
        <is>
          <t>VÄSTMANLANDS LÄN</t>
        </is>
      </c>
      <c r="E728" t="inlineStr">
        <is>
          <t>SKINNSKATTEBERG</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44140-2019</t>
        </is>
      </c>
      <c r="B729" s="1" t="n">
        <v>43709</v>
      </c>
      <c r="C729" s="1" t="n">
        <v>45345</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44131-2019</t>
        </is>
      </c>
      <c r="B730" s="1" t="n">
        <v>43709</v>
      </c>
      <c r="C730" s="1" t="n">
        <v>45345</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45467-2019</t>
        </is>
      </c>
      <c r="B731" s="1" t="n">
        <v>43710</v>
      </c>
      <c r="C731" s="1" t="n">
        <v>45345</v>
      </c>
      <c r="D731" t="inlineStr">
        <is>
          <t>VÄSTMANLANDS LÄN</t>
        </is>
      </c>
      <c r="E731" t="inlineStr">
        <is>
          <t>NORBERG</t>
        </is>
      </c>
      <c r="G731" t="n">
        <v>3.7</v>
      </c>
      <c r="H731" t="n">
        <v>0</v>
      </c>
      <c r="I731" t="n">
        <v>0</v>
      </c>
      <c r="J731" t="n">
        <v>0</v>
      </c>
      <c r="K731" t="n">
        <v>0</v>
      </c>
      <c r="L731" t="n">
        <v>0</v>
      </c>
      <c r="M731" t="n">
        <v>0</v>
      </c>
      <c r="N731" t="n">
        <v>0</v>
      </c>
      <c r="O731" t="n">
        <v>0</v>
      </c>
      <c r="P731" t="n">
        <v>0</v>
      </c>
      <c r="Q731" t="n">
        <v>0</v>
      </c>
      <c r="R731" s="2" t="inlineStr"/>
    </row>
    <row r="732" ht="15" customHeight="1">
      <c r="A732" t="inlineStr">
        <is>
          <t>A 44694-2019</t>
        </is>
      </c>
      <c r="B732" s="1" t="n">
        <v>43712</v>
      </c>
      <c r="C732" s="1" t="n">
        <v>45345</v>
      </c>
      <c r="D732" t="inlineStr">
        <is>
          <t>VÄSTMANLANDS LÄN</t>
        </is>
      </c>
      <c r="E732" t="inlineStr">
        <is>
          <t>VÄSTERÅS</t>
        </is>
      </c>
      <c r="G732" t="n">
        <v>0.4</v>
      </c>
      <c r="H732" t="n">
        <v>0</v>
      </c>
      <c r="I732" t="n">
        <v>0</v>
      </c>
      <c r="J732" t="n">
        <v>0</v>
      </c>
      <c r="K732" t="n">
        <v>0</v>
      </c>
      <c r="L732" t="n">
        <v>0</v>
      </c>
      <c r="M732" t="n">
        <v>0</v>
      </c>
      <c r="N732" t="n">
        <v>0</v>
      </c>
      <c r="O732" t="n">
        <v>0</v>
      </c>
      <c r="P732" t="n">
        <v>0</v>
      </c>
      <c r="Q732" t="n">
        <v>0</v>
      </c>
      <c r="R732" s="2" t="inlineStr"/>
    </row>
    <row r="733" ht="15" customHeight="1">
      <c r="A733" t="inlineStr">
        <is>
          <t>A 44699-2019</t>
        </is>
      </c>
      <c r="B733" s="1" t="n">
        <v>43712</v>
      </c>
      <c r="C733" s="1" t="n">
        <v>45345</v>
      </c>
      <c r="D733" t="inlineStr">
        <is>
          <t>VÄSTMANLANDS LÄN</t>
        </is>
      </c>
      <c r="E733" t="inlineStr">
        <is>
          <t>KUNGSÖR</t>
        </is>
      </c>
      <c r="G733" t="n">
        <v>2.9</v>
      </c>
      <c r="H733" t="n">
        <v>0</v>
      </c>
      <c r="I733" t="n">
        <v>0</v>
      </c>
      <c r="J733" t="n">
        <v>0</v>
      </c>
      <c r="K733" t="n">
        <v>0</v>
      </c>
      <c r="L733" t="n">
        <v>0</v>
      </c>
      <c r="M733" t="n">
        <v>0</v>
      </c>
      <c r="N733" t="n">
        <v>0</v>
      </c>
      <c r="O733" t="n">
        <v>0</v>
      </c>
      <c r="P733" t="n">
        <v>0</v>
      </c>
      <c r="Q733" t="n">
        <v>0</v>
      </c>
      <c r="R733" s="2" t="inlineStr"/>
    </row>
    <row r="734" ht="15" customHeight="1">
      <c r="A734" t="inlineStr">
        <is>
          <t>A 44715-2019</t>
        </is>
      </c>
      <c r="B734" s="1" t="n">
        <v>43712</v>
      </c>
      <c r="C734" s="1" t="n">
        <v>45345</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44730-2019</t>
        </is>
      </c>
      <c r="B735" s="1" t="n">
        <v>43712</v>
      </c>
      <c r="C735" s="1" t="n">
        <v>45345</v>
      </c>
      <c r="D735" t="inlineStr">
        <is>
          <t>VÄSTMANLANDS LÄN</t>
        </is>
      </c>
      <c r="E735" t="inlineStr">
        <is>
          <t>VÄSTERÅS</t>
        </is>
      </c>
      <c r="G735" t="n">
        <v>28</v>
      </c>
      <c r="H735" t="n">
        <v>0</v>
      </c>
      <c r="I735" t="n">
        <v>0</v>
      </c>
      <c r="J735" t="n">
        <v>0</v>
      </c>
      <c r="K735" t="n">
        <v>0</v>
      </c>
      <c r="L735" t="n">
        <v>0</v>
      </c>
      <c r="M735" t="n">
        <v>0</v>
      </c>
      <c r="N735" t="n">
        <v>0</v>
      </c>
      <c r="O735" t="n">
        <v>0</v>
      </c>
      <c r="P735" t="n">
        <v>0</v>
      </c>
      <c r="Q735" t="n">
        <v>0</v>
      </c>
      <c r="R735" s="2" t="inlineStr"/>
    </row>
    <row r="736" ht="15" customHeight="1">
      <c r="A736" t="inlineStr">
        <is>
          <t>A 44813-2019</t>
        </is>
      </c>
      <c r="B736" s="1" t="n">
        <v>43712</v>
      </c>
      <c r="C736" s="1" t="n">
        <v>45345</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44840-2019</t>
        </is>
      </c>
      <c r="B737" s="1" t="n">
        <v>43712</v>
      </c>
      <c r="C737" s="1" t="n">
        <v>45345</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44959-2019</t>
        </is>
      </c>
      <c r="B738" s="1" t="n">
        <v>43713</v>
      </c>
      <c r="C738" s="1" t="n">
        <v>45345</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45251-2019</t>
        </is>
      </c>
      <c r="B739" s="1" t="n">
        <v>43713</v>
      </c>
      <c r="C739" s="1" t="n">
        <v>45345</v>
      </c>
      <c r="D739" t="inlineStr">
        <is>
          <t>VÄSTMANLANDS LÄN</t>
        </is>
      </c>
      <c r="E739" t="inlineStr">
        <is>
          <t>VÄSTERÅS</t>
        </is>
      </c>
      <c r="G739" t="n">
        <v>34.2</v>
      </c>
      <c r="H739" t="n">
        <v>0</v>
      </c>
      <c r="I739" t="n">
        <v>0</v>
      </c>
      <c r="J739" t="n">
        <v>0</v>
      </c>
      <c r="K739" t="n">
        <v>0</v>
      </c>
      <c r="L739" t="n">
        <v>0</v>
      </c>
      <c r="M739" t="n">
        <v>0</v>
      </c>
      <c r="N739" t="n">
        <v>0</v>
      </c>
      <c r="O739" t="n">
        <v>0</v>
      </c>
      <c r="P739" t="n">
        <v>0</v>
      </c>
      <c r="Q739" t="n">
        <v>0</v>
      </c>
      <c r="R739" s="2" t="inlineStr"/>
    </row>
    <row r="740" ht="15" customHeight="1">
      <c r="A740" t="inlineStr">
        <is>
          <t>A 45494-2019</t>
        </is>
      </c>
      <c r="B740" s="1" t="n">
        <v>43714</v>
      </c>
      <c r="C740" s="1" t="n">
        <v>45345</v>
      </c>
      <c r="D740" t="inlineStr">
        <is>
          <t>VÄSTMANLANDS LÄN</t>
        </is>
      </c>
      <c r="E740" t="inlineStr">
        <is>
          <t>ARBOGA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45880-2019</t>
        </is>
      </c>
      <c r="B741" s="1" t="n">
        <v>43717</v>
      </c>
      <c r="C741" s="1" t="n">
        <v>45345</v>
      </c>
      <c r="D741" t="inlineStr">
        <is>
          <t>VÄSTMANLANDS LÄN</t>
        </is>
      </c>
      <c r="E741" t="inlineStr">
        <is>
          <t>ARBOGA</t>
        </is>
      </c>
      <c r="G741" t="n">
        <v>0.6</v>
      </c>
      <c r="H741" t="n">
        <v>0</v>
      </c>
      <c r="I741" t="n">
        <v>0</v>
      </c>
      <c r="J741" t="n">
        <v>0</v>
      </c>
      <c r="K741" t="n">
        <v>0</v>
      </c>
      <c r="L741" t="n">
        <v>0</v>
      </c>
      <c r="M741" t="n">
        <v>0</v>
      </c>
      <c r="N741" t="n">
        <v>0</v>
      </c>
      <c r="O741" t="n">
        <v>0</v>
      </c>
      <c r="P741" t="n">
        <v>0</v>
      </c>
      <c r="Q741" t="n">
        <v>0</v>
      </c>
      <c r="R741" s="2" t="inlineStr"/>
    </row>
    <row r="742" ht="15" customHeight="1">
      <c r="A742" t="inlineStr">
        <is>
          <t>A 46303-2019</t>
        </is>
      </c>
      <c r="B742" s="1" t="n">
        <v>43718</v>
      </c>
      <c r="C742" s="1" t="n">
        <v>45345</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46306-2019</t>
        </is>
      </c>
      <c r="B743" s="1" t="n">
        <v>43718</v>
      </c>
      <c r="C743" s="1" t="n">
        <v>45345</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46523-2019</t>
        </is>
      </c>
      <c r="B744" s="1" t="n">
        <v>43719</v>
      </c>
      <c r="C744" s="1" t="n">
        <v>45345</v>
      </c>
      <c r="D744" t="inlineStr">
        <is>
          <t>VÄSTMANLANDS LÄN</t>
        </is>
      </c>
      <c r="E744" t="inlineStr">
        <is>
          <t>SKINNSKATTEBERG</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46586-2019</t>
        </is>
      </c>
      <c r="B745" s="1" t="n">
        <v>43719</v>
      </c>
      <c r="C745" s="1" t="n">
        <v>45345</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46607-2019</t>
        </is>
      </c>
      <c r="B746" s="1" t="n">
        <v>43719</v>
      </c>
      <c r="C746" s="1" t="n">
        <v>45345</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46588-2019</t>
        </is>
      </c>
      <c r="B747" s="1" t="n">
        <v>43719</v>
      </c>
      <c r="C747" s="1" t="n">
        <v>45345</v>
      </c>
      <c r="D747" t="inlineStr">
        <is>
          <t>VÄSTMANLANDS LÄN</t>
        </is>
      </c>
      <c r="E747" t="inlineStr">
        <is>
          <t>SKINNSKATTEBERG</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46936-2019</t>
        </is>
      </c>
      <c r="B748" s="1" t="n">
        <v>43719</v>
      </c>
      <c r="C748" s="1" t="n">
        <v>45345</v>
      </c>
      <c r="D748" t="inlineStr">
        <is>
          <t>VÄSTMANLANDS LÄN</t>
        </is>
      </c>
      <c r="E748" t="inlineStr">
        <is>
          <t>SALA</t>
        </is>
      </c>
      <c r="G748" t="n">
        <v>4.6</v>
      </c>
      <c r="H748" t="n">
        <v>0</v>
      </c>
      <c r="I748" t="n">
        <v>0</v>
      </c>
      <c r="J748" t="n">
        <v>0</v>
      </c>
      <c r="K748" t="n">
        <v>0</v>
      </c>
      <c r="L748" t="n">
        <v>0</v>
      </c>
      <c r="M748" t="n">
        <v>0</v>
      </c>
      <c r="N748" t="n">
        <v>0</v>
      </c>
      <c r="O748" t="n">
        <v>0</v>
      </c>
      <c r="P748" t="n">
        <v>0</v>
      </c>
      <c r="Q748" t="n">
        <v>0</v>
      </c>
      <c r="R748" s="2" t="inlineStr"/>
    </row>
    <row r="749" ht="15" customHeight="1">
      <c r="A749" t="inlineStr">
        <is>
          <t>A 46591-2019</t>
        </is>
      </c>
      <c r="B749" s="1" t="n">
        <v>43719</v>
      </c>
      <c r="C749" s="1" t="n">
        <v>45345</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46906-2019</t>
        </is>
      </c>
      <c r="B750" s="1" t="n">
        <v>43720</v>
      </c>
      <c r="C750" s="1" t="n">
        <v>45345</v>
      </c>
      <c r="D750" t="inlineStr">
        <is>
          <t>VÄSTMANLANDS LÄN</t>
        </is>
      </c>
      <c r="E750" t="inlineStr">
        <is>
          <t>ARBOGA</t>
        </is>
      </c>
      <c r="G750" t="n">
        <v>0.9</v>
      </c>
      <c r="H750" t="n">
        <v>0</v>
      </c>
      <c r="I750" t="n">
        <v>0</v>
      </c>
      <c r="J750" t="n">
        <v>0</v>
      </c>
      <c r="K750" t="n">
        <v>0</v>
      </c>
      <c r="L750" t="n">
        <v>0</v>
      </c>
      <c r="M750" t="n">
        <v>0</v>
      </c>
      <c r="N750" t="n">
        <v>0</v>
      </c>
      <c r="O750" t="n">
        <v>0</v>
      </c>
      <c r="P750" t="n">
        <v>0</v>
      </c>
      <c r="Q750" t="n">
        <v>0</v>
      </c>
      <c r="R750" s="2" t="inlineStr"/>
    </row>
    <row r="751" ht="15" customHeight="1">
      <c r="A751" t="inlineStr">
        <is>
          <t>A 47016-2019</t>
        </is>
      </c>
      <c r="B751" s="1" t="n">
        <v>43720</v>
      </c>
      <c r="C751" s="1" t="n">
        <v>45345</v>
      </c>
      <c r="D751" t="inlineStr">
        <is>
          <t>VÄSTMANLANDS LÄN</t>
        </is>
      </c>
      <c r="E751" t="inlineStr">
        <is>
          <t>VÄSTERÅS</t>
        </is>
      </c>
      <c r="G751" t="n">
        <v>2.4</v>
      </c>
      <c r="H751" t="n">
        <v>0</v>
      </c>
      <c r="I751" t="n">
        <v>0</v>
      </c>
      <c r="J751" t="n">
        <v>0</v>
      </c>
      <c r="K751" t="n">
        <v>0</v>
      </c>
      <c r="L751" t="n">
        <v>0</v>
      </c>
      <c r="M751" t="n">
        <v>0</v>
      </c>
      <c r="N751" t="n">
        <v>0</v>
      </c>
      <c r="O751" t="n">
        <v>0</v>
      </c>
      <c r="P751" t="n">
        <v>0</v>
      </c>
      <c r="Q751" t="n">
        <v>0</v>
      </c>
      <c r="R751" s="2" t="inlineStr"/>
    </row>
    <row r="752" ht="15" customHeight="1">
      <c r="A752" t="inlineStr">
        <is>
          <t>A 47217-2019</t>
        </is>
      </c>
      <c r="B752" s="1" t="n">
        <v>43720</v>
      </c>
      <c r="C752" s="1" t="n">
        <v>45345</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47049-2019</t>
        </is>
      </c>
      <c r="B753" s="1" t="n">
        <v>43720</v>
      </c>
      <c r="C753" s="1" t="n">
        <v>45345</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47197-2019</t>
        </is>
      </c>
      <c r="B754" s="1" t="n">
        <v>43720</v>
      </c>
      <c r="C754" s="1" t="n">
        <v>45345</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47351-2019</t>
        </is>
      </c>
      <c r="B755" s="1" t="n">
        <v>43721</v>
      </c>
      <c r="C755" s="1" t="n">
        <v>45345</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47354-2019</t>
        </is>
      </c>
      <c r="B756" s="1" t="n">
        <v>43721</v>
      </c>
      <c r="C756" s="1" t="n">
        <v>45345</v>
      </c>
      <c r="D756" t="inlineStr">
        <is>
          <t>VÄSTMANLANDS LÄN</t>
        </is>
      </c>
      <c r="E756" t="inlineStr">
        <is>
          <t>SKINNSKATTEBERG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47465-2019</t>
        </is>
      </c>
      <c r="B757" s="1" t="n">
        <v>43724</v>
      </c>
      <c r="C757" s="1" t="n">
        <v>45345</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47725-2019</t>
        </is>
      </c>
      <c r="B758" s="1" t="n">
        <v>43724</v>
      </c>
      <c r="C758" s="1" t="n">
        <v>45345</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47500-2019</t>
        </is>
      </c>
      <c r="B759" s="1" t="n">
        <v>43724</v>
      </c>
      <c r="C759" s="1" t="n">
        <v>45345</v>
      </c>
      <c r="D759" t="inlineStr">
        <is>
          <t>VÄSTMANLANDS LÄN</t>
        </is>
      </c>
      <c r="E759" t="inlineStr">
        <is>
          <t>SKINNSKATTEBERG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48195-2019</t>
        </is>
      </c>
      <c r="B760" s="1" t="n">
        <v>43726</v>
      </c>
      <c r="C760" s="1" t="n">
        <v>45345</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48211-2019</t>
        </is>
      </c>
      <c r="B761" s="1" t="n">
        <v>43726</v>
      </c>
      <c r="C761" s="1" t="n">
        <v>45345</v>
      </c>
      <c r="D761" t="inlineStr">
        <is>
          <t>VÄSTMANLANDS LÄN</t>
        </is>
      </c>
      <c r="E761" t="inlineStr">
        <is>
          <t>FAGERSTA</t>
        </is>
      </c>
      <c r="G761" t="n">
        <v>1.1</v>
      </c>
      <c r="H761" t="n">
        <v>0</v>
      </c>
      <c r="I761" t="n">
        <v>0</v>
      </c>
      <c r="J761" t="n">
        <v>0</v>
      </c>
      <c r="K761" t="n">
        <v>0</v>
      </c>
      <c r="L761" t="n">
        <v>0</v>
      </c>
      <c r="M761" t="n">
        <v>0</v>
      </c>
      <c r="N761" t="n">
        <v>0</v>
      </c>
      <c r="O761" t="n">
        <v>0</v>
      </c>
      <c r="P761" t="n">
        <v>0</v>
      </c>
      <c r="Q761" t="n">
        <v>0</v>
      </c>
      <c r="R761" s="2" t="inlineStr"/>
    </row>
    <row r="762" ht="15" customHeight="1">
      <c r="A762" t="inlineStr">
        <is>
          <t>A 48228-2019</t>
        </is>
      </c>
      <c r="B762" s="1" t="n">
        <v>43726</v>
      </c>
      <c r="C762" s="1" t="n">
        <v>45345</v>
      </c>
      <c r="D762" t="inlineStr">
        <is>
          <t>VÄSTMANLANDS LÄN</t>
        </is>
      </c>
      <c r="E762" t="inlineStr">
        <is>
          <t>VÄSTERÅS</t>
        </is>
      </c>
      <c r="G762" t="n">
        <v>4.2</v>
      </c>
      <c r="H762" t="n">
        <v>0</v>
      </c>
      <c r="I762" t="n">
        <v>0</v>
      </c>
      <c r="J762" t="n">
        <v>0</v>
      </c>
      <c r="K762" t="n">
        <v>0</v>
      </c>
      <c r="L762" t="n">
        <v>0</v>
      </c>
      <c r="M762" t="n">
        <v>0</v>
      </c>
      <c r="N762" t="n">
        <v>0</v>
      </c>
      <c r="O762" t="n">
        <v>0</v>
      </c>
      <c r="P762" t="n">
        <v>0</v>
      </c>
      <c r="Q762" t="n">
        <v>0</v>
      </c>
      <c r="R762" s="2" t="inlineStr"/>
    </row>
    <row r="763" ht="15" customHeight="1">
      <c r="A763" t="inlineStr">
        <is>
          <t>A 48310-2019</t>
        </is>
      </c>
      <c r="B763" s="1" t="n">
        <v>43726</v>
      </c>
      <c r="C763" s="1" t="n">
        <v>45345</v>
      </c>
      <c r="D763" t="inlineStr">
        <is>
          <t>VÄSTMANLANDS LÄN</t>
        </is>
      </c>
      <c r="E763" t="inlineStr">
        <is>
          <t>VÄSTERÅS</t>
        </is>
      </c>
      <c r="G763" t="n">
        <v>4.9</v>
      </c>
      <c r="H763" t="n">
        <v>0</v>
      </c>
      <c r="I763" t="n">
        <v>0</v>
      </c>
      <c r="J763" t="n">
        <v>0</v>
      </c>
      <c r="K763" t="n">
        <v>0</v>
      </c>
      <c r="L763" t="n">
        <v>0</v>
      </c>
      <c r="M763" t="n">
        <v>0</v>
      </c>
      <c r="N763" t="n">
        <v>0</v>
      </c>
      <c r="O763" t="n">
        <v>0</v>
      </c>
      <c r="P763" t="n">
        <v>0</v>
      </c>
      <c r="Q763" t="n">
        <v>0</v>
      </c>
      <c r="R763" s="2" t="inlineStr"/>
    </row>
    <row r="764" ht="15" customHeight="1">
      <c r="A764" t="inlineStr">
        <is>
          <t>A 48451-2019</t>
        </is>
      </c>
      <c r="B764" s="1" t="n">
        <v>43727</v>
      </c>
      <c r="C764" s="1" t="n">
        <v>45345</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48461-2019</t>
        </is>
      </c>
      <c r="B765" s="1" t="n">
        <v>43727</v>
      </c>
      <c r="C765" s="1" t="n">
        <v>45345</v>
      </c>
      <c r="D765" t="inlineStr">
        <is>
          <t>VÄSTMANLANDS LÄN</t>
        </is>
      </c>
      <c r="E765" t="inlineStr">
        <is>
          <t>ARBOGA</t>
        </is>
      </c>
      <c r="G765" t="n">
        <v>2.6</v>
      </c>
      <c r="H765" t="n">
        <v>0</v>
      </c>
      <c r="I765" t="n">
        <v>0</v>
      </c>
      <c r="J765" t="n">
        <v>0</v>
      </c>
      <c r="K765" t="n">
        <v>0</v>
      </c>
      <c r="L765" t="n">
        <v>0</v>
      </c>
      <c r="M765" t="n">
        <v>0</v>
      </c>
      <c r="N765" t="n">
        <v>0</v>
      </c>
      <c r="O765" t="n">
        <v>0</v>
      </c>
      <c r="P765" t="n">
        <v>0</v>
      </c>
      <c r="Q765" t="n">
        <v>0</v>
      </c>
      <c r="R765" s="2" t="inlineStr"/>
    </row>
    <row r="766" ht="15" customHeight="1">
      <c r="A766" t="inlineStr">
        <is>
          <t>A 48560-2019</t>
        </is>
      </c>
      <c r="B766" s="1" t="n">
        <v>43727</v>
      </c>
      <c r="C766" s="1" t="n">
        <v>45345</v>
      </c>
      <c r="D766" t="inlineStr">
        <is>
          <t>VÄSTMANLANDS LÄN</t>
        </is>
      </c>
      <c r="E766" t="inlineStr">
        <is>
          <t>VÄSTERÅS</t>
        </is>
      </c>
      <c r="G766" t="n">
        <v>5.4</v>
      </c>
      <c r="H766" t="n">
        <v>0</v>
      </c>
      <c r="I766" t="n">
        <v>0</v>
      </c>
      <c r="J766" t="n">
        <v>0</v>
      </c>
      <c r="K766" t="n">
        <v>0</v>
      </c>
      <c r="L766" t="n">
        <v>0</v>
      </c>
      <c r="M766" t="n">
        <v>0</v>
      </c>
      <c r="N766" t="n">
        <v>0</v>
      </c>
      <c r="O766" t="n">
        <v>0</v>
      </c>
      <c r="P766" t="n">
        <v>0</v>
      </c>
      <c r="Q766" t="n">
        <v>0</v>
      </c>
      <c r="R766" s="2" t="inlineStr"/>
    </row>
    <row r="767" ht="15" customHeight="1">
      <c r="A767" t="inlineStr">
        <is>
          <t>A 48468-2019</t>
        </is>
      </c>
      <c r="B767" s="1" t="n">
        <v>43727</v>
      </c>
      <c r="C767" s="1" t="n">
        <v>45345</v>
      </c>
      <c r="D767" t="inlineStr">
        <is>
          <t>VÄSTMANLANDS LÄN</t>
        </is>
      </c>
      <c r="E767" t="inlineStr">
        <is>
          <t>ARBOGA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48617-2019</t>
        </is>
      </c>
      <c r="B768" s="1" t="n">
        <v>43727</v>
      </c>
      <c r="C768" s="1" t="n">
        <v>45345</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48681-2019</t>
        </is>
      </c>
      <c r="B769" s="1" t="n">
        <v>43728</v>
      </c>
      <c r="C769" s="1" t="n">
        <v>45345</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49111-2019</t>
        </is>
      </c>
      <c r="B770" s="1" t="n">
        <v>43731</v>
      </c>
      <c r="C770" s="1" t="n">
        <v>45345</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49095-2019</t>
        </is>
      </c>
      <c r="B771" s="1" t="n">
        <v>43731</v>
      </c>
      <c r="C771" s="1" t="n">
        <v>45345</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49217-2019</t>
        </is>
      </c>
      <c r="B772" s="1" t="n">
        <v>43731</v>
      </c>
      <c r="C772" s="1" t="n">
        <v>45345</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49138-2019</t>
        </is>
      </c>
      <c r="B773" s="1" t="n">
        <v>43731</v>
      </c>
      <c r="C773" s="1" t="n">
        <v>45345</v>
      </c>
      <c r="D773" t="inlineStr">
        <is>
          <t>VÄSTMANLANDS LÄN</t>
        </is>
      </c>
      <c r="E773" t="inlineStr">
        <is>
          <t>SKINNSKATTEBERG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49409-2019</t>
        </is>
      </c>
      <c r="B774" s="1" t="n">
        <v>43732</v>
      </c>
      <c r="C774" s="1" t="n">
        <v>45345</v>
      </c>
      <c r="D774" t="inlineStr">
        <is>
          <t>VÄSTMANLANDS LÄN</t>
        </is>
      </c>
      <c r="E774" t="inlineStr">
        <is>
          <t>SKINNSKATTEBERG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49460-2019</t>
        </is>
      </c>
      <c r="B775" s="1" t="n">
        <v>43732</v>
      </c>
      <c r="C775" s="1" t="n">
        <v>45345</v>
      </c>
      <c r="D775" t="inlineStr">
        <is>
          <t>VÄSTMANLANDS LÄN</t>
        </is>
      </c>
      <c r="E775" t="inlineStr">
        <is>
          <t>VÄSTERÅS</t>
        </is>
      </c>
      <c r="G775" t="n">
        <v>2.4</v>
      </c>
      <c r="H775" t="n">
        <v>0</v>
      </c>
      <c r="I775" t="n">
        <v>0</v>
      </c>
      <c r="J775" t="n">
        <v>0</v>
      </c>
      <c r="K775" t="n">
        <v>0</v>
      </c>
      <c r="L775" t="n">
        <v>0</v>
      </c>
      <c r="M775" t="n">
        <v>0</v>
      </c>
      <c r="N775" t="n">
        <v>0</v>
      </c>
      <c r="O775" t="n">
        <v>0</v>
      </c>
      <c r="P775" t="n">
        <v>0</v>
      </c>
      <c r="Q775" t="n">
        <v>0</v>
      </c>
      <c r="R775" s="2" t="inlineStr"/>
    </row>
    <row r="776" ht="15" customHeight="1">
      <c r="A776" t="inlineStr">
        <is>
          <t>A 49411-2019</t>
        </is>
      </c>
      <c r="B776" s="1" t="n">
        <v>43732</v>
      </c>
      <c r="C776" s="1" t="n">
        <v>45345</v>
      </c>
      <c r="D776" t="inlineStr">
        <is>
          <t>VÄSTMANLANDS LÄN</t>
        </is>
      </c>
      <c r="E776" t="inlineStr">
        <is>
          <t>KUNGSÖR</t>
        </is>
      </c>
      <c r="F776" t="inlineStr">
        <is>
          <t>Allmännings- och besparingsskogar</t>
        </is>
      </c>
      <c r="G776" t="n">
        <v>6.3</v>
      </c>
      <c r="H776" t="n">
        <v>0</v>
      </c>
      <c r="I776" t="n">
        <v>0</v>
      </c>
      <c r="J776" t="n">
        <v>0</v>
      </c>
      <c r="K776" t="n">
        <v>0</v>
      </c>
      <c r="L776" t="n">
        <v>0</v>
      </c>
      <c r="M776" t="n">
        <v>0</v>
      </c>
      <c r="N776" t="n">
        <v>0</v>
      </c>
      <c r="O776" t="n">
        <v>0</v>
      </c>
      <c r="P776" t="n">
        <v>0</v>
      </c>
      <c r="Q776" t="n">
        <v>0</v>
      </c>
      <c r="R776" s="2" t="inlineStr"/>
    </row>
    <row r="777" ht="15" customHeight="1">
      <c r="A777" t="inlineStr">
        <is>
          <t>A 49542-2019</t>
        </is>
      </c>
      <c r="B777" s="1" t="n">
        <v>43732</v>
      </c>
      <c r="C777" s="1" t="n">
        <v>45345</v>
      </c>
      <c r="D777" t="inlineStr">
        <is>
          <t>VÄSTMANLANDS LÄN</t>
        </is>
      </c>
      <c r="E777" t="inlineStr">
        <is>
          <t>VÄSTERÅS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49849-2019</t>
        </is>
      </c>
      <c r="B778" s="1" t="n">
        <v>43733</v>
      </c>
      <c r="C778" s="1" t="n">
        <v>45345</v>
      </c>
      <c r="D778" t="inlineStr">
        <is>
          <t>VÄSTMANLANDS LÄN</t>
        </is>
      </c>
      <c r="E778" t="inlineStr">
        <is>
          <t>VÄSTERÅS</t>
        </is>
      </c>
      <c r="G778" t="n">
        <v>3.9</v>
      </c>
      <c r="H778" t="n">
        <v>0</v>
      </c>
      <c r="I778" t="n">
        <v>0</v>
      </c>
      <c r="J778" t="n">
        <v>0</v>
      </c>
      <c r="K778" t="n">
        <v>0</v>
      </c>
      <c r="L778" t="n">
        <v>0</v>
      </c>
      <c r="M778" t="n">
        <v>0</v>
      </c>
      <c r="N778" t="n">
        <v>0</v>
      </c>
      <c r="O778" t="n">
        <v>0</v>
      </c>
      <c r="P778" t="n">
        <v>0</v>
      </c>
      <c r="Q778" t="n">
        <v>0</v>
      </c>
      <c r="R778" s="2" t="inlineStr"/>
    </row>
    <row r="779" ht="15" customHeight="1">
      <c r="A779" t="inlineStr">
        <is>
          <t>A 49968-2019</t>
        </is>
      </c>
      <c r="B779" s="1" t="n">
        <v>43733</v>
      </c>
      <c r="C779" s="1" t="n">
        <v>45345</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49821-2019</t>
        </is>
      </c>
      <c r="B780" s="1" t="n">
        <v>43733</v>
      </c>
      <c r="C780" s="1" t="n">
        <v>45345</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50121-2019</t>
        </is>
      </c>
      <c r="B781" s="1" t="n">
        <v>43734</v>
      </c>
      <c r="C781" s="1" t="n">
        <v>45345</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50359-2019</t>
        </is>
      </c>
      <c r="B782" s="1" t="n">
        <v>43735</v>
      </c>
      <c r="C782" s="1" t="n">
        <v>45345</v>
      </c>
      <c r="D782" t="inlineStr">
        <is>
          <t>VÄSTMANLANDS LÄN</t>
        </is>
      </c>
      <c r="E782" t="inlineStr">
        <is>
          <t>NORBERG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50888-2019</t>
        </is>
      </c>
      <c r="B783" s="1" t="n">
        <v>43735</v>
      </c>
      <c r="C783" s="1" t="n">
        <v>45345</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50664-2019</t>
        </is>
      </c>
      <c r="B784" s="1" t="n">
        <v>43737</v>
      </c>
      <c r="C784" s="1" t="n">
        <v>45345</v>
      </c>
      <c r="D784" t="inlineStr">
        <is>
          <t>VÄSTMANLANDS LÄN</t>
        </is>
      </c>
      <c r="E784" t="inlineStr">
        <is>
          <t>VÄSTERÅS</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50839-2019</t>
        </is>
      </c>
      <c r="B785" s="1" t="n">
        <v>43738</v>
      </c>
      <c r="C785" s="1" t="n">
        <v>45345</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50946-2019</t>
        </is>
      </c>
      <c r="B786" s="1" t="n">
        <v>43738</v>
      </c>
      <c r="C786" s="1" t="n">
        <v>45345</v>
      </c>
      <c r="D786" t="inlineStr">
        <is>
          <t>VÄSTMANLANDS LÄN</t>
        </is>
      </c>
      <c r="E786" t="inlineStr">
        <is>
          <t>VÄSTERÅS</t>
        </is>
      </c>
      <c r="G786" t="n">
        <v>2.1</v>
      </c>
      <c r="H786" t="n">
        <v>0</v>
      </c>
      <c r="I786" t="n">
        <v>0</v>
      </c>
      <c r="J786" t="n">
        <v>0</v>
      </c>
      <c r="K786" t="n">
        <v>0</v>
      </c>
      <c r="L786" t="n">
        <v>0</v>
      </c>
      <c r="M786" t="n">
        <v>0</v>
      </c>
      <c r="N786" t="n">
        <v>0</v>
      </c>
      <c r="O786" t="n">
        <v>0</v>
      </c>
      <c r="P786" t="n">
        <v>0</v>
      </c>
      <c r="Q786" t="n">
        <v>0</v>
      </c>
      <c r="R786" s="2" t="inlineStr"/>
    </row>
    <row r="787" ht="15" customHeight="1">
      <c r="A787" t="inlineStr">
        <is>
          <t>A 50877-2019</t>
        </is>
      </c>
      <c r="B787" s="1" t="n">
        <v>43738</v>
      </c>
      <c r="C787" s="1" t="n">
        <v>45345</v>
      </c>
      <c r="D787" t="inlineStr">
        <is>
          <t>VÄSTMANLANDS LÄN</t>
        </is>
      </c>
      <c r="E787" t="inlineStr">
        <is>
          <t>SKINNSKATTEBERG</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51129-2019</t>
        </is>
      </c>
      <c r="B788" s="1" t="n">
        <v>43739</v>
      </c>
      <c r="C788" s="1" t="n">
        <v>45345</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51224-2019</t>
        </is>
      </c>
      <c r="B789" s="1" t="n">
        <v>43739</v>
      </c>
      <c r="C789" s="1" t="n">
        <v>45345</v>
      </c>
      <c r="D789" t="inlineStr">
        <is>
          <t>VÄSTMANLANDS LÄN</t>
        </is>
      </c>
      <c r="E789" t="inlineStr">
        <is>
          <t>SKINNSKATTEBERG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52756-2019</t>
        </is>
      </c>
      <c r="B790" s="1" t="n">
        <v>43739</v>
      </c>
      <c r="C790" s="1" t="n">
        <v>45345</v>
      </c>
      <c r="D790" t="inlineStr">
        <is>
          <t>VÄSTMANLANDS LÄN</t>
        </is>
      </c>
      <c r="E790" t="inlineStr">
        <is>
          <t>SALA</t>
        </is>
      </c>
      <c r="G790" t="n">
        <v>4.2</v>
      </c>
      <c r="H790" t="n">
        <v>0</v>
      </c>
      <c r="I790" t="n">
        <v>0</v>
      </c>
      <c r="J790" t="n">
        <v>0</v>
      </c>
      <c r="K790" t="n">
        <v>0</v>
      </c>
      <c r="L790" t="n">
        <v>0</v>
      </c>
      <c r="M790" t="n">
        <v>0</v>
      </c>
      <c r="N790" t="n">
        <v>0</v>
      </c>
      <c r="O790" t="n">
        <v>0</v>
      </c>
      <c r="P790" t="n">
        <v>0</v>
      </c>
      <c r="Q790" t="n">
        <v>0</v>
      </c>
      <c r="R790" s="2" t="inlineStr"/>
    </row>
    <row r="791" ht="15" customHeight="1">
      <c r="A791" t="inlineStr">
        <is>
          <t>A 52765-2019</t>
        </is>
      </c>
      <c r="B791" s="1" t="n">
        <v>43739</v>
      </c>
      <c r="C791" s="1" t="n">
        <v>45345</v>
      </c>
      <c r="D791" t="inlineStr">
        <is>
          <t>VÄSTMANLANDS LÄN</t>
        </is>
      </c>
      <c r="E791" t="inlineStr">
        <is>
          <t>SKINNSKATTEBERG</t>
        </is>
      </c>
      <c r="G791" t="n">
        <v>0.7</v>
      </c>
      <c r="H791" t="n">
        <v>0</v>
      </c>
      <c r="I791" t="n">
        <v>0</v>
      </c>
      <c r="J791" t="n">
        <v>0</v>
      </c>
      <c r="K791" t="n">
        <v>0</v>
      </c>
      <c r="L791" t="n">
        <v>0</v>
      </c>
      <c r="M791" t="n">
        <v>0</v>
      </c>
      <c r="N791" t="n">
        <v>0</v>
      </c>
      <c r="O791" t="n">
        <v>0</v>
      </c>
      <c r="P791" t="n">
        <v>0</v>
      </c>
      <c r="Q791" t="n">
        <v>0</v>
      </c>
      <c r="R791" s="2" t="inlineStr"/>
    </row>
    <row r="792" ht="15" customHeight="1">
      <c r="A792" t="inlineStr">
        <is>
          <t>A 52788-2019</t>
        </is>
      </c>
      <c r="B792" s="1" t="n">
        <v>43739</v>
      </c>
      <c r="C792" s="1" t="n">
        <v>45345</v>
      </c>
      <c r="D792" t="inlineStr">
        <is>
          <t>VÄSTMANLANDS LÄN</t>
        </is>
      </c>
      <c r="E792" t="inlineStr">
        <is>
          <t>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51403-2019</t>
        </is>
      </c>
      <c r="B793" s="1" t="n">
        <v>43740</v>
      </c>
      <c r="C793" s="1" t="n">
        <v>45345</v>
      </c>
      <c r="D793" t="inlineStr">
        <is>
          <t>VÄSTMANLANDS LÄN</t>
        </is>
      </c>
      <c r="E793" t="inlineStr">
        <is>
          <t>ARBOGA</t>
        </is>
      </c>
      <c r="G793" t="n">
        <v>1.5</v>
      </c>
      <c r="H793" t="n">
        <v>0</v>
      </c>
      <c r="I793" t="n">
        <v>0</v>
      </c>
      <c r="J793" t="n">
        <v>0</v>
      </c>
      <c r="K793" t="n">
        <v>0</v>
      </c>
      <c r="L793" t="n">
        <v>0</v>
      </c>
      <c r="M793" t="n">
        <v>0</v>
      </c>
      <c r="N793" t="n">
        <v>0</v>
      </c>
      <c r="O793" t="n">
        <v>0</v>
      </c>
      <c r="P793" t="n">
        <v>0</v>
      </c>
      <c r="Q793" t="n">
        <v>0</v>
      </c>
      <c r="R793" s="2" t="inlineStr"/>
    </row>
    <row r="794" ht="15" customHeight="1">
      <c r="A794" t="inlineStr">
        <is>
          <t>A 51345-2019</t>
        </is>
      </c>
      <c r="B794" s="1" t="n">
        <v>43740</v>
      </c>
      <c r="C794" s="1" t="n">
        <v>45345</v>
      </c>
      <c r="D794" t="inlineStr">
        <is>
          <t>VÄSTMANLANDS LÄN</t>
        </is>
      </c>
      <c r="E794" t="inlineStr">
        <is>
          <t>SKINNSKATTEBERG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51647-2019</t>
        </is>
      </c>
      <c r="B795" s="1" t="n">
        <v>43740</v>
      </c>
      <c r="C795" s="1" t="n">
        <v>45345</v>
      </c>
      <c r="D795" t="inlineStr">
        <is>
          <t>VÄSTMANLANDS LÄN</t>
        </is>
      </c>
      <c r="E795" t="inlineStr">
        <is>
          <t>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51505-2019</t>
        </is>
      </c>
      <c r="B796" s="1" t="n">
        <v>43740</v>
      </c>
      <c r="C796" s="1" t="n">
        <v>45345</v>
      </c>
      <c r="D796" t="inlineStr">
        <is>
          <t>VÄSTMANLANDS LÄN</t>
        </is>
      </c>
      <c r="E796" t="inlineStr">
        <is>
          <t>VÄSTERÅS</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51750-2019</t>
        </is>
      </c>
      <c r="B797" s="1" t="n">
        <v>43741</v>
      </c>
      <c r="C797" s="1" t="n">
        <v>45345</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51769-2019</t>
        </is>
      </c>
      <c r="B798" s="1" t="n">
        <v>43741</v>
      </c>
      <c r="C798" s="1" t="n">
        <v>45345</v>
      </c>
      <c r="D798" t="inlineStr">
        <is>
          <t>VÄSTMANLANDS LÄN</t>
        </is>
      </c>
      <c r="E798" t="inlineStr">
        <is>
          <t>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51854-2019</t>
        </is>
      </c>
      <c r="B799" s="1" t="n">
        <v>43741</v>
      </c>
      <c r="C799" s="1" t="n">
        <v>45345</v>
      </c>
      <c r="D799" t="inlineStr">
        <is>
          <t>VÄSTMANLANDS LÄN</t>
        </is>
      </c>
      <c r="E799" t="inlineStr">
        <is>
          <t>SALA</t>
        </is>
      </c>
      <c r="G799" t="n">
        <v>2</v>
      </c>
      <c r="H799" t="n">
        <v>0</v>
      </c>
      <c r="I799" t="n">
        <v>0</v>
      </c>
      <c r="J799" t="n">
        <v>0</v>
      </c>
      <c r="K799" t="n">
        <v>0</v>
      </c>
      <c r="L799" t="n">
        <v>0</v>
      </c>
      <c r="M799" t="n">
        <v>0</v>
      </c>
      <c r="N799" t="n">
        <v>0</v>
      </c>
      <c r="O799" t="n">
        <v>0</v>
      </c>
      <c r="P799" t="n">
        <v>0</v>
      </c>
      <c r="Q799" t="n">
        <v>0</v>
      </c>
      <c r="R799" s="2" t="inlineStr"/>
    </row>
    <row r="800" ht="15" customHeight="1">
      <c r="A800" t="inlineStr">
        <is>
          <t>A 51844-2019</t>
        </is>
      </c>
      <c r="B800" s="1" t="n">
        <v>43741</v>
      </c>
      <c r="C800" s="1" t="n">
        <v>45345</v>
      </c>
      <c r="D800" t="inlineStr">
        <is>
          <t>VÄSTMANLANDS LÄN</t>
        </is>
      </c>
      <c r="E800" t="inlineStr">
        <is>
          <t>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51884-2019</t>
        </is>
      </c>
      <c r="B801" s="1" t="n">
        <v>43741</v>
      </c>
      <c r="C801" s="1" t="n">
        <v>45345</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51749-2019</t>
        </is>
      </c>
      <c r="B802" s="1" t="n">
        <v>43741</v>
      </c>
      <c r="C802" s="1" t="n">
        <v>45345</v>
      </c>
      <c r="D802" t="inlineStr">
        <is>
          <t>VÄSTMANLANDS LÄN</t>
        </is>
      </c>
      <c r="E802" t="inlineStr">
        <is>
          <t>KUNGSÖR</t>
        </is>
      </c>
      <c r="G802" t="n">
        <v>2.5</v>
      </c>
      <c r="H802" t="n">
        <v>0</v>
      </c>
      <c r="I802" t="n">
        <v>0</v>
      </c>
      <c r="J802" t="n">
        <v>0</v>
      </c>
      <c r="K802" t="n">
        <v>0</v>
      </c>
      <c r="L802" t="n">
        <v>0</v>
      </c>
      <c r="M802" t="n">
        <v>0</v>
      </c>
      <c r="N802" t="n">
        <v>0</v>
      </c>
      <c r="O802" t="n">
        <v>0</v>
      </c>
      <c r="P802" t="n">
        <v>0</v>
      </c>
      <c r="Q802" t="n">
        <v>0</v>
      </c>
      <c r="R802" s="2" t="inlineStr"/>
    </row>
    <row r="803" ht="15" customHeight="1">
      <c r="A803" t="inlineStr">
        <is>
          <t>A 52243-2019</t>
        </is>
      </c>
      <c r="B803" s="1" t="n">
        <v>43742</v>
      </c>
      <c r="C803" s="1" t="n">
        <v>45345</v>
      </c>
      <c r="D803" t="inlineStr">
        <is>
          <t>VÄSTMANLANDS LÄN</t>
        </is>
      </c>
      <c r="E803" t="inlineStr">
        <is>
          <t>VÄSTERÅS</t>
        </is>
      </c>
      <c r="G803" t="n">
        <v>3.5</v>
      </c>
      <c r="H803" t="n">
        <v>0</v>
      </c>
      <c r="I803" t="n">
        <v>0</v>
      </c>
      <c r="J803" t="n">
        <v>0</v>
      </c>
      <c r="K803" t="n">
        <v>0</v>
      </c>
      <c r="L803" t="n">
        <v>0</v>
      </c>
      <c r="M803" t="n">
        <v>0</v>
      </c>
      <c r="N803" t="n">
        <v>0</v>
      </c>
      <c r="O803" t="n">
        <v>0</v>
      </c>
      <c r="P803" t="n">
        <v>0</v>
      </c>
      <c r="Q803" t="n">
        <v>0</v>
      </c>
      <c r="R803" s="2" t="inlineStr"/>
    </row>
    <row r="804" ht="15" customHeight="1">
      <c r="A804" t="inlineStr">
        <is>
          <t>A 52122-2019</t>
        </is>
      </c>
      <c r="B804" s="1" t="n">
        <v>43742</v>
      </c>
      <c r="C804" s="1" t="n">
        <v>45345</v>
      </c>
      <c r="D804" t="inlineStr">
        <is>
          <t>VÄSTMANLANDS LÄN</t>
        </is>
      </c>
      <c r="E804" t="inlineStr">
        <is>
          <t>VÄSTERÅS</t>
        </is>
      </c>
      <c r="G804" t="n">
        <v>5.8</v>
      </c>
      <c r="H804" t="n">
        <v>0</v>
      </c>
      <c r="I804" t="n">
        <v>0</v>
      </c>
      <c r="J804" t="n">
        <v>0</v>
      </c>
      <c r="K804" t="n">
        <v>0</v>
      </c>
      <c r="L804" t="n">
        <v>0</v>
      </c>
      <c r="M804" t="n">
        <v>0</v>
      </c>
      <c r="N804" t="n">
        <v>0</v>
      </c>
      <c r="O804" t="n">
        <v>0</v>
      </c>
      <c r="P804" t="n">
        <v>0</v>
      </c>
      <c r="Q804" t="n">
        <v>0</v>
      </c>
      <c r="R804" s="2" t="inlineStr"/>
    </row>
    <row r="805" ht="15" customHeight="1">
      <c r="A805" t="inlineStr">
        <is>
          <t>A 52242-2019</t>
        </is>
      </c>
      <c r="B805" s="1" t="n">
        <v>43742</v>
      </c>
      <c r="C805" s="1" t="n">
        <v>45345</v>
      </c>
      <c r="D805" t="inlineStr">
        <is>
          <t>VÄSTMANLANDS LÄN</t>
        </is>
      </c>
      <c r="E805" t="inlineStr">
        <is>
          <t>VÄSTERÅS</t>
        </is>
      </c>
      <c r="G805" t="n">
        <v>7.5</v>
      </c>
      <c r="H805" t="n">
        <v>0</v>
      </c>
      <c r="I805" t="n">
        <v>0</v>
      </c>
      <c r="J805" t="n">
        <v>0</v>
      </c>
      <c r="K805" t="n">
        <v>0</v>
      </c>
      <c r="L805" t="n">
        <v>0</v>
      </c>
      <c r="M805" t="n">
        <v>0</v>
      </c>
      <c r="N805" t="n">
        <v>0</v>
      </c>
      <c r="O805" t="n">
        <v>0</v>
      </c>
      <c r="P805" t="n">
        <v>0</v>
      </c>
      <c r="Q805" t="n">
        <v>0</v>
      </c>
      <c r="R805" s="2" t="inlineStr"/>
    </row>
    <row r="806" ht="15" customHeight="1">
      <c r="A806" t="inlineStr">
        <is>
          <t>A 52410-2019</t>
        </is>
      </c>
      <c r="B806" s="1" t="n">
        <v>43745</v>
      </c>
      <c r="C806" s="1" t="n">
        <v>45345</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52323-2019</t>
        </is>
      </c>
      <c r="B807" s="1" t="n">
        <v>43745</v>
      </c>
      <c r="C807" s="1" t="n">
        <v>45345</v>
      </c>
      <c r="D807" t="inlineStr">
        <is>
          <t>VÄSTMANLANDS LÄN</t>
        </is>
      </c>
      <c r="E807" t="inlineStr">
        <is>
          <t>FAGERSTA</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52408-2019</t>
        </is>
      </c>
      <c r="B808" s="1" t="n">
        <v>43745</v>
      </c>
      <c r="C808" s="1" t="n">
        <v>45345</v>
      </c>
      <c r="D808" t="inlineStr">
        <is>
          <t>VÄSTMANLANDS LÄN</t>
        </is>
      </c>
      <c r="E808" t="inlineStr">
        <is>
          <t>VÄSTERÅS</t>
        </is>
      </c>
      <c r="G808" t="n">
        <v>1.9</v>
      </c>
      <c r="H808" t="n">
        <v>0</v>
      </c>
      <c r="I808" t="n">
        <v>0</v>
      </c>
      <c r="J808" t="n">
        <v>0</v>
      </c>
      <c r="K808" t="n">
        <v>0</v>
      </c>
      <c r="L808" t="n">
        <v>0</v>
      </c>
      <c r="M808" t="n">
        <v>0</v>
      </c>
      <c r="N808" t="n">
        <v>0</v>
      </c>
      <c r="O808" t="n">
        <v>0</v>
      </c>
      <c r="P808" t="n">
        <v>0</v>
      </c>
      <c r="Q808" t="n">
        <v>0</v>
      </c>
      <c r="R808" s="2" t="inlineStr"/>
    </row>
    <row r="809" ht="15" customHeight="1">
      <c r="A809" t="inlineStr">
        <is>
          <t>A 52669-2019</t>
        </is>
      </c>
      <c r="B809" s="1" t="n">
        <v>43746</v>
      </c>
      <c r="C809" s="1" t="n">
        <v>45345</v>
      </c>
      <c r="D809" t="inlineStr">
        <is>
          <t>VÄSTMANLANDS LÄN</t>
        </is>
      </c>
      <c r="E809" t="inlineStr">
        <is>
          <t>SKINNSKATTEBERG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54393-2019</t>
        </is>
      </c>
      <c r="B810" s="1" t="n">
        <v>43746</v>
      </c>
      <c r="C810" s="1" t="n">
        <v>45345</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52931-2019</t>
        </is>
      </c>
      <c r="B811" s="1" t="n">
        <v>43746</v>
      </c>
      <c r="C811" s="1" t="n">
        <v>45345</v>
      </c>
      <c r="D811" t="inlineStr">
        <is>
          <t>VÄSTMANLANDS LÄN</t>
        </is>
      </c>
      <c r="E811" t="inlineStr">
        <is>
          <t>ARBOGA</t>
        </is>
      </c>
      <c r="G811" t="n">
        <v>2.3</v>
      </c>
      <c r="H811" t="n">
        <v>0</v>
      </c>
      <c r="I811" t="n">
        <v>0</v>
      </c>
      <c r="J811" t="n">
        <v>0</v>
      </c>
      <c r="K811" t="n">
        <v>0</v>
      </c>
      <c r="L811" t="n">
        <v>0</v>
      </c>
      <c r="M811" t="n">
        <v>0</v>
      </c>
      <c r="N811" t="n">
        <v>0</v>
      </c>
      <c r="O811" t="n">
        <v>0</v>
      </c>
      <c r="P811" t="n">
        <v>0</v>
      </c>
      <c r="Q811" t="n">
        <v>0</v>
      </c>
      <c r="R811" s="2" t="inlineStr"/>
    </row>
    <row r="812" ht="15" customHeight="1">
      <c r="A812" t="inlineStr">
        <is>
          <t>A 52930-2019</t>
        </is>
      </c>
      <c r="B812" s="1" t="n">
        <v>43746</v>
      </c>
      <c r="C812" s="1" t="n">
        <v>45345</v>
      </c>
      <c r="D812" t="inlineStr">
        <is>
          <t>VÄSTMANLANDS LÄN</t>
        </is>
      </c>
      <c r="E812" t="inlineStr">
        <is>
          <t>ARBOGA</t>
        </is>
      </c>
      <c r="G812" t="n">
        <v>0.7</v>
      </c>
      <c r="H812" t="n">
        <v>0</v>
      </c>
      <c r="I812" t="n">
        <v>0</v>
      </c>
      <c r="J812" t="n">
        <v>0</v>
      </c>
      <c r="K812" t="n">
        <v>0</v>
      </c>
      <c r="L812" t="n">
        <v>0</v>
      </c>
      <c r="M812" t="n">
        <v>0</v>
      </c>
      <c r="N812" t="n">
        <v>0</v>
      </c>
      <c r="O812" t="n">
        <v>0</v>
      </c>
      <c r="P812" t="n">
        <v>0</v>
      </c>
      <c r="Q812" t="n">
        <v>0</v>
      </c>
      <c r="R812" s="2" t="inlineStr"/>
    </row>
    <row r="813" ht="15" customHeight="1">
      <c r="A813" t="inlineStr">
        <is>
          <t>A 53358-2019</t>
        </is>
      </c>
      <c r="B813" s="1" t="n">
        <v>43748</v>
      </c>
      <c r="C813" s="1" t="n">
        <v>45345</v>
      </c>
      <c r="D813" t="inlineStr">
        <is>
          <t>VÄSTMANLANDS LÄN</t>
        </is>
      </c>
      <c r="E813" t="inlineStr">
        <is>
          <t>VÄSTERÅS</t>
        </is>
      </c>
      <c r="G813" t="n">
        <v>0.2</v>
      </c>
      <c r="H813" t="n">
        <v>0</v>
      </c>
      <c r="I813" t="n">
        <v>0</v>
      </c>
      <c r="J813" t="n">
        <v>0</v>
      </c>
      <c r="K813" t="n">
        <v>0</v>
      </c>
      <c r="L813" t="n">
        <v>0</v>
      </c>
      <c r="M813" t="n">
        <v>0</v>
      </c>
      <c r="N813" t="n">
        <v>0</v>
      </c>
      <c r="O813" t="n">
        <v>0</v>
      </c>
      <c r="P813" t="n">
        <v>0</v>
      </c>
      <c r="Q813" t="n">
        <v>0</v>
      </c>
      <c r="R813" s="2" t="inlineStr"/>
    </row>
    <row r="814" ht="15" customHeight="1">
      <c r="A814" t="inlineStr">
        <is>
          <t>A 53250-2019</t>
        </is>
      </c>
      <c r="B814" s="1" t="n">
        <v>43748</v>
      </c>
      <c r="C814" s="1" t="n">
        <v>45345</v>
      </c>
      <c r="D814" t="inlineStr">
        <is>
          <t>VÄSTMANLANDS LÄN</t>
        </is>
      </c>
      <c r="E814" t="inlineStr">
        <is>
          <t>VÄSTERÅS</t>
        </is>
      </c>
      <c r="G814" t="n">
        <v>2</v>
      </c>
      <c r="H814" t="n">
        <v>0</v>
      </c>
      <c r="I814" t="n">
        <v>0</v>
      </c>
      <c r="J814" t="n">
        <v>0</v>
      </c>
      <c r="K814" t="n">
        <v>0</v>
      </c>
      <c r="L814" t="n">
        <v>0</v>
      </c>
      <c r="M814" t="n">
        <v>0</v>
      </c>
      <c r="N814" t="n">
        <v>0</v>
      </c>
      <c r="O814" t="n">
        <v>0</v>
      </c>
      <c r="P814" t="n">
        <v>0</v>
      </c>
      <c r="Q814" t="n">
        <v>0</v>
      </c>
      <c r="R814" s="2" t="inlineStr"/>
    </row>
    <row r="815" ht="15" customHeight="1">
      <c r="A815" t="inlineStr">
        <is>
          <t>A 53246-2019</t>
        </is>
      </c>
      <c r="B815" s="1" t="n">
        <v>43748</v>
      </c>
      <c r="C815" s="1" t="n">
        <v>45345</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53640-2019</t>
        </is>
      </c>
      <c r="B816" s="1" t="n">
        <v>43749</v>
      </c>
      <c r="C816" s="1" t="n">
        <v>45345</v>
      </c>
      <c r="D816" t="inlineStr">
        <is>
          <t>VÄSTMANLANDS LÄN</t>
        </is>
      </c>
      <c r="E816" t="inlineStr">
        <is>
          <t>SKINNSKATTEBERG</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53641-2019</t>
        </is>
      </c>
      <c r="B817" s="1" t="n">
        <v>43749</v>
      </c>
      <c r="C817" s="1" t="n">
        <v>45345</v>
      </c>
      <c r="D817" t="inlineStr">
        <is>
          <t>VÄSTMANLANDS LÄN</t>
        </is>
      </c>
      <c r="E817" t="inlineStr">
        <is>
          <t>SKINNSKATTEBERG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53637-2019</t>
        </is>
      </c>
      <c r="B818" s="1" t="n">
        <v>43749</v>
      </c>
      <c r="C818" s="1" t="n">
        <v>45345</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53685-2019</t>
        </is>
      </c>
      <c r="B819" s="1" t="n">
        <v>43749</v>
      </c>
      <c r="C819" s="1" t="n">
        <v>45345</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53899-2019</t>
        </is>
      </c>
      <c r="B820" s="1" t="n">
        <v>43752</v>
      </c>
      <c r="C820" s="1" t="n">
        <v>45345</v>
      </c>
      <c r="D820" t="inlineStr">
        <is>
          <t>VÄSTMANLANDS LÄN</t>
        </is>
      </c>
      <c r="E820" t="inlineStr">
        <is>
          <t>ARBOGA</t>
        </is>
      </c>
      <c r="G820" t="n">
        <v>6.8</v>
      </c>
      <c r="H820" t="n">
        <v>0</v>
      </c>
      <c r="I820" t="n">
        <v>0</v>
      </c>
      <c r="J820" t="n">
        <v>0</v>
      </c>
      <c r="K820" t="n">
        <v>0</v>
      </c>
      <c r="L820" t="n">
        <v>0</v>
      </c>
      <c r="M820" t="n">
        <v>0</v>
      </c>
      <c r="N820" t="n">
        <v>0</v>
      </c>
      <c r="O820" t="n">
        <v>0</v>
      </c>
      <c r="P820" t="n">
        <v>0</v>
      </c>
      <c r="Q820" t="n">
        <v>0</v>
      </c>
      <c r="R820" s="2" t="inlineStr"/>
    </row>
    <row r="821" ht="15" customHeight="1">
      <c r="A821" t="inlineStr">
        <is>
          <t>A 53912-2019</t>
        </is>
      </c>
      <c r="B821" s="1" t="n">
        <v>43752</v>
      </c>
      <c r="C821" s="1" t="n">
        <v>45345</v>
      </c>
      <c r="D821" t="inlineStr">
        <is>
          <t>VÄSTMANLANDS LÄN</t>
        </is>
      </c>
      <c r="E821" t="inlineStr">
        <is>
          <t>ARBOGA</t>
        </is>
      </c>
      <c r="G821" t="n">
        <v>7.1</v>
      </c>
      <c r="H821" t="n">
        <v>0</v>
      </c>
      <c r="I821" t="n">
        <v>0</v>
      </c>
      <c r="J821" t="n">
        <v>0</v>
      </c>
      <c r="K821" t="n">
        <v>0</v>
      </c>
      <c r="L821" t="n">
        <v>0</v>
      </c>
      <c r="M821" t="n">
        <v>0</v>
      </c>
      <c r="N821" t="n">
        <v>0</v>
      </c>
      <c r="O821" t="n">
        <v>0</v>
      </c>
      <c r="P821" t="n">
        <v>0</v>
      </c>
      <c r="Q821" t="n">
        <v>0</v>
      </c>
      <c r="R821" s="2" t="inlineStr"/>
    </row>
    <row r="822" ht="15" customHeight="1">
      <c r="A822" t="inlineStr">
        <is>
          <t>A 53891-2019</t>
        </is>
      </c>
      <c r="B822" s="1" t="n">
        <v>43752</v>
      </c>
      <c r="C822" s="1" t="n">
        <v>45345</v>
      </c>
      <c r="D822" t="inlineStr">
        <is>
          <t>VÄSTMANLANDS LÄN</t>
        </is>
      </c>
      <c r="E822" t="inlineStr">
        <is>
          <t>ARBOGA</t>
        </is>
      </c>
      <c r="G822" t="n">
        <v>4.8</v>
      </c>
      <c r="H822" t="n">
        <v>0</v>
      </c>
      <c r="I822" t="n">
        <v>0</v>
      </c>
      <c r="J822" t="n">
        <v>0</v>
      </c>
      <c r="K822" t="n">
        <v>0</v>
      </c>
      <c r="L822" t="n">
        <v>0</v>
      </c>
      <c r="M822" t="n">
        <v>0</v>
      </c>
      <c r="N822" t="n">
        <v>0</v>
      </c>
      <c r="O822" t="n">
        <v>0</v>
      </c>
      <c r="P822" t="n">
        <v>0</v>
      </c>
      <c r="Q822" t="n">
        <v>0</v>
      </c>
      <c r="R822" s="2" t="inlineStr"/>
    </row>
    <row r="823" ht="15" customHeight="1">
      <c r="A823" t="inlineStr">
        <is>
          <t>A 54076-2019</t>
        </is>
      </c>
      <c r="B823" s="1" t="n">
        <v>43752</v>
      </c>
      <c r="C823" s="1" t="n">
        <v>45345</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54069-2019</t>
        </is>
      </c>
      <c r="B824" s="1" t="n">
        <v>43752</v>
      </c>
      <c r="C824" s="1" t="n">
        <v>45345</v>
      </c>
      <c r="D824" t="inlineStr">
        <is>
          <t>VÄSTMANLANDS LÄN</t>
        </is>
      </c>
      <c r="E824" t="inlineStr">
        <is>
          <t>SALA</t>
        </is>
      </c>
      <c r="G824" t="n">
        <v>3.5</v>
      </c>
      <c r="H824" t="n">
        <v>0</v>
      </c>
      <c r="I824" t="n">
        <v>0</v>
      </c>
      <c r="J824" t="n">
        <v>0</v>
      </c>
      <c r="K824" t="n">
        <v>0</v>
      </c>
      <c r="L824" t="n">
        <v>0</v>
      </c>
      <c r="M824" t="n">
        <v>0</v>
      </c>
      <c r="N824" t="n">
        <v>0</v>
      </c>
      <c r="O824" t="n">
        <v>0</v>
      </c>
      <c r="P824" t="n">
        <v>0</v>
      </c>
      <c r="Q824" t="n">
        <v>0</v>
      </c>
      <c r="R824" s="2" t="inlineStr"/>
    </row>
    <row r="825" ht="15" customHeight="1">
      <c r="A825" t="inlineStr">
        <is>
          <t>A 55079-2019</t>
        </is>
      </c>
      <c r="B825" s="1" t="n">
        <v>43752</v>
      </c>
      <c r="C825" s="1" t="n">
        <v>45345</v>
      </c>
      <c r="D825" t="inlineStr">
        <is>
          <t>VÄSTMANLANDS LÄN</t>
        </is>
      </c>
      <c r="E825" t="inlineStr">
        <is>
          <t>NORBERG</t>
        </is>
      </c>
      <c r="G825" t="n">
        <v>5.4</v>
      </c>
      <c r="H825" t="n">
        <v>0</v>
      </c>
      <c r="I825" t="n">
        <v>0</v>
      </c>
      <c r="J825" t="n">
        <v>0</v>
      </c>
      <c r="K825" t="n">
        <v>0</v>
      </c>
      <c r="L825" t="n">
        <v>0</v>
      </c>
      <c r="M825" t="n">
        <v>0</v>
      </c>
      <c r="N825" t="n">
        <v>0</v>
      </c>
      <c r="O825" t="n">
        <v>0</v>
      </c>
      <c r="P825" t="n">
        <v>0</v>
      </c>
      <c r="Q825" t="n">
        <v>0</v>
      </c>
      <c r="R825" s="2" t="inlineStr"/>
    </row>
    <row r="826" ht="15" customHeight="1">
      <c r="A826" t="inlineStr">
        <is>
          <t>A 54195-2019</t>
        </is>
      </c>
      <c r="B826" s="1" t="n">
        <v>43753</v>
      </c>
      <c r="C826" s="1" t="n">
        <v>45345</v>
      </c>
      <c r="D826" t="inlineStr">
        <is>
          <t>VÄSTMANLANDS LÄN</t>
        </is>
      </c>
      <c r="E826" t="inlineStr">
        <is>
          <t>VÄSTERÅS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54628-2019</t>
        </is>
      </c>
      <c r="B827" s="1" t="n">
        <v>43754</v>
      </c>
      <c r="C827" s="1" t="n">
        <v>45345</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54846-2019</t>
        </is>
      </c>
      <c r="B828" s="1" t="n">
        <v>43755</v>
      </c>
      <c r="C828" s="1" t="n">
        <v>45345</v>
      </c>
      <c r="D828" t="inlineStr">
        <is>
          <t>VÄSTMANLANDS LÄN</t>
        </is>
      </c>
      <c r="E828" t="inlineStr">
        <is>
          <t>KUNGSÖR</t>
        </is>
      </c>
      <c r="G828" t="n">
        <v>2.7</v>
      </c>
      <c r="H828" t="n">
        <v>0</v>
      </c>
      <c r="I828" t="n">
        <v>0</v>
      </c>
      <c r="J828" t="n">
        <v>0</v>
      </c>
      <c r="K828" t="n">
        <v>0</v>
      </c>
      <c r="L828" t="n">
        <v>0</v>
      </c>
      <c r="M828" t="n">
        <v>0</v>
      </c>
      <c r="N828" t="n">
        <v>0</v>
      </c>
      <c r="O828" t="n">
        <v>0</v>
      </c>
      <c r="P828" t="n">
        <v>0</v>
      </c>
      <c r="Q828" t="n">
        <v>0</v>
      </c>
      <c r="R828" s="2" t="inlineStr"/>
    </row>
    <row r="829" ht="15" customHeight="1">
      <c r="A829" t="inlineStr">
        <is>
          <t>A 55253-2019</t>
        </is>
      </c>
      <c r="B829" s="1" t="n">
        <v>43756</v>
      </c>
      <c r="C829" s="1" t="n">
        <v>45345</v>
      </c>
      <c r="D829" t="inlineStr">
        <is>
          <t>VÄSTMANLANDS LÄN</t>
        </is>
      </c>
      <c r="E829" t="inlineStr">
        <is>
          <t>SKINNSKATTEBERG</t>
        </is>
      </c>
      <c r="F829" t="inlineStr">
        <is>
          <t>Sveaskog</t>
        </is>
      </c>
      <c r="G829" t="n">
        <v>7</v>
      </c>
      <c r="H829" t="n">
        <v>0</v>
      </c>
      <c r="I829" t="n">
        <v>0</v>
      </c>
      <c r="J829" t="n">
        <v>0</v>
      </c>
      <c r="K829" t="n">
        <v>0</v>
      </c>
      <c r="L829" t="n">
        <v>0</v>
      </c>
      <c r="M829" t="n">
        <v>0</v>
      </c>
      <c r="N829" t="n">
        <v>0</v>
      </c>
      <c r="O829" t="n">
        <v>0</v>
      </c>
      <c r="P829" t="n">
        <v>0</v>
      </c>
      <c r="Q829" t="n">
        <v>0</v>
      </c>
      <c r="R829" s="2" t="inlineStr"/>
    </row>
    <row r="830" ht="15" customHeight="1">
      <c r="A830" t="inlineStr">
        <is>
          <t>A 55254-2019</t>
        </is>
      </c>
      <c r="B830" s="1" t="n">
        <v>43756</v>
      </c>
      <c r="C830" s="1" t="n">
        <v>45345</v>
      </c>
      <c r="D830" t="inlineStr">
        <is>
          <t>VÄSTMANLANDS LÄN</t>
        </is>
      </c>
      <c r="E830" t="inlineStr">
        <is>
          <t>SKINNSKATTEBERG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55400-2019</t>
        </is>
      </c>
      <c r="B831" s="1" t="n">
        <v>43758</v>
      </c>
      <c r="C831" s="1" t="n">
        <v>45345</v>
      </c>
      <c r="D831" t="inlineStr">
        <is>
          <t>VÄSTMANLANDS LÄN</t>
        </is>
      </c>
      <c r="E831" t="inlineStr">
        <is>
          <t>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55518-2019</t>
        </is>
      </c>
      <c r="B832" s="1" t="n">
        <v>43759</v>
      </c>
      <c r="C832" s="1" t="n">
        <v>45345</v>
      </c>
      <c r="D832" t="inlineStr">
        <is>
          <t>VÄSTMANLANDS LÄN</t>
        </is>
      </c>
      <c r="E832" t="inlineStr">
        <is>
          <t>HALLSTAHAMMAR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55856-2019</t>
        </is>
      </c>
      <c r="B833" s="1" t="n">
        <v>43759</v>
      </c>
      <c r="C833" s="1" t="n">
        <v>45345</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56040-2019</t>
        </is>
      </c>
      <c r="B834" s="1" t="n">
        <v>43759</v>
      </c>
      <c r="C834" s="1" t="n">
        <v>45345</v>
      </c>
      <c r="D834" t="inlineStr">
        <is>
          <t>VÄSTMANLANDS LÄN</t>
        </is>
      </c>
      <c r="E834" t="inlineStr">
        <is>
          <t>ARBOGA</t>
        </is>
      </c>
      <c r="G834" t="n">
        <v>1</v>
      </c>
      <c r="H834" t="n">
        <v>0</v>
      </c>
      <c r="I834" t="n">
        <v>0</v>
      </c>
      <c r="J834" t="n">
        <v>0</v>
      </c>
      <c r="K834" t="n">
        <v>0</v>
      </c>
      <c r="L834" t="n">
        <v>0</v>
      </c>
      <c r="M834" t="n">
        <v>0</v>
      </c>
      <c r="N834" t="n">
        <v>0</v>
      </c>
      <c r="O834" t="n">
        <v>0</v>
      </c>
      <c r="P834" t="n">
        <v>0</v>
      </c>
      <c r="Q834" t="n">
        <v>0</v>
      </c>
      <c r="R834" s="2" t="inlineStr"/>
    </row>
    <row r="835" ht="15" customHeight="1">
      <c r="A835" t="inlineStr">
        <is>
          <t>A 55759-2019</t>
        </is>
      </c>
      <c r="B835" s="1" t="n">
        <v>43759</v>
      </c>
      <c r="C835" s="1" t="n">
        <v>45345</v>
      </c>
      <c r="D835" t="inlineStr">
        <is>
          <t>VÄSTMANLANDS LÄN</t>
        </is>
      </c>
      <c r="E835" t="inlineStr">
        <is>
          <t>ARBOGA</t>
        </is>
      </c>
      <c r="G835" t="n">
        <v>1.7</v>
      </c>
      <c r="H835" t="n">
        <v>0</v>
      </c>
      <c r="I835" t="n">
        <v>0</v>
      </c>
      <c r="J835" t="n">
        <v>0</v>
      </c>
      <c r="K835" t="n">
        <v>0</v>
      </c>
      <c r="L835" t="n">
        <v>0</v>
      </c>
      <c r="M835" t="n">
        <v>0</v>
      </c>
      <c r="N835" t="n">
        <v>0</v>
      </c>
      <c r="O835" t="n">
        <v>0</v>
      </c>
      <c r="P835" t="n">
        <v>0</v>
      </c>
      <c r="Q835" t="n">
        <v>0</v>
      </c>
      <c r="R835" s="2" t="inlineStr"/>
    </row>
    <row r="836" ht="15" customHeight="1">
      <c r="A836" t="inlineStr">
        <is>
          <t>A 56038-2019</t>
        </is>
      </c>
      <c r="B836" s="1" t="n">
        <v>43759</v>
      </c>
      <c r="C836" s="1" t="n">
        <v>45345</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55673-2019</t>
        </is>
      </c>
      <c r="B837" s="1" t="n">
        <v>43760</v>
      </c>
      <c r="C837" s="1" t="n">
        <v>45345</v>
      </c>
      <c r="D837" t="inlineStr">
        <is>
          <t>VÄSTMANLANDS LÄN</t>
        </is>
      </c>
      <c r="E837" t="inlineStr">
        <is>
          <t>ARBOGA</t>
        </is>
      </c>
      <c r="G837" t="n">
        <v>2.2</v>
      </c>
      <c r="H837" t="n">
        <v>0</v>
      </c>
      <c r="I837" t="n">
        <v>0</v>
      </c>
      <c r="J837" t="n">
        <v>0</v>
      </c>
      <c r="K837" t="n">
        <v>0</v>
      </c>
      <c r="L837" t="n">
        <v>0</v>
      </c>
      <c r="M837" t="n">
        <v>0</v>
      </c>
      <c r="N837" t="n">
        <v>0</v>
      </c>
      <c r="O837" t="n">
        <v>0</v>
      </c>
      <c r="P837" t="n">
        <v>0</v>
      </c>
      <c r="Q837" t="n">
        <v>0</v>
      </c>
      <c r="R837" s="2" t="inlineStr"/>
    </row>
    <row r="838" ht="15" customHeight="1">
      <c r="A838" t="inlineStr">
        <is>
          <t>A 55672-2019</t>
        </is>
      </c>
      <c r="B838" s="1" t="n">
        <v>43760</v>
      </c>
      <c r="C838" s="1" t="n">
        <v>45345</v>
      </c>
      <c r="D838" t="inlineStr">
        <is>
          <t>VÄSTMANLANDS LÄN</t>
        </is>
      </c>
      <c r="E838" t="inlineStr">
        <is>
          <t>ARBOGA</t>
        </is>
      </c>
      <c r="G838" t="n">
        <v>4.2</v>
      </c>
      <c r="H838" t="n">
        <v>0</v>
      </c>
      <c r="I838" t="n">
        <v>0</v>
      </c>
      <c r="J838" t="n">
        <v>0</v>
      </c>
      <c r="K838" t="n">
        <v>0</v>
      </c>
      <c r="L838" t="n">
        <v>0</v>
      </c>
      <c r="M838" t="n">
        <v>0</v>
      </c>
      <c r="N838" t="n">
        <v>0</v>
      </c>
      <c r="O838" t="n">
        <v>0</v>
      </c>
      <c r="P838" t="n">
        <v>0</v>
      </c>
      <c r="Q838" t="n">
        <v>0</v>
      </c>
      <c r="R838" s="2" t="inlineStr"/>
    </row>
    <row r="839" ht="15" customHeight="1">
      <c r="A839" t="inlineStr">
        <is>
          <t>A 55659-2019</t>
        </is>
      </c>
      <c r="B839" s="1" t="n">
        <v>43760</v>
      </c>
      <c r="C839" s="1" t="n">
        <v>45345</v>
      </c>
      <c r="D839" t="inlineStr">
        <is>
          <t>VÄSTMANLANDS LÄN</t>
        </is>
      </c>
      <c r="E839" t="inlineStr">
        <is>
          <t>KÖPING</t>
        </is>
      </c>
      <c r="G839" t="n">
        <v>10.7</v>
      </c>
      <c r="H839" t="n">
        <v>0</v>
      </c>
      <c r="I839" t="n">
        <v>0</v>
      </c>
      <c r="J839" t="n">
        <v>0</v>
      </c>
      <c r="K839" t="n">
        <v>0</v>
      </c>
      <c r="L839" t="n">
        <v>0</v>
      </c>
      <c r="M839" t="n">
        <v>0</v>
      </c>
      <c r="N839" t="n">
        <v>0</v>
      </c>
      <c r="O839" t="n">
        <v>0</v>
      </c>
      <c r="P839" t="n">
        <v>0</v>
      </c>
      <c r="Q839" t="n">
        <v>0</v>
      </c>
      <c r="R839" s="2" t="inlineStr"/>
    </row>
    <row r="840" ht="15" customHeight="1">
      <c r="A840" t="inlineStr">
        <is>
          <t>A 56012-2019</t>
        </is>
      </c>
      <c r="B840" s="1" t="n">
        <v>43760</v>
      </c>
      <c r="C840" s="1" t="n">
        <v>45345</v>
      </c>
      <c r="D840" t="inlineStr">
        <is>
          <t>VÄSTMANLANDS LÄN</t>
        </is>
      </c>
      <c r="E840" t="inlineStr">
        <is>
          <t>KÖPING</t>
        </is>
      </c>
      <c r="G840" t="n">
        <v>2.2</v>
      </c>
      <c r="H840" t="n">
        <v>0</v>
      </c>
      <c r="I840" t="n">
        <v>0</v>
      </c>
      <c r="J840" t="n">
        <v>0</v>
      </c>
      <c r="K840" t="n">
        <v>0</v>
      </c>
      <c r="L840" t="n">
        <v>0</v>
      </c>
      <c r="M840" t="n">
        <v>0</v>
      </c>
      <c r="N840" t="n">
        <v>0</v>
      </c>
      <c r="O840" t="n">
        <v>0</v>
      </c>
      <c r="P840" t="n">
        <v>0</v>
      </c>
      <c r="Q840" t="n">
        <v>0</v>
      </c>
      <c r="R840" s="2" t="inlineStr"/>
    </row>
    <row r="841" ht="15" customHeight="1">
      <c r="A841" t="inlineStr">
        <is>
          <t>A 56152-2019</t>
        </is>
      </c>
      <c r="B841" s="1" t="n">
        <v>43761</v>
      </c>
      <c r="C841" s="1" t="n">
        <v>45345</v>
      </c>
      <c r="D841" t="inlineStr">
        <is>
          <t>VÄSTMANLANDS LÄN</t>
        </is>
      </c>
      <c r="E841" t="inlineStr">
        <is>
          <t>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55837-2019</t>
        </is>
      </c>
      <c r="B842" s="1" t="n">
        <v>43761</v>
      </c>
      <c r="C842" s="1" t="n">
        <v>45345</v>
      </c>
      <c r="D842" t="inlineStr">
        <is>
          <t>VÄSTMANLANDS LÄN</t>
        </is>
      </c>
      <c r="E842" t="inlineStr">
        <is>
          <t>KÖPING</t>
        </is>
      </c>
      <c r="G842" t="n">
        <v>23.2</v>
      </c>
      <c r="H842" t="n">
        <v>0</v>
      </c>
      <c r="I842" t="n">
        <v>0</v>
      </c>
      <c r="J842" t="n">
        <v>0</v>
      </c>
      <c r="K842" t="n">
        <v>0</v>
      </c>
      <c r="L842" t="n">
        <v>0</v>
      </c>
      <c r="M842" t="n">
        <v>0</v>
      </c>
      <c r="N842" t="n">
        <v>0</v>
      </c>
      <c r="O842" t="n">
        <v>0</v>
      </c>
      <c r="P842" t="n">
        <v>0</v>
      </c>
      <c r="Q842" t="n">
        <v>0</v>
      </c>
      <c r="R842" s="2" t="inlineStr"/>
    </row>
    <row r="843" ht="15" customHeight="1">
      <c r="A843" t="inlineStr">
        <is>
          <t>A 56156-2019</t>
        </is>
      </c>
      <c r="B843" s="1" t="n">
        <v>43761</v>
      </c>
      <c r="C843" s="1" t="n">
        <v>45345</v>
      </c>
      <c r="D843" t="inlineStr">
        <is>
          <t>VÄSTMANLANDS LÄN</t>
        </is>
      </c>
      <c r="E843" t="inlineStr">
        <is>
          <t>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56611-2019</t>
        </is>
      </c>
      <c r="B844" s="1" t="n">
        <v>43762</v>
      </c>
      <c r="C844" s="1" t="n">
        <v>45345</v>
      </c>
      <c r="D844" t="inlineStr">
        <is>
          <t>VÄSTMANLANDS LÄN</t>
        </is>
      </c>
      <c r="E844" t="inlineStr">
        <is>
          <t>VÄSTERÅS</t>
        </is>
      </c>
      <c r="G844" t="n">
        <v>4.1</v>
      </c>
      <c r="H844" t="n">
        <v>0</v>
      </c>
      <c r="I844" t="n">
        <v>0</v>
      </c>
      <c r="J844" t="n">
        <v>0</v>
      </c>
      <c r="K844" t="n">
        <v>0</v>
      </c>
      <c r="L844" t="n">
        <v>0</v>
      </c>
      <c r="M844" t="n">
        <v>0</v>
      </c>
      <c r="N844" t="n">
        <v>0</v>
      </c>
      <c r="O844" t="n">
        <v>0</v>
      </c>
      <c r="P844" t="n">
        <v>0</v>
      </c>
      <c r="Q844" t="n">
        <v>0</v>
      </c>
      <c r="R844" s="2" t="inlineStr"/>
    </row>
    <row r="845" ht="15" customHeight="1">
      <c r="A845" t="inlineStr">
        <is>
          <t>A 56618-2019</t>
        </is>
      </c>
      <c r="B845" s="1" t="n">
        <v>43763</v>
      </c>
      <c r="C845" s="1" t="n">
        <v>45345</v>
      </c>
      <c r="D845" t="inlineStr">
        <is>
          <t>VÄSTMANLANDS LÄN</t>
        </is>
      </c>
      <c r="E845" t="inlineStr">
        <is>
          <t>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56616-2019</t>
        </is>
      </c>
      <c r="B846" s="1" t="n">
        <v>43763</v>
      </c>
      <c r="C846" s="1" t="n">
        <v>45345</v>
      </c>
      <c r="D846" t="inlineStr">
        <is>
          <t>VÄSTMANLANDS LÄN</t>
        </is>
      </c>
      <c r="E846" t="inlineStr">
        <is>
          <t>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56607-2019</t>
        </is>
      </c>
      <c r="B847" s="1" t="n">
        <v>43763</v>
      </c>
      <c r="C847" s="1" t="n">
        <v>45345</v>
      </c>
      <c r="D847" t="inlineStr">
        <is>
          <t>VÄSTMANLANDS LÄN</t>
        </is>
      </c>
      <c r="E847" t="inlineStr">
        <is>
          <t>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57078-2019</t>
        </is>
      </c>
      <c r="B848" s="1" t="n">
        <v>43766</v>
      </c>
      <c r="C848" s="1" t="n">
        <v>45345</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58573-2019</t>
        </is>
      </c>
      <c r="B849" s="1" t="n">
        <v>43766</v>
      </c>
      <c r="C849" s="1" t="n">
        <v>45345</v>
      </c>
      <c r="D849" t="inlineStr">
        <is>
          <t>VÄSTMANLANDS LÄN</t>
        </is>
      </c>
      <c r="E849" t="inlineStr">
        <is>
          <t>NORBERG</t>
        </is>
      </c>
      <c r="G849" t="n">
        <v>2.5</v>
      </c>
      <c r="H849" t="n">
        <v>0</v>
      </c>
      <c r="I849" t="n">
        <v>0</v>
      </c>
      <c r="J849" t="n">
        <v>0</v>
      </c>
      <c r="K849" t="n">
        <v>0</v>
      </c>
      <c r="L849" t="n">
        <v>0</v>
      </c>
      <c r="M849" t="n">
        <v>0</v>
      </c>
      <c r="N849" t="n">
        <v>0</v>
      </c>
      <c r="O849" t="n">
        <v>0</v>
      </c>
      <c r="P849" t="n">
        <v>0</v>
      </c>
      <c r="Q849" t="n">
        <v>0</v>
      </c>
      <c r="R849" s="2" t="inlineStr"/>
    </row>
    <row r="850" ht="15" customHeight="1">
      <c r="A850" t="inlineStr">
        <is>
          <t>A 58582-2019</t>
        </is>
      </c>
      <c r="B850" s="1" t="n">
        <v>43766</v>
      </c>
      <c r="C850" s="1" t="n">
        <v>45345</v>
      </c>
      <c r="D850" t="inlineStr">
        <is>
          <t>VÄSTMANLANDS LÄN</t>
        </is>
      </c>
      <c r="E850" t="inlineStr">
        <is>
          <t>NORBERG</t>
        </is>
      </c>
      <c r="G850" t="n">
        <v>11.3</v>
      </c>
      <c r="H850" t="n">
        <v>0</v>
      </c>
      <c r="I850" t="n">
        <v>0</v>
      </c>
      <c r="J850" t="n">
        <v>0</v>
      </c>
      <c r="K850" t="n">
        <v>0</v>
      </c>
      <c r="L850" t="n">
        <v>0</v>
      </c>
      <c r="M850" t="n">
        <v>0</v>
      </c>
      <c r="N850" t="n">
        <v>0</v>
      </c>
      <c r="O850" t="n">
        <v>0</v>
      </c>
      <c r="P850" t="n">
        <v>0</v>
      </c>
      <c r="Q850" t="n">
        <v>0</v>
      </c>
      <c r="R850" s="2" t="inlineStr"/>
    </row>
    <row r="851" ht="15" customHeight="1">
      <c r="A851" t="inlineStr">
        <is>
          <t>A 58555-2019</t>
        </is>
      </c>
      <c r="B851" s="1" t="n">
        <v>43766</v>
      </c>
      <c r="C851" s="1" t="n">
        <v>45345</v>
      </c>
      <c r="D851" t="inlineStr">
        <is>
          <t>VÄSTMANLANDS LÄN</t>
        </is>
      </c>
      <c r="E851" t="inlineStr">
        <is>
          <t>NORBERG</t>
        </is>
      </c>
      <c r="G851" t="n">
        <v>1.8</v>
      </c>
      <c r="H851" t="n">
        <v>0</v>
      </c>
      <c r="I851" t="n">
        <v>0</v>
      </c>
      <c r="J851" t="n">
        <v>0</v>
      </c>
      <c r="K851" t="n">
        <v>0</v>
      </c>
      <c r="L851" t="n">
        <v>0</v>
      </c>
      <c r="M851" t="n">
        <v>0</v>
      </c>
      <c r="N851" t="n">
        <v>0</v>
      </c>
      <c r="O851" t="n">
        <v>0</v>
      </c>
      <c r="P851" t="n">
        <v>0</v>
      </c>
      <c r="Q851" t="n">
        <v>0</v>
      </c>
      <c r="R851" s="2" t="inlineStr"/>
    </row>
    <row r="852" ht="15" customHeight="1">
      <c r="A852" t="inlineStr">
        <is>
          <t>A 58579-2019</t>
        </is>
      </c>
      <c r="B852" s="1" t="n">
        <v>43766</v>
      </c>
      <c r="C852" s="1" t="n">
        <v>45345</v>
      </c>
      <c r="D852" t="inlineStr">
        <is>
          <t>VÄSTMANLANDS LÄN</t>
        </is>
      </c>
      <c r="E852" t="inlineStr">
        <is>
          <t>NORBERG</t>
        </is>
      </c>
      <c r="G852" t="n">
        <v>6.9</v>
      </c>
      <c r="H852" t="n">
        <v>0</v>
      </c>
      <c r="I852" t="n">
        <v>0</v>
      </c>
      <c r="J852" t="n">
        <v>0</v>
      </c>
      <c r="K852" t="n">
        <v>0</v>
      </c>
      <c r="L852" t="n">
        <v>0</v>
      </c>
      <c r="M852" t="n">
        <v>0</v>
      </c>
      <c r="N852" t="n">
        <v>0</v>
      </c>
      <c r="O852" t="n">
        <v>0</v>
      </c>
      <c r="P852" t="n">
        <v>0</v>
      </c>
      <c r="Q852" t="n">
        <v>0</v>
      </c>
      <c r="R852" s="2" t="inlineStr"/>
    </row>
    <row r="853" ht="15" customHeight="1">
      <c r="A853" t="inlineStr">
        <is>
          <t>A 57409-2019</t>
        </is>
      </c>
      <c r="B853" s="1" t="n">
        <v>43767</v>
      </c>
      <c r="C853" s="1" t="n">
        <v>45345</v>
      </c>
      <c r="D853" t="inlineStr">
        <is>
          <t>VÄSTMANLANDS LÄN</t>
        </is>
      </c>
      <c r="E853" t="inlineStr">
        <is>
          <t>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57406-2019</t>
        </is>
      </c>
      <c r="B854" s="1" t="n">
        <v>43767</v>
      </c>
      <c r="C854" s="1" t="n">
        <v>45345</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57743-2019</t>
        </is>
      </c>
      <c r="B855" s="1" t="n">
        <v>43768</v>
      </c>
      <c r="C855" s="1" t="n">
        <v>45345</v>
      </c>
      <c r="D855" t="inlineStr">
        <is>
          <t>VÄSTMANLANDS LÄN</t>
        </is>
      </c>
      <c r="E855" t="inlineStr">
        <is>
          <t>SALA</t>
        </is>
      </c>
      <c r="G855" t="n">
        <v>3.8</v>
      </c>
      <c r="H855" t="n">
        <v>0</v>
      </c>
      <c r="I855" t="n">
        <v>0</v>
      </c>
      <c r="J855" t="n">
        <v>0</v>
      </c>
      <c r="K855" t="n">
        <v>0</v>
      </c>
      <c r="L855" t="n">
        <v>0</v>
      </c>
      <c r="M855" t="n">
        <v>0</v>
      </c>
      <c r="N855" t="n">
        <v>0</v>
      </c>
      <c r="O855" t="n">
        <v>0</v>
      </c>
      <c r="P855" t="n">
        <v>0</v>
      </c>
      <c r="Q855" t="n">
        <v>0</v>
      </c>
      <c r="R855" s="2" t="inlineStr"/>
    </row>
    <row r="856" ht="15" customHeight="1">
      <c r="A856" t="inlineStr">
        <is>
          <t>A 57810-2019</t>
        </is>
      </c>
      <c r="B856" s="1" t="n">
        <v>43768</v>
      </c>
      <c r="C856" s="1" t="n">
        <v>45345</v>
      </c>
      <c r="D856" t="inlineStr">
        <is>
          <t>VÄSTMANLANDS LÄN</t>
        </is>
      </c>
      <c r="E856" t="inlineStr">
        <is>
          <t>VÄSTERÅS</t>
        </is>
      </c>
      <c r="G856" t="n">
        <v>1.1</v>
      </c>
      <c r="H856" t="n">
        <v>0</v>
      </c>
      <c r="I856" t="n">
        <v>0</v>
      </c>
      <c r="J856" t="n">
        <v>0</v>
      </c>
      <c r="K856" t="n">
        <v>0</v>
      </c>
      <c r="L856" t="n">
        <v>0</v>
      </c>
      <c r="M856" t="n">
        <v>0</v>
      </c>
      <c r="N856" t="n">
        <v>0</v>
      </c>
      <c r="O856" t="n">
        <v>0</v>
      </c>
      <c r="P856" t="n">
        <v>0</v>
      </c>
      <c r="Q856" t="n">
        <v>0</v>
      </c>
      <c r="R856" s="2" t="inlineStr"/>
    </row>
    <row r="857" ht="15" customHeight="1">
      <c r="A857" t="inlineStr">
        <is>
          <t>A 58003-2019</t>
        </is>
      </c>
      <c r="B857" s="1" t="n">
        <v>43769</v>
      </c>
      <c r="C857" s="1" t="n">
        <v>45345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58027-2019</t>
        </is>
      </c>
      <c r="B858" s="1" t="n">
        <v>43769</v>
      </c>
      <c r="C858" s="1" t="n">
        <v>45345</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58138-2019</t>
        </is>
      </c>
      <c r="B859" s="1" t="n">
        <v>43769</v>
      </c>
      <c r="C859" s="1" t="n">
        <v>45345</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57997-2019</t>
        </is>
      </c>
      <c r="B860" s="1" t="n">
        <v>43769</v>
      </c>
      <c r="C860" s="1" t="n">
        <v>45345</v>
      </c>
      <c r="D860" t="inlineStr">
        <is>
          <t>VÄSTMANLANDS LÄN</t>
        </is>
      </c>
      <c r="E860" t="inlineStr">
        <is>
          <t>NORBERG</t>
        </is>
      </c>
      <c r="G860" t="n">
        <v>1.6</v>
      </c>
      <c r="H860" t="n">
        <v>0</v>
      </c>
      <c r="I860" t="n">
        <v>0</v>
      </c>
      <c r="J860" t="n">
        <v>0</v>
      </c>
      <c r="K860" t="n">
        <v>0</v>
      </c>
      <c r="L860" t="n">
        <v>0</v>
      </c>
      <c r="M860" t="n">
        <v>0</v>
      </c>
      <c r="N860" t="n">
        <v>0</v>
      </c>
      <c r="O860" t="n">
        <v>0</v>
      </c>
      <c r="P860" t="n">
        <v>0</v>
      </c>
      <c r="Q860" t="n">
        <v>0</v>
      </c>
      <c r="R860" s="2" t="inlineStr"/>
    </row>
    <row r="861" ht="15" customHeight="1">
      <c r="A861" t="inlineStr">
        <is>
          <t>A 58455-2019</t>
        </is>
      </c>
      <c r="B861" s="1" t="n">
        <v>43773</v>
      </c>
      <c r="C861" s="1" t="n">
        <v>45345</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58681-2019</t>
        </is>
      </c>
      <c r="B862" s="1" t="n">
        <v>43773</v>
      </c>
      <c r="C862" s="1" t="n">
        <v>45345</v>
      </c>
      <c r="D862" t="inlineStr">
        <is>
          <t>VÄSTMANLANDS LÄN</t>
        </is>
      </c>
      <c r="E862" t="inlineStr">
        <is>
          <t>SALA</t>
        </is>
      </c>
      <c r="G862" t="n">
        <v>3</v>
      </c>
      <c r="H862" t="n">
        <v>0</v>
      </c>
      <c r="I862" t="n">
        <v>0</v>
      </c>
      <c r="J862" t="n">
        <v>0</v>
      </c>
      <c r="K862" t="n">
        <v>0</v>
      </c>
      <c r="L862" t="n">
        <v>0</v>
      </c>
      <c r="M862" t="n">
        <v>0</v>
      </c>
      <c r="N862" t="n">
        <v>0</v>
      </c>
      <c r="O862" t="n">
        <v>0</v>
      </c>
      <c r="P862" t="n">
        <v>0</v>
      </c>
      <c r="Q862" t="n">
        <v>0</v>
      </c>
      <c r="R862" s="2" t="inlineStr"/>
    </row>
    <row r="863" ht="15" customHeight="1">
      <c r="A863" t="inlineStr">
        <is>
          <t>A 58917-2019</t>
        </is>
      </c>
      <c r="B863" s="1" t="n">
        <v>43774</v>
      </c>
      <c r="C863" s="1" t="n">
        <v>45345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59147-2019</t>
        </is>
      </c>
      <c r="B864" s="1" t="n">
        <v>43775</v>
      </c>
      <c r="C864" s="1" t="n">
        <v>45345</v>
      </c>
      <c r="D864" t="inlineStr">
        <is>
          <t>VÄSTMANLANDS LÄN</t>
        </is>
      </c>
      <c r="E864" t="inlineStr">
        <is>
          <t>SALA</t>
        </is>
      </c>
      <c r="F864" t="inlineStr">
        <is>
          <t>Övriga Aktiebolag</t>
        </is>
      </c>
      <c r="G864" t="n">
        <v>69.8</v>
      </c>
      <c r="H864" t="n">
        <v>0</v>
      </c>
      <c r="I864" t="n">
        <v>0</v>
      </c>
      <c r="J864" t="n">
        <v>0</v>
      </c>
      <c r="K864" t="n">
        <v>0</v>
      </c>
      <c r="L864" t="n">
        <v>0</v>
      </c>
      <c r="M864" t="n">
        <v>0</v>
      </c>
      <c r="N864" t="n">
        <v>0</v>
      </c>
      <c r="O864" t="n">
        <v>0</v>
      </c>
      <c r="P864" t="n">
        <v>0</v>
      </c>
      <c r="Q864" t="n">
        <v>0</v>
      </c>
      <c r="R864" s="2" t="inlineStr"/>
    </row>
    <row r="865" ht="15" customHeight="1">
      <c r="A865" t="inlineStr">
        <is>
          <t>A 59327-2019</t>
        </is>
      </c>
      <c r="B865" s="1" t="n">
        <v>43775</v>
      </c>
      <c r="C865" s="1" t="n">
        <v>45345</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59467-2019</t>
        </is>
      </c>
      <c r="B866" s="1" t="n">
        <v>43775</v>
      </c>
      <c r="C866" s="1" t="n">
        <v>45345</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59444-2019</t>
        </is>
      </c>
      <c r="B867" s="1" t="n">
        <v>43776</v>
      </c>
      <c r="C867" s="1" t="n">
        <v>45345</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59586-2019</t>
        </is>
      </c>
      <c r="B868" s="1" t="n">
        <v>43776</v>
      </c>
      <c r="C868" s="1" t="n">
        <v>45345</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59870-2019</t>
        </is>
      </c>
      <c r="B869" s="1" t="n">
        <v>43777</v>
      </c>
      <c r="C869" s="1" t="n">
        <v>45345</v>
      </c>
      <c r="D869" t="inlineStr">
        <is>
          <t>VÄSTMANLANDS LÄN</t>
        </is>
      </c>
      <c r="E869" t="inlineStr">
        <is>
          <t>KUNGSÖR</t>
        </is>
      </c>
      <c r="G869" t="n">
        <v>2.6</v>
      </c>
      <c r="H869" t="n">
        <v>0</v>
      </c>
      <c r="I869" t="n">
        <v>0</v>
      </c>
      <c r="J869" t="n">
        <v>0</v>
      </c>
      <c r="K869" t="n">
        <v>0</v>
      </c>
      <c r="L869" t="n">
        <v>0</v>
      </c>
      <c r="M869" t="n">
        <v>0</v>
      </c>
      <c r="N869" t="n">
        <v>0</v>
      </c>
      <c r="O869" t="n">
        <v>0</v>
      </c>
      <c r="P869" t="n">
        <v>0</v>
      </c>
      <c r="Q869" t="n">
        <v>0</v>
      </c>
      <c r="R869" s="2" t="inlineStr"/>
    </row>
    <row r="870" ht="15" customHeight="1">
      <c r="A870" t="inlineStr">
        <is>
          <t>A 60007-2019</t>
        </is>
      </c>
      <c r="B870" s="1" t="n">
        <v>43777</v>
      </c>
      <c r="C870" s="1" t="n">
        <v>45345</v>
      </c>
      <c r="D870" t="inlineStr">
        <is>
          <t>VÄSTMANLANDS LÄN</t>
        </is>
      </c>
      <c r="E870" t="inlineStr">
        <is>
          <t>SALA</t>
        </is>
      </c>
      <c r="F870" t="inlineStr">
        <is>
          <t>Kyrkan</t>
        </is>
      </c>
      <c r="G870" t="n">
        <v>5.1</v>
      </c>
      <c r="H870" t="n">
        <v>0</v>
      </c>
      <c r="I870" t="n">
        <v>0</v>
      </c>
      <c r="J870" t="n">
        <v>0</v>
      </c>
      <c r="K870" t="n">
        <v>0</v>
      </c>
      <c r="L870" t="n">
        <v>0</v>
      </c>
      <c r="M870" t="n">
        <v>0</v>
      </c>
      <c r="N870" t="n">
        <v>0</v>
      </c>
      <c r="O870" t="n">
        <v>0</v>
      </c>
      <c r="P870" t="n">
        <v>0</v>
      </c>
      <c r="Q870" t="n">
        <v>0</v>
      </c>
      <c r="R870" s="2" t="inlineStr"/>
    </row>
    <row r="871" ht="15" customHeight="1">
      <c r="A871" t="inlineStr">
        <is>
          <t>A 59878-2019</t>
        </is>
      </c>
      <c r="B871" s="1" t="n">
        <v>43777</v>
      </c>
      <c r="C871" s="1" t="n">
        <v>45345</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59875-2019</t>
        </is>
      </c>
      <c r="B872" s="1" t="n">
        <v>43777</v>
      </c>
      <c r="C872" s="1" t="n">
        <v>45345</v>
      </c>
      <c r="D872" t="inlineStr">
        <is>
          <t>VÄSTMANLANDS LÄN</t>
        </is>
      </c>
      <c r="E872" t="inlineStr">
        <is>
          <t>SKINNSKATTEBERG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60012-2019</t>
        </is>
      </c>
      <c r="B873" s="1" t="n">
        <v>43777</v>
      </c>
      <c r="C873" s="1" t="n">
        <v>45345</v>
      </c>
      <c r="D873" t="inlineStr">
        <is>
          <t>VÄSTMANLANDS LÄN</t>
        </is>
      </c>
      <c r="E873" t="inlineStr">
        <is>
          <t>SALA</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60343-2019</t>
        </is>
      </c>
      <c r="B874" s="1" t="n">
        <v>43780</v>
      </c>
      <c r="C874" s="1" t="n">
        <v>45345</v>
      </c>
      <c r="D874" t="inlineStr">
        <is>
          <t>VÄSTMANLANDS LÄN</t>
        </is>
      </c>
      <c r="E874" t="inlineStr">
        <is>
          <t>SURAHAMMAR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61102-2019</t>
        </is>
      </c>
      <c r="B875" s="1" t="n">
        <v>43780</v>
      </c>
      <c r="C875" s="1" t="n">
        <v>45345</v>
      </c>
      <c r="D875" t="inlineStr">
        <is>
          <t>VÄSTMANLANDS LÄN</t>
        </is>
      </c>
      <c r="E875" t="inlineStr">
        <is>
          <t>SKINNSKATTEBERG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61414-2019</t>
        </is>
      </c>
      <c r="B876" s="1" t="n">
        <v>43780</v>
      </c>
      <c r="C876" s="1" t="n">
        <v>45345</v>
      </c>
      <c r="D876" t="inlineStr">
        <is>
          <t>VÄSTMANLANDS LÄN</t>
        </is>
      </c>
      <c r="E876" t="inlineStr">
        <is>
          <t>SKINNSKATTEBERG</t>
        </is>
      </c>
      <c r="G876" t="n">
        <v>0.5</v>
      </c>
      <c r="H876" t="n">
        <v>0</v>
      </c>
      <c r="I876" t="n">
        <v>0</v>
      </c>
      <c r="J876" t="n">
        <v>0</v>
      </c>
      <c r="K876" t="n">
        <v>0</v>
      </c>
      <c r="L876" t="n">
        <v>0</v>
      </c>
      <c r="M876" t="n">
        <v>0</v>
      </c>
      <c r="N876" t="n">
        <v>0</v>
      </c>
      <c r="O876" t="n">
        <v>0</v>
      </c>
      <c r="P876" t="n">
        <v>0</v>
      </c>
      <c r="Q876" t="n">
        <v>0</v>
      </c>
      <c r="R876" s="2" t="inlineStr"/>
    </row>
    <row r="877" ht="15" customHeight="1">
      <c r="A877" t="inlineStr">
        <is>
          <t>A 60781-2019</t>
        </is>
      </c>
      <c r="B877" s="1" t="n">
        <v>43781</v>
      </c>
      <c r="C877" s="1" t="n">
        <v>45345</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60963-2019</t>
        </is>
      </c>
      <c r="B878" s="1" t="n">
        <v>43782</v>
      </c>
      <c r="C878" s="1" t="n">
        <v>45345</v>
      </c>
      <c r="D878" t="inlineStr">
        <is>
          <t>VÄSTMANLANDS LÄN</t>
        </is>
      </c>
      <c r="E878" t="inlineStr">
        <is>
          <t>VÄSTERÅS</t>
        </is>
      </c>
      <c r="G878" t="n">
        <v>1.5</v>
      </c>
      <c r="H878" t="n">
        <v>0</v>
      </c>
      <c r="I878" t="n">
        <v>0</v>
      </c>
      <c r="J878" t="n">
        <v>0</v>
      </c>
      <c r="K878" t="n">
        <v>0</v>
      </c>
      <c r="L878" t="n">
        <v>0</v>
      </c>
      <c r="M878" t="n">
        <v>0</v>
      </c>
      <c r="N878" t="n">
        <v>0</v>
      </c>
      <c r="O878" t="n">
        <v>0</v>
      </c>
      <c r="P878" t="n">
        <v>0</v>
      </c>
      <c r="Q878" t="n">
        <v>0</v>
      </c>
      <c r="R878" s="2" t="inlineStr"/>
    </row>
    <row r="879" ht="15" customHeight="1">
      <c r="A879" t="inlineStr">
        <is>
          <t>A 61016-2019</t>
        </is>
      </c>
      <c r="B879" s="1" t="n">
        <v>43782</v>
      </c>
      <c r="C879" s="1" t="n">
        <v>45345</v>
      </c>
      <c r="D879" t="inlineStr">
        <is>
          <t>VÄSTMANLANDS LÄN</t>
        </is>
      </c>
      <c r="E879" t="inlineStr">
        <is>
          <t>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61081-2019</t>
        </is>
      </c>
      <c r="B880" s="1" t="n">
        <v>43782</v>
      </c>
      <c r="C880" s="1" t="n">
        <v>45345</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61155-2019</t>
        </is>
      </c>
      <c r="B881" s="1" t="n">
        <v>43782</v>
      </c>
      <c r="C881" s="1" t="n">
        <v>45345</v>
      </c>
      <c r="D881" t="inlineStr">
        <is>
          <t>VÄSTMANLANDS LÄN</t>
        </is>
      </c>
      <c r="E881" t="inlineStr">
        <is>
          <t>SKINNSKATTEBERG</t>
        </is>
      </c>
      <c r="G881" t="n">
        <v>7.2</v>
      </c>
      <c r="H881" t="n">
        <v>0</v>
      </c>
      <c r="I881" t="n">
        <v>0</v>
      </c>
      <c r="J881" t="n">
        <v>0</v>
      </c>
      <c r="K881" t="n">
        <v>0</v>
      </c>
      <c r="L881" t="n">
        <v>0</v>
      </c>
      <c r="M881" t="n">
        <v>0</v>
      </c>
      <c r="N881" t="n">
        <v>0</v>
      </c>
      <c r="O881" t="n">
        <v>0</v>
      </c>
      <c r="P881" t="n">
        <v>0</v>
      </c>
      <c r="Q881" t="n">
        <v>0</v>
      </c>
      <c r="R881" s="2" t="inlineStr"/>
    </row>
    <row r="882" ht="15" customHeight="1">
      <c r="A882" t="inlineStr">
        <is>
          <t>A 61166-2019</t>
        </is>
      </c>
      <c r="B882" s="1" t="n">
        <v>43782</v>
      </c>
      <c r="C882" s="1" t="n">
        <v>45345</v>
      </c>
      <c r="D882" t="inlineStr">
        <is>
          <t>VÄSTMANLANDS LÄN</t>
        </is>
      </c>
      <c r="E882" t="inlineStr">
        <is>
          <t>SKINNSKATTEBERG</t>
        </is>
      </c>
      <c r="G882" t="n">
        <v>6.9</v>
      </c>
      <c r="H882" t="n">
        <v>0</v>
      </c>
      <c r="I882" t="n">
        <v>0</v>
      </c>
      <c r="J882" t="n">
        <v>0</v>
      </c>
      <c r="K882" t="n">
        <v>0</v>
      </c>
      <c r="L882" t="n">
        <v>0</v>
      </c>
      <c r="M882" t="n">
        <v>0</v>
      </c>
      <c r="N882" t="n">
        <v>0</v>
      </c>
      <c r="O882" t="n">
        <v>0</v>
      </c>
      <c r="P882" t="n">
        <v>0</v>
      </c>
      <c r="Q882" t="n">
        <v>0</v>
      </c>
      <c r="R882" s="2" t="inlineStr"/>
    </row>
    <row r="883" ht="15" customHeight="1">
      <c r="A883" t="inlineStr">
        <is>
          <t>A 61146-2019</t>
        </is>
      </c>
      <c r="B883" s="1" t="n">
        <v>43782</v>
      </c>
      <c r="C883" s="1" t="n">
        <v>45345</v>
      </c>
      <c r="D883" t="inlineStr">
        <is>
          <t>VÄSTMANLANDS LÄN</t>
        </is>
      </c>
      <c r="E883" t="inlineStr">
        <is>
          <t>SKINNSKATTEBERG</t>
        </is>
      </c>
      <c r="G883" t="n">
        <v>6.4</v>
      </c>
      <c r="H883" t="n">
        <v>0</v>
      </c>
      <c r="I883" t="n">
        <v>0</v>
      </c>
      <c r="J883" t="n">
        <v>0</v>
      </c>
      <c r="K883" t="n">
        <v>0</v>
      </c>
      <c r="L883" t="n">
        <v>0</v>
      </c>
      <c r="M883" t="n">
        <v>0</v>
      </c>
      <c r="N883" t="n">
        <v>0</v>
      </c>
      <c r="O883" t="n">
        <v>0</v>
      </c>
      <c r="P883" t="n">
        <v>0</v>
      </c>
      <c r="Q883" t="n">
        <v>0</v>
      </c>
      <c r="R883" s="2" t="inlineStr"/>
    </row>
    <row r="884" ht="15" customHeight="1">
      <c r="A884" t="inlineStr">
        <is>
          <t>A 61034-2019</t>
        </is>
      </c>
      <c r="B884" s="1" t="n">
        <v>43782</v>
      </c>
      <c r="C884" s="1" t="n">
        <v>45345</v>
      </c>
      <c r="D884" t="inlineStr">
        <is>
          <t>VÄSTMANLANDS LÄN</t>
        </is>
      </c>
      <c r="E884" t="inlineStr">
        <is>
          <t>SKINNSKATTEBERG</t>
        </is>
      </c>
      <c r="G884" t="n">
        <v>4.6</v>
      </c>
      <c r="H884" t="n">
        <v>0</v>
      </c>
      <c r="I884" t="n">
        <v>0</v>
      </c>
      <c r="J884" t="n">
        <v>0</v>
      </c>
      <c r="K884" t="n">
        <v>0</v>
      </c>
      <c r="L884" t="n">
        <v>0</v>
      </c>
      <c r="M884" t="n">
        <v>0</v>
      </c>
      <c r="N884" t="n">
        <v>0</v>
      </c>
      <c r="O884" t="n">
        <v>0</v>
      </c>
      <c r="P884" t="n">
        <v>0</v>
      </c>
      <c r="Q884" t="n">
        <v>0</v>
      </c>
      <c r="R884" s="2" t="inlineStr"/>
    </row>
    <row r="885" ht="15" customHeight="1">
      <c r="A885" t="inlineStr">
        <is>
          <t>A 60958-2019</t>
        </is>
      </c>
      <c r="B885" s="1" t="n">
        <v>43782</v>
      </c>
      <c r="C885" s="1" t="n">
        <v>45345</v>
      </c>
      <c r="D885" t="inlineStr">
        <is>
          <t>VÄSTMANLANDS LÄN</t>
        </is>
      </c>
      <c r="E885" t="inlineStr">
        <is>
          <t>VÄSTERÅS</t>
        </is>
      </c>
      <c r="G885" t="n">
        <v>14.5</v>
      </c>
      <c r="H885" t="n">
        <v>0</v>
      </c>
      <c r="I885" t="n">
        <v>0</v>
      </c>
      <c r="J885" t="n">
        <v>0</v>
      </c>
      <c r="K885" t="n">
        <v>0</v>
      </c>
      <c r="L885" t="n">
        <v>0</v>
      </c>
      <c r="M885" t="n">
        <v>0</v>
      </c>
      <c r="N885" t="n">
        <v>0</v>
      </c>
      <c r="O885" t="n">
        <v>0</v>
      </c>
      <c r="P885" t="n">
        <v>0</v>
      </c>
      <c r="Q885" t="n">
        <v>0</v>
      </c>
      <c r="R885" s="2" t="inlineStr"/>
    </row>
    <row r="886" ht="15" customHeight="1">
      <c r="A886" t="inlineStr">
        <is>
          <t>A 61270-2019</t>
        </is>
      </c>
      <c r="B886" s="1" t="n">
        <v>43783</v>
      </c>
      <c r="C886" s="1" t="n">
        <v>45345</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61394-2019</t>
        </is>
      </c>
      <c r="B887" s="1" t="n">
        <v>43783</v>
      </c>
      <c r="C887" s="1" t="n">
        <v>45345</v>
      </c>
      <c r="D887" t="inlineStr">
        <is>
          <t>VÄSTMANLANDS LÄN</t>
        </is>
      </c>
      <c r="E887" t="inlineStr">
        <is>
          <t>SALA</t>
        </is>
      </c>
      <c r="G887" t="n">
        <v>7.8</v>
      </c>
      <c r="H887" t="n">
        <v>0</v>
      </c>
      <c r="I887" t="n">
        <v>0</v>
      </c>
      <c r="J887" t="n">
        <v>0</v>
      </c>
      <c r="K887" t="n">
        <v>0</v>
      </c>
      <c r="L887" t="n">
        <v>0</v>
      </c>
      <c r="M887" t="n">
        <v>0</v>
      </c>
      <c r="N887" t="n">
        <v>0</v>
      </c>
      <c r="O887" t="n">
        <v>0</v>
      </c>
      <c r="P887" t="n">
        <v>0</v>
      </c>
      <c r="Q887" t="n">
        <v>0</v>
      </c>
      <c r="R887" s="2" t="inlineStr"/>
    </row>
    <row r="888" ht="15" customHeight="1">
      <c r="A888" t="inlineStr">
        <is>
          <t>A 61445-2019</t>
        </is>
      </c>
      <c r="B888" s="1" t="n">
        <v>43783</v>
      </c>
      <c r="C888" s="1" t="n">
        <v>45345</v>
      </c>
      <c r="D888" t="inlineStr">
        <is>
          <t>VÄSTMANLANDS LÄN</t>
        </is>
      </c>
      <c r="E888" t="inlineStr">
        <is>
          <t>SKINNSKATTEBERG</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61555-2019</t>
        </is>
      </c>
      <c r="B889" s="1" t="n">
        <v>43784</v>
      </c>
      <c r="C889" s="1" t="n">
        <v>45345</v>
      </c>
      <c r="D889" t="inlineStr">
        <is>
          <t>VÄSTMANLANDS LÄN</t>
        </is>
      </c>
      <c r="E889" t="inlineStr">
        <is>
          <t>NORBERG</t>
        </is>
      </c>
      <c r="F889" t="inlineStr">
        <is>
          <t>Sveaskog</t>
        </is>
      </c>
      <c r="G889" t="n">
        <v>12.9</v>
      </c>
      <c r="H889" t="n">
        <v>0</v>
      </c>
      <c r="I889" t="n">
        <v>0</v>
      </c>
      <c r="J889" t="n">
        <v>0</v>
      </c>
      <c r="K889" t="n">
        <v>0</v>
      </c>
      <c r="L889" t="n">
        <v>0</v>
      </c>
      <c r="M889" t="n">
        <v>0</v>
      </c>
      <c r="N889" t="n">
        <v>0</v>
      </c>
      <c r="O889" t="n">
        <v>0</v>
      </c>
      <c r="P889" t="n">
        <v>0</v>
      </c>
      <c r="Q889" t="n">
        <v>0</v>
      </c>
      <c r="R889" s="2" t="inlineStr"/>
    </row>
    <row r="890" ht="15" customHeight="1">
      <c r="A890" t="inlineStr">
        <is>
          <t>A 61762-2019</t>
        </is>
      </c>
      <c r="B890" s="1" t="n">
        <v>43784</v>
      </c>
      <c r="C890" s="1" t="n">
        <v>45345</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61758-2019</t>
        </is>
      </c>
      <c r="B891" s="1" t="n">
        <v>43784</v>
      </c>
      <c r="C891" s="1" t="n">
        <v>45345</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62912-2019</t>
        </is>
      </c>
      <c r="B892" s="1" t="n">
        <v>43784</v>
      </c>
      <c r="C892" s="1" t="n">
        <v>45345</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61760-2019</t>
        </is>
      </c>
      <c r="B893" s="1" t="n">
        <v>43784</v>
      </c>
      <c r="C893" s="1" t="n">
        <v>45345</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62020-2019</t>
        </is>
      </c>
      <c r="B894" s="1" t="n">
        <v>43787</v>
      </c>
      <c r="C894" s="1" t="n">
        <v>45345</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62199-2019</t>
        </is>
      </c>
      <c r="B895" s="1" t="n">
        <v>43788</v>
      </c>
      <c r="C895" s="1" t="n">
        <v>45345</v>
      </c>
      <c r="D895" t="inlineStr">
        <is>
          <t>VÄSTMANLANDS LÄN</t>
        </is>
      </c>
      <c r="E895" t="inlineStr">
        <is>
          <t>FAGERSTA</t>
        </is>
      </c>
      <c r="G895" t="n">
        <v>0.8</v>
      </c>
      <c r="H895" t="n">
        <v>0</v>
      </c>
      <c r="I895" t="n">
        <v>0</v>
      </c>
      <c r="J895" t="n">
        <v>0</v>
      </c>
      <c r="K895" t="n">
        <v>0</v>
      </c>
      <c r="L895" t="n">
        <v>0</v>
      </c>
      <c r="M895" t="n">
        <v>0</v>
      </c>
      <c r="N895" t="n">
        <v>0</v>
      </c>
      <c r="O895" t="n">
        <v>0</v>
      </c>
      <c r="P895" t="n">
        <v>0</v>
      </c>
      <c r="Q895" t="n">
        <v>0</v>
      </c>
      <c r="R895" s="2" t="inlineStr"/>
    </row>
    <row r="896" ht="15" customHeight="1">
      <c r="A896" t="inlineStr">
        <is>
          <t>A 62198-2019</t>
        </is>
      </c>
      <c r="B896" s="1" t="n">
        <v>43788</v>
      </c>
      <c r="C896" s="1" t="n">
        <v>45345</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62390-2019</t>
        </is>
      </c>
      <c r="B897" s="1" t="n">
        <v>43788</v>
      </c>
      <c r="C897" s="1" t="n">
        <v>45345</v>
      </c>
      <c r="D897" t="inlineStr">
        <is>
          <t>VÄSTMANLANDS LÄN</t>
        </is>
      </c>
      <c r="E897" t="inlineStr">
        <is>
          <t>SALA</t>
        </is>
      </c>
      <c r="G897" t="n">
        <v>0.9</v>
      </c>
      <c r="H897" t="n">
        <v>0</v>
      </c>
      <c r="I897" t="n">
        <v>0</v>
      </c>
      <c r="J897" t="n">
        <v>0</v>
      </c>
      <c r="K897" t="n">
        <v>0</v>
      </c>
      <c r="L897" t="n">
        <v>0</v>
      </c>
      <c r="M897" t="n">
        <v>0</v>
      </c>
      <c r="N897" t="n">
        <v>0</v>
      </c>
      <c r="O897" t="n">
        <v>0</v>
      </c>
      <c r="P897" t="n">
        <v>0</v>
      </c>
      <c r="Q897" t="n">
        <v>0</v>
      </c>
      <c r="R897" s="2" t="inlineStr"/>
    </row>
    <row r="898" ht="15" customHeight="1">
      <c r="A898" t="inlineStr">
        <is>
          <t>A 62412-2019</t>
        </is>
      </c>
      <c r="B898" s="1" t="n">
        <v>43788</v>
      </c>
      <c r="C898" s="1" t="n">
        <v>45345</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62410-2019</t>
        </is>
      </c>
      <c r="B899" s="1" t="n">
        <v>43788</v>
      </c>
      <c r="C899" s="1" t="n">
        <v>45345</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62692-2019</t>
        </is>
      </c>
      <c r="B900" s="1" t="n">
        <v>43789</v>
      </c>
      <c r="C900" s="1" t="n">
        <v>45345</v>
      </c>
      <c r="D900" t="inlineStr">
        <is>
          <t>VÄSTMANLANDS LÄN</t>
        </is>
      </c>
      <c r="E900" t="inlineStr">
        <is>
          <t>KUNGSÖR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62686-2019</t>
        </is>
      </c>
      <c r="B901" s="1" t="n">
        <v>43789</v>
      </c>
      <c r="C901" s="1" t="n">
        <v>45345</v>
      </c>
      <c r="D901" t="inlineStr">
        <is>
          <t>VÄSTMANLANDS LÄN</t>
        </is>
      </c>
      <c r="E901" t="inlineStr">
        <is>
          <t>KUNGSÖR</t>
        </is>
      </c>
      <c r="G901" t="n">
        <v>0.5</v>
      </c>
      <c r="H901" t="n">
        <v>0</v>
      </c>
      <c r="I901" t="n">
        <v>0</v>
      </c>
      <c r="J901" t="n">
        <v>0</v>
      </c>
      <c r="K901" t="n">
        <v>0</v>
      </c>
      <c r="L901" t="n">
        <v>0</v>
      </c>
      <c r="M901" t="n">
        <v>0</v>
      </c>
      <c r="N901" t="n">
        <v>0</v>
      </c>
      <c r="O901" t="n">
        <v>0</v>
      </c>
      <c r="P901" t="n">
        <v>0</v>
      </c>
      <c r="Q901" t="n">
        <v>0</v>
      </c>
      <c r="R901" s="2" t="inlineStr"/>
    </row>
    <row r="902" ht="15" customHeight="1">
      <c r="A902" t="inlineStr">
        <is>
          <t>A 62774-2019</t>
        </is>
      </c>
      <c r="B902" s="1" t="n">
        <v>43789</v>
      </c>
      <c r="C902" s="1" t="n">
        <v>45345</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62865-2019</t>
        </is>
      </c>
      <c r="B903" s="1" t="n">
        <v>43790</v>
      </c>
      <c r="C903" s="1" t="n">
        <v>45345</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62752-2019</t>
        </is>
      </c>
      <c r="B904" s="1" t="n">
        <v>43790</v>
      </c>
      <c r="C904" s="1" t="n">
        <v>45345</v>
      </c>
      <c r="D904" t="inlineStr">
        <is>
          <t>VÄSTMANLANDS LÄN</t>
        </is>
      </c>
      <c r="E904" t="inlineStr">
        <is>
          <t>SKINNSKATTEBERG</t>
        </is>
      </c>
      <c r="G904" t="n">
        <v>2.1</v>
      </c>
      <c r="H904" t="n">
        <v>0</v>
      </c>
      <c r="I904" t="n">
        <v>0</v>
      </c>
      <c r="J904" t="n">
        <v>0</v>
      </c>
      <c r="K904" t="n">
        <v>0</v>
      </c>
      <c r="L904" t="n">
        <v>0</v>
      </c>
      <c r="M904" t="n">
        <v>0</v>
      </c>
      <c r="N904" t="n">
        <v>0</v>
      </c>
      <c r="O904" t="n">
        <v>0</v>
      </c>
      <c r="P904" t="n">
        <v>0</v>
      </c>
      <c r="Q904" t="n">
        <v>0</v>
      </c>
      <c r="R904" s="2" t="inlineStr"/>
    </row>
    <row r="905" ht="15" customHeight="1">
      <c r="A905" t="inlineStr">
        <is>
          <t>A 62976-2019</t>
        </is>
      </c>
      <c r="B905" s="1" t="n">
        <v>43790</v>
      </c>
      <c r="C905" s="1" t="n">
        <v>45345</v>
      </c>
      <c r="D905" t="inlineStr">
        <is>
          <t>VÄSTMANLANDS LÄN</t>
        </is>
      </c>
      <c r="E905" t="inlineStr">
        <is>
          <t>HALLSTAHAMMAR</t>
        </is>
      </c>
      <c r="G905" t="n">
        <v>4.2</v>
      </c>
      <c r="H905" t="n">
        <v>0</v>
      </c>
      <c r="I905" t="n">
        <v>0</v>
      </c>
      <c r="J905" t="n">
        <v>0</v>
      </c>
      <c r="K905" t="n">
        <v>0</v>
      </c>
      <c r="L905" t="n">
        <v>0</v>
      </c>
      <c r="M905" t="n">
        <v>0</v>
      </c>
      <c r="N905" t="n">
        <v>0</v>
      </c>
      <c r="O905" t="n">
        <v>0</v>
      </c>
      <c r="P905" t="n">
        <v>0</v>
      </c>
      <c r="Q905" t="n">
        <v>0</v>
      </c>
      <c r="R905" s="2" t="inlineStr"/>
    </row>
    <row r="906" ht="15" customHeight="1">
      <c r="A906" t="inlineStr">
        <is>
          <t>A 63203-2019</t>
        </is>
      </c>
      <c r="B906" s="1" t="n">
        <v>43791</v>
      </c>
      <c r="C906" s="1" t="n">
        <v>45345</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64164-2019</t>
        </is>
      </c>
      <c r="B907" s="1" t="n">
        <v>43791</v>
      </c>
      <c r="C907" s="1" t="n">
        <v>45345</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63251-2019</t>
        </is>
      </c>
      <c r="B908" s="1" t="n">
        <v>43793</v>
      </c>
      <c r="C908" s="1" t="n">
        <v>45345</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63369-2019</t>
        </is>
      </c>
      <c r="B909" s="1" t="n">
        <v>43794</v>
      </c>
      <c r="C909" s="1" t="n">
        <v>45345</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63296-2019</t>
        </is>
      </c>
      <c r="B910" s="1" t="n">
        <v>43794</v>
      </c>
      <c r="C910" s="1" t="n">
        <v>45345</v>
      </c>
      <c r="D910" t="inlineStr">
        <is>
          <t>VÄSTMANLANDS LÄN</t>
        </is>
      </c>
      <c r="E910" t="inlineStr">
        <is>
          <t>SKINNSKATTEBERG</t>
        </is>
      </c>
      <c r="G910" t="n">
        <v>8</v>
      </c>
      <c r="H910" t="n">
        <v>0</v>
      </c>
      <c r="I910" t="n">
        <v>0</v>
      </c>
      <c r="J910" t="n">
        <v>0</v>
      </c>
      <c r="K910" t="n">
        <v>0</v>
      </c>
      <c r="L910" t="n">
        <v>0</v>
      </c>
      <c r="M910" t="n">
        <v>0</v>
      </c>
      <c r="N910" t="n">
        <v>0</v>
      </c>
      <c r="O910" t="n">
        <v>0</v>
      </c>
      <c r="P910" t="n">
        <v>0</v>
      </c>
      <c r="Q910" t="n">
        <v>0</v>
      </c>
      <c r="R910" s="2" t="inlineStr"/>
    </row>
    <row r="911" ht="15" customHeight="1">
      <c r="A911" t="inlineStr">
        <is>
          <t>A 63288-2019</t>
        </is>
      </c>
      <c r="B911" s="1" t="n">
        <v>43794</v>
      </c>
      <c r="C911" s="1" t="n">
        <v>45345</v>
      </c>
      <c r="D911" t="inlineStr">
        <is>
          <t>VÄSTMANLANDS LÄN</t>
        </is>
      </c>
      <c r="E911" t="inlineStr">
        <is>
          <t>VÄSTERÅS</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63498-2019</t>
        </is>
      </c>
      <c r="B912" s="1" t="n">
        <v>43794</v>
      </c>
      <c r="C912" s="1" t="n">
        <v>45345</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63604-2019</t>
        </is>
      </c>
      <c r="B913" s="1" t="n">
        <v>43795</v>
      </c>
      <c r="C913" s="1" t="n">
        <v>45345</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63753-2019</t>
        </is>
      </c>
      <c r="B914" s="1" t="n">
        <v>43795</v>
      </c>
      <c r="C914" s="1" t="n">
        <v>45345</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64090-2019</t>
        </is>
      </c>
      <c r="B915" s="1" t="n">
        <v>43796</v>
      </c>
      <c r="C915" s="1" t="n">
        <v>45345</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64512-2019</t>
        </is>
      </c>
      <c r="B916" s="1" t="n">
        <v>43796</v>
      </c>
      <c r="C916" s="1" t="n">
        <v>45345</v>
      </c>
      <c r="D916" t="inlineStr">
        <is>
          <t>VÄSTMANLANDS LÄN</t>
        </is>
      </c>
      <c r="E916" t="inlineStr">
        <is>
          <t>SKINNSKATTEBERG</t>
        </is>
      </c>
      <c r="G916" t="n">
        <v>2.9</v>
      </c>
      <c r="H916" t="n">
        <v>0</v>
      </c>
      <c r="I916" t="n">
        <v>0</v>
      </c>
      <c r="J916" t="n">
        <v>0</v>
      </c>
      <c r="K916" t="n">
        <v>0</v>
      </c>
      <c r="L916" t="n">
        <v>0</v>
      </c>
      <c r="M916" t="n">
        <v>0</v>
      </c>
      <c r="N916" t="n">
        <v>0</v>
      </c>
      <c r="O916" t="n">
        <v>0</v>
      </c>
      <c r="P916" t="n">
        <v>0</v>
      </c>
      <c r="Q916" t="n">
        <v>0</v>
      </c>
      <c r="R916" s="2" t="inlineStr"/>
    </row>
    <row r="917" ht="15" customHeight="1">
      <c r="A917" t="inlineStr">
        <is>
          <t>A 64092-2019</t>
        </is>
      </c>
      <c r="B917" s="1" t="n">
        <v>43796</v>
      </c>
      <c r="C917" s="1" t="n">
        <v>45345</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67284-2019</t>
        </is>
      </c>
      <c r="B918" s="1" t="n">
        <v>43796</v>
      </c>
      <c r="C918" s="1" t="n">
        <v>45345</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64223-2019</t>
        </is>
      </c>
      <c r="B919" s="1" t="n">
        <v>43797</v>
      </c>
      <c r="C919" s="1" t="n">
        <v>45345</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64639-2019</t>
        </is>
      </c>
      <c r="B920" s="1" t="n">
        <v>43798</v>
      </c>
      <c r="C920" s="1" t="n">
        <v>45345</v>
      </c>
      <c r="D920" t="inlineStr">
        <is>
          <t>VÄSTMANLANDS LÄN</t>
        </is>
      </c>
      <c r="E920" t="inlineStr">
        <is>
          <t>VÄSTERÅS</t>
        </is>
      </c>
      <c r="G920" t="n">
        <v>1.5</v>
      </c>
      <c r="H920" t="n">
        <v>0</v>
      </c>
      <c r="I920" t="n">
        <v>0</v>
      </c>
      <c r="J920" t="n">
        <v>0</v>
      </c>
      <c r="K920" t="n">
        <v>0</v>
      </c>
      <c r="L920" t="n">
        <v>0</v>
      </c>
      <c r="M920" t="n">
        <v>0</v>
      </c>
      <c r="N920" t="n">
        <v>0</v>
      </c>
      <c r="O920" t="n">
        <v>0</v>
      </c>
      <c r="P920" t="n">
        <v>0</v>
      </c>
      <c r="Q920" t="n">
        <v>0</v>
      </c>
      <c r="R920" s="2" t="inlineStr"/>
    </row>
    <row r="921" ht="15" customHeight="1">
      <c r="A921" t="inlineStr">
        <is>
          <t>A 64772-2019</t>
        </is>
      </c>
      <c r="B921" s="1" t="n">
        <v>43801</v>
      </c>
      <c r="C921" s="1" t="n">
        <v>45345</v>
      </c>
      <c r="D921" t="inlineStr">
        <is>
          <t>VÄSTMANLANDS LÄN</t>
        </is>
      </c>
      <c r="E921" t="inlineStr">
        <is>
          <t>SURAHAMMAR</t>
        </is>
      </c>
      <c r="F921" t="inlineStr">
        <is>
          <t>Övriga Aktiebolag</t>
        </is>
      </c>
      <c r="G921" t="n">
        <v>7</v>
      </c>
      <c r="H921" t="n">
        <v>0</v>
      </c>
      <c r="I921" t="n">
        <v>0</v>
      </c>
      <c r="J921" t="n">
        <v>0</v>
      </c>
      <c r="K921" t="n">
        <v>0</v>
      </c>
      <c r="L921" t="n">
        <v>0</v>
      </c>
      <c r="M921" t="n">
        <v>0</v>
      </c>
      <c r="N921" t="n">
        <v>0</v>
      </c>
      <c r="O921" t="n">
        <v>0</v>
      </c>
      <c r="P921" t="n">
        <v>0</v>
      </c>
      <c r="Q921" t="n">
        <v>0</v>
      </c>
      <c r="R921" s="2" t="inlineStr"/>
    </row>
    <row r="922" ht="15" customHeight="1">
      <c r="A922" t="inlineStr">
        <is>
          <t>A 64940-2019</t>
        </is>
      </c>
      <c r="B922" s="1" t="n">
        <v>43801</v>
      </c>
      <c r="C922" s="1" t="n">
        <v>45345</v>
      </c>
      <c r="D922" t="inlineStr">
        <is>
          <t>VÄSTMANLANDS LÄN</t>
        </is>
      </c>
      <c r="E922" t="inlineStr">
        <is>
          <t>KUNGSÖR</t>
        </is>
      </c>
      <c r="G922" t="n">
        <v>3</v>
      </c>
      <c r="H922" t="n">
        <v>0</v>
      </c>
      <c r="I922" t="n">
        <v>0</v>
      </c>
      <c r="J922" t="n">
        <v>0</v>
      </c>
      <c r="K922" t="n">
        <v>0</v>
      </c>
      <c r="L922" t="n">
        <v>0</v>
      </c>
      <c r="M922" t="n">
        <v>0</v>
      </c>
      <c r="N922" t="n">
        <v>0</v>
      </c>
      <c r="O922" t="n">
        <v>0</v>
      </c>
      <c r="P922" t="n">
        <v>0</v>
      </c>
      <c r="Q922" t="n">
        <v>0</v>
      </c>
      <c r="R922" s="2" t="inlineStr"/>
    </row>
    <row r="923" ht="15" customHeight="1">
      <c r="A923" t="inlineStr">
        <is>
          <t>A 65021-2019</t>
        </is>
      </c>
      <c r="B923" s="1" t="n">
        <v>43801</v>
      </c>
      <c r="C923" s="1" t="n">
        <v>45345</v>
      </c>
      <c r="D923" t="inlineStr">
        <is>
          <t>VÄSTMANLANDS LÄN</t>
        </is>
      </c>
      <c r="E923" t="inlineStr">
        <is>
          <t>SALA</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65113-2019</t>
        </is>
      </c>
      <c r="B924" s="1" t="n">
        <v>43802</v>
      </c>
      <c r="C924" s="1" t="n">
        <v>45345</v>
      </c>
      <c r="D924" t="inlineStr">
        <is>
          <t>VÄSTMANLANDS LÄN</t>
        </is>
      </c>
      <c r="E924" t="inlineStr">
        <is>
          <t>HALLSTAHAMMAR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65299-2019</t>
        </is>
      </c>
      <c r="B925" s="1" t="n">
        <v>43802</v>
      </c>
      <c r="C925" s="1" t="n">
        <v>45345</v>
      </c>
      <c r="D925" t="inlineStr">
        <is>
          <t>VÄSTMANLANDS LÄN</t>
        </is>
      </c>
      <c r="E925" t="inlineStr">
        <is>
          <t>VÄSTERÅS</t>
        </is>
      </c>
      <c r="F925" t="inlineStr">
        <is>
          <t>Kyrkan</t>
        </is>
      </c>
      <c r="G925" t="n">
        <v>20.9</v>
      </c>
      <c r="H925" t="n">
        <v>0</v>
      </c>
      <c r="I925" t="n">
        <v>0</v>
      </c>
      <c r="J925" t="n">
        <v>0</v>
      </c>
      <c r="K925" t="n">
        <v>0</v>
      </c>
      <c r="L925" t="n">
        <v>0</v>
      </c>
      <c r="M925" t="n">
        <v>0</v>
      </c>
      <c r="N925" t="n">
        <v>0</v>
      </c>
      <c r="O925" t="n">
        <v>0</v>
      </c>
      <c r="P925" t="n">
        <v>0</v>
      </c>
      <c r="Q925" t="n">
        <v>0</v>
      </c>
      <c r="R925" s="2" t="inlineStr"/>
    </row>
    <row r="926" ht="15" customHeight="1">
      <c r="A926" t="inlineStr">
        <is>
          <t>A 65184-2019</t>
        </is>
      </c>
      <c r="B926" s="1" t="n">
        <v>43802</v>
      </c>
      <c r="C926" s="1" t="n">
        <v>45345</v>
      </c>
      <c r="D926" t="inlineStr">
        <is>
          <t>VÄSTMANLANDS LÄN</t>
        </is>
      </c>
      <c r="E926" t="inlineStr">
        <is>
          <t>VÄSTERÅS</t>
        </is>
      </c>
      <c r="G926" t="n">
        <v>5</v>
      </c>
      <c r="H926" t="n">
        <v>0</v>
      </c>
      <c r="I926" t="n">
        <v>0</v>
      </c>
      <c r="J926" t="n">
        <v>0</v>
      </c>
      <c r="K926" t="n">
        <v>0</v>
      </c>
      <c r="L926" t="n">
        <v>0</v>
      </c>
      <c r="M926" t="n">
        <v>0</v>
      </c>
      <c r="N926" t="n">
        <v>0</v>
      </c>
      <c r="O926" t="n">
        <v>0</v>
      </c>
      <c r="P926" t="n">
        <v>0</v>
      </c>
      <c r="Q926" t="n">
        <v>0</v>
      </c>
      <c r="R926" s="2" t="inlineStr"/>
    </row>
    <row r="927" ht="15" customHeight="1">
      <c r="A927" t="inlineStr">
        <is>
          <t>A 66269-2019</t>
        </is>
      </c>
      <c r="B927" s="1" t="n">
        <v>43802</v>
      </c>
      <c r="C927" s="1" t="n">
        <v>45345</v>
      </c>
      <c r="D927" t="inlineStr">
        <is>
          <t>VÄSTMANLANDS LÄN</t>
        </is>
      </c>
      <c r="E927" t="inlineStr">
        <is>
          <t>SURAHAMMAR</t>
        </is>
      </c>
      <c r="G927" t="n">
        <v>0.9</v>
      </c>
      <c r="H927" t="n">
        <v>0</v>
      </c>
      <c r="I927" t="n">
        <v>0</v>
      </c>
      <c r="J927" t="n">
        <v>0</v>
      </c>
      <c r="K927" t="n">
        <v>0</v>
      </c>
      <c r="L927" t="n">
        <v>0</v>
      </c>
      <c r="M927" t="n">
        <v>0</v>
      </c>
      <c r="N927" t="n">
        <v>0</v>
      </c>
      <c r="O927" t="n">
        <v>0</v>
      </c>
      <c r="P927" t="n">
        <v>0</v>
      </c>
      <c r="Q927" t="n">
        <v>0</v>
      </c>
      <c r="R927" s="2" t="inlineStr"/>
    </row>
    <row r="928" ht="15" customHeight="1">
      <c r="A928" t="inlineStr">
        <is>
          <t>A 66576-2019</t>
        </is>
      </c>
      <c r="B928" s="1" t="n">
        <v>43803</v>
      </c>
      <c r="C928" s="1" t="n">
        <v>45345</v>
      </c>
      <c r="D928" t="inlineStr">
        <is>
          <t>VÄSTMANLANDS LÄN</t>
        </is>
      </c>
      <c r="E928" t="inlineStr">
        <is>
          <t>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65449-2019</t>
        </is>
      </c>
      <c r="B929" s="1" t="n">
        <v>43803</v>
      </c>
      <c r="C929" s="1" t="n">
        <v>45345</v>
      </c>
      <c r="D929" t="inlineStr">
        <is>
          <t>VÄSTMANLANDS LÄN</t>
        </is>
      </c>
      <c r="E929" t="inlineStr">
        <is>
          <t>ARBOGA</t>
        </is>
      </c>
      <c r="G929" t="n">
        <v>4.7</v>
      </c>
      <c r="H929" t="n">
        <v>0</v>
      </c>
      <c r="I929" t="n">
        <v>0</v>
      </c>
      <c r="J929" t="n">
        <v>0</v>
      </c>
      <c r="K929" t="n">
        <v>0</v>
      </c>
      <c r="L929" t="n">
        <v>0</v>
      </c>
      <c r="M929" t="n">
        <v>0</v>
      </c>
      <c r="N929" t="n">
        <v>0</v>
      </c>
      <c r="O929" t="n">
        <v>0</v>
      </c>
      <c r="P929" t="n">
        <v>0</v>
      </c>
      <c r="Q929" t="n">
        <v>0</v>
      </c>
      <c r="R929" s="2" t="inlineStr"/>
    </row>
    <row r="930" ht="15" customHeight="1">
      <c r="A930" t="inlineStr">
        <is>
          <t>A 65619-2019</t>
        </is>
      </c>
      <c r="B930" s="1" t="n">
        <v>43804</v>
      </c>
      <c r="C930" s="1" t="n">
        <v>45345</v>
      </c>
      <c r="D930" t="inlineStr">
        <is>
          <t>VÄSTMANLANDS LÄN</t>
        </is>
      </c>
      <c r="E930" t="inlineStr">
        <is>
          <t>SURAHAMMAR</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65683-2019</t>
        </is>
      </c>
      <c r="B931" s="1" t="n">
        <v>43804</v>
      </c>
      <c r="C931" s="1" t="n">
        <v>45345</v>
      </c>
      <c r="D931" t="inlineStr">
        <is>
          <t>VÄSTMANLANDS LÄN</t>
        </is>
      </c>
      <c r="E931" t="inlineStr">
        <is>
          <t>ARBOGA</t>
        </is>
      </c>
      <c r="G931" t="n">
        <v>4.4</v>
      </c>
      <c r="H931" t="n">
        <v>0</v>
      </c>
      <c r="I931" t="n">
        <v>0</v>
      </c>
      <c r="J931" t="n">
        <v>0</v>
      </c>
      <c r="K931" t="n">
        <v>0</v>
      </c>
      <c r="L931" t="n">
        <v>0</v>
      </c>
      <c r="M931" t="n">
        <v>0</v>
      </c>
      <c r="N931" t="n">
        <v>0</v>
      </c>
      <c r="O931" t="n">
        <v>0</v>
      </c>
      <c r="P931" t="n">
        <v>0</v>
      </c>
      <c r="Q931" t="n">
        <v>0</v>
      </c>
      <c r="R931" s="2" t="inlineStr"/>
    </row>
    <row r="932" ht="15" customHeight="1">
      <c r="A932" t="inlineStr">
        <is>
          <t>A 65848-2019</t>
        </is>
      </c>
      <c r="B932" s="1" t="n">
        <v>43805</v>
      </c>
      <c r="C932" s="1" t="n">
        <v>45345</v>
      </c>
      <c r="D932" t="inlineStr">
        <is>
          <t>VÄSTMANLANDS LÄN</t>
        </is>
      </c>
      <c r="E932" t="inlineStr">
        <is>
          <t>KUNGSÖR</t>
        </is>
      </c>
      <c r="G932" t="n">
        <v>1.3</v>
      </c>
      <c r="H932" t="n">
        <v>0</v>
      </c>
      <c r="I932" t="n">
        <v>0</v>
      </c>
      <c r="J932" t="n">
        <v>0</v>
      </c>
      <c r="K932" t="n">
        <v>0</v>
      </c>
      <c r="L932" t="n">
        <v>0</v>
      </c>
      <c r="M932" t="n">
        <v>0</v>
      </c>
      <c r="N932" t="n">
        <v>0</v>
      </c>
      <c r="O932" t="n">
        <v>0</v>
      </c>
      <c r="P932" t="n">
        <v>0</v>
      </c>
      <c r="Q932" t="n">
        <v>0</v>
      </c>
      <c r="R932" s="2" t="inlineStr"/>
    </row>
    <row r="933" ht="15" customHeight="1">
      <c r="A933" t="inlineStr">
        <is>
          <t>A 65950-2019</t>
        </is>
      </c>
      <c r="B933" s="1" t="n">
        <v>43805</v>
      </c>
      <c r="C933" s="1" t="n">
        <v>45345</v>
      </c>
      <c r="D933" t="inlineStr">
        <is>
          <t>VÄSTMANLANDS LÄN</t>
        </is>
      </c>
      <c r="E933" t="inlineStr">
        <is>
          <t>SKINNSKATTEBERG</t>
        </is>
      </c>
      <c r="G933" t="n">
        <v>0.2</v>
      </c>
      <c r="H933" t="n">
        <v>0</v>
      </c>
      <c r="I933" t="n">
        <v>0</v>
      </c>
      <c r="J933" t="n">
        <v>0</v>
      </c>
      <c r="K933" t="n">
        <v>0</v>
      </c>
      <c r="L933" t="n">
        <v>0</v>
      </c>
      <c r="M933" t="n">
        <v>0</v>
      </c>
      <c r="N933" t="n">
        <v>0</v>
      </c>
      <c r="O933" t="n">
        <v>0</v>
      </c>
      <c r="P933" t="n">
        <v>0</v>
      </c>
      <c r="Q933" t="n">
        <v>0</v>
      </c>
      <c r="R933" s="2" t="inlineStr"/>
    </row>
    <row r="934" ht="15" customHeight="1">
      <c r="A934" t="inlineStr">
        <is>
          <t>A 65955-2019</t>
        </is>
      </c>
      <c r="B934" s="1" t="n">
        <v>43805</v>
      </c>
      <c r="C934" s="1" t="n">
        <v>45345</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65953-2019</t>
        </is>
      </c>
      <c r="B935" s="1" t="n">
        <v>43805</v>
      </c>
      <c r="C935" s="1" t="n">
        <v>45345</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66089-2019</t>
        </is>
      </c>
      <c r="B936" s="1" t="n">
        <v>43807</v>
      </c>
      <c r="C936" s="1" t="n">
        <v>45345</v>
      </c>
      <c r="D936" t="inlineStr">
        <is>
          <t>VÄSTMANLANDS LÄN</t>
        </is>
      </c>
      <c r="E936" t="inlineStr">
        <is>
          <t>SALA</t>
        </is>
      </c>
      <c r="G936" t="n">
        <v>17.1</v>
      </c>
      <c r="H936" t="n">
        <v>0</v>
      </c>
      <c r="I936" t="n">
        <v>0</v>
      </c>
      <c r="J936" t="n">
        <v>0</v>
      </c>
      <c r="K936" t="n">
        <v>0</v>
      </c>
      <c r="L936" t="n">
        <v>0</v>
      </c>
      <c r="M936" t="n">
        <v>0</v>
      </c>
      <c r="N936" t="n">
        <v>0</v>
      </c>
      <c r="O936" t="n">
        <v>0</v>
      </c>
      <c r="P936" t="n">
        <v>0</v>
      </c>
      <c r="Q936" t="n">
        <v>0</v>
      </c>
      <c r="R936" s="2" t="inlineStr"/>
    </row>
    <row r="937" ht="15" customHeight="1">
      <c r="A937" t="inlineStr">
        <is>
          <t>A 66216-2019</t>
        </is>
      </c>
      <c r="B937" s="1" t="n">
        <v>43808</v>
      </c>
      <c r="C937" s="1" t="n">
        <v>45345</v>
      </c>
      <c r="D937" t="inlineStr">
        <is>
          <t>VÄSTMANLANDS LÄN</t>
        </is>
      </c>
      <c r="E937" t="inlineStr">
        <is>
          <t>SALA</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66188-2019</t>
        </is>
      </c>
      <c r="B938" s="1" t="n">
        <v>43808</v>
      </c>
      <c r="C938" s="1" t="n">
        <v>45345</v>
      </c>
      <c r="D938" t="inlineStr">
        <is>
          <t>VÄSTMANLANDS LÄN</t>
        </is>
      </c>
      <c r="E938" t="inlineStr">
        <is>
          <t>ARBOGA</t>
        </is>
      </c>
      <c r="G938" t="n">
        <v>2.2</v>
      </c>
      <c r="H938" t="n">
        <v>0</v>
      </c>
      <c r="I938" t="n">
        <v>0</v>
      </c>
      <c r="J938" t="n">
        <v>0</v>
      </c>
      <c r="K938" t="n">
        <v>0</v>
      </c>
      <c r="L938" t="n">
        <v>0</v>
      </c>
      <c r="M938" t="n">
        <v>0</v>
      </c>
      <c r="N938" t="n">
        <v>0</v>
      </c>
      <c r="O938" t="n">
        <v>0</v>
      </c>
      <c r="P938" t="n">
        <v>0</v>
      </c>
      <c r="Q938" t="n">
        <v>0</v>
      </c>
      <c r="R938" s="2" t="inlineStr"/>
    </row>
    <row r="939" ht="15" customHeight="1">
      <c r="A939" t="inlineStr">
        <is>
          <t>A 66205-2019</t>
        </is>
      </c>
      <c r="B939" s="1" t="n">
        <v>43808</v>
      </c>
      <c r="C939" s="1" t="n">
        <v>45345</v>
      </c>
      <c r="D939" t="inlineStr">
        <is>
          <t>VÄSTMANLANDS LÄN</t>
        </is>
      </c>
      <c r="E939" t="inlineStr">
        <is>
          <t>VÄSTERÅS</t>
        </is>
      </c>
      <c r="G939" t="n">
        <v>3.2</v>
      </c>
      <c r="H939" t="n">
        <v>0</v>
      </c>
      <c r="I939" t="n">
        <v>0</v>
      </c>
      <c r="J939" t="n">
        <v>0</v>
      </c>
      <c r="K939" t="n">
        <v>0</v>
      </c>
      <c r="L939" t="n">
        <v>0</v>
      </c>
      <c r="M939" t="n">
        <v>0</v>
      </c>
      <c r="N939" t="n">
        <v>0</v>
      </c>
      <c r="O939" t="n">
        <v>0</v>
      </c>
      <c r="P939" t="n">
        <v>0</v>
      </c>
      <c r="Q939" t="n">
        <v>0</v>
      </c>
      <c r="R939" s="2" t="inlineStr"/>
    </row>
    <row r="940" ht="15" customHeight="1">
      <c r="A940" t="inlineStr">
        <is>
          <t>A 66359-2019</t>
        </is>
      </c>
      <c r="B940" s="1" t="n">
        <v>43808</v>
      </c>
      <c r="C940" s="1" t="n">
        <v>45345</v>
      </c>
      <c r="D940" t="inlineStr">
        <is>
          <t>VÄSTMANLANDS LÄN</t>
        </is>
      </c>
      <c r="E940" t="inlineStr">
        <is>
          <t>ARBOGA</t>
        </is>
      </c>
      <c r="G940" t="n">
        <v>0.9</v>
      </c>
      <c r="H940" t="n">
        <v>0</v>
      </c>
      <c r="I940" t="n">
        <v>0</v>
      </c>
      <c r="J940" t="n">
        <v>0</v>
      </c>
      <c r="K940" t="n">
        <v>0</v>
      </c>
      <c r="L940" t="n">
        <v>0</v>
      </c>
      <c r="M940" t="n">
        <v>0</v>
      </c>
      <c r="N940" t="n">
        <v>0</v>
      </c>
      <c r="O940" t="n">
        <v>0</v>
      </c>
      <c r="P940" t="n">
        <v>0</v>
      </c>
      <c r="Q940" t="n">
        <v>0</v>
      </c>
      <c r="R940" s="2" t="inlineStr"/>
    </row>
    <row r="941" ht="15" customHeight="1">
      <c r="A941" t="inlineStr">
        <is>
          <t>A 66583-2019</t>
        </is>
      </c>
      <c r="B941" s="1" t="n">
        <v>43809</v>
      </c>
      <c r="C941" s="1" t="n">
        <v>45345</v>
      </c>
      <c r="D941" t="inlineStr">
        <is>
          <t>VÄSTMANLANDS LÄN</t>
        </is>
      </c>
      <c r="E941" t="inlineStr">
        <is>
          <t>KUNGSÖR</t>
        </is>
      </c>
      <c r="G941" t="n">
        <v>2</v>
      </c>
      <c r="H941" t="n">
        <v>0</v>
      </c>
      <c r="I941" t="n">
        <v>0</v>
      </c>
      <c r="J941" t="n">
        <v>0</v>
      </c>
      <c r="K941" t="n">
        <v>0</v>
      </c>
      <c r="L941" t="n">
        <v>0</v>
      </c>
      <c r="M941" t="n">
        <v>0</v>
      </c>
      <c r="N941" t="n">
        <v>0</v>
      </c>
      <c r="O941" t="n">
        <v>0</v>
      </c>
      <c r="P941" t="n">
        <v>0</v>
      </c>
      <c r="Q941" t="n">
        <v>0</v>
      </c>
      <c r="R941" s="2" t="inlineStr"/>
    </row>
    <row r="942" ht="15" customHeight="1">
      <c r="A942" t="inlineStr">
        <is>
          <t>A 66476-2019</t>
        </is>
      </c>
      <c r="B942" s="1" t="n">
        <v>43809</v>
      </c>
      <c r="C942" s="1" t="n">
        <v>45345</v>
      </c>
      <c r="D942" t="inlineStr">
        <is>
          <t>VÄSTMANLANDS LÄN</t>
        </is>
      </c>
      <c r="E942" t="inlineStr">
        <is>
          <t>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66934-2019</t>
        </is>
      </c>
      <c r="B943" s="1" t="n">
        <v>43810</v>
      </c>
      <c r="C943" s="1" t="n">
        <v>45345</v>
      </c>
      <c r="D943" t="inlineStr">
        <is>
          <t>VÄSTMANLANDS LÄN</t>
        </is>
      </c>
      <c r="E943" t="inlineStr">
        <is>
          <t>KÖPING</t>
        </is>
      </c>
      <c r="G943" t="n">
        <v>8</v>
      </c>
      <c r="H943" t="n">
        <v>0</v>
      </c>
      <c r="I943" t="n">
        <v>0</v>
      </c>
      <c r="J943" t="n">
        <v>0</v>
      </c>
      <c r="K943" t="n">
        <v>0</v>
      </c>
      <c r="L943" t="n">
        <v>0</v>
      </c>
      <c r="M943" t="n">
        <v>0</v>
      </c>
      <c r="N943" t="n">
        <v>0</v>
      </c>
      <c r="O943" t="n">
        <v>0</v>
      </c>
      <c r="P943" t="n">
        <v>0</v>
      </c>
      <c r="Q943" t="n">
        <v>0</v>
      </c>
      <c r="R943" s="2" t="inlineStr"/>
    </row>
    <row r="944" ht="15" customHeight="1">
      <c r="A944" t="inlineStr">
        <is>
          <t>A 67711-2019</t>
        </is>
      </c>
      <c r="B944" s="1" t="n">
        <v>43810</v>
      </c>
      <c r="C944" s="1" t="n">
        <v>45345</v>
      </c>
      <c r="D944" t="inlineStr">
        <is>
          <t>VÄSTMANLANDS LÄN</t>
        </is>
      </c>
      <c r="E944" t="inlineStr">
        <is>
          <t>NORBERG</t>
        </is>
      </c>
      <c r="G944" t="n">
        <v>9</v>
      </c>
      <c r="H944" t="n">
        <v>0</v>
      </c>
      <c r="I944" t="n">
        <v>0</v>
      </c>
      <c r="J944" t="n">
        <v>0</v>
      </c>
      <c r="K944" t="n">
        <v>0</v>
      </c>
      <c r="L944" t="n">
        <v>0</v>
      </c>
      <c r="M944" t="n">
        <v>0</v>
      </c>
      <c r="N944" t="n">
        <v>0</v>
      </c>
      <c r="O944" t="n">
        <v>0</v>
      </c>
      <c r="P944" t="n">
        <v>0</v>
      </c>
      <c r="Q944" t="n">
        <v>0</v>
      </c>
      <c r="R944" s="2" t="inlineStr"/>
    </row>
    <row r="945" ht="15" customHeight="1">
      <c r="A945" t="inlineStr">
        <is>
          <t>A 66952-2019</t>
        </is>
      </c>
      <c r="B945" s="1" t="n">
        <v>43810</v>
      </c>
      <c r="C945" s="1" t="n">
        <v>45345</v>
      </c>
      <c r="D945" t="inlineStr">
        <is>
          <t>VÄSTMANLANDS LÄN</t>
        </is>
      </c>
      <c r="E945" t="inlineStr">
        <is>
          <t>KÖPING</t>
        </is>
      </c>
      <c r="G945" t="n">
        <v>5.9</v>
      </c>
      <c r="H945" t="n">
        <v>0</v>
      </c>
      <c r="I945" t="n">
        <v>0</v>
      </c>
      <c r="J945" t="n">
        <v>0</v>
      </c>
      <c r="K945" t="n">
        <v>0</v>
      </c>
      <c r="L945" t="n">
        <v>0</v>
      </c>
      <c r="M945" t="n">
        <v>0</v>
      </c>
      <c r="N945" t="n">
        <v>0</v>
      </c>
      <c r="O945" t="n">
        <v>0</v>
      </c>
      <c r="P945" t="n">
        <v>0</v>
      </c>
      <c r="Q945" t="n">
        <v>0</v>
      </c>
      <c r="R945" s="2" t="inlineStr"/>
    </row>
    <row r="946" ht="15" customHeight="1">
      <c r="A946" t="inlineStr">
        <is>
          <t>A 67061-2019</t>
        </is>
      </c>
      <c r="B946" s="1" t="n">
        <v>43811</v>
      </c>
      <c r="C946" s="1" t="n">
        <v>45345</v>
      </c>
      <c r="D946" t="inlineStr">
        <is>
          <t>VÄSTMANLANDS LÄN</t>
        </is>
      </c>
      <c r="E946" t="inlineStr">
        <is>
          <t>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66992-2019</t>
        </is>
      </c>
      <c r="B947" s="1" t="n">
        <v>43811</v>
      </c>
      <c r="C947" s="1" t="n">
        <v>45345</v>
      </c>
      <c r="D947" t="inlineStr">
        <is>
          <t>VÄSTMANLANDS LÄN</t>
        </is>
      </c>
      <c r="E947" t="inlineStr">
        <is>
          <t>ARBOGA</t>
        </is>
      </c>
      <c r="G947" t="n">
        <v>1.8</v>
      </c>
      <c r="H947" t="n">
        <v>0</v>
      </c>
      <c r="I947" t="n">
        <v>0</v>
      </c>
      <c r="J947" t="n">
        <v>0</v>
      </c>
      <c r="K947" t="n">
        <v>0</v>
      </c>
      <c r="L947" t="n">
        <v>0</v>
      </c>
      <c r="M947" t="n">
        <v>0</v>
      </c>
      <c r="N947" t="n">
        <v>0</v>
      </c>
      <c r="O947" t="n">
        <v>0</v>
      </c>
      <c r="P947" t="n">
        <v>0</v>
      </c>
      <c r="Q947" t="n">
        <v>0</v>
      </c>
      <c r="R947" s="2" t="inlineStr"/>
    </row>
    <row r="948" ht="15" customHeight="1">
      <c r="A948" t="inlineStr">
        <is>
          <t>A 67995-2019</t>
        </is>
      </c>
      <c r="B948" s="1" t="n">
        <v>43811</v>
      </c>
      <c r="C948" s="1" t="n">
        <v>45345</v>
      </c>
      <c r="D948" t="inlineStr">
        <is>
          <t>VÄSTMANLANDS LÄN</t>
        </is>
      </c>
      <c r="E948" t="inlineStr">
        <is>
          <t>VÄSTERÅS</t>
        </is>
      </c>
      <c r="G948" t="n">
        <v>1.5</v>
      </c>
      <c r="H948" t="n">
        <v>0</v>
      </c>
      <c r="I948" t="n">
        <v>0</v>
      </c>
      <c r="J948" t="n">
        <v>0</v>
      </c>
      <c r="K948" t="n">
        <v>0</v>
      </c>
      <c r="L948" t="n">
        <v>0</v>
      </c>
      <c r="M948" t="n">
        <v>0</v>
      </c>
      <c r="N948" t="n">
        <v>0</v>
      </c>
      <c r="O948" t="n">
        <v>0</v>
      </c>
      <c r="P948" t="n">
        <v>0</v>
      </c>
      <c r="Q948" t="n">
        <v>0</v>
      </c>
      <c r="R948" s="2" t="inlineStr"/>
    </row>
    <row r="949" ht="15" customHeight="1">
      <c r="A949" t="inlineStr">
        <is>
          <t>A 67360-2019</t>
        </is>
      </c>
      <c r="B949" s="1" t="n">
        <v>43812</v>
      </c>
      <c r="C949" s="1" t="n">
        <v>45345</v>
      </c>
      <c r="D949" t="inlineStr">
        <is>
          <t>VÄSTMANLANDS LÄN</t>
        </is>
      </c>
      <c r="E949" t="inlineStr">
        <is>
          <t>SALA</t>
        </is>
      </c>
      <c r="G949" t="n">
        <v>4.9</v>
      </c>
      <c r="H949" t="n">
        <v>0</v>
      </c>
      <c r="I949" t="n">
        <v>0</v>
      </c>
      <c r="J949" t="n">
        <v>0</v>
      </c>
      <c r="K949" t="n">
        <v>0</v>
      </c>
      <c r="L949" t="n">
        <v>0</v>
      </c>
      <c r="M949" t="n">
        <v>0</v>
      </c>
      <c r="N949" t="n">
        <v>0</v>
      </c>
      <c r="O949" t="n">
        <v>0</v>
      </c>
      <c r="P949" t="n">
        <v>0</v>
      </c>
      <c r="Q949" t="n">
        <v>0</v>
      </c>
      <c r="R949" s="2" t="inlineStr"/>
    </row>
    <row r="950" ht="15" customHeight="1">
      <c r="A950" t="inlineStr">
        <is>
          <t>A 67357-2019</t>
        </is>
      </c>
      <c r="B950" s="1" t="n">
        <v>43812</v>
      </c>
      <c r="C950" s="1" t="n">
        <v>45345</v>
      </c>
      <c r="D950" t="inlineStr">
        <is>
          <t>VÄSTMANLANDS LÄN</t>
        </is>
      </c>
      <c r="E950" t="inlineStr">
        <is>
          <t>SKINNSKATTEBERG</t>
        </is>
      </c>
      <c r="G950" t="n">
        <v>3</v>
      </c>
      <c r="H950" t="n">
        <v>0</v>
      </c>
      <c r="I950" t="n">
        <v>0</v>
      </c>
      <c r="J950" t="n">
        <v>0</v>
      </c>
      <c r="K950" t="n">
        <v>0</v>
      </c>
      <c r="L950" t="n">
        <v>0</v>
      </c>
      <c r="M950" t="n">
        <v>0</v>
      </c>
      <c r="N950" t="n">
        <v>0</v>
      </c>
      <c r="O950" t="n">
        <v>0</v>
      </c>
      <c r="P950" t="n">
        <v>0</v>
      </c>
      <c r="Q950" t="n">
        <v>0</v>
      </c>
      <c r="R950" s="2" t="inlineStr"/>
    </row>
    <row r="951" ht="15" customHeight="1">
      <c r="A951" t="inlineStr">
        <is>
          <t>A 67602-2019</t>
        </is>
      </c>
      <c r="B951" s="1" t="n">
        <v>43815</v>
      </c>
      <c r="C951" s="1" t="n">
        <v>45345</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68366-2019</t>
        </is>
      </c>
      <c r="B952" s="1" t="n">
        <v>43818</v>
      </c>
      <c r="C952" s="1" t="n">
        <v>45345</v>
      </c>
      <c r="D952" t="inlineStr">
        <is>
          <t>VÄSTMANLANDS LÄN</t>
        </is>
      </c>
      <c r="E952" t="inlineStr">
        <is>
          <t>SKINNSKATTEBERG</t>
        </is>
      </c>
      <c r="G952" t="n">
        <v>2</v>
      </c>
      <c r="H952" t="n">
        <v>0</v>
      </c>
      <c r="I952" t="n">
        <v>0</v>
      </c>
      <c r="J952" t="n">
        <v>0</v>
      </c>
      <c r="K952" t="n">
        <v>0</v>
      </c>
      <c r="L952" t="n">
        <v>0</v>
      </c>
      <c r="M952" t="n">
        <v>0</v>
      </c>
      <c r="N952" t="n">
        <v>0</v>
      </c>
      <c r="O952" t="n">
        <v>0</v>
      </c>
      <c r="P952" t="n">
        <v>0</v>
      </c>
      <c r="Q952" t="n">
        <v>0</v>
      </c>
      <c r="R952" s="2" t="inlineStr"/>
    </row>
    <row r="953" ht="15" customHeight="1">
      <c r="A953" t="inlineStr">
        <is>
          <t>A 68398-2019</t>
        </is>
      </c>
      <c r="B953" s="1" t="n">
        <v>43818</v>
      </c>
      <c r="C953" s="1" t="n">
        <v>45345</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68394-2019</t>
        </is>
      </c>
      <c r="B954" s="1" t="n">
        <v>43818</v>
      </c>
      <c r="C954" s="1" t="n">
        <v>45345</v>
      </c>
      <c r="D954" t="inlineStr">
        <is>
          <t>VÄSTMANLANDS LÄN</t>
        </is>
      </c>
      <c r="E954" t="inlineStr">
        <is>
          <t>SALA</t>
        </is>
      </c>
      <c r="G954" t="n">
        <v>1.6</v>
      </c>
      <c r="H954" t="n">
        <v>0</v>
      </c>
      <c r="I954" t="n">
        <v>0</v>
      </c>
      <c r="J954" t="n">
        <v>0</v>
      </c>
      <c r="K954" t="n">
        <v>0</v>
      </c>
      <c r="L954" t="n">
        <v>0</v>
      </c>
      <c r="M954" t="n">
        <v>0</v>
      </c>
      <c r="N954" t="n">
        <v>0</v>
      </c>
      <c r="O954" t="n">
        <v>0</v>
      </c>
      <c r="P954" t="n">
        <v>0</v>
      </c>
      <c r="Q954" t="n">
        <v>0</v>
      </c>
      <c r="R954" s="2" t="inlineStr"/>
    </row>
    <row r="955" ht="15" customHeight="1">
      <c r="A955" t="inlineStr">
        <is>
          <t>A 1465-2020</t>
        </is>
      </c>
      <c r="B955" s="1" t="n">
        <v>43822</v>
      </c>
      <c r="C955" s="1" t="n">
        <v>45345</v>
      </c>
      <c r="D955" t="inlineStr">
        <is>
          <t>VÄSTMANLANDS LÄN</t>
        </is>
      </c>
      <c r="E955" t="inlineStr">
        <is>
          <t>SALA</t>
        </is>
      </c>
      <c r="G955" t="n">
        <v>4.1</v>
      </c>
      <c r="H955" t="n">
        <v>0</v>
      </c>
      <c r="I955" t="n">
        <v>0</v>
      </c>
      <c r="J955" t="n">
        <v>0</v>
      </c>
      <c r="K955" t="n">
        <v>0</v>
      </c>
      <c r="L955" t="n">
        <v>0</v>
      </c>
      <c r="M955" t="n">
        <v>0</v>
      </c>
      <c r="N955" t="n">
        <v>0</v>
      </c>
      <c r="O955" t="n">
        <v>0</v>
      </c>
      <c r="P955" t="n">
        <v>0</v>
      </c>
      <c r="Q955" t="n">
        <v>0</v>
      </c>
      <c r="R955" s="2" t="inlineStr"/>
    </row>
    <row r="956" ht="15" customHeight="1">
      <c r="A956" t="inlineStr">
        <is>
          <t>A 68900-2019</t>
        </is>
      </c>
      <c r="B956" s="1" t="n">
        <v>43822</v>
      </c>
      <c r="C956" s="1" t="n">
        <v>45345</v>
      </c>
      <c r="D956" t="inlineStr">
        <is>
          <t>VÄSTMANLANDS LÄN</t>
        </is>
      </c>
      <c r="E956" t="inlineStr">
        <is>
          <t>KUNGSÖR</t>
        </is>
      </c>
      <c r="F956" t="inlineStr">
        <is>
          <t>Kommuner</t>
        </is>
      </c>
      <c r="G956" t="n">
        <v>17.4</v>
      </c>
      <c r="H956" t="n">
        <v>0</v>
      </c>
      <c r="I956" t="n">
        <v>0</v>
      </c>
      <c r="J956" t="n">
        <v>0</v>
      </c>
      <c r="K956" t="n">
        <v>0</v>
      </c>
      <c r="L956" t="n">
        <v>0</v>
      </c>
      <c r="M956" t="n">
        <v>0</v>
      </c>
      <c r="N956" t="n">
        <v>0</v>
      </c>
      <c r="O956" t="n">
        <v>0</v>
      </c>
      <c r="P956" t="n">
        <v>0</v>
      </c>
      <c r="Q956" t="n">
        <v>0</v>
      </c>
      <c r="R956" s="2" t="inlineStr"/>
    </row>
    <row r="957" ht="15" customHeight="1">
      <c r="A957" t="inlineStr">
        <is>
          <t>A 69075-2019</t>
        </is>
      </c>
      <c r="B957" s="1" t="n">
        <v>43827</v>
      </c>
      <c r="C957" s="1" t="n">
        <v>45345</v>
      </c>
      <c r="D957" t="inlineStr">
        <is>
          <t>VÄSTMANLANDS LÄN</t>
        </is>
      </c>
      <c r="E957" t="inlineStr">
        <is>
          <t>ARBOGA</t>
        </is>
      </c>
      <c r="G957" t="n">
        <v>5.2</v>
      </c>
      <c r="H957" t="n">
        <v>0</v>
      </c>
      <c r="I957" t="n">
        <v>0</v>
      </c>
      <c r="J957" t="n">
        <v>0</v>
      </c>
      <c r="K957" t="n">
        <v>0</v>
      </c>
      <c r="L957" t="n">
        <v>0</v>
      </c>
      <c r="M957" t="n">
        <v>0</v>
      </c>
      <c r="N957" t="n">
        <v>0</v>
      </c>
      <c r="O957" t="n">
        <v>0</v>
      </c>
      <c r="P957" t="n">
        <v>0</v>
      </c>
      <c r="Q957" t="n">
        <v>0</v>
      </c>
      <c r="R957" s="2" t="inlineStr"/>
    </row>
    <row r="958" ht="15" customHeight="1">
      <c r="A958" t="inlineStr">
        <is>
          <t>A 69078-2019</t>
        </is>
      </c>
      <c r="B958" s="1" t="n">
        <v>43827</v>
      </c>
      <c r="C958" s="1" t="n">
        <v>45345</v>
      </c>
      <c r="D958" t="inlineStr">
        <is>
          <t>VÄSTMANLANDS LÄN</t>
        </is>
      </c>
      <c r="E958" t="inlineStr">
        <is>
          <t>ARBOGA</t>
        </is>
      </c>
      <c r="G958" t="n">
        <v>16.6</v>
      </c>
      <c r="H958" t="n">
        <v>0</v>
      </c>
      <c r="I958" t="n">
        <v>0</v>
      </c>
      <c r="J958" t="n">
        <v>0</v>
      </c>
      <c r="K958" t="n">
        <v>0</v>
      </c>
      <c r="L958" t="n">
        <v>0</v>
      </c>
      <c r="M958" t="n">
        <v>0</v>
      </c>
      <c r="N958" t="n">
        <v>0</v>
      </c>
      <c r="O958" t="n">
        <v>0</v>
      </c>
      <c r="P958" t="n">
        <v>0</v>
      </c>
      <c r="Q958" t="n">
        <v>0</v>
      </c>
      <c r="R958" s="2" t="inlineStr"/>
    </row>
    <row r="959" ht="15" customHeight="1">
      <c r="A959" t="inlineStr">
        <is>
          <t>A 69076-2019</t>
        </is>
      </c>
      <c r="B959" s="1" t="n">
        <v>43827</v>
      </c>
      <c r="C959" s="1" t="n">
        <v>45345</v>
      </c>
      <c r="D959" t="inlineStr">
        <is>
          <t>VÄSTMANLANDS LÄN</t>
        </is>
      </c>
      <c r="E959" t="inlineStr">
        <is>
          <t>ARBOGA</t>
        </is>
      </c>
      <c r="G959" t="n">
        <v>2.1</v>
      </c>
      <c r="H959" t="n">
        <v>0</v>
      </c>
      <c r="I959" t="n">
        <v>0</v>
      </c>
      <c r="J959" t="n">
        <v>0</v>
      </c>
      <c r="K959" t="n">
        <v>0</v>
      </c>
      <c r="L959" t="n">
        <v>0</v>
      </c>
      <c r="M959" t="n">
        <v>0</v>
      </c>
      <c r="N959" t="n">
        <v>0</v>
      </c>
      <c r="O959" t="n">
        <v>0</v>
      </c>
      <c r="P959" t="n">
        <v>0</v>
      </c>
      <c r="Q959" t="n">
        <v>0</v>
      </c>
      <c r="R959" s="2" t="inlineStr"/>
    </row>
    <row r="960" ht="15" customHeight="1">
      <c r="A960" t="inlineStr">
        <is>
          <t>A 63-2020</t>
        </is>
      </c>
      <c r="B960" s="1" t="n">
        <v>43832</v>
      </c>
      <c r="C960" s="1" t="n">
        <v>45345</v>
      </c>
      <c r="D960" t="inlineStr">
        <is>
          <t>VÄSTMANLANDS LÄN</t>
        </is>
      </c>
      <c r="E960" t="inlineStr">
        <is>
          <t>SALA</t>
        </is>
      </c>
      <c r="G960" t="n">
        <v>4.6</v>
      </c>
      <c r="H960" t="n">
        <v>0</v>
      </c>
      <c r="I960" t="n">
        <v>0</v>
      </c>
      <c r="J960" t="n">
        <v>0</v>
      </c>
      <c r="K960" t="n">
        <v>0</v>
      </c>
      <c r="L960" t="n">
        <v>0</v>
      </c>
      <c r="M960" t="n">
        <v>0</v>
      </c>
      <c r="N960" t="n">
        <v>0</v>
      </c>
      <c r="O960" t="n">
        <v>0</v>
      </c>
      <c r="P960" t="n">
        <v>0</v>
      </c>
      <c r="Q960" t="n">
        <v>0</v>
      </c>
      <c r="R960" s="2" t="inlineStr"/>
    </row>
    <row r="961" ht="15" customHeight="1">
      <c r="A961" t="inlineStr">
        <is>
          <t>A 151-2020</t>
        </is>
      </c>
      <c r="B961" s="1" t="n">
        <v>43833</v>
      </c>
      <c r="C961" s="1" t="n">
        <v>45345</v>
      </c>
      <c r="D961" t="inlineStr">
        <is>
          <t>VÄSTMANLANDS LÄN</t>
        </is>
      </c>
      <c r="E961" t="inlineStr">
        <is>
          <t>SALA</t>
        </is>
      </c>
      <c r="F961" t="inlineStr">
        <is>
          <t>Kyrkan</t>
        </is>
      </c>
      <c r="G961" t="n">
        <v>6.5</v>
      </c>
      <c r="H961" t="n">
        <v>0</v>
      </c>
      <c r="I961" t="n">
        <v>0</v>
      </c>
      <c r="J961" t="n">
        <v>0</v>
      </c>
      <c r="K961" t="n">
        <v>0</v>
      </c>
      <c r="L961" t="n">
        <v>0</v>
      </c>
      <c r="M961" t="n">
        <v>0</v>
      </c>
      <c r="N961" t="n">
        <v>0</v>
      </c>
      <c r="O961" t="n">
        <v>0</v>
      </c>
      <c r="P961" t="n">
        <v>0</v>
      </c>
      <c r="Q961" t="n">
        <v>0</v>
      </c>
      <c r="R961" s="2" t="inlineStr"/>
    </row>
    <row r="962" ht="15" customHeight="1">
      <c r="A962" t="inlineStr">
        <is>
          <t>A 161-2020</t>
        </is>
      </c>
      <c r="B962" s="1" t="n">
        <v>43833</v>
      </c>
      <c r="C962" s="1" t="n">
        <v>45345</v>
      </c>
      <c r="D962" t="inlineStr">
        <is>
          <t>VÄSTMANLANDS LÄN</t>
        </is>
      </c>
      <c r="E962" t="inlineStr">
        <is>
          <t>SALA</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297-2020</t>
        </is>
      </c>
      <c r="B963" s="1" t="n">
        <v>43837</v>
      </c>
      <c r="C963" s="1" t="n">
        <v>45345</v>
      </c>
      <c r="D963" t="inlineStr">
        <is>
          <t>VÄSTMANLANDS LÄN</t>
        </is>
      </c>
      <c r="E963" t="inlineStr">
        <is>
          <t>SALA</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496-2020</t>
        </is>
      </c>
      <c r="B964" s="1" t="n">
        <v>43837</v>
      </c>
      <c r="C964" s="1" t="n">
        <v>45345</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549-2020</t>
        </is>
      </c>
      <c r="B965" s="1" t="n">
        <v>43838</v>
      </c>
      <c r="C965" s="1" t="n">
        <v>45345</v>
      </c>
      <c r="D965" t="inlineStr">
        <is>
          <t>VÄSTMANLANDS LÄN</t>
        </is>
      </c>
      <c r="E965" t="inlineStr">
        <is>
          <t>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1005-2020</t>
        </is>
      </c>
      <c r="B966" s="1" t="n">
        <v>43839</v>
      </c>
      <c r="C966" s="1" t="n">
        <v>45345</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913-2020</t>
        </is>
      </c>
      <c r="B967" s="1" t="n">
        <v>43839</v>
      </c>
      <c r="C967" s="1" t="n">
        <v>45345</v>
      </c>
      <c r="D967" t="inlineStr">
        <is>
          <t>VÄSTMANLANDS LÄN</t>
        </is>
      </c>
      <c r="E967" t="inlineStr">
        <is>
          <t>KUNGSÖR</t>
        </is>
      </c>
      <c r="G967" t="n">
        <v>1.5</v>
      </c>
      <c r="H967" t="n">
        <v>0</v>
      </c>
      <c r="I967" t="n">
        <v>0</v>
      </c>
      <c r="J967" t="n">
        <v>0</v>
      </c>
      <c r="K967" t="n">
        <v>0</v>
      </c>
      <c r="L967" t="n">
        <v>0</v>
      </c>
      <c r="M967" t="n">
        <v>0</v>
      </c>
      <c r="N967" t="n">
        <v>0</v>
      </c>
      <c r="O967" t="n">
        <v>0</v>
      </c>
      <c r="P967" t="n">
        <v>0</v>
      </c>
      <c r="Q967" t="n">
        <v>0</v>
      </c>
      <c r="R967" s="2" t="inlineStr"/>
    </row>
    <row r="968" ht="15" customHeight="1">
      <c r="A968" t="inlineStr">
        <is>
          <t>A 2039-2020</t>
        </is>
      </c>
      <c r="B968" s="1" t="n">
        <v>43839</v>
      </c>
      <c r="C968" s="1" t="n">
        <v>45345</v>
      </c>
      <c r="D968" t="inlineStr">
        <is>
          <t>VÄSTMANLANDS LÄN</t>
        </is>
      </c>
      <c r="E968" t="inlineStr">
        <is>
          <t>SURAHAMMAR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950-2020</t>
        </is>
      </c>
      <c r="B969" s="1" t="n">
        <v>43839</v>
      </c>
      <c r="C969" s="1" t="n">
        <v>45345</v>
      </c>
      <c r="D969" t="inlineStr">
        <is>
          <t>VÄSTMANLANDS LÄN</t>
        </is>
      </c>
      <c r="E969" t="inlineStr">
        <is>
          <t>VÄSTERÅS</t>
        </is>
      </c>
      <c r="G969" t="n">
        <v>1.3</v>
      </c>
      <c r="H969" t="n">
        <v>0</v>
      </c>
      <c r="I969" t="n">
        <v>0</v>
      </c>
      <c r="J969" t="n">
        <v>0</v>
      </c>
      <c r="K969" t="n">
        <v>0</v>
      </c>
      <c r="L969" t="n">
        <v>0</v>
      </c>
      <c r="M969" t="n">
        <v>0</v>
      </c>
      <c r="N969" t="n">
        <v>0</v>
      </c>
      <c r="O969" t="n">
        <v>0</v>
      </c>
      <c r="P969" t="n">
        <v>0</v>
      </c>
      <c r="Q969" t="n">
        <v>0</v>
      </c>
      <c r="R969" s="2" t="inlineStr"/>
    </row>
    <row r="970" ht="15" customHeight="1">
      <c r="A970" t="inlineStr">
        <is>
          <t>A 1162-2020</t>
        </is>
      </c>
      <c r="B970" s="1" t="n">
        <v>43840</v>
      </c>
      <c r="C970" s="1" t="n">
        <v>45345</v>
      </c>
      <c r="D970" t="inlineStr">
        <is>
          <t>VÄSTMANLANDS LÄN</t>
        </is>
      </c>
      <c r="E970" t="inlineStr">
        <is>
          <t>ARBOGA</t>
        </is>
      </c>
      <c r="G970" t="n">
        <v>4.9</v>
      </c>
      <c r="H970" t="n">
        <v>0</v>
      </c>
      <c r="I970" t="n">
        <v>0</v>
      </c>
      <c r="J970" t="n">
        <v>0</v>
      </c>
      <c r="K970" t="n">
        <v>0</v>
      </c>
      <c r="L970" t="n">
        <v>0</v>
      </c>
      <c r="M970" t="n">
        <v>0</v>
      </c>
      <c r="N970" t="n">
        <v>0</v>
      </c>
      <c r="O970" t="n">
        <v>0</v>
      </c>
      <c r="P970" t="n">
        <v>0</v>
      </c>
      <c r="Q970" t="n">
        <v>0</v>
      </c>
      <c r="R970" s="2" t="inlineStr"/>
    </row>
    <row r="971" ht="15" customHeight="1">
      <c r="A971" t="inlineStr">
        <is>
          <t>A 2323-2020</t>
        </is>
      </c>
      <c r="B971" s="1" t="n">
        <v>43840</v>
      </c>
      <c r="C971" s="1" t="n">
        <v>45345</v>
      </c>
      <c r="D971" t="inlineStr">
        <is>
          <t>VÄSTMANLANDS LÄN</t>
        </is>
      </c>
      <c r="E971" t="inlineStr">
        <is>
          <t>KÖPING</t>
        </is>
      </c>
      <c r="G971" t="n">
        <v>4.1</v>
      </c>
      <c r="H971" t="n">
        <v>0</v>
      </c>
      <c r="I971" t="n">
        <v>0</v>
      </c>
      <c r="J971" t="n">
        <v>0</v>
      </c>
      <c r="K971" t="n">
        <v>0</v>
      </c>
      <c r="L971" t="n">
        <v>0</v>
      </c>
      <c r="M971" t="n">
        <v>0</v>
      </c>
      <c r="N971" t="n">
        <v>0</v>
      </c>
      <c r="O971" t="n">
        <v>0</v>
      </c>
      <c r="P971" t="n">
        <v>0</v>
      </c>
      <c r="Q971" t="n">
        <v>0</v>
      </c>
      <c r="R971" s="2" t="inlineStr"/>
    </row>
    <row r="972" ht="15" customHeight="1">
      <c r="A972" t="inlineStr">
        <is>
          <t>A 1272-2020</t>
        </is>
      </c>
      <c r="B972" s="1" t="n">
        <v>43841</v>
      </c>
      <c r="C972" s="1" t="n">
        <v>45345</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1288-2020</t>
        </is>
      </c>
      <c r="B973" s="1" t="n">
        <v>43842</v>
      </c>
      <c r="C973" s="1" t="n">
        <v>45345</v>
      </c>
      <c r="D973" t="inlineStr">
        <is>
          <t>VÄSTMANLANDS LÄN</t>
        </is>
      </c>
      <c r="E973" t="inlineStr">
        <is>
          <t>NORBERG</t>
        </is>
      </c>
      <c r="G973" t="n">
        <v>0.3</v>
      </c>
      <c r="H973" t="n">
        <v>0</v>
      </c>
      <c r="I973" t="n">
        <v>0</v>
      </c>
      <c r="J973" t="n">
        <v>0</v>
      </c>
      <c r="K973" t="n">
        <v>0</v>
      </c>
      <c r="L973" t="n">
        <v>0</v>
      </c>
      <c r="M973" t="n">
        <v>0</v>
      </c>
      <c r="N973" t="n">
        <v>0</v>
      </c>
      <c r="O973" t="n">
        <v>0</v>
      </c>
      <c r="P973" t="n">
        <v>0</v>
      </c>
      <c r="Q973" t="n">
        <v>0</v>
      </c>
      <c r="R973" s="2" t="inlineStr"/>
    </row>
    <row r="974" ht="15" customHeight="1">
      <c r="A974" t="inlineStr">
        <is>
          <t>A 1346-2020</t>
        </is>
      </c>
      <c r="B974" s="1" t="n">
        <v>43843</v>
      </c>
      <c r="C974" s="1" t="n">
        <v>45345</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2180-2020</t>
        </is>
      </c>
      <c r="B975" s="1" t="n">
        <v>43845</v>
      </c>
      <c r="C975" s="1" t="n">
        <v>45345</v>
      </c>
      <c r="D975" t="inlineStr">
        <is>
          <t>VÄSTMANLANDS LÄN</t>
        </is>
      </c>
      <c r="E975" t="inlineStr">
        <is>
          <t>HALLSTAHAMMAR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2331-2020</t>
        </is>
      </c>
      <c r="B976" s="1" t="n">
        <v>43846</v>
      </c>
      <c r="C976" s="1" t="n">
        <v>45345</v>
      </c>
      <c r="D976" t="inlineStr">
        <is>
          <t>VÄSTMANLANDS LÄN</t>
        </is>
      </c>
      <c r="E976" t="inlineStr">
        <is>
          <t>VÄSTERÅS</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3935-2020</t>
        </is>
      </c>
      <c r="B977" s="1" t="n">
        <v>43846</v>
      </c>
      <c r="C977" s="1" t="n">
        <v>45345</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2429-2020</t>
        </is>
      </c>
      <c r="B978" s="1" t="n">
        <v>43847</v>
      </c>
      <c r="C978" s="1" t="n">
        <v>45345</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2588-2020</t>
        </is>
      </c>
      <c r="B979" s="1" t="n">
        <v>43847</v>
      </c>
      <c r="C979" s="1" t="n">
        <v>45345</v>
      </c>
      <c r="D979" t="inlineStr">
        <is>
          <t>VÄSTMANLANDS LÄN</t>
        </is>
      </c>
      <c r="E979" t="inlineStr">
        <is>
          <t>SALA</t>
        </is>
      </c>
      <c r="G979" t="n">
        <v>1.8</v>
      </c>
      <c r="H979" t="n">
        <v>0</v>
      </c>
      <c r="I979" t="n">
        <v>0</v>
      </c>
      <c r="J979" t="n">
        <v>0</v>
      </c>
      <c r="K979" t="n">
        <v>0</v>
      </c>
      <c r="L979" t="n">
        <v>0</v>
      </c>
      <c r="M979" t="n">
        <v>0</v>
      </c>
      <c r="N979" t="n">
        <v>0</v>
      </c>
      <c r="O979" t="n">
        <v>0</v>
      </c>
      <c r="P979" t="n">
        <v>0</v>
      </c>
      <c r="Q979" t="n">
        <v>0</v>
      </c>
      <c r="R979" s="2" t="inlineStr"/>
    </row>
    <row r="980" ht="15" customHeight="1">
      <c r="A980" t="inlineStr">
        <is>
          <t>A 4425-2020</t>
        </is>
      </c>
      <c r="B980" s="1" t="n">
        <v>43847</v>
      </c>
      <c r="C980" s="1" t="n">
        <v>45345</v>
      </c>
      <c r="D980" t="inlineStr">
        <is>
          <t>VÄSTMANLANDS LÄN</t>
        </is>
      </c>
      <c r="E980" t="inlineStr">
        <is>
          <t>VÄSTERÅS</t>
        </is>
      </c>
      <c r="G980" t="n">
        <v>6.6</v>
      </c>
      <c r="H980" t="n">
        <v>0</v>
      </c>
      <c r="I980" t="n">
        <v>0</v>
      </c>
      <c r="J980" t="n">
        <v>0</v>
      </c>
      <c r="K980" t="n">
        <v>0</v>
      </c>
      <c r="L980" t="n">
        <v>0</v>
      </c>
      <c r="M980" t="n">
        <v>0</v>
      </c>
      <c r="N980" t="n">
        <v>0</v>
      </c>
      <c r="O980" t="n">
        <v>0</v>
      </c>
      <c r="P980" t="n">
        <v>0</v>
      </c>
      <c r="Q980" t="n">
        <v>0</v>
      </c>
      <c r="R980" s="2" t="inlineStr"/>
    </row>
    <row r="981" ht="15" customHeight="1">
      <c r="A981" t="inlineStr">
        <is>
          <t>A 2939-2020</t>
        </is>
      </c>
      <c r="B981" s="1" t="n">
        <v>43850</v>
      </c>
      <c r="C981" s="1" t="n">
        <v>45345</v>
      </c>
      <c r="D981" t="inlineStr">
        <is>
          <t>VÄSTMANLANDS LÄN</t>
        </is>
      </c>
      <c r="E981" t="inlineStr">
        <is>
          <t>VÄSTERÅS</t>
        </is>
      </c>
      <c r="F981" t="inlineStr">
        <is>
          <t>Kyrkan</t>
        </is>
      </c>
      <c r="G981" t="n">
        <v>2.5</v>
      </c>
      <c r="H981" t="n">
        <v>0</v>
      </c>
      <c r="I981" t="n">
        <v>0</v>
      </c>
      <c r="J981" t="n">
        <v>0</v>
      </c>
      <c r="K981" t="n">
        <v>0</v>
      </c>
      <c r="L981" t="n">
        <v>0</v>
      </c>
      <c r="M981" t="n">
        <v>0</v>
      </c>
      <c r="N981" t="n">
        <v>0</v>
      </c>
      <c r="O981" t="n">
        <v>0</v>
      </c>
      <c r="P981" t="n">
        <v>0</v>
      </c>
      <c r="Q981" t="n">
        <v>0</v>
      </c>
      <c r="R981" s="2" t="inlineStr"/>
    </row>
    <row r="982" ht="15" customHeight="1">
      <c r="A982" t="inlineStr">
        <is>
          <t>A 2920-2020</t>
        </is>
      </c>
      <c r="B982" s="1" t="n">
        <v>43850</v>
      </c>
      <c r="C982" s="1" t="n">
        <v>45345</v>
      </c>
      <c r="D982" t="inlineStr">
        <is>
          <t>VÄSTMANLANDS LÄN</t>
        </is>
      </c>
      <c r="E982" t="inlineStr">
        <is>
          <t>VÄSTERÅS</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3078-2020</t>
        </is>
      </c>
      <c r="B983" s="1" t="n">
        <v>43851</v>
      </c>
      <c r="C983" s="1" t="n">
        <v>45345</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4630-2020</t>
        </is>
      </c>
      <c r="B984" s="1" t="n">
        <v>43851</v>
      </c>
      <c r="C984" s="1" t="n">
        <v>45345</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3590-2020</t>
        </is>
      </c>
      <c r="B985" s="1" t="n">
        <v>43853</v>
      </c>
      <c r="C985" s="1" t="n">
        <v>45345</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5110-2020</t>
        </is>
      </c>
      <c r="B986" s="1" t="n">
        <v>43853</v>
      </c>
      <c r="C986" s="1" t="n">
        <v>45345</v>
      </c>
      <c r="D986" t="inlineStr">
        <is>
          <t>VÄSTMANLANDS LÄN</t>
        </is>
      </c>
      <c r="E986" t="inlineStr">
        <is>
          <t>SKINNSKATTEBERG</t>
        </is>
      </c>
      <c r="G986" t="n">
        <v>3</v>
      </c>
      <c r="H986" t="n">
        <v>0</v>
      </c>
      <c r="I986" t="n">
        <v>0</v>
      </c>
      <c r="J986" t="n">
        <v>0</v>
      </c>
      <c r="K986" t="n">
        <v>0</v>
      </c>
      <c r="L986" t="n">
        <v>0</v>
      </c>
      <c r="M986" t="n">
        <v>0</v>
      </c>
      <c r="N986" t="n">
        <v>0</v>
      </c>
      <c r="O986" t="n">
        <v>0</v>
      </c>
      <c r="P986" t="n">
        <v>0</v>
      </c>
      <c r="Q986" t="n">
        <v>0</v>
      </c>
      <c r="R986" s="2" t="inlineStr"/>
    </row>
    <row r="987" ht="15" customHeight="1">
      <c r="A987" t="inlineStr">
        <is>
          <t>A 5112-2020</t>
        </is>
      </c>
      <c r="B987" s="1" t="n">
        <v>43853</v>
      </c>
      <c r="C987" s="1" t="n">
        <v>45345</v>
      </c>
      <c r="D987" t="inlineStr">
        <is>
          <t>VÄSTMANLANDS LÄN</t>
        </is>
      </c>
      <c r="E987" t="inlineStr">
        <is>
          <t>FAGERSTA</t>
        </is>
      </c>
      <c r="G987" t="n">
        <v>4.4</v>
      </c>
      <c r="H987" t="n">
        <v>0</v>
      </c>
      <c r="I987" t="n">
        <v>0</v>
      </c>
      <c r="J987" t="n">
        <v>0</v>
      </c>
      <c r="K987" t="n">
        <v>0</v>
      </c>
      <c r="L987" t="n">
        <v>0</v>
      </c>
      <c r="M987" t="n">
        <v>0</v>
      </c>
      <c r="N987" t="n">
        <v>0</v>
      </c>
      <c r="O987" t="n">
        <v>0</v>
      </c>
      <c r="P987" t="n">
        <v>0</v>
      </c>
      <c r="Q987" t="n">
        <v>0</v>
      </c>
      <c r="R987" s="2" t="inlineStr"/>
    </row>
    <row r="988" ht="15" customHeight="1">
      <c r="A988" t="inlineStr">
        <is>
          <t>A 3889-2020</t>
        </is>
      </c>
      <c r="B988" s="1" t="n">
        <v>43854</v>
      </c>
      <c r="C988" s="1" t="n">
        <v>45345</v>
      </c>
      <c r="D988" t="inlineStr">
        <is>
          <t>VÄSTMANLANDS LÄN</t>
        </is>
      </c>
      <c r="E988" t="inlineStr">
        <is>
          <t>FAGERSTA</t>
        </is>
      </c>
      <c r="G988" t="n">
        <v>0.8</v>
      </c>
      <c r="H988" t="n">
        <v>0</v>
      </c>
      <c r="I988" t="n">
        <v>0</v>
      </c>
      <c r="J988" t="n">
        <v>0</v>
      </c>
      <c r="K988" t="n">
        <v>0</v>
      </c>
      <c r="L988" t="n">
        <v>0</v>
      </c>
      <c r="M988" t="n">
        <v>0</v>
      </c>
      <c r="N988" t="n">
        <v>0</v>
      </c>
      <c r="O988" t="n">
        <v>0</v>
      </c>
      <c r="P988" t="n">
        <v>0</v>
      </c>
      <c r="Q988" t="n">
        <v>0</v>
      </c>
      <c r="R988" s="2" t="inlineStr"/>
    </row>
    <row r="989" ht="15" customHeight="1">
      <c r="A989" t="inlineStr">
        <is>
          <t>A 5467-2020</t>
        </is>
      </c>
      <c r="B989" s="1" t="n">
        <v>43858</v>
      </c>
      <c r="C989" s="1" t="n">
        <v>45345</v>
      </c>
      <c r="D989" t="inlineStr">
        <is>
          <t>VÄSTMANLANDS LÄN</t>
        </is>
      </c>
      <c r="E989" t="inlineStr">
        <is>
          <t>ARBOGA</t>
        </is>
      </c>
      <c r="G989" t="n">
        <v>2.8</v>
      </c>
      <c r="H989" t="n">
        <v>0</v>
      </c>
      <c r="I989" t="n">
        <v>0</v>
      </c>
      <c r="J989" t="n">
        <v>0</v>
      </c>
      <c r="K989" t="n">
        <v>0</v>
      </c>
      <c r="L989" t="n">
        <v>0</v>
      </c>
      <c r="M989" t="n">
        <v>0</v>
      </c>
      <c r="N989" t="n">
        <v>0</v>
      </c>
      <c r="O989" t="n">
        <v>0</v>
      </c>
      <c r="P989" t="n">
        <v>0</v>
      </c>
      <c r="Q989" t="n">
        <v>0</v>
      </c>
      <c r="R989" s="2" t="inlineStr"/>
    </row>
    <row r="990" ht="15" customHeight="1">
      <c r="A990" t="inlineStr">
        <is>
          <t>A 4466-2020</t>
        </is>
      </c>
      <c r="B990" s="1" t="n">
        <v>43858</v>
      </c>
      <c r="C990" s="1" t="n">
        <v>45345</v>
      </c>
      <c r="D990" t="inlineStr">
        <is>
          <t>VÄSTMANLANDS LÄN</t>
        </is>
      </c>
      <c r="E990" t="inlineStr">
        <is>
          <t>HALLSTAHAMMAR</t>
        </is>
      </c>
      <c r="G990" t="n">
        <v>3.5</v>
      </c>
      <c r="H990" t="n">
        <v>0</v>
      </c>
      <c r="I990" t="n">
        <v>0</v>
      </c>
      <c r="J990" t="n">
        <v>0</v>
      </c>
      <c r="K990" t="n">
        <v>0</v>
      </c>
      <c r="L990" t="n">
        <v>0</v>
      </c>
      <c r="M990" t="n">
        <v>0</v>
      </c>
      <c r="N990" t="n">
        <v>0</v>
      </c>
      <c r="O990" t="n">
        <v>0</v>
      </c>
      <c r="P990" t="n">
        <v>0</v>
      </c>
      <c r="Q990" t="n">
        <v>0</v>
      </c>
      <c r="R990" s="2" t="inlineStr"/>
    </row>
    <row r="991" ht="15" customHeight="1">
      <c r="A991" t="inlineStr">
        <is>
          <t>A 4809-2020</t>
        </is>
      </c>
      <c r="B991" s="1" t="n">
        <v>43859</v>
      </c>
      <c r="C991" s="1" t="n">
        <v>45345</v>
      </c>
      <c r="D991" t="inlineStr">
        <is>
          <t>VÄSTMANLANDS LÄN</t>
        </is>
      </c>
      <c r="E991" t="inlineStr">
        <is>
          <t>VÄSTERÅS</t>
        </is>
      </c>
      <c r="G991" t="n">
        <v>4</v>
      </c>
      <c r="H991" t="n">
        <v>0</v>
      </c>
      <c r="I991" t="n">
        <v>0</v>
      </c>
      <c r="J991" t="n">
        <v>0</v>
      </c>
      <c r="K991" t="n">
        <v>0</v>
      </c>
      <c r="L991" t="n">
        <v>0</v>
      </c>
      <c r="M991" t="n">
        <v>0</v>
      </c>
      <c r="N991" t="n">
        <v>0</v>
      </c>
      <c r="O991" t="n">
        <v>0</v>
      </c>
      <c r="P991" t="n">
        <v>0</v>
      </c>
      <c r="Q991" t="n">
        <v>0</v>
      </c>
      <c r="R991" s="2" t="inlineStr"/>
    </row>
    <row r="992" ht="15" customHeight="1">
      <c r="A992" t="inlineStr">
        <is>
          <t>A 4978-2020</t>
        </is>
      </c>
      <c r="B992" s="1" t="n">
        <v>43859</v>
      </c>
      <c r="C992" s="1" t="n">
        <v>45345</v>
      </c>
      <c r="D992" t="inlineStr">
        <is>
          <t>VÄSTMANLANDS LÄN</t>
        </is>
      </c>
      <c r="E992" t="inlineStr">
        <is>
          <t>NORBERG</t>
        </is>
      </c>
      <c r="G992" t="n">
        <v>2.2</v>
      </c>
      <c r="H992" t="n">
        <v>0</v>
      </c>
      <c r="I992" t="n">
        <v>0</v>
      </c>
      <c r="J992" t="n">
        <v>0</v>
      </c>
      <c r="K992" t="n">
        <v>0</v>
      </c>
      <c r="L992" t="n">
        <v>0</v>
      </c>
      <c r="M992" t="n">
        <v>0</v>
      </c>
      <c r="N992" t="n">
        <v>0</v>
      </c>
      <c r="O992" t="n">
        <v>0</v>
      </c>
      <c r="P992" t="n">
        <v>0</v>
      </c>
      <c r="Q992" t="n">
        <v>0</v>
      </c>
      <c r="R992" s="2" t="inlineStr"/>
    </row>
    <row r="993" ht="15" customHeight="1">
      <c r="A993" t="inlineStr">
        <is>
          <t>A 5551-2020</t>
        </is>
      </c>
      <c r="B993" s="1" t="n">
        <v>43859</v>
      </c>
      <c r="C993" s="1" t="n">
        <v>45345</v>
      </c>
      <c r="D993" t="inlineStr">
        <is>
          <t>VÄSTMANLANDS LÄN</t>
        </is>
      </c>
      <c r="E993" t="inlineStr">
        <is>
          <t>SKINNSKATTEBERG</t>
        </is>
      </c>
      <c r="G993" t="n">
        <v>1.3</v>
      </c>
      <c r="H993" t="n">
        <v>0</v>
      </c>
      <c r="I993" t="n">
        <v>0</v>
      </c>
      <c r="J993" t="n">
        <v>0</v>
      </c>
      <c r="K993" t="n">
        <v>0</v>
      </c>
      <c r="L993" t="n">
        <v>0</v>
      </c>
      <c r="M993" t="n">
        <v>0</v>
      </c>
      <c r="N993" t="n">
        <v>0</v>
      </c>
      <c r="O993" t="n">
        <v>0</v>
      </c>
      <c r="P993" t="n">
        <v>0</v>
      </c>
      <c r="Q993" t="n">
        <v>0</v>
      </c>
      <c r="R993" s="2" t="inlineStr"/>
    </row>
    <row r="994" ht="15" customHeight="1">
      <c r="A994" t="inlineStr">
        <is>
          <t>A 5560-2020</t>
        </is>
      </c>
      <c r="B994" s="1" t="n">
        <v>43859</v>
      </c>
      <c r="C994" s="1" t="n">
        <v>45345</v>
      </c>
      <c r="D994" t="inlineStr">
        <is>
          <t>VÄSTMANLANDS LÄN</t>
        </is>
      </c>
      <c r="E994" t="inlineStr">
        <is>
          <t>SKINNSKATTEBERG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5554-2020</t>
        </is>
      </c>
      <c r="B995" s="1" t="n">
        <v>43859</v>
      </c>
      <c r="C995" s="1" t="n">
        <v>45345</v>
      </c>
      <c r="D995" t="inlineStr">
        <is>
          <t>VÄSTMANLANDS LÄN</t>
        </is>
      </c>
      <c r="E995" t="inlineStr">
        <is>
          <t>SKINNSKATTEBERG</t>
        </is>
      </c>
      <c r="G995" t="n">
        <v>3.6</v>
      </c>
      <c r="H995" t="n">
        <v>0</v>
      </c>
      <c r="I995" t="n">
        <v>0</v>
      </c>
      <c r="J995" t="n">
        <v>0</v>
      </c>
      <c r="K995" t="n">
        <v>0</v>
      </c>
      <c r="L995" t="n">
        <v>0</v>
      </c>
      <c r="M995" t="n">
        <v>0</v>
      </c>
      <c r="N995" t="n">
        <v>0</v>
      </c>
      <c r="O995" t="n">
        <v>0</v>
      </c>
      <c r="P995" t="n">
        <v>0</v>
      </c>
      <c r="Q995" t="n">
        <v>0</v>
      </c>
      <c r="R995" s="2" t="inlineStr"/>
    </row>
    <row r="996" ht="15" customHeight="1">
      <c r="A996" t="inlineStr">
        <is>
          <t>A 4866-2020</t>
        </is>
      </c>
      <c r="B996" s="1" t="n">
        <v>43859</v>
      </c>
      <c r="C996" s="1" t="n">
        <v>45345</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4951-2020</t>
        </is>
      </c>
      <c r="B997" s="1" t="n">
        <v>43859</v>
      </c>
      <c r="C997" s="1" t="n">
        <v>45345</v>
      </c>
      <c r="D997" t="inlineStr">
        <is>
          <t>VÄSTMANLANDS LÄN</t>
        </is>
      </c>
      <c r="E997" t="inlineStr">
        <is>
          <t>NORBERG</t>
        </is>
      </c>
      <c r="G997" t="n">
        <v>0.7</v>
      </c>
      <c r="H997" t="n">
        <v>0</v>
      </c>
      <c r="I997" t="n">
        <v>0</v>
      </c>
      <c r="J997" t="n">
        <v>0</v>
      </c>
      <c r="K997" t="n">
        <v>0</v>
      </c>
      <c r="L997" t="n">
        <v>0</v>
      </c>
      <c r="M997" t="n">
        <v>0</v>
      </c>
      <c r="N997" t="n">
        <v>0</v>
      </c>
      <c r="O997" t="n">
        <v>0</v>
      </c>
      <c r="P997" t="n">
        <v>0</v>
      </c>
      <c r="Q997" t="n">
        <v>0</v>
      </c>
      <c r="R997" s="2" t="inlineStr"/>
    </row>
    <row r="998" ht="15" customHeight="1">
      <c r="A998" t="inlineStr">
        <is>
          <t>A 5561-2020</t>
        </is>
      </c>
      <c r="B998" s="1" t="n">
        <v>43859</v>
      </c>
      <c r="C998" s="1" t="n">
        <v>45345</v>
      </c>
      <c r="D998" t="inlineStr">
        <is>
          <t>VÄSTMANLANDS LÄN</t>
        </is>
      </c>
      <c r="E998" t="inlineStr">
        <is>
          <t>SKINNSKATTEBERG</t>
        </is>
      </c>
      <c r="G998" t="n">
        <v>0.6</v>
      </c>
      <c r="H998" t="n">
        <v>0</v>
      </c>
      <c r="I998" t="n">
        <v>0</v>
      </c>
      <c r="J998" t="n">
        <v>0</v>
      </c>
      <c r="K998" t="n">
        <v>0</v>
      </c>
      <c r="L998" t="n">
        <v>0</v>
      </c>
      <c r="M998" t="n">
        <v>0</v>
      </c>
      <c r="N998" t="n">
        <v>0</v>
      </c>
      <c r="O998" t="n">
        <v>0</v>
      </c>
      <c r="P998" t="n">
        <v>0</v>
      </c>
      <c r="Q998" t="n">
        <v>0</v>
      </c>
      <c r="R998" s="2" t="inlineStr"/>
    </row>
    <row r="999" ht="15" customHeight="1">
      <c r="A999" t="inlineStr">
        <is>
          <t>A 5201-2020</t>
        </is>
      </c>
      <c r="B999" s="1" t="n">
        <v>43860</v>
      </c>
      <c r="C999" s="1" t="n">
        <v>45345</v>
      </c>
      <c r="D999" t="inlineStr">
        <is>
          <t>VÄSTMANLANDS LÄN</t>
        </is>
      </c>
      <c r="E999" t="inlineStr">
        <is>
          <t>SALA</t>
        </is>
      </c>
      <c r="F999" t="inlineStr">
        <is>
          <t>Kyrkan</t>
        </is>
      </c>
      <c r="G999" t="n">
        <v>5</v>
      </c>
      <c r="H999" t="n">
        <v>0</v>
      </c>
      <c r="I999" t="n">
        <v>0</v>
      </c>
      <c r="J999" t="n">
        <v>0</v>
      </c>
      <c r="K999" t="n">
        <v>0</v>
      </c>
      <c r="L999" t="n">
        <v>0</v>
      </c>
      <c r="M999" t="n">
        <v>0</v>
      </c>
      <c r="N999" t="n">
        <v>0</v>
      </c>
      <c r="O999" t="n">
        <v>0</v>
      </c>
      <c r="P999" t="n">
        <v>0</v>
      </c>
      <c r="Q999" t="n">
        <v>0</v>
      </c>
      <c r="R999" s="2" t="inlineStr"/>
    </row>
    <row r="1000" ht="15" customHeight="1">
      <c r="A1000" t="inlineStr">
        <is>
          <t>A 5163-2020</t>
        </is>
      </c>
      <c r="B1000" s="1" t="n">
        <v>43860</v>
      </c>
      <c r="C1000" s="1" t="n">
        <v>45345</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5191-2020</t>
        </is>
      </c>
      <c r="B1001" s="1" t="n">
        <v>43860</v>
      </c>
      <c r="C1001" s="1" t="n">
        <v>45345</v>
      </c>
      <c r="D1001" t="inlineStr">
        <is>
          <t>VÄSTMANLANDS LÄN</t>
        </is>
      </c>
      <c r="E1001" t="inlineStr">
        <is>
          <t>SALA</t>
        </is>
      </c>
      <c r="F1001" t="inlineStr">
        <is>
          <t>Kyrkan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5320-2020</t>
        </is>
      </c>
      <c r="B1002" s="1" t="n">
        <v>43860</v>
      </c>
      <c r="C1002" s="1" t="n">
        <v>45345</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5693-2020</t>
        </is>
      </c>
      <c r="B1003" s="1" t="n">
        <v>43861</v>
      </c>
      <c r="C1003" s="1" t="n">
        <v>45345</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5587-2020</t>
        </is>
      </c>
      <c r="B1004" s="1" t="n">
        <v>43861</v>
      </c>
      <c r="C1004" s="1" t="n">
        <v>45345</v>
      </c>
      <c r="D1004" t="inlineStr">
        <is>
          <t>VÄSTMANLANDS LÄN</t>
        </is>
      </c>
      <c r="E1004" t="inlineStr">
        <is>
          <t>SALA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5750-2020</t>
        </is>
      </c>
      <c r="B1005" s="1" t="n">
        <v>43864</v>
      </c>
      <c r="C1005" s="1" t="n">
        <v>45345</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5839-2020</t>
        </is>
      </c>
      <c r="B1006" s="1" t="n">
        <v>43864</v>
      </c>
      <c r="C1006" s="1" t="n">
        <v>45345</v>
      </c>
      <c r="D1006" t="inlineStr">
        <is>
          <t>VÄSTMANLANDS LÄN</t>
        </is>
      </c>
      <c r="E1006" t="inlineStr">
        <is>
          <t>ARBOGA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5804-2020</t>
        </is>
      </c>
      <c r="B1007" s="1" t="n">
        <v>43864</v>
      </c>
      <c r="C1007" s="1" t="n">
        <v>45345</v>
      </c>
      <c r="D1007" t="inlineStr">
        <is>
          <t>VÄSTMANLANDS LÄN</t>
        </is>
      </c>
      <c r="E1007" t="inlineStr">
        <is>
          <t>SURAHAMMAR</t>
        </is>
      </c>
      <c r="F1007" t="inlineStr">
        <is>
          <t>Bergvik skog väst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6185-2020</t>
        </is>
      </c>
      <c r="B1008" s="1" t="n">
        <v>43865</v>
      </c>
      <c r="C1008" s="1" t="n">
        <v>45345</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6043-2020</t>
        </is>
      </c>
      <c r="B1009" s="1" t="n">
        <v>43865</v>
      </c>
      <c r="C1009" s="1" t="n">
        <v>45345</v>
      </c>
      <c r="D1009" t="inlineStr">
        <is>
          <t>VÄSTMANLANDS LÄN</t>
        </is>
      </c>
      <c r="E1009" t="inlineStr">
        <is>
          <t>VÄSTERÅS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6330-2020</t>
        </is>
      </c>
      <c r="B1010" s="1" t="n">
        <v>43866</v>
      </c>
      <c r="C1010" s="1" t="n">
        <v>45345</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6341-2020</t>
        </is>
      </c>
      <c r="B1011" s="1" t="n">
        <v>43866</v>
      </c>
      <c r="C1011" s="1" t="n">
        <v>45345</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6327-2020</t>
        </is>
      </c>
      <c r="B1012" s="1" t="n">
        <v>43866</v>
      </c>
      <c r="C1012" s="1" t="n">
        <v>45345</v>
      </c>
      <c r="D1012" t="inlineStr">
        <is>
          <t>VÄSTMANLANDS LÄN</t>
        </is>
      </c>
      <c r="E1012" t="inlineStr">
        <is>
          <t>SKINNSKATTEBERG</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6592-2020</t>
        </is>
      </c>
      <c r="B1013" s="1" t="n">
        <v>43866</v>
      </c>
      <c r="C1013" s="1" t="n">
        <v>45345</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6583-2020</t>
        </is>
      </c>
      <c r="B1014" s="1" t="n">
        <v>43866</v>
      </c>
      <c r="C1014" s="1" t="n">
        <v>45345</v>
      </c>
      <c r="D1014" t="inlineStr">
        <is>
          <t>VÄSTMANLANDS LÄN</t>
        </is>
      </c>
      <c r="E1014" t="inlineStr">
        <is>
          <t>VÄSTERÅS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6669-2020</t>
        </is>
      </c>
      <c r="B1015" s="1" t="n">
        <v>43867</v>
      </c>
      <c r="C1015" s="1" t="n">
        <v>45345</v>
      </c>
      <c r="D1015" t="inlineStr">
        <is>
          <t>VÄSTMANLANDS LÄN</t>
        </is>
      </c>
      <c r="E1015" t="inlineStr">
        <is>
          <t>VÄSTERÅS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6664-2020</t>
        </is>
      </c>
      <c r="B1016" s="1" t="n">
        <v>43867</v>
      </c>
      <c r="C1016" s="1" t="n">
        <v>45345</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6750-2020</t>
        </is>
      </c>
      <c r="B1017" s="1" t="n">
        <v>43867</v>
      </c>
      <c r="C1017" s="1" t="n">
        <v>45345</v>
      </c>
      <c r="D1017" t="inlineStr">
        <is>
          <t>VÄSTMANLANDS LÄN</t>
        </is>
      </c>
      <c r="E1017" t="inlineStr">
        <is>
          <t>VÄSTERÅS</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6813-2020</t>
        </is>
      </c>
      <c r="B1018" s="1" t="n">
        <v>43868</v>
      </c>
      <c r="C1018" s="1" t="n">
        <v>45345</v>
      </c>
      <c r="D1018" t="inlineStr">
        <is>
          <t>VÄSTMANLANDS LÄN</t>
        </is>
      </c>
      <c r="E1018" t="inlineStr">
        <is>
          <t>HALLSTAHAMMAR</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6986-2020</t>
        </is>
      </c>
      <c r="B1019" s="1" t="n">
        <v>43868</v>
      </c>
      <c r="C1019" s="1" t="n">
        <v>45345</v>
      </c>
      <c r="D1019" t="inlineStr">
        <is>
          <t>VÄSTMANLANDS LÄN</t>
        </is>
      </c>
      <c r="E1019" t="inlineStr">
        <is>
          <t>ARBOGA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7129-2020</t>
        </is>
      </c>
      <c r="B1020" s="1" t="n">
        <v>43868</v>
      </c>
      <c r="C1020" s="1" t="n">
        <v>45345</v>
      </c>
      <c r="D1020" t="inlineStr">
        <is>
          <t>VÄSTMANLANDS LÄN</t>
        </is>
      </c>
      <c r="E1020" t="inlineStr">
        <is>
          <t>ARBOGA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7190-2020</t>
        </is>
      </c>
      <c r="B1021" s="1" t="n">
        <v>43868</v>
      </c>
      <c r="C1021" s="1" t="n">
        <v>45345</v>
      </c>
      <c r="D1021" t="inlineStr">
        <is>
          <t>VÄSTMANLANDS LÄN</t>
        </is>
      </c>
      <c r="E1021" t="inlineStr">
        <is>
          <t>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6979-2020</t>
        </is>
      </c>
      <c r="B1022" s="1" t="n">
        <v>43868</v>
      </c>
      <c r="C1022" s="1" t="n">
        <v>45345</v>
      </c>
      <c r="D1022" t="inlineStr">
        <is>
          <t>VÄSTMANLANDS LÄN</t>
        </is>
      </c>
      <c r="E1022" t="inlineStr">
        <is>
          <t>KUNGSÖR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6988-2020</t>
        </is>
      </c>
      <c r="B1023" s="1" t="n">
        <v>43868</v>
      </c>
      <c r="C1023" s="1" t="n">
        <v>45345</v>
      </c>
      <c r="D1023" t="inlineStr">
        <is>
          <t>VÄSTMANLANDS LÄN</t>
        </is>
      </c>
      <c r="E1023" t="inlineStr">
        <is>
          <t>ARBOGA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6987-2020</t>
        </is>
      </c>
      <c r="B1024" s="1" t="n">
        <v>43868</v>
      </c>
      <c r="C1024" s="1" t="n">
        <v>45345</v>
      </c>
      <c r="D1024" t="inlineStr">
        <is>
          <t>VÄSTMANLANDS LÄN</t>
        </is>
      </c>
      <c r="E1024" t="inlineStr">
        <is>
          <t>ARBOGA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7125-2020</t>
        </is>
      </c>
      <c r="B1025" s="1" t="n">
        <v>43868</v>
      </c>
      <c r="C1025" s="1" t="n">
        <v>45345</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7143-2020</t>
        </is>
      </c>
      <c r="B1026" s="1" t="n">
        <v>43869</v>
      </c>
      <c r="C1026" s="1" t="n">
        <v>45345</v>
      </c>
      <c r="D1026" t="inlineStr">
        <is>
          <t>VÄSTMANLANDS LÄN</t>
        </is>
      </c>
      <c r="E1026" t="inlineStr">
        <is>
          <t>KUNGSÖR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7139-2020</t>
        </is>
      </c>
      <c r="B1027" s="1" t="n">
        <v>43869</v>
      </c>
      <c r="C1027" s="1" t="n">
        <v>45345</v>
      </c>
      <c r="D1027" t="inlineStr">
        <is>
          <t>VÄSTMANLANDS LÄN</t>
        </is>
      </c>
      <c r="E1027" t="inlineStr">
        <is>
          <t>VÄSTERÅS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7144-2020</t>
        </is>
      </c>
      <c r="B1028" s="1" t="n">
        <v>43869</v>
      </c>
      <c r="C1028" s="1" t="n">
        <v>45345</v>
      </c>
      <c r="D1028" t="inlineStr">
        <is>
          <t>VÄSTMANLANDS LÄN</t>
        </is>
      </c>
      <c r="E1028" t="inlineStr">
        <is>
          <t>ARBOGA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7260-2020</t>
        </is>
      </c>
      <c r="B1029" s="1" t="n">
        <v>43871</v>
      </c>
      <c r="C1029" s="1" t="n">
        <v>45345</v>
      </c>
      <c r="D1029" t="inlineStr">
        <is>
          <t>VÄSTMANLANDS LÄN</t>
        </is>
      </c>
      <c r="E1029" t="inlineStr">
        <is>
          <t>KUNGSÖR</t>
        </is>
      </c>
      <c r="F1029" t="inlineStr">
        <is>
          <t>Allmännings- och besparingsskogar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7294-2020</t>
        </is>
      </c>
      <c r="B1030" s="1" t="n">
        <v>43871</v>
      </c>
      <c r="C1030" s="1" t="n">
        <v>45345</v>
      </c>
      <c r="D1030" t="inlineStr">
        <is>
          <t>VÄSTMANLANDS LÄN</t>
        </is>
      </c>
      <c r="E1030" t="inlineStr">
        <is>
          <t>KÖPING</t>
        </is>
      </c>
      <c r="F1030" t="inlineStr">
        <is>
          <t>Allmännings- och besparingsskogar</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7269-2020</t>
        </is>
      </c>
      <c r="B1031" s="1" t="n">
        <v>43871</v>
      </c>
      <c r="C1031" s="1" t="n">
        <v>45345</v>
      </c>
      <c r="D1031" t="inlineStr">
        <is>
          <t>VÄSTMANLANDS LÄN</t>
        </is>
      </c>
      <c r="E1031" t="inlineStr">
        <is>
          <t>SKINNSKATTEBERG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7310-2020</t>
        </is>
      </c>
      <c r="B1032" s="1" t="n">
        <v>43871</v>
      </c>
      <c r="C1032" s="1" t="n">
        <v>45345</v>
      </c>
      <c r="D1032" t="inlineStr">
        <is>
          <t>VÄSTMANLANDS LÄN</t>
        </is>
      </c>
      <c r="E1032" t="inlineStr">
        <is>
          <t>KUNGSÖR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7298-2020</t>
        </is>
      </c>
      <c r="B1033" s="1" t="n">
        <v>43871</v>
      </c>
      <c r="C1033" s="1" t="n">
        <v>45345</v>
      </c>
      <c r="D1033" t="inlineStr">
        <is>
          <t>VÄSTMANLANDS LÄN</t>
        </is>
      </c>
      <c r="E1033" t="inlineStr">
        <is>
          <t>ARBOGA</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7250-2020</t>
        </is>
      </c>
      <c r="B1034" s="1" t="n">
        <v>43871</v>
      </c>
      <c r="C1034" s="1" t="n">
        <v>45345</v>
      </c>
      <c r="D1034" t="inlineStr">
        <is>
          <t>VÄSTMANLANDS LÄN</t>
        </is>
      </c>
      <c r="E1034" t="inlineStr">
        <is>
          <t>HALLSTAHAMMAR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7612-2020</t>
        </is>
      </c>
      <c r="B1035" s="1" t="n">
        <v>43872</v>
      </c>
      <c r="C1035" s="1" t="n">
        <v>45345</v>
      </c>
      <c r="D1035" t="inlineStr">
        <is>
          <t>VÄSTMANLANDS LÄN</t>
        </is>
      </c>
      <c r="E1035" t="inlineStr">
        <is>
          <t>ARBOGA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7735-2020</t>
        </is>
      </c>
      <c r="B1036" s="1" t="n">
        <v>43872</v>
      </c>
      <c r="C1036" s="1" t="n">
        <v>45345</v>
      </c>
      <c r="D1036" t="inlineStr">
        <is>
          <t>VÄSTMANLANDS LÄN</t>
        </is>
      </c>
      <c r="E1036" t="inlineStr">
        <is>
          <t>NORBERG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8007-2020</t>
        </is>
      </c>
      <c r="B1037" s="1" t="n">
        <v>43873</v>
      </c>
      <c r="C1037" s="1" t="n">
        <v>45345</v>
      </c>
      <c r="D1037" t="inlineStr">
        <is>
          <t>VÄSTMANLANDS LÄN</t>
        </is>
      </c>
      <c r="E1037" t="inlineStr">
        <is>
          <t>HALLSTAHAMMAR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8012-2020</t>
        </is>
      </c>
      <c r="B1038" s="1" t="n">
        <v>43873</v>
      </c>
      <c r="C1038" s="1" t="n">
        <v>45345</v>
      </c>
      <c r="D1038" t="inlineStr">
        <is>
          <t>VÄSTMANLANDS LÄN</t>
        </is>
      </c>
      <c r="E1038" t="inlineStr">
        <is>
          <t>HALLSTAHAMMAR</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7797-2020</t>
        </is>
      </c>
      <c r="B1039" s="1" t="n">
        <v>43873</v>
      </c>
      <c r="C1039" s="1" t="n">
        <v>45345</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8147-2020</t>
        </is>
      </c>
      <c r="B1040" s="1" t="n">
        <v>43874</v>
      </c>
      <c r="C1040" s="1" t="n">
        <v>45345</v>
      </c>
      <c r="D1040" t="inlineStr">
        <is>
          <t>VÄSTMANLANDS LÄN</t>
        </is>
      </c>
      <c r="E1040" t="inlineStr">
        <is>
          <t>KUNGSÖR</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8145-2020</t>
        </is>
      </c>
      <c r="B1041" s="1" t="n">
        <v>43874</v>
      </c>
      <c r="C1041" s="1" t="n">
        <v>45345</v>
      </c>
      <c r="D1041" t="inlineStr">
        <is>
          <t>VÄSTMANLANDS LÄN</t>
        </is>
      </c>
      <c r="E1041" t="inlineStr">
        <is>
          <t>KUNGSÖR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8174-2020</t>
        </is>
      </c>
      <c r="B1042" s="1" t="n">
        <v>43874</v>
      </c>
      <c r="C1042" s="1" t="n">
        <v>45345</v>
      </c>
      <c r="D1042" t="inlineStr">
        <is>
          <t>VÄSTMANLANDS LÄN</t>
        </is>
      </c>
      <c r="E1042" t="inlineStr">
        <is>
          <t>HALLSTAHAMMAR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8112-2020</t>
        </is>
      </c>
      <c r="B1043" s="1" t="n">
        <v>43874</v>
      </c>
      <c r="C1043" s="1" t="n">
        <v>45345</v>
      </c>
      <c r="D1043" t="inlineStr">
        <is>
          <t>VÄSTMANLANDS LÄN</t>
        </is>
      </c>
      <c r="E1043" t="inlineStr">
        <is>
          <t>FAGERSTA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8462-2020</t>
        </is>
      </c>
      <c r="B1044" s="1" t="n">
        <v>43875</v>
      </c>
      <c r="C1044" s="1" t="n">
        <v>45345</v>
      </c>
      <c r="D1044" t="inlineStr">
        <is>
          <t>VÄSTMANLANDS LÄN</t>
        </is>
      </c>
      <c r="E1044" t="inlineStr">
        <is>
          <t>HALLSTAHAMMAR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8497-2020</t>
        </is>
      </c>
      <c r="B1045" s="1" t="n">
        <v>43875</v>
      </c>
      <c r="C1045" s="1" t="n">
        <v>45345</v>
      </c>
      <c r="D1045" t="inlineStr">
        <is>
          <t>VÄSTMANLANDS LÄN</t>
        </is>
      </c>
      <c r="E1045" t="inlineStr">
        <is>
          <t>ARBOGA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8644-2020</t>
        </is>
      </c>
      <c r="B1046" s="1" t="n">
        <v>43878</v>
      </c>
      <c r="C1046" s="1" t="n">
        <v>45345</v>
      </c>
      <c r="D1046" t="inlineStr">
        <is>
          <t>VÄSTMANLANDS LÄN</t>
        </is>
      </c>
      <c r="E1046" t="inlineStr">
        <is>
          <t>VÄSTERÅS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8608-2020</t>
        </is>
      </c>
      <c r="B1047" s="1" t="n">
        <v>43878</v>
      </c>
      <c r="C1047" s="1" t="n">
        <v>45345</v>
      </c>
      <c r="D1047" t="inlineStr">
        <is>
          <t>VÄSTMANLANDS LÄN</t>
        </is>
      </c>
      <c r="E1047" t="inlineStr">
        <is>
          <t>SURAHAMMAR</t>
        </is>
      </c>
      <c r="F1047" t="inlineStr">
        <is>
          <t>Övriga Aktiebolag</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9337-2020</t>
        </is>
      </c>
      <c r="B1048" s="1" t="n">
        <v>43880</v>
      </c>
      <c r="C1048" s="1" t="n">
        <v>45345</v>
      </c>
      <c r="D1048" t="inlineStr">
        <is>
          <t>VÄSTMANLANDS LÄN</t>
        </is>
      </c>
      <c r="E1048" t="inlineStr">
        <is>
          <t>ARBOGA</t>
        </is>
      </c>
      <c r="F1048" t="inlineStr">
        <is>
          <t>Kommuner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9299-2020</t>
        </is>
      </c>
      <c r="B1049" s="1" t="n">
        <v>43880</v>
      </c>
      <c r="C1049" s="1" t="n">
        <v>45345</v>
      </c>
      <c r="D1049" t="inlineStr">
        <is>
          <t>VÄSTMANLANDS LÄN</t>
        </is>
      </c>
      <c r="E1049" t="inlineStr">
        <is>
          <t>VÄSTERÅS</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9583-2020</t>
        </is>
      </c>
      <c r="B1050" s="1" t="n">
        <v>43881</v>
      </c>
      <c r="C1050" s="1" t="n">
        <v>45345</v>
      </c>
      <c r="D1050" t="inlineStr">
        <is>
          <t>VÄSTMANLANDS LÄN</t>
        </is>
      </c>
      <c r="E1050" t="inlineStr">
        <is>
          <t>NORBERG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9706-2020</t>
        </is>
      </c>
      <c r="B1051" s="1" t="n">
        <v>43881</v>
      </c>
      <c r="C1051" s="1" t="n">
        <v>45345</v>
      </c>
      <c r="D1051" t="inlineStr">
        <is>
          <t>VÄSTMANLANDS LÄN</t>
        </is>
      </c>
      <c r="E1051" t="inlineStr">
        <is>
          <t>KÖPING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9636-2020</t>
        </is>
      </c>
      <c r="B1052" s="1" t="n">
        <v>43881</v>
      </c>
      <c r="C1052" s="1" t="n">
        <v>45345</v>
      </c>
      <c r="D1052" t="inlineStr">
        <is>
          <t>VÄSTMANLANDS LÄN</t>
        </is>
      </c>
      <c r="E1052" t="inlineStr">
        <is>
          <t>HALLSTAHAMMAR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9896-2020</t>
        </is>
      </c>
      <c r="B1053" s="1" t="n">
        <v>43882</v>
      </c>
      <c r="C1053" s="1" t="n">
        <v>45345</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9989-2020</t>
        </is>
      </c>
      <c r="B1054" s="1" t="n">
        <v>43882</v>
      </c>
      <c r="C1054" s="1" t="n">
        <v>45345</v>
      </c>
      <c r="D1054" t="inlineStr">
        <is>
          <t>VÄSTMANLANDS LÄN</t>
        </is>
      </c>
      <c r="E1054" t="inlineStr">
        <is>
          <t>NORBERG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10010-2020</t>
        </is>
      </c>
      <c r="B1055" s="1" t="n">
        <v>43882</v>
      </c>
      <c r="C1055" s="1" t="n">
        <v>45345</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10006-2020</t>
        </is>
      </c>
      <c r="B1056" s="1" t="n">
        <v>43882</v>
      </c>
      <c r="C1056" s="1" t="n">
        <v>45345</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10013-2020</t>
        </is>
      </c>
      <c r="B1057" s="1" t="n">
        <v>43882</v>
      </c>
      <c r="C1057" s="1" t="n">
        <v>45345</v>
      </c>
      <c r="D1057" t="inlineStr">
        <is>
          <t>VÄSTMANLANDS LÄN</t>
        </is>
      </c>
      <c r="E1057" t="inlineStr">
        <is>
          <t>FAGERSTA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10000-2020</t>
        </is>
      </c>
      <c r="B1058" s="1" t="n">
        <v>43882</v>
      </c>
      <c r="C1058" s="1" t="n">
        <v>45345</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10001-2020</t>
        </is>
      </c>
      <c r="B1059" s="1" t="n">
        <v>43882</v>
      </c>
      <c r="C1059" s="1" t="n">
        <v>45345</v>
      </c>
      <c r="D1059" t="inlineStr">
        <is>
          <t>VÄSTMANLANDS LÄN</t>
        </is>
      </c>
      <c r="E1059" t="inlineStr">
        <is>
          <t>NORBERG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10276-2020</t>
        </is>
      </c>
      <c r="B1060" s="1" t="n">
        <v>43885</v>
      </c>
      <c r="C1060" s="1" t="n">
        <v>45345</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10302-2020</t>
        </is>
      </c>
      <c r="B1061" s="1" t="n">
        <v>43885</v>
      </c>
      <c r="C1061" s="1" t="n">
        <v>45345</v>
      </c>
      <c r="D1061" t="inlineStr">
        <is>
          <t>VÄSTMANLANDS LÄN</t>
        </is>
      </c>
      <c r="E1061" t="inlineStr">
        <is>
          <t>KUNGSÖR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10299-2020</t>
        </is>
      </c>
      <c r="B1062" s="1" t="n">
        <v>43885</v>
      </c>
      <c r="C1062" s="1" t="n">
        <v>45345</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10472-2020</t>
        </is>
      </c>
      <c r="B1063" s="1" t="n">
        <v>43886</v>
      </c>
      <c r="C1063" s="1" t="n">
        <v>45345</v>
      </c>
      <c r="D1063" t="inlineStr">
        <is>
          <t>VÄSTMANLANDS LÄN</t>
        </is>
      </c>
      <c r="E1063" t="inlineStr">
        <is>
          <t>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17388-2020</t>
        </is>
      </c>
      <c r="B1064" s="1" t="n">
        <v>43887</v>
      </c>
      <c r="C1064" s="1" t="n">
        <v>45345</v>
      </c>
      <c r="D1064" t="inlineStr">
        <is>
          <t>VÄSTMANLANDS LÄN</t>
        </is>
      </c>
      <c r="E1064" t="inlineStr">
        <is>
          <t>VÄSTERÅS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10783-2020</t>
        </is>
      </c>
      <c r="B1065" s="1" t="n">
        <v>43888</v>
      </c>
      <c r="C1065" s="1" t="n">
        <v>45345</v>
      </c>
      <c r="D1065" t="inlineStr">
        <is>
          <t>VÄSTMANLANDS LÄN</t>
        </is>
      </c>
      <c r="E1065" t="inlineStr">
        <is>
          <t>NORBERG</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11912-2020</t>
        </is>
      </c>
      <c r="B1066" s="1" t="n">
        <v>43888</v>
      </c>
      <c r="C1066" s="1" t="n">
        <v>45345</v>
      </c>
      <c r="D1066" t="inlineStr">
        <is>
          <t>VÄSTMANLANDS LÄN</t>
        </is>
      </c>
      <c r="E1066" t="inlineStr">
        <is>
          <t>SKINNSKATTEBERG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10811-2020</t>
        </is>
      </c>
      <c r="B1067" s="1" t="n">
        <v>43888</v>
      </c>
      <c r="C1067" s="1" t="n">
        <v>45345</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10868-2020</t>
        </is>
      </c>
      <c r="B1068" s="1" t="n">
        <v>43889</v>
      </c>
      <c r="C1068" s="1" t="n">
        <v>45345</v>
      </c>
      <c r="D1068" t="inlineStr">
        <is>
          <t>VÄSTMANLANDS LÄN</t>
        </is>
      </c>
      <c r="E1068" t="inlineStr">
        <is>
          <t>FAGERSTA</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10917-2020</t>
        </is>
      </c>
      <c r="B1069" s="1" t="n">
        <v>43889</v>
      </c>
      <c r="C1069" s="1" t="n">
        <v>45345</v>
      </c>
      <c r="D1069" t="inlineStr">
        <is>
          <t>VÄSTMANLANDS LÄN</t>
        </is>
      </c>
      <c r="E1069" t="inlineStr">
        <is>
          <t>NORBERG</t>
        </is>
      </c>
      <c r="F1069" t="inlineStr">
        <is>
          <t>Övriga Aktiebolag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10905-2020</t>
        </is>
      </c>
      <c r="B1070" s="1" t="n">
        <v>43889</v>
      </c>
      <c r="C1070" s="1" t="n">
        <v>45345</v>
      </c>
      <c r="D1070" t="inlineStr">
        <is>
          <t>VÄSTMANLANDS LÄN</t>
        </is>
      </c>
      <c r="E1070" t="inlineStr">
        <is>
          <t>NORBERG</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11162-2020</t>
        </is>
      </c>
      <c r="B1071" s="1" t="n">
        <v>43891</v>
      </c>
      <c r="C1071" s="1" t="n">
        <v>45345</v>
      </c>
      <c r="D1071" t="inlineStr">
        <is>
          <t>VÄSTMANLANDS LÄN</t>
        </is>
      </c>
      <c r="E1071" t="inlineStr">
        <is>
          <t>ARBOGA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11161-2020</t>
        </is>
      </c>
      <c r="B1072" s="1" t="n">
        <v>43891</v>
      </c>
      <c r="C1072" s="1" t="n">
        <v>45345</v>
      </c>
      <c r="D1072" t="inlineStr">
        <is>
          <t>VÄSTMANLANDS LÄN</t>
        </is>
      </c>
      <c r="E1072" t="inlineStr">
        <is>
          <t>ARBOGA</t>
        </is>
      </c>
      <c r="G1072" t="n">
        <v>42.3</v>
      </c>
      <c r="H1072" t="n">
        <v>0</v>
      </c>
      <c r="I1072" t="n">
        <v>0</v>
      </c>
      <c r="J1072" t="n">
        <v>0</v>
      </c>
      <c r="K1072" t="n">
        <v>0</v>
      </c>
      <c r="L1072" t="n">
        <v>0</v>
      </c>
      <c r="M1072" t="n">
        <v>0</v>
      </c>
      <c r="N1072" t="n">
        <v>0</v>
      </c>
      <c r="O1072" t="n">
        <v>0</v>
      </c>
      <c r="P1072" t="n">
        <v>0</v>
      </c>
      <c r="Q1072" t="n">
        <v>0</v>
      </c>
      <c r="R1072" s="2" t="inlineStr"/>
    </row>
    <row r="1073" ht="15" customHeight="1">
      <c r="A1073" t="inlineStr">
        <is>
          <t>A 11186-2020</t>
        </is>
      </c>
      <c r="B1073" s="1" t="n">
        <v>43892</v>
      </c>
      <c r="C1073" s="1" t="n">
        <v>45345</v>
      </c>
      <c r="D1073" t="inlineStr">
        <is>
          <t>VÄSTMANLANDS LÄN</t>
        </is>
      </c>
      <c r="E1073" t="inlineStr">
        <is>
          <t>FAGERSTA</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11452-2020</t>
        </is>
      </c>
      <c r="B1074" s="1" t="n">
        <v>43893</v>
      </c>
      <c r="C1074" s="1" t="n">
        <v>45345</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11551-2020</t>
        </is>
      </c>
      <c r="B1075" s="1" t="n">
        <v>43893</v>
      </c>
      <c r="C1075" s="1" t="n">
        <v>45345</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11657-2020</t>
        </is>
      </c>
      <c r="B1076" s="1" t="n">
        <v>43893</v>
      </c>
      <c r="C1076" s="1" t="n">
        <v>45345</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11629-2020</t>
        </is>
      </c>
      <c r="B1077" s="1" t="n">
        <v>43893</v>
      </c>
      <c r="C1077" s="1" t="n">
        <v>45345</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11826-2020</t>
        </is>
      </c>
      <c r="B1078" s="1" t="n">
        <v>43894</v>
      </c>
      <c r="C1078" s="1" t="n">
        <v>45345</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12058-2020</t>
        </is>
      </c>
      <c r="B1079" s="1" t="n">
        <v>43894</v>
      </c>
      <c r="C1079" s="1" t="n">
        <v>45345</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12184-2020</t>
        </is>
      </c>
      <c r="B1080" s="1" t="n">
        <v>43895</v>
      </c>
      <c r="C1080" s="1" t="n">
        <v>45345</v>
      </c>
      <c r="D1080" t="inlineStr">
        <is>
          <t>VÄSTMANLANDS LÄN</t>
        </is>
      </c>
      <c r="E1080" t="inlineStr">
        <is>
          <t>KUNGSÖR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12191-2020</t>
        </is>
      </c>
      <c r="B1081" s="1" t="n">
        <v>43895</v>
      </c>
      <c r="C1081" s="1" t="n">
        <v>45345</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12595-2020</t>
        </is>
      </c>
      <c r="B1082" s="1" t="n">
        <v>43899</v>
      </c>
      <c r="C1082" s="1" t="n">
        <v>45345</v>
      </c>
      <c r="D1082" t="inlineStr">
        <is>
          <t>VÄSTMANLANDS LÄN</t>
        </is>
      </c>
      <c r="E1082" t="inlineStr">
        <is>
          <t>FAGERSTA</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12621-2020</t>
        </is>
      </c>
      <c r="B1083" s="1" t="n">
        <v>43899</v>
      </c>
      <c r="C1083" s="1" t="n">
        <v>45345</v>
      </c>
      <c r="D1083" t="inlineStr">
        <is>
          <t>VÄSTMANLANDS LÄN</t>
        </is>
      </c>
      <c r="E1083" t="inlineStr">
        <is>
          <t>NORBERG</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14110-2020</t>
        </is>
      </c>
      <c r="B1084" s="1" t="n">
        <v>43900</v>
      </c>
      <c r="C1084" s="1" t="n">
        <v>45345</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13158-2020</t>
        </is>
      </c>
      <c r="B1085" s="1" t="n">
        <v>43901</v>
      </c>
      <c r="C1085" s="1" t="n">
        <v>45345</v>
      </c>
      <c r="D1085" t="inlineStr">
        <is>
          <t>VÄSTMANLANDS LÄN</t>
        </is>
      </c>
      <c r="E1085" t="inlineStr">
        <is>
          <t>KÖPING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13259-2020</t>
        </is>
      </c>
      <c r="B1086" s="1" t="n">
        <v>43901</v>
      </c>
      <c r="C1086" s="1" t="n">
        <v>45345</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13692-2020</t>
        </is>
      </c>
      <c r="B1087" s="1" t="n">
        <v>43902</v>
      </c>
      <c r="C1087" s="1" t="n">
        <v>45345</v>
      </c>
      <c r="D1087" t="inlineStr">
        <is>
          <t>VÄSTMANLANDS LÄN</t>
        </is>
      </c>
      <c r="E1087" t="inlineStr">
        <is>
          <t>KUNGSÖR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13695-2020</t>
        </is>
      </c>
      <c r="B1088" s="1" t="n">
        <v>43902</v>
      </c>
      <c r="C1088" s="1" t="n">
        <v>45345</v>
      </c>
      <c r="D1088" t="inlineStr">
        <is>
          <t>VÄSTMANLANDS LÄN</t>
        </is>
      </c>
      <c r="E1088" t="inlineStr">
        <is>
          <t>KUNGSÖR</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13542-2020</t>
        </is>
      </c>
      <c r="B1089" s="1" t="n">
        <v>43902</v>
      </c>
      <c r="C1089" s="1" t="n">
        <v>45345</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13643-2020</t>
        </is>
      </c>
      <c r="B1090" s="1" t="n">
        <v>43903</v>
      </c>
      <c r="C1090" s="1" t="n">
        <v>45345</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13626-2020</t>
        </is>
      </c>
      <c r="B1091" s="1" t="n">
        <v>43903</v>
      </c>
      <c r="C1091" s="1" t="n">
        <v>45345</v>
      </c>
      <c r="D1091" t="inlineStr">
        <is>
          <t>VÄSTMANLANDS LÄN</t>
        </is>
      </c>
      <c r="E1091" t="inlineStr">
        <is>
          <t>ARBOGA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13936-2020</t>
        </is>
      </c>
      <c r="B1092" s="1" t="n">
        <v>43903</v>
      </c>
      <c r="C1092" s="1" t="n">
        <v>45345</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14049-2020</t>
        </is>
      </c>
      <c r="B1093" s="1" t="n">
        <v>43906</v>
      </c>
      <c r="C1093" s="1" t="n">
        <v>45345</v>
      </c>
      <c r="D1093" t="inlineStr">
        <is>
          <t>VÄSTMANLANDS LÄN</t>
        </is>
      </c>
      <c r="E1093" t="inlineStr">
        <is>
          <t>SALA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13868-2020</t>
        </is>
      </c>
      <c r="B1094" s="1" t="n">
        <v>43906</v>
      </c>
      <c r="C1094" s="1" t="n">
        <v>45345</v>
      </c>
      <c r="D1094" t="inlineStr">
        <is>
          <t>VÄSTMANLANDS LÄN</t>
        </is>
      </c>
      <c r="E1094" t="inlineStr">
        <is>
          <t>HALLSTAHAMMAR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14295-2020</t>
        </is>
      </c>
      <c r="B1095" s="1" t="n">
        <v>43907</v>
      </c>
      <c r="C1095" s="1" t="n">
        <v>45345</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14403-2020</t>
        </is>
      </c>
      <c r="B1096" s="1" t="n">
        <v>43908</v>
      </c>
      <c r="C1096" s="1" t="n">
        <v>45345</v>
      </c>
      <c r="D1096" t="inlineStr">
        <is>
          <t>VÄSTMANLANDS LÄN</t>
        </is>
      </c>
      <c r="E1096" t="inlineStr">
        <is>
          <t>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14542-2020</t>
        </is>
      </c>
      <c r="B1097" s="1" t="n">
        <v>43908</v>
      </c>
      <c r="C1097" s="1" t="n">
        <v>45345</v>
      </c>
      <c r="D1097" t="inlineStr">
        <is>
          <t>VÄSTMANLANDS LÄN</t>
        </is>
      </c>
      <c r="E1097" t="inlineStr">
        <is>
          <t>SALA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14420-2020</t>
        </is>
      </c>
      <c r="B1098" s="1" t="n">
        <v>43908</v>
      </c>
      <c r="C1098" s="1" t="n">
        <v>45345</v>
      </c>
      <c r="D1098" t="inlineStr">
        <is>
          <t>VÄSTMANLANDS LÄN</t>
        </is>
      </c>
      <c r="E1098" t="inlineStr">
        <is>
          <t>HALLSTAHAMMAR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14811-2020</t>
        </is>
      </c>
      <c r="B1099" s="1" t="n">
        <v>43909</v>
      </c>
      <c r="C1099" s="1" t="n">
        <v>45345</v>
      </c>
      <c r="D1099" t="inlineStr">
        <is>
          <t>VÄSTMANLANDS LÄN</t>
        </is>
      </c>
      <c r="E1099" t="inlineStr">
        <is>
          <t>VÄSTERÅS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14979-2020</t>
        </is>
      </c>
      <c r="B1100" s="1" t="n">
        <v>43910</v>
      </c>
      <c r="C1100" s="1" t="n">
        <v>45345</v>
      </c>
      <c r="D1100" t="inlineStr">
        <is>
          <t>VÄSTMANLANDS LÄN</t>
        </is>
      </c>
      <c r="E1100" t="inlineStr">
        <is>
          <t>HALLSTAHAMMAR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14898-2020</t>
        </is>
      </c>
      <c r="B1101" s="1" t="n">
        <v>43910</v>
      </c>
      <c r="C1101" s="1" t="n">
        <v>45345</v>
      </c>
      <c r="D1101" t="inlineStr">
        <is>
          <t>VÄSTMANLANDS LÄN</t>
        </is>
      </c>
      <c r="E1101" t="inlineStr">
        <is>
          <t>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15179-2020</t>
        </is>
      </c>
      <c r="B1102" s="1" t="n">
        <v>43913</v>
      </c>
      <c r="C1102" s="1" t="n">
        <v>45345</v>
      </c>
      <c r="D1102" t="inlineStr">
        <is>
          <t>VÄSTMANLANDS LÄN</t>
        </is>
      </c>
      <c r="E1102" t="inlineStr">
        <is>
          <t>NORBERG</t>
        </is>
      </c>
      <c r="F1102" t="inlineStr">
        <is>
          <t>Övriga Aktiebolag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15314-2020</t>
        </is>
      </c>
      <c r="B1103" s="1" t="n">
        <v>43913</v>
      </c>
      <c r="C1103" s="1" t="n">
        <v>45345</v>
      </c>
      <c r="D1103" t="inlineStr">
        <is>
          <t>VÄSTMANLANDS LÄN</t>
        </is>
      </c>
      <c r="E1103" t="inlineStr">
        <is>
          <t>VÄSTERÅS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15187-2020</t>
        </is>
      </c>
      <c r="B1104" s="1" t="n">
        <v>43913</v>
      </c>
      <c r="C1104" s="1" t="n">
        <v>45345</v>
      </c>
      <c r="D1104" t="inlineStr">
        <is>
          <t>VÄSTMANLANDS LÄN</t>
        </is>
      </c>
      <c r="E1104" t="inlineStr">
        <is>
          <t>VÄSTERÅS</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15546-2020</t>
        </is>
      </c>
      <c r="B1105" s="1" t="n">
        <v>43914</v>
      </c>
      <c r="C1105" s="1" t="n">
        <v>45345</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15567-2020</t>
        </is>
      </c>
      <c r="B1106" s="1" t="n">
        <v>43914</v>
      </c>
      <c r="C1106" s="1" t="n">
        <v>45345</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16480-2020</t>
        </is>
      </c>
      <c r="B1107" s="1" t="n">
        <v>43914</v>
      </c>
      <c r="C1107" s="1" t="n">
        <v>45345</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15850-2020</t>
        </is>
      </c>
      <c r="B1108" s="1" t="n">
        <v>43915</v>
      </c>
      <c r="C1108" s="1" t="n">
        <v>45345</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15748-2020</t>
        </is>
      </c>
      <c r="B1109" s="1" t="n">
        <v>43915</v>
      </c>
      <c r="C1109" s="1" t="n">
        <v>45345</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16093-2020</t>
        </is>
      </c>
      <c r="B1110" s="1" t="n">
        <v>43916</v>
      </c>
      <c r="C1110" s="1" t="n">
        <v>45345</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17494-2020</t>
        </is>
      </c>
      <c r="B1111" s="1" t="n">
        <v>43916</v>
      </c>
      <c r="C1111" s="1" t="n">
        <v>45345</v>
      </c>
      <c r="D1111" t="inlineStr">
        <is>
          <t>VÄSTMANLANDS LÄN</t>
        </is>
      </c>
      <c r="E1111" t="inlineStr">
        <is>
          <t>VÄSTERÅS</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16713-2020</t>
        </is>
      </c>
      <c r="B1112" s="1" t="n">
        <v>43920</v>
      </c>
      <c r="C1112" s="1" t="n">
        <v>45345</v>
      </c>
      <c r="D1112" t="inlineStr">
        <is>
          <t>VÄSTMANLANDS LÄN</t>
        </is>
      </c>
      <c r="E1112" t="inlineStr">
        <is>
          <t>ARBOGA</t>
        </is>
      </c>
      <c r="F1112" t="inlineStr">
        <is>
          <t>Allmännings- och besparingsskogar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17588-2020</t>
        </is>
      </c>
      <c r="B1113" s="1" t="n">
        <v>43920</v>
      </c>
      <c r="C1113" s="1" t="n">
        <v>45345</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16989-2020</t>
        </is>
      </c>
      <c r="B1114" s="1" t="n">
        <v>43921</v>
      </c>
      <c r="C1114" s="1" t="n">
        <v>45345</v>
      </c>
      <c r="D1114" t="inlineStr">
        <is>
          <t>VÄSTMANLANDS LÄN</t>
        </is>
      </c>
      <c r="E1114" t="inlineStr">
        <is>
          <t>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16912-2020</t>
        </is>
      </c>
      <c r="B1115" s="1" t="n">
        <v>43921</v>
      </c>
      <c r="C1115" s="1" t="n">
        <v>45345</v>
      </c>
      <c r="D1115" t="inlineStr">
        <is>
          <t>VÄSTMANLANDS LÄN</t>
        </is>
      </c>
      <c r="E1115" t="inlineStr">
        <is>
          <t>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17139-2020</t>
        </is>
      </c>
      <c r="B1116" s="1" t="n">
        <v>43922</v>
      </c>
      <c r="C1116" s="1" t="n">
        <v>45345</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17205-2020</t>
        </is>
      </c>
      <c r="B1117" s="1" t="n">
        <v>43922</v>
      </c>
      <c r="C1117" s="1" t="n">
        <v>45345</v>
      </c>
      <c r="D1117" t="inlineStr">
        <is>
          <t>VÄSTMANLANDS LÄN</t>
        </is>
      </c>
      <c r="E1117" t="inlineStr">
        <is>
          <t>SALA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17298-2020</t>
        </is>
      </c>
      <c r="B1118" s="1" t="n">
        <v>43922</v>
      </c>
      <c r="C1118" s="1" t="n">
        <v>45345</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17355-2020</t>
        </is>
      </c>
      <c r="B1119" s="1" t="n">
        <v>43923</v>
      </c>
      <c r="C1119" s="1" t="n">
        <v>45345</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17492-2020</t>
        </is>
      </c>
      <c r="B1120" s="1" t="n">
        <v>43923</v>
      </c>
      <c r="C1120" s="1" t="n">
        <v>45345</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17919-2020</t>
        </is>
      </c>
      <c r="B1121" s="1" t="n">
        <v>43924</v>
      </c>
      <c r="C1121" s="1" t="n">
        <v>45345</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18772-2020</t>
        </is>
      </c>
      <c r="B1122" s="1" t="n">
        <v>43930</v>
      </c>
      <c r="C1122" s="1" t="n">
        <v>45345</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19071-2020</t>
        </is>
      </c>
      <c r="B1123" s="1" t="n">
        <v>43936</v>
      </c>
      <c r="C1123" s="1" t="n">
        <v>45345</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19480-2020</t>
        </is>
      </c>
      <c r="B1124" s="1" t="n">
        <v>43936</v>
      </c>
      <c r="C1124" s="1" t="n">
        <v>45345</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19573-2020</t>
        </is>
      </c>
      <c r="B1125" s="1" t="n">
        <v>43941</v>
      </c>
      <c r="C1125" s="1" t="n">
        <v>45345</v>
      </c>
      <c r="D1125" t="inlineStr">
        <is>
          <t>VÄSTMANLANDS LÄN</t>
        </is>
      </c>
      <c r="E1125" t="inlineStr">
        <is>
          <t>ARBOGA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20480-2020</t>
        </is>
      </c>
      <c r="B1126" s="1" t="n">
        <v>43948</v>
      </c>
      <c r="C1126" s="1" t="n">
        <v>45345</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20483-2020</t>
        </is>
      </c>
      <c r="B1127" s="1" t="n">
        <v>43948</v>
      </c>
      <c r="C1127" s="1" t="n">
        <v>45345</v>
      </c>
      <c r="D1127" t="inlineStr">
        <is>
          <t>VÄSTMANLANDS LÄN</t>
        </is>
      </c>
      <c r="E1127" t="inlineStr">
        <is>
          <t>NORBERG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20740-2020</t>
        </is>
      </c>
      <c r="B1128" s="1" t="n">
        <v>43949</v>
      </c>
      <c r="C1128" s="1" t="n">
        <v>45345</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21691-2020</t>
        </is>
      </c>
      <c r="B1129" s="1" t="n">
        <v>43957</v>
      </c>
      <c r="C1129" s="1" t="n">
        <v>45345</v>
      </c>
      <c r="D1129" t="inlineStr">
        <is>
          <t>VÄSTMANLANDS LÄN</t>
        </is>
      </c>
      <c r="E1129" t="inlineStr">
        <is>
          <t>KÖPING</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22305-2020</t>
        </is>
      </c>
      <c r="B1130" s="1" t="n">
        <v>43957</v>
      </c>
      <c r="C1130" s="1" t="n">
        <v>45345</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22058-2020</t>
        </is>
      </c>
      <c r="B1131" s="1" t="n">
        <v>43959</v>
      </c>
      <c r="C1131" s="1" t="n">
        <v>45345</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22455-2020</t>
        </is>
      </c>
      <c r="B1132" s="1" t="n">
        <v>43963</v>
      </c>
      <c r="C1132" s="1" t="n">
        <v>45345</v>
      </c>
      <c r="D1132" t="inlineStr">
        <is>
          <t>VÄSTMANLANDS LÄN</t>
        </is>
      </c>
      <c r="E1132" t="inlineStr">
        <is>
          <t>KUNGSÖR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22523-2020</t>
        </is>
      </c>
      <c r="B1133" s="1" t="n">
        <v>43963</v>
      </c>
      <c r="C1133" s="1" t="n">
        <v>45345</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22413-2020</t>
        </is>
      </c>
      <c r="B1134" s="1" t="n">
        <v>43963</v>
      </c>
      <c r="C1134" s="1" t="n">
        <v>45345</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22770-2020</t>
        </is>
      </c>
      <c r="B1135" s="1" t="n">
        <v>43964</v>
      </c>
      <c r="C1135" s="1" t="n">
        <v>45345</v>
      </c>
      <c r="D1135" t="inlineStr">
        <is>
          <t>VÄSTMANLANDS LÄN</t>
        </is>
      </c>
      <c r="E1135" t="inlineStr">
        <is>
          <t>ARBOGA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22783-2020</t>
        </is>
      </c>
      <c r="B1136" s="1" t="n">
        <v>43964</v>
      </c>
      <c r="C1136" s="1" t="n">
        <v>45345</v>
      </c>
      <c r="D1136" t="inlineStr">
        <is>
          <t>VÄSTMANLANDS LÄN</t>
        </is>
      </c>
      <c r="E1136" t="inlineStr">
        <is>
          <t>ARBOGA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23108-2020</t>
        </is>
      </c>
      <c r="B1137" s="1" t="n">
        <v>43965</v>
      </c>
      <c r="C1137" s="1" t="n">
        <v>45345</v>
      </c>
      <c r="D1137" t="inlineStr">
        <is>
          <t>VÄSTMANLANDS LÄN</t>
        </is>
      </c>
      <c r="E1137" t="inlineStr">
        <is>
          <t>SKINNSKATTEBERG</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23517-2020</t>
        </is>
      </c>
      <c r="B1138" s="1" t="n">
        <v>43969</v>
      </c>
      <c r="C1138" s="1" t="n">
        <v>45345</v>
      </c>
      <c r="D1138" t="inlineStr">
        <is>
          <t>VÄSTMANLANDS LÄN</t>
        </is>
      </c>
      <c r="E1138" t="inlineStr">
        <is>
          <t>NORBERG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23556-2020</t>
        </is>
      </c>
      <c r="B1139" s="1" t="n">
        <v>43969</v>
      </c>
      <c r="C1139" s="1" t="n">
        <v>45345</v>
      </c>
      <c r="D1139" t="inlineStr">
        <is>
          <t>VÄSTMANLANDS LÄN</t>
        </is>
      </c>
      <c r="E1139" t="inlineStr">
        <is>
          <t>VÄSTERÅS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23780-2020</t>
        </is>
      </c>
      <c r="B1140" s="1" t="n">
        <v>43970</v>
      </c>
      <c r="C1140" s="1" t="n">
        <v>45345</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24235-2020</t>
        </is>
      </c>
      <c r="B1141" s="1" t="n">
        <v>43976</v>
      </c>
      <c r="C1141" s="1" t="n">
        <v>45345</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24336-2020</t>
        </is>
      </c>
      <c r="B1142" s="1" t="n">
        <v>43976</v>
      </c>
      <c r="C1142" s="1" t="n">
        <v>45345</v>
      </c>
      <c r="D1142" t="inlineStr">
        <is>
          <t>VÄSTMANLANDS LÄN</t>
        </is>
      </c>
      <c r="E1142" t="inlineStr">
        <is>
          <t>VÄSTERÅS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24271-2020</t>
        </is>
      </c>
      <c r="B1143" s="1" t="n">
        <v>43976</v>
      </c>
      <c r="C1143" s="1" t="n">
        <v>45345</v>
      </c>
      <c r="D1143" t="inlineStr">
        <is>
          <t>VÄSTMANLANDS LÄN</t>
        </is>
      </c>
      <c r="E1143" t="inlineStr">
        <is>
          <t>KÖPING</t>
        </is>
      </c>
      <c r="F1143" t="inlineStr">
        <is>
          <t>Sveaskog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24309-2020</t>
        </is>
      </c>
      <c r="B1144" s="1" t="n">
        <v>43976</v>
      </c>
      <c r="C1144" s="1" t="n">
        <v>45345</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24342-2020</t>
        </is>
      </c>
      <c r="B1145" s="1" t="n">
        <v>43976</v>
      </c>
      <c r="C1145" s="1" t="n">
        <v>45345</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24387-2020</t>
        </is>
      </c>
      <c r="B1146" s="1" t="n">
        <v>43976</v>
      </c>
      <c r="C1146" s="1" t="n">
        <v>45345</v>
      </c>
      <c r="D1146" t="inlineStr">
        <is>
          <t>VÄSTMANLANDS LÄN</t>
        </is>
      </c>
      <c r="E1146" t="inlineStr">
        <is>
          <t>ARBOGA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24466-2020</t>
        </is>
      </c>
      <c r="B1147" s="1" t="n">
        <v>43977</v>
      </c>
      <c r="C1147" s="1" t="n">
        <v>45345</v>
      </c>
      <c r="D1147" t="inlineStr">
        <is>
          <t>VÄSTMANLANDS LÄN</t>
        </is>
      </c>
      <c r="E1147" t="inlineStr">
        <is>
          <t>VÄSTERÅS</t>
        </is>
      </c>
      <c r="F1147" t="inlineStr">
        <is>
          <t>Kyrkan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24478-2020</t>
        </is>
      </c>
      <c r="B1148" s="1" t="n">
        <v>43977</v>
      </c>
      <c r="C1148" s="1" t="n">
        <v>45345</v>
      </c>
      <c r="D1148" t="inlineStr">
        <is>
          <t>VÄSTMANLANDS LÄN</t>
        </is>
      </c>
      <c r="E1148" t="inlineStr">
        <is>
          <t>VÄSTERÅS</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24763-2020</t>
        </is>
      </c>
      <c r="B1149" s="1" t="n">
        <v>43978</v>
      </c>
      <c r="C1149" s="1" t="n">
        <v>45345</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24734-2020</t>
        </is>
      </c>
      <c r="B1150" s="1" t="n">
        <v>43978</v>
      </c>
      <c r="C1150" s="1" t="n">
        <v>45345</v>
      </c>
      <c r="D1150" t="inlineStr">
        <is>
          <t>VÄSTMANLANDS LÄN</t>
        </is>
      </c>
      <c r="E1150" t="inlineStr">
        <is>
          <t>VÄSTERÅS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25416-2020</t>
        </is>
      </c>
      <c r="B1151" s="1" t="n">
        <v>43982</v>
      </c>
      <c r="C1151" s="1" t="n">
        <v>45345</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25430-2020</t>
        </is>
      </c>
      <c r="B1152" s="1" t="n">
        <v>43982</v>
      </c>
      <c r="C1152" s="1" t="n">
        <v>45345</v>
      </c>
      <c r="D1152" t="inlineStr">
        <is>
          <t>VÄSTMANLANDS LÄN</t>
        </is>
      </c>
      <c r="E1152" t="inlineStr">
        <is>
          <t>ARBOGA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25477-2020</t>
        </is>
      </c>
      <c r="B1153" s="1" t="n">
        <v>43983</v>
      </c>
      <c r="C1153" s="1" t="n">
        <v>45345</v>
      </c>
      <c r="D1153" t="inlineStr">
        <is>
          <t>VÄSTMANLANDS LÄN</t>
        </is>
      </c>
      <c r="E1153" t="inlineStr">
        <is>
          <t>SKINNSKATTEBERG</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25480-2020</t>
        </is>
      </c>
      <c r="B1154" s="1" t="n">
        <v>43983</v>
      </c>
      <c r="C1154" s="1" t="n">
        <v>45345</v>
      </c>
      <c r="D1154" t="inlineStr">
        <is>
          <t>VÄSTMANLANDS LÄN</t>
        </is>
      </c>
      <c r="E1154" t="inlineStr">
        <is>
          <t>KÖPING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25639-2020</t>
        </is>
      </c>
      <c r="B1155" s="1" t="n">
        <v>43983</v>
      </c>
      <c r="C1155" s="1" t="n">
        <v>45345</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26098-2020</t>
        </is>
      </c>
      <c r="B1156" s="1" t="n">
        <v>43985</v>
      </c>
      <c r="C1156" s="1" t="n">
        <v>45345</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26013-2020</t>
        </is>
      </c>
      <c r="B1157" s="1" t="n">
        <v>43985</v>
      </c>
      <c r="C1157" s="1" t="n">
        <v>45345</v>
      </c>
      <c r="D1157" t="inlineStr">
        <is>
          <t>VÄSTMANLANDS LÄN</t>
        </is>
      </c>
      <c r="E1157" t="inlineStr">
        <is>
          <t>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26215-2020</t>
        </is>
      </c>
      <c r="B1158" s="1" t="n">
        <v>43986</v>
      </c>
      <c r="C1158" s="1" t="n">
        <v>45345</v>
      </c>
      <c r="D1158" t="inlineStr">
        <is>
          <t>VÄSTMANLANDS LÄN</t>
        </is>
      </c>
      <c r="E1158" t="inlineStr">
        <is>
          <t>VÄSTERÅS</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26221-2020</t>
        </is>
      </c>
      <c r="B1159" s="1" t="n">
        <v>43986</v>
      </c>
      <c r="C1159" s="1" t="n">
        <v>45345</v>
      </c>
      <c r="D1159" t="inlineStr">
        <is>
          <t>VÄSTMANLANDS LÄN</t>
        </is>
      </c>
      <c r="E1159" t="inlineStr">
        <is>
          <t>SKINNSKATTEBERG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26343-2020</t>
        </is>
      </c>
      <c r="B1160" s="1" t="n">
        <v>43986</v>
      </c>
      <c r="C1160" s="1" t="n">
        <v>45345</v>
      </c>
      <c r="D1160" t="inlineStr">
        <is>
          <t>VÄSTMANLANDS LÄN</t>
        </is>
      </c>
      <c r="E1160" t="inlineStr">
        <is>
          <t>KÖPING</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26455-2020</t>
        </is>
      </c>
      <c r="B1161" s="1" t="n">
        <v>43987</v>
      </c>
      <c r="C1161" s="1" t="n">
        <v>45345</v>
      </c>
      <c r="D1161" t="inlineStr">
        <is>
          <t>VÄSTMANLANDS LÄN</t>
        </is>
      </c>
      <c r="E1161" t="inlineStr">
        <is>
          <t>SKINNSKATTEBERG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26425-2020</t>
        </is>
      </c>
      <c r="B1162" s="1" t="n">
        <v>43987</v>
      </c>
      <c r="C1162" s="1" t="n">
        <v>45345</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26743-2020</t>
        </is>
      </c>
      <c r="B1163" s="1" t="n">
        <v>43990</v>
      </c>
      <c r="C1163" s="1" t="n">
        <v>45345</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26754-2020</t>
        </is>
      </c>
      <c r="B1164" s="1" t="n">
        <v>43990</v>
      </c>
      <c r="C1164" s="1" t="n">
        <v>45345</v>
      </c>
      <c r="D1164" t="inlineStr">
        <is>
          <t>VÄSTMANLANDS LÄN</t>
        </is>
      </c>
      <c r="E1164" t="inlineStr">
        <is>
          <t>KÖPING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26771-2020</t>
        </is>
      </c>
      <c r="B1165" s="1" t="n">
        <v>43990</v>
      </c>
      <c r="C1165" s="1" t="n">
        <v>45345</v>
      </c>
      <c r="D1165" t="inlineStr">
        <is>
          <t>VÄSTMANLANDS LÄN</t>
        </is>
      </c>
      <c r="E1165" t="inlineStr">
        <is>
          <t>KÖPING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26749-2020</t>
        </is>
      </c>
      <c r="B1166" s="1" t="n">
        <v>43990</v>
      </c>
      <c r="C1166" s="1" t="n">
        <v>45345</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26759-2020</t>
        </is>
      </c>
      <c r="B1167" s="1" t="n">
        <v>43990</v>
      </c>
      <c r="C1167" s="1" t="n">
        <v>45345</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26765-2020</t>
        </is>
      </c>
      <c r="B1168" s="1" t="n">
        <v>43990</v>
      </c>
      <c r="C1168" s="1" t="n">
        <v>45345</v>
      </c>
      <c r="D1168" t="inlineStr">
        <is>
          <t>VÄSTMANLANDS LÄN</t>
        </is>
      </c>
      <c r="E1168" t="inlineStr">
        <is>
          <t>KÖPING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26740-2020</t>
        </is>
      </c>
      <c r="B1169" s="1" t="n">
        <v>43990</v>
      </c>
      <c r="C1169" s="1" t="n">
        <v>45345</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26769-2020</t>
        </is>
      </c>
      <c r="B1170" s="1" t="n">
        <v>43990</v>
      </c>
      <c r="C1170" s="1" t="n">
        <v>45345</v>
      </c>
      <c r="D1170" t="inlineStr">
        <is>
          <t>VÄSTMANLANDS LÄN</t>
        </is>
      </c>
      <c r="E1170" t="inlineStr">
        <is>
          <t>KÖPING</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26937-2020</t>
        </is>
      </c>
      <c r="B1171" s="1" t="n">
        <v>43990</v>
      </c>
      <c r="C1171" s="1" t="n">
        <v>45345</v>
      </c>
      <c r="D1171" t="inlineStr">
        <is>
          <t>VÄSTMANLANDS LÄN</t>
        </is>
      </c>
      <c r="E1171" t="inlineStr">
        <is>
          <t>SALA</t>
        </is>
      </c>
      <c r="F1171" t="inlineStr">
        <is>
          <t>Bergvik skog öst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26782-2020</t>
        </is>
      </c>
      <c r="B1172" s="1" t="n">
        <v>43990</v>
      </c>
      <c r="C1172" s="1" t="n">
        <v>45345</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27325-2020</t>
        </is>
      </c>
      <c r="B1173" s="1" t="n">
        <v>43992</v>
      </c>
      <c r="C1173" s="1" t="n">
        <v>45345</v>
      </c>
      <c r="D1173" t="inlineStr">
        <is>
          <t>VÄSTMANLANDS LÄN</t>
        </is>
      </c>
      <c r="E1173" t="inlineStr">
        <is>
          <t>HALLSTAHAMMAR</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27359-2020</t>
        </is>
      </c>
      <c r="B1174" s="1" t="n">
        <v>43992</v>
      </c>
      <c r="C1174" s="1" t="n">
        <v>45345</v>
      </c>
      <c r="D1174" t="inlineStr">
        <is>
          <t>VÄSTMANLANDS LÄN</t>
        </is>
      </c>
      <c r="E1174" t="inlineStr">
        <is>
          <t>HALLSTAHAMMAR</t>
        </is>
      </c>
      <c r="F1174" t="inlineStr">
        <is>
          <t>Kommuner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27332-2020</t>
        </is>
      </c>
      <c r="B1175" s="1" t="n">
        <v>43992</v>
      </c>
      <c r="C1175" s="1" t="n">
        <v>45345</v>
      </c>
      <c r="D1175" t="inlineStr">
        <is>
          <t>VÄSTMANLANDS LÄN</t>
        </is>
      </c>
      <c r="E1175" t="inlineStr">
        <is>
          <t>HALLSTAHAMMAR</t>
        </is>
      </c>
      <c r="F1175" t="inlineStr">
        <is>
          <t>Kommuner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27328-2020</t>
        </is>
      </c>
      <c r="B1176" s="1" t="n">
        <v>43992</v>
      </c>
      <c r="C1176" s="1" t="n">
        <v>45345</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27637-2020</t>
        </is>
      </c>
      <c r="B1177" s="1" t="n">
        <v>43993</v>
      </c>
      <c r="C1177" s="1" t="n">
        <v>45345</v>
      </c>
      <c r="D1177" t="inlineStr">
        <is>
          <t>VÄSTMANLANDS LÄN</t>
        </is>
      </c>
      <c r="E1177" t="inlineStr">
        <is>
          <t>VÄSTERÅS</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27730-2020</t>
        </is>
      </c>
      <c r="B1178" s="1" t="n">
        <v>43994</v>
      </c>
      <c r="C1178" s="1" t="n">
        <v>45345</v>
      </c>
      <c r="D1178" t="inlineStr">
        <is>
          <t>VÄSTMANLANDS LÄN</t>
        </is>
      </c>
      <c r="E1178" t="inlineStr">
        <is>
          <t>SALA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28071-2020</t>
        </is>
      </c>
      <c r="B1179" s="1" t="n">
        <v>43997</v>
      </c>
      <c r="C1179" s="1" t="n">
        <v>45345</v>
      </c>
      <c r="D1179" t="inlineStr">
        <is>
          <t>VÄSTMANLANDS LÄN</t>
        </is>
      </c>
      <c r="E1179" t="inlineStr">
        <is>
          <t>ARBOGA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28536-2020</t>
        </is>
      </c>
      <c r="B1180" s="1" t="n">
        <v>43999</v>
      </c>
      <c r="C1180" s="1" t="n">
        <v>45345</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28555-2020</t>
        </is>
      </c>
      <c r="B1181" s="1" t="n">
        <v>43999</v>
      </c>
      <c r="C1181" s="1" t="n">
        <v>45345</v>
      </c>
      <c r="D1181" t="inlineStr">
        <is>
          <t>VÄSTMANLANDS LÄN</t>
        </is>
      </c>
      <c r="E1181" t="inlineStr">
        <is>
          <t>KÖPING</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28533-2020</t>
        </is>
      </c>
      <c r="B1182" s="1" t="n">
        <v>43999</v>
      </c>
      <c r="C1182" s="1" t="n">
        <v>45345</v>
      </c>
      <c r="D1182" t="inlineStr">
        <is>
          <t>VÄSTMANLANDS LÄN</t>
        </is>
      </c>
      <c r="E1182" t="inlineStr">
        <is>
          <t>VÄSTERÅS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28947-2020</t>
        </is>
      </c>
      <c r="B1183" s="1" t="n">
        <v>44000</v>
      </c>
      <c r="C1183" s="1" t="n">
        <v>45345</v>
      </c>
      <c r="D1183" t="inlineStr">
        <is>
          <t>VÄSTMANLANDS LÄN</t>
        </is>
      </c>
      <c r="E1183" t="inlineStr">
        <is>
          <t>KUNGSÖR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29197-2020</t>
        </is>
      </c>
      <c r="B1184" s="1" t="n">
        <v>44004</v>
      </c>
      <c r="C1184" s="1" t="n">
        <v>45345</v>
      </c>
      <c r="D1184" t="inlineStr">
        <is>
          <t>VÄSTMANLANDS LÄN</t>
        </is>
      </c>
      <c r="E1184" t="inlineStr">
        <is>
          <t>VÄSTERÅS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29606-2020</t>
        </is>
      </c>
      <c r="B1185" s="1" t="n">
        <v>44005</v>
      </c>
      <c r="C1185" s="1" t="n">
        <v>45345</v>
      </c>
      <c r="D1185" t="inlineStr">
        <is>
          <t>VÄSTMANLANDS LÄN</t>
        </is>
      </c>
      <c r="E1185" t="inlineStr">
        <is>
          <t>NORBERG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29726-2020</t>
        </is>
      </c>
      <c r="B1186" s="1" t="n">
        <v>44005</v>
      </c>
      <c r="C1186" s="1" t="n">
        <v>45345</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29845-2020</t>
        </is>
      </c>
      <c r="B1187" s="1" t="n">
        <v>44005</v>
      </c>
      <c r="C1187" s="1" t="n">
        <v>45345</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29821-2020</t>
        </is>
      </c>
      <c r="B1188" s="1" t="n">
        <v>44005</v>
      </c>
      <c r="C1188" s="1" t="n">
        <v>45345</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29925-2020</t>
        </is>
      </c>
      <c r="B1189" s="1" t="n">
        <v>44006</v>
      </c>
      <c r="C1189" s="1" t="n">
        <v>45345</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30327-2020</t>
        </is>
      </c>
      <c r="B1190" s="1" t="n">
        <v>44007</v>
      </c>
      <c r="C1190" s="1" t="n">
        <v>45345</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30362-2020</t>
        </is>
      </c>
      <c r="B1191" s="1" t="n">
        <v>44007</v>
      </c>
      <c r="C1191" s="1" t="n">
        <v>45345</v>
      </c>
      <c r="D1191" t="inlineStr">
        <is>
          <t>VÄSTMANLANDS LÄN</t>
        </is>
      </c>
      <c r="E1191" t="inlineStr">
        <is>
          <t>VÄSTERÅS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30365-2020</t>
        </is>
      </c>
      <c r="B1192" s="1" t="n">
        <v>44007</v>
      </c>
      <c r="C1192" s="1" t="n">
        <v>45345</v>
      </c>
      <c r="D1192" t="inlineStr">
        <is>
          <t>VÄSTMANLANDS LÄN</t>
        </is>
      </c>
      <c r="E1192" t="inlineStr">
        <is>
          <t>VÄSTERÅS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30793-2020</t>
        </is>
      </c>
      <c r="B1193" s="1" t="n">
        <v>44010</v>
      </c>
      <c r="C1193" s="1" t="n">
        <v>45345</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30928-2020</t>
        </is>
      </c>
      <c r="B1194" s="1" t="n">
        <v>44011</v>
      </c>
      <c r="C1194" s="1" t="n">
        <v>45345</v>
      </c>
      <c r="D1194" t="inlineStr">
        <is>
          <t>VÄSTMANLANDS LÄN</t>
        </is>
      </c>
      <c r="E1194" t="inlineStr">
        <is>
          <t>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30985-2020</t>
        </is>
      </c>
      <c r="B1195" s="1" t="n">
        <v>44011</v>
      </c>
      <c r="C1195" s="1" t="n">
        <v>45345</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31151-2020</t>
        </is>
      </c>
      <c r="B1196" s="1" t="n">
        <v>44012</v>
      </c>
      <c r="C1196" s="1" t="n">
        <v>45345</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31552-2020</t>
        </is>
      </c>
      <c r="B1197" s="1" t="n">
        <v>44013</v>
      </c>
      <c r="C1197" s="1" t="n">
        <v>45345</v>
      </c>
      <c r="D1197" t="inlineStr">
        <is>
          <t>VÄSTMANLANDS LÄN</t>
        </is>
      </c>
      <c r="E1197" t="inlineStr">
        <is>
          <t>VÄSTERÅS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31719-2020</t>
        </is>
      </c>
      <c r="B1198" s="1" t="n">
        <v>44014</v>
      </c>
      <c r="C1198" s="1" t="n">
        <v>45345</v>
      </c>
      <c r="D1198" t="inlineStr">
        <is>
          <t>VÄSTMANLANDS LÄN</t>
        </is>
      </c>
      <c r="E1198" t="inlineStr">
        <is>
          <t>NORBERG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31671-2020</t>
        </is>
      </c>
      <c r="B1199" s="1" t="n">
        <v>44014</v>
      </c>
      <c r="C1199" s="1" t="n">
        <v>45345</v>
      </c>
      <c r="D1199" t="inlineStr">
        <is>
          <t>VÄSTMANLANDS LÄN</t>
        </is>
      </c>
      <c r="E1199" t="inlineStr">
        <is>
          <t>SKINNSKATTEBERG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32265-2020</t>
        </is>
      </c>
      <c r="B1200" s="1" t="n">
        <v>44015</v>
      </c>
      <c r="C1200" s="1" t="n">
        <v>45345</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32361-2020</t>
        </is>
      </c>
      <c r="B1201" s="1" t="n">
        <v>44017</v>
      </c>
      <c r="C1201" s="1" t="n">
        <v>45345</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32371-2020</t>
        </is>
      </c>
      <c r="B1202" s="1" t="n">
        <v>44018</v>
      </c>
      <c r="C1202" s="1" t="n">
        <v>45345</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32367-2020</t>
        </is>
      </c>
      <c r="B1203" s="1" t="n">
        <v>44018</v>
      </c>
      <c r="C1203" s="1" t="n">
        <v>45345</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32368-2020</t>
        </is>
      </c>
      <c r="B1204" s="1" t="n">
        <v>44018</v>
      </c>
      <c r="C1204" s="1" t="n">
        <v>45345</v>
      </c>
      <c r="D1204" t="inlineStr">
        <is>
          <t>VÄSTMANLANDS LÄN</t>
        </is>
      </c>
      <c r="E1204" t="inlineStr">
        <is>
          <t>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32377-2020</t>
        </is>
      </c>
      <c r="B1205" s="1" t="n">
        <v>44018</v>
      </c>
      <c r="C1205" s="1" t="n">
        <v>45345</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32605-2020</t>
        </is>
      </c>
      <c r="B1206" s="1" t="n">
        <v>44019</v>
      </c>
      <c r="C1206" s="1" t="n">
        <v>45345</v>
      </c>
      <c r="D1206" t="inlineStr">
        <is>
          <t>VÄSTMANLANDS LÄN</t>
        </is>
      </c>
      <c r="E1206" t="inlineStr">
        <is>
          <t>KÖPING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32935-2020</t>
        </is>
      </c>
      <c r="B1207" s="1" t="n">
        <v>44020</v>
      </c>
      <c r="C1207" s="1" t="n">
        <v>45345</v>
      </c>
      <c r="D1207" t="inlineStr">
        <is>
          <t>VÄSTMANLANDS LÄN</t>
        </is>
      </c>
      <c r="E1207" t="inlineStr">
        <is>
          <t>ARBOGA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33181-2020</t>
        </is>
      </c>
      <c r="B1208" s="1" t="n">
        <v>44021</v>
      </c>
      <c r="C1208" s="1" t="n">
        <v>45345</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33183-2020</t>
        </is>
      </c>
      <c r="B1209" s="1" t="n">
        <v>44021</v>
      </c>
      <c r="C1209" s="1" t="n">
        <v>45345</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33358-2020</t>
        </is>
      </c>
      <c r="B1210" s="1" t="n">
        <v>44022</v>
      </c>
      <c r="C1210" s="1" t="n">
        <v>45345</v>
      </c>
      <c r="D1210" t="inlineStr">
        <is>
          <t>VÄSTMANLANDS LÄN</t>
        </is>
      </c>
      <c r="E1210" t="inlineStr">
        <is>
          <t>SKINNSKATTEBERG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33363-2020</t>
        </is>
      </c>
      <c r="B1211" s="1" t="n">
        <v>44022</v>
      </c>
      <c r="C1211" s="1" t="n">
        <v>45345</v>
      </c>
      <c r="D1211" t="inlineStr">
        <is>
          <t>VÄSTMANLANDS LÄN</t>
        </is>
      </c>
      <c r="E1211" t="inlineStr">
        <is>
          <t>SKINNSKATTEBERG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33417-2020</t>
        </is>
      </c>
      <c r="B1212" s="1" t="n">
        <v>44022</v>
      </c>
      <c r="C1212" s="1" t="n">
        <v>45345</v>
      </c>
      <c r="D1212" t="inlineStr">
        <is>
          <t>VÄSTMANLANDS LÄN</t>
        </is>
      </c>
      <c r="E1212" t="inlineStr">
        <is>
          <t>KÖPING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33750-2020</t>
        </is>
      </c>
      <c r="B1213" s="1" t="n">
        <v>44026</v>
      </c>
      <c r="C1213" s="1" t="n">
        <v>45345</v>
      </c>
      <c r="D1213" t="inlineStr">
        <is>
          <t>VÄSTMANLANDS LÄN</t>
        </is>
      </c>
      <c r="E1213" t="inlineStr">
        <is>
          <t>ARBOGA</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33867-2020</t>
        </is>
      </c>
      <c r="B1214" s="1" t="n">
        <v>44027</v>
      </c>
      <c r="C1214" s="1" t="n">
        <v>45345</v>
      </c>
      <c r="D1214" t="inlineStr">
        <is>
          <t>VÄSTMANLANDS LÄN</t>
        </is>
      </c>
      <c r="E1214" t="inlineStr">
        <is>
          <t>VÄSTERÅS</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33865-2020</t>
        </is>
      </c>
      <c r="B1215" s="1" t="n">
        <v>44027</v>
      </c>
      <c r="C1215" s="1" t="n">
        <v>45345</v>
      </c>
      <c r="D1215" t="inlineStr">
        <is>
          <t>VÄSTMANLANDS LÄN</t>
        </is>
      </c>
      <c r="E1215" t="inlineStr">
        <is>
          <t>KÖPING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33916-2020</t>
        </is>
      </c>
      <c r="B1216" s="1" t="n">
        <v>44027</v>
      </c>
      <c r="C1216" s="1" t="n">
        <v>45345</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33919-2020</t>
        </is>
      </c>
      <c r="B1217" s="1" t="n">
        <v>44027</v>
      </c>
      <c r="C1217" s="1" t="n">
        <v>45345</v>
      </c>
      <c r="D1217" t="inlineStr">
        <is>
          <t>VÄSTMANLANDS LÄN</t>
        </is>
      </c>
      <c r="E1217" t="inlineStr">
        <is>
          <t>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34065-2020</t>
        </is>
      </c>
      <c r="B1218" s="1" t="n">
        <v>44028</v>
      </c>
      <c r="C1218" s="1" t="n">
        <v>45345</v>
      </c>
      <c r="D1218" t="inlineStr">
        <is>
          <t>VÄSTMANLANDS LÄN</t>
        </is>
      </c>
      <c r="E1218" t="inlineStr">
        <is>
          <t>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34011-2020</t>
        </is>
      </c>
      <c r="B1219" s="1" t="n">
        <v>44028</v>
      </c>
      <c r="C1219" s="1" t="n">
        <v>45345</v>
      </c>
      <c r="D1219" t="inlineStr">
        <is>
          <t>VÄSTMANLANDS LÄN</t>
        </is>
      </c>
      <c r="E1219" t="inlineStr">
        <is>
          <t>KÖPING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34181-2020</t>
        </is>
      </c>
      <c r="B1220" s="1" t="n">
        <v>44029</v>
      </c>
      <c r="C1220" s="1" t="n">
        <v>45345</v>
      </c>
      <c r="D1220" t="inlineStr">
        <is>
          <t>VÄSTMANLANDS LÄN</t>
        </is>
      </c>
      <c r="E1220" t="inlineStr">
        <is>
          <t>VÄSTERÅS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34402-2020</t>
        </is>
      </c>
      <c r="B1221" s="1" t="n">
        <v>44029</v>
      </c>
      <c r="C1221" s="1" t="n">
        <v>45345</v>
      </c>
      <c r="D1221" t="inlineStr">
        <is>
          <t>VÄSTMANLANDS LÄN</t>
        </is>
      </c>
      <c r="E1221" t="inlineStr">
        <is>
          <t>SKINNSKATTEBERG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34460-2020</t>
        </is>
      </c>
      <c r="B1222" s="1" t="n">
        <v>44032</v>
      </c>
      <c r="C1222" s="1" t="n">
        <v>45345</v>
      </c>
      <c r="D1222" t="inlineStr">
        <is>
          <t>VÄSTMANLANDS LÄN</t>
        </is>
      </c>
      <c r="E1222" t="inlineStr">
        <is>
          <t>ARBOGA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35708-2020</t>
        </is>
      </c>
      <c r="B1223" s="1" t="n">
        <v>44032</v>
      </c>
      <c r="C1223" s="1" t="n">
        <v>45345</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34430-2020</t>
        </is>
      </c>
      <c r="B1224" s="1" t="n">
        <v>44032</v>
      </c>
      <c r="C1224" s="1" t="n">
        <v>45345</v>
      </c>
      <c r="D1224" t="inlineStr">
        <is>
          <t>VÄSTMANLANDS LÄN</t>
        </is>
      </c>
      <c r="E1224" t="inlineStr">
        <is>
          <t>SALA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34528-2020</t>
        </is>
      </c>
      <c r="B1225" s="1" t="n">
        <v>44032</v>
      </c>
      <c r="C1225" s="1" t="n">
        <v>45345</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34429-2020</t>
        </is>
      </c>
      <c r="B1226" s="1" t="n">
        <v>44032</v>
      </c>
      <c r="C1226" s="1" t="n">
        <v>45345</v>
      </c>
      <c r="D1226" t="inlineStr">
        <is>
          <t>VÄSTMANLANDS LÄN</t>
        </is>
      </c>
      <c r="E1226" t="inlineStr">
        <is>
          <t>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35713-2020</t>
        </is>
      </c>
      <c r="B1227" s="1" t="n">
        <v>44032</v>
      </c>
      <c r="C1227" s="1" t="n">
        <v>45345</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34602-2020</t>
        </is>
      </c>
      <c r="B1228" s="1" t="n">
        <v>44034</v>
      </c>
      <c r="C1228" s="1" t="n">
        <v>45345</v>
      </c>
      <c r="D1228" t="inlineStr">
        <is>
          <t>VÄSTMANLANDS LÄN</t>
        </is>
      </c>
      <c r="E1228" t="inlineStr">
        <is>
          <t>SKINNSKATTEBERG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34864-2020</t>
        </is>
      </c>
      <c r="B1229" s="1" t="n">
        <v>44036</v>
      </c>
      <c r="C1229" s="1" t="n">
        <v>45345</v>
      </c>
      <c r="D1229" t="inlineStr">
        <is>
          <t>VÄSTMANLANDS LÄN</t>
        </is>
      </c>
      <c r="E1229" t="inlineStr">
        <is>
          <t>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34984-2020</t>
        </is>
      </c>
      <c r="B1230" s="1" t="n">
        <v>44039</v>
      </c>
      <c r="C1230" s="1" t="n">
        <v>45345</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35199-2020</t>
        </is>
      </c>
      <c r="B1231" s="1" t="n">
        <v>44040</v>
      </c>
      <c r="C1231" s="1" t="n">
        <v>45345</v>
      </c>
      <c r="D1231" t="inlineStr">
        <is>
          <t>VÄSTMANLANDS LÄN</t>
        </is>
      </c>
      <c r="E1231" t="inlineStr">
        <is>
          <t>VÄSTERÅS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35532-2020</t>
        </is>
      </c>
      <c r="B1232" s="1" t="n">
        <v>44043</v>
      </c>
      <c r="C1232" s="1" t="n">
        <v>45345</v>
      </c>
      <c r="D1232" t="inlineStr">
        <is>
          <t>VÄSTMANLANDS LÄN</t>
        </is>
      </c>
      <c r="E1232" t="inlineStr">
        <is>
          <t>KÖPING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35694-2020</t>
        </is>
      </c>
      <c r="B1233" s="1" t="n">
        <v>44046</v>
      </c>
      <c r="C1233" s="1" t="n">
        <v>45345</v>
      </c>
      <c r="D1233" t="inlineStr">
        <is>
          <t>VÄSTMANLANDS LÄN</t>
        </is>
      </c>
      <c r="E1233" t="inlineStr">
        <is>
          <t>FAGERSTA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35730-2020</t>
        </is>
      </c>
      <c r="B1234" s="1" t="n">
        <v>44046</v>
      </c>
      <c r="C1234" s="1" t="n">
        <v>45345</v>
      </c>
      <c r="D1234" t="inlineStr">
        <is>
          <t>VÄSTMANLANDS LÄN</t>
        </is>
      </c>
      <c r="E1234" t="inlineStr">
        <is>
          <t>VÄSTERÅS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35734-2020</t>
        </is>
      </c>
      <c r="B1235" s="1" t="n">
        <v>44046</v>
      </c>
      <c r="C1235" s="1" t="n">
        <v>45345</v>
      </c>
      <c r="D1235" t="inlineStr">
        <is>
          <t>VÄSTMANLANDS LÄN</t>
        </is>
      </c>
      <c r="E1235" t="inlineStr">
        <is>
          <t>VÄSTERÅS</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35765-2020</t>
        </is>
      </c>
      <c r="B1236" s="1" t="n">
        <v>44046</v>
      </c>
      <c r="C1236" s="1" t="n">
        <v>45345</v>
      </c>
      <c r="D1236" t="inlineStr">
        <is>
          <t>VÄSTMANLANDS LÄN</t>
        </is>
      </c>
      <c r="E1236" t="inlineStr">
        <is>
          <t>SKINNSKATTEBERG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35776-2020</t>
        </is>
      </c>
      <c r="B1237" s="1" t="n">
        <v>44046</v>
      </c>
      <c r="C1237" s="1" t="n">
        <v>45345</v>
      </c>
      <c r="D1237" t="inlineStr">
        <is>
          <t>VÄSTMANLANDS LÄN</t>
        </is>
      </c>
      <c r="E1237" t="inlineStr">
        <is>
          <t>ARBOGA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36173-2020</t>
        </is>
      </c>
      <c r="B1238" s="1" t="n">
        <v>44048</v>
      </c>
      <c r="C1238" s="1" t="n">
        <v>45345</v>
      </c>
      <c r="D1238" t="inlineStr">
        <is>
          <t>VÄSTMANLANDS LÄN</t>
        </is>
      </c>
      <c r="E1238" t="inlineStr">
        <is>
          <t>NORBERG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36170-2020</t>
        </is>
      </c>
      <c r="B1239" s="1" t="n">
        <v>44048</v>
      </c>
      <c r="C1239" s="1" t="n">
        <v>45345</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36196-2020</t>
        </is>
      </c>
      <c r="B1240" s="1" t="n">
        <v>44048</v>
      </c>
      <c r="C1240" s="1" t="n">
        <v>45345</v>
      </c>
      <c r="D1240" t="inlineStr">
        <is>
          <t>VÄSTMANLANDS LÄN</t>
        </is>
      </c>
      <c r="E1240" t="inlineStr">
        <is>
          <t>ARBOGA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36408-2020</t>
        </is>
      </c>
      <c r="B1241" s="1" t="n">
        <v>44049</v>
      </c>
      <c r="C1241" s="1" t="n">
        <v>45345</v>
      </c>
      <c r="D1241" t="inlineStr">
        <is>
          <t>VÄSTMANLANDS LÄN</t>
        </is>
      </c>
      <c r="E1241" t="inlineStr">
        <is>
          <t>ARBOGA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36598-2020</t>
        </is>
      </c>
      <c r="B1242" s="1" t="n">
        <v>44050</v>
      </c>
      <c r="C1242" s="1" t="n">
        <v>45345</v>
      </c>
      <c r="D1242" t="inlineStr">
        <is>
          <t>VÄSTMANLANDS LÄN</t>
        </is>
      </c>
      <c r="E1242" t="inlineStr">
        <is>
          <t>SKINNSKATTEBERG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36921-2020</t>
        </is>
      </c>
      <c r="B1243" s="1" t="n">
        <v>44053</v>
      </c>
      <c r="C1243" s="1" t="n">
        <v>45345</v>
      </c>
      <c r="D1243" t="inlineStr">
        <is>
          <t>VÄSTMANLANDS LÄN</t>
        </is>
      </c>
      <c r="E1243" t="inlineStr">
        <is>
          <t>VÄSTERÅS</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37008-2020</t>
        </is>
      </c>
      <c r="B1244" s="1" t="n">
        <v>44054</v>
      </c>
      <c r="C1244" s="1" t="n">
        <v>45345</v>
      </c>
      <c r="D1244" t="inlineStr">
        <is>
          <t>VÄSTMANLANDS LÄN</t>
        </is>
      </c>
      <c r="E1244" t="inlineStr">
        <is>
          <t>SALA</t>
        </is>
      </c>
      <c r="F1244" t="inlineStr">
        <is>
          <t>Kommuner</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37098-2020</t>
        </is>
      </c>
      <c r="B1245" s="1" t="n">
        <v>44054</v>
      </c>
      <c r="C1245" s="1" t="n">
        <v>45345</v>
      </c>
      <c r="D1245" t="inlineStr">
        <is>
          <t>VÄSTMANLANDS LÄN</t>
        </is>
      </c>
      <c r="E1245" t="inlineStr">
        <is>
          <t>SALA</t>
        </is>
      </c>
      <c r="F1245" t="inlineStr">
        <is>
          <t>Kommuner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37150-2020</t>
        </is>
      </c>
      <c r="B1246" s="1" t="n">
        <v>44054</v>
      </c>
      <c r="C1246" s="1" t="n">
        <v>45345</v>
      </c>
      <c r="D1246" t="inlineStr">
        <is>
          <t>VÄSTMANLANDS LÄN</t>
        </is>
      </c>
      <c r="E1246" t="inlineStr">
        <is>
          <t>SALA</t>
        </is>
      </c>
      <c r="F1246" t="inlineStr">
        <is>
          <t>Kommuner</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37161-2020</t>
        </is>
      </c>
      <c r="B1247" s="1" t="n">
        <v>44054</v>
      </c>
      <c r="C1247" s="1" t="n">
        <v>45345</v>
      </c>
      <c r="D1247" t="inlineStr">
        <is>
          <t>VÄSTMANLANDS LÄN</t>
        </is>
      </c>
      <c r="E1247" t="inlineStr">
        <is>
          <t>ARBOGA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37467-2020</t>
        </is>
      </c>
      <c r="B1248" s="1" t="n">
        <v>44055</v>
      </c>
      <c r="C1248" s="1" t="n">
        <v>45345</v>
      </c>
      <c r="D1248" t="inlineStr">
        <is>
          <t>VÄSTMANLANDS LÄN</t>
        </is>
      </c>
      <c r="E1248" t="inlineStr">
        <is>
          <t>KÖPING</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38373-2020</t>
        </is>
      </c>
      <c r="B1249" s="1" t="n">
        <v>44060</v>
      </c>
      <c r="C1249" s="1" t="n">
        <v>45345</v>
      </c>
      <c r="D1249" t="inlineStr">
        <is>
          <t>VÄSTMANLANDS LÄN</t>
        </is>
      </c>
      <c r="E1249" t="inlineStr">
        <is>
          <t>VÄSTERÅS</t>
        </is>
      </c>
      <c r="F1249" t="inlineStr">
        <is>
          <t>Övriga Aktiebolag</t>
        </is>
      </c>
      <c r="G1249" t="n">
        <v>36.2</v>
      </c>
      <c r="H1249" t="n">
        <v>0</v>
      </c>
      <c r="I1249" t="n">
        <v>0</v>
      </c>
      <c r="J1249" t="n">
        <v>0</v>
      </c>
      <c r="K1249" t="n">
        <v>0</v>
      </c>
      <c r="L1249" t="n">
        <v>0</v>
      </c>
      <c r="M1249" t="n">
        <v>0</v>
      </c>
      <c r="N1249" t="n">
        <v>0</v>
      </c>
      <c r="O1249" t="n">
        <v>0</v>
      </c>
      <c r="P1249" t="n">
        <v>0</v>
      </c>
      <c r="Q1249" t="n">
        <v>0</v>
      </c>
      <c r="R1249" s="2" t="inlineStr"/>
    </row>
    <row r="1250" ht="15" customHeight="1">
      <c r="A1250" t="inlineStr">
        <is>
          <t>A 38556-2020</t>
        </is>
      </c>
      <c r="B1250" s="1" t="n">
        <v>44061</v>
      </c>
      <c r="C1250" s="1" t="n">
        <v>45345</v>
      </c>
      <c r="D1250" t="inlineStr">
        <is>
          <t>VÄSTMANLANDS LÄN</t>
        </is>
      </c>
      <c r="E1250" t="inlineStr">
        <is>
          <t>FAGERSTA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38547-2020</t>
        </is>
      </c>
      <c r="B1251" s="1" t="n">
        <v>44061</v>
      </c>
      <c r="C1251" s="1" t="n">
        <v>45345</v>
      </c>
      <c r="D1251" t="inlineStr">
        <is>
          <t>VÄSTMANLANDS LÄN</t>
        </is>
      </c>
      <c r="E1251" t="inlineStr">
        <is>
          <t>FAGERSTA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38579-2020</t>
        </is>
      </c>
      <c r="B1252" s="1" t="n">
        <v>44061</v>
      </c>
      <c r="C1252" s="1" t="n">
        <v>45345</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38713-2020</t>
        </is>
      </c>
      <c r="B1253" s="1" t="n">
        <v>44061</v>
      </c>
      <c r="C1253" s="1" t="n">
        <v>45345</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39328-2020</t>
        </is>
      </c>
      <c r="B1254" s="1" t="n">
        <v>44063</v>
      </c>
      <c r="C1254" s="1" t="n">
        <v>45345</v>
      </c>
      <c r="D1254" t="inlineStr">
        <is>
          <t>VÄSTMANLANDS LÄN</t>
        </is>
      </c>
      <c r="E1254" t="inlineStr">
        <is>
          <t>FAGERSTA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39519-2020</t>
        </is>
      </c>
      <c r="B1255" s="1" t="n">
        <v>44064</v>
      </c>
      <c r="C1255" s="1" t="n">
        <v>45345</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39406-2020</t>
        </is>
      </c>
      <c r="B1256" s="1" t="n">
        <v>44064</v>
      </c>
      <c r="C1256" s="1" t="n">
        <v>45345</v>
      </c>
      <c r="D1256" t="inlineStr">
        <is>
          <t>VÄSTMANLANDS LÄN</t>
        </is>
      </c>
      <c r="E1256" t="inlineStr">
        <is>
          <t>ARBOGA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39619-2020</t>
        </is>
      </c>
      <c r="B1257" s="1" t="n">
        <v>44064</v>
      </c>
      <c r="C1257" s="1" t="n">
        <v>45345</v>
      </c>
      <c r="D1257" t="inlineStr">
        <is>
          <t>VÄSTMANLANDS LÄN</t>
        </is>
      </c>
      <c r="E1257" t="inlineStr">
        <is>
          <t>VÄSTERÅS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39707-2020</t>
        </is>
      </c>
      <c r="B1258" s="1" t="n">
        <v>44066</v>
      </c>
      <c r="C1258" s="1" t="n">
        <v>45345</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39705-2020</t>
        </is>
      </c>
      <c r="B1259" s="1" t="n">
        <v>44066</v>
      </c>
      <c r="C1259" s="1" t="n">
        <v>45345</v>
      </c>
      <c r="D1259" t="inlineStr">
        <is>
          <t>VÄSTMANLANDS LÄN</t>
        </is>
      </c>
      <c r="E1259" t="inlineStr">
        <is>
          <t>SKINNSKATTEBERG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39706-2020</t>
        </is>
      </c>
      <c r="B1260" s="1" t="n">
        <v>44066</v>
      </c>
      <c r="C1260" s="1" t="n">
        <v>45345</v>
      </c>
      <c r="D1260" t="inlineStr">
        <is>
          <t>VÄSTMANLANDS LÄN</t>
        </is>
      </c>
      <c r="E1260" t="inlineStr">
        <is>
          <t>SKINNSKATTEBERG</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39709-2020</t>
        </is>
      </c>
      <c r="B1261" s="1" t="n">
        <v>44066</v>
      </c>
      <c r="C1261" s="1" t="n">
        <v>45345</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39773-2020</t>
        </is>
      </c>
      <c r="B1262" s="1" t="n">
        <v>44067</v>
      </c>
      <c r="C1262" s="1" t="n">
        <v>45345</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39818-2020</t>
        </is>
      </c>
      <c r="B1263" s="1" t="n">
        <v>44067</v>
      </c>
      <c r="C1263" s="1" t="n">
        <v>45345</v>
      </c>
      <c r="D1263" t="inlineStr">
        <is>
          <t>VÄSTMANLANDS LÄN</t>
        </is>
      </c>
      <c r="E1263" t="inlineStr">
        <is>
          <t>SALA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39876-2020</t>
        </is>
      </c>
      <c r="B1264" s="1" t="n">
        <v>44067</v>
      </c>
      <c r="C1264" s="1" t="n">
        <v>45345</v>
      </c>
      <c r="D1264" t="inlineStr">
        <is>
          <t>VÄSTMANLANDS LÄN</t>
        </is>
      </c>
      <c r="E1264" t="inlineStr">
        <is>
          <t>SKINNSKATTEBERG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39936-2020</t>
        </is>
      </c>
      <c r="B1265" s="1" t="n">
        <v>44067</v>
      </c>
      <c r="C1265" s="1" t="n">
        <v>45345</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39982-2020</t>
        </is>
      </c>
      <c r="B1266" s="1" t="n">
        <v>44067</v>
      </c>
      <c r="C1266" s="1" t="n">
        <v>45345</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40185-2020</t>
        </is>
      </c>
      <c r="B1267" s="1" t="n">
        <v>44068</v>
      </c>
      <c r="C1267" s="1" t="n">
        <v>45345</v>
      </c>
      <c r="D1267" t="inlineStr">
        <is>
          <t>VÄSTMANLANDS LÄN</t>
        </is>
      </c>
      <c r="E1267" t="inlineStr">
        <is>
          <t>FAGERSTA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40179-2020</t>
        </is>
      </c>
      <c r="B1268" s="1" t="n">
        <v>44068</v>
      </c>
      <c r="C1268" s="1" t="n">
        <v>45345</v>
      </c>
      <c r="D1268" t="inlineStr">
        <is>
          <t>VÄSTMANLANDS LÄN</t>
        </is>
      </c>
      <c r="E1268" t="inlineStr">
        <is>
          <t>FAGERSTA</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40170-2020</t>
        </is>
      </c>
      <c r="B1269" s="1" t="n">
        <v>44068</v>
      </c>
      <c r="C1269" s="1" t="n">
        <v>45345</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40183-2020</t>
        </is>
      </c>
      <c r="B1270" s="1" t="n">
        <v>44068</v>
      </c>
      <c r="C1270" s="1" t="n">
        <v>45345</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40182-2020</t>
        </is>
      </c>
      <c r="B1271" s="1" t="n">
        <v>44068</v>
      </c>
      <c r="C1271" s="1" t="n">
        <v>45345</v>
      </c>
      <c r="D1271" t="inlineStr">
        <is>
          <t>VÄSTMANLANDS LÄN</t>
        </is>
      </c>
      <c r="E1271" t="inlineStr">
        <is>
          <t>FAGERSTA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40986-2020</t>
        </is>
      </c>
      <c r="B1272" s="1" t="n">
        <v>44068</v>
      </c>
      <c r="C1272" s="1" t="n">
        <v>45345</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40999-2020</t>
        </is>
      </c>
      <c r="B1273" s="1" t="n">
        <v>44068</v>
      </c>
      <c r="C1273" s="1" t="n">
        <v>45345</v>
      </c>
      <c r="D1273" t="inlineStr">
        <is>
          <t>VÄSTMANLANDS LÄN</t>
        </is>
      </c>
      <c r="E1273" t="inlineStr">
        <is>
          <t>VÄSTERÅS</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40992-2020</t>
        </is>
      </c>
      <c r="B1274" s="1" t="n">
        <v>44068</v>
      </c>
      <c r="C1274" s="1" t="n">
        <v>45345</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40486-2020</t>
        </is>
      </c>
      <c r="B1275" s="1" t="n">
        <v>44069</v>
      </c>
      <c r="C1275" s="1" t="n">
        <v>45345</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40660-2020</t>
        </is>
      </c>
      <c r="B1276" s="1" t="n">
        <v>44069</v>
      </c>
      <c r="C1276" s="1" t="n">
        <v>45345</v>
      </c>
      <c r="D1276" t="inlineStr">
        <is>
          <t>VÄSTMANLANDS LÄN</t>
        </is>
      </c>
      <c r="E1276" t="inlineStr">
        <is>
          <t>SURAHAMMAR</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40547-2020</t>
        </is>
      </c>
      <c r="B1277" s="1" t="n">
        <v>44069</v>
      </c>
      <c r="C1277" s="1" t="n">
        <v>45345</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40671-2020</t>
        </is>
      </c>
      <c r="B1278" s="1" t="n">
        <v>44069</v>
      </c>
      <c r="C1278" s="1" t="n">
        <v>45345</v>
      </c>
      <c r="D1278" t="inlineStr">
        <is>
          <t>VÄSTMANLANDS LÄN</t>
        </is>
      </c>
      <c r="E1278" t="inlineStr">
        <is>
          <t>KÖPING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41464-2020</t>
        </is>
      </c>
      <c r="B1279" s="1" t="n">
        <v>44069</v>
      </c>
      <c r="C1279" s="1" t="n">
        <v>45345</v>
      </c>
      <c r="D1279" t="inlineStr">
        <is>
          <t>VÄSTMANLANDS LÄN</t>
        </is>
      </c>
      <c r="E1279" t="inlineStr">
        <is>
          <t>KÖPING</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41568-2020</t>
        </is>
      </c>
      <c r="B1280" s="1" t="n">
        <v>44069</v>
      </c>
      <c r="C1280" s="1" t="n">
        <v>45345</v>
      </c>
      <c r="D1280" t="inlineStr">
        <is>
          <t>VÄSTMANLANDS LÄN</t>
        </is>
      </c>
      <c r="E1280" t="inlineStr">
        <is>
          <t>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41074-2020</t>
        </is>
      </c>
      <c r="B1281" s="1" t="n">
        <v>44071</v>
      </c>
      <c r="C1281" s="1" t="n">
        <v>45345</v>
      </c>
      <c r="D1281" t="inlineStr">
        <is>
          <t>VÄSTMANLANDS LÄN</t>
        </is>
      </c>
      <c r="E1281" t="inlineStr">
        <is>
          <t>KÖPING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41441-2020</t>
        </is>
      </c>
      <c r="B1282" s="1" t="n">
        <v>44073</v>
      </c>
      <c r="C1282" s="1" t="n">
        <v>45345</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41420-2020</t>
        </is>
      </c>
      <c r="B1283" s="1" t="n">
        <v>44073</v>
      </c>
      <c r="C1283" s="1" t="n">
        <v>45345</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41493-2020</t>
        </is>
      </c>
      <c r="B1284" s="1" t="n">
        <v>44074</v>
      </c>
      <c r="C1284" s="1" t="n">
        <v>45345</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41640-2020</t>
        </is>
      </c>
      <c r="B1285" s="1" t="n">
        <v>44074</v>
      </c>
      <c r="C1285" s="1" t="n">
        <v>45345</v>
      </c>
      <c r="D1285" t="inlineStr">
        <is>
          <t>VÄSTMANLANDS LÄN</t>
        </is>
      </c>
      <c r="E1285" t="inlineStr">
        <is>
          <t>ARBOGA</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41654-2020</t>
        </is>
      </c>
      <c r="B1286" s="1" t="n">
        <v>44074</v>
      </c>
      <c r="C1286" s="1" t="n">
        <v>45345</v>
      </c>
      <c r="D1286" t="inlineStr">
        <is>
          <t>VÄSTMANLANDS LÄN</t>
        </is>
      </c>
      <c r="E1286" t="inlineStr">
        <is>
          <t>KUNGSÖR</t>
        </is>
      </c>
      <c r="F1286" t="inlineStr">
        <is>
          <t>Allmännings- och besparingsskogar</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41485-2020</t>
        </is>
      </c>
      <c r="B1287" s="1" t="n">
        <v>44074</v>
      </c>
      <c r="C1287" s="1" t="n">
        <v>45345</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41980-2020</t>
        </is>
      </c>
      <c r="B1288" s="1" t="n">
        <v>44075</v>
      </c>
      <c r="C1288" s="1" t="n">
        <v>45345</v>
      </c>
      <c r="D1288" t="inlineStr">
        <is>
          <t>VÄSTMANLANDS LÄN</t>
        </is>
      </c>
      <c r="E1288" t="inlineStr">
        <is>
          <t>VÄSTERÅS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41969-2020</t>
        </is>
      </c>
      <c r="B1289" s="1" t="n">
        <v>44075</v>
      </c>
      <c r="C1289" s="1" t="n">
        <v>45345</v>
      </c>
      <c r="D1289" t="inlineStr">
        <is>
          <t>VÄSTMANLANDS LÄN</t>
        </is>
      </c>
      <c r="E1289" t="inlineStr">
        <is>
          <t>FAGERSTA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41971-2020</t>
        </is>
      </c>
      <c r="B1290" s="1" t="n">
        <v>44075</v>
      </c>
      <c r="C1290" s="1" t="n">
        <v>45345</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41987-2020</t>
        </is>
      </c>
      <c r="B1291" s="1" t="n">
        <v>44075</v>
      </c>
      <c r="C1291" s="1" t="n">
        <v>45345</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42344-2020</t>
        </is>
      </c>
      <c r="B1292" s="1" t="n">
        <v>44076</v>
      </c>
      <c r="C1292" s="1" t="n">
        <v>45345</v>
      </c>
      <c r="D1292" t="inlineStr">
        <is>
          <t>VÄSTMANLANDS LÄN</t>
        </is>
      </c>
      <c r="E1292" t="inlineStr">
        <is>
          <t>SALA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42309-2020</t>
        </is>
      </c>
      <c r="B1293" s="1" t="n">
        <v>44076</v>
      </c>
      <c r="C1293" s="1" t="n">
        <v>45345</v>
      </c>
      <c r="D1293" t="inlineStr">
        <is>
          <t>VÄSTMANLANDS LÄN</t>
        </is>
      </c>
      <c r="E1293" t="inlineStr">
        <is>
          <t>KÖPING</t>
        </is>
      </c>
      <c r="F1293" t="inlineStr">
        <is>
          <t>Allmännings- och besparingsskogar</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42345-2020</t>
        </is>
      </c>
      <c r="B1294" s="1" t="n">
        <v>44076</v>
      </c>
      <c r="C1294" s="1" t="n">
        <v>45345</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42346-2020</t>
        </is>
      </c>
      <c r="B1295" s="1" t="n">
        <v>44076</v>
      </c>
      <c r="C1295" s="1" t="n">
        <v>45345</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42915-2020</t>
        </is>
      </c>
      <c r="B1296" s="1" t="n">
        <v>44078</v>
      </c>
      <c r="C1296" s="1" t="n">
        <v>45345</v>
      </c>
      <c r="D1296" t="inlineStr">
        <is>
          <t>VÄSTMANLANDS LÄN</t>
        </is>
      </c>
      <c r="E1296" t="inlineStr">
        <is>
          <t>VÄSTERÅS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42875-2020</t>
        </is>
      </c>
      <c r="B1297" s="1" t="n">
        <v>44078</v>
      </c>
      <c r="C1297" s="1" t="n">
        <v>45345</v>
      </c>
      <c r="D1297" t="inlineStr">
        <is>
          <t>VÄSTMANLANDS LÄN</t>
        </is>
      </c>
      <c r="E1297" t="inlineStr">
        <is>
          <t>VÄSTERÅS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43171-2020</t>
        </is>
      </c>
      <c r="B1298" s="1" t="n">
        <v>44081</v>
      </c>
      <c r="C1298" s="1" t="n">
        <v>45345</v>
      </c>
      <c r="D1298" t="inlineStr">
        <is>
          <t>VÄSTMANLANDS LÄN</t>
        </is>
      </c>
      <c r="E1298" t="inlineStr">
        <is>
          <t>SURAHAMMAR</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43244-2020</t>
        </is>
      </c>
      <c r="B1299" s="1" t="n">
        <v>44081</v>
      </c>
      <c r="C1299" s="1" t="n">
        <v>45345</v>
      </c>
      <c r="D1299" t="inlineStr">
        <is>
          <t>VÄSTMANLANDS LÄN</t>
        </is>
      </c>
      <c r="E1299" t="inlineStr">
        <is>
          <t>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43174-2020</t>
        </is>
      </c>
      <c r="B1300" s="1" t="n">
        <v>44081</v>
      </c>
      <c r="C1300" s="1" t="n">
        <v>45345</v>
      </c>
      <c r="D1300" t="inlineStr">
        <is>
          <t>VÄSTMANLANDS LÄN</t>
        </is>
      </c>
      <c r="E1300" t="inlineStr">
        <is>
          <t>SURAHAMMAR</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43349-2020</t>
        </is>
      </c>
      <c r="B1301" s="1" t="n">
        <v>44081</v>
      </c>
      <c r="C1301" s="1" t="n">
        <v>45345</v>
      </c>
      <c r="D1301" t="inlineStr">
        <is>
          <t>VÄSTMANLANDS LÄN</t>
        </is>
      </c>
      <c r="E1301" t="inlineStr">
        <is>
          <t>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43177-2020</t>
        </is>
      </c>
      <c r="B1302" s="1" t="n">
        <v>44081</v>
      </c>
      <c r="C1302" s="1" t="n">
        <v>45345</v>
      </c>
      <c r="D1302" t="inlineStr">
        <is>
          <t>VÄSTMANLANDS LÄN</t>
        </is>
      </c>
      <c r="E1302" t="inlineStr">
        <is>
          <t>SURAHAMMAR</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43590-2020</t>
        </is>
      </c>
      <c r="B1303" s="1" t="n">
        <v>44082</v>
      </c>
      <c r="C1303" s="1" t="n">
        <v>45345</v>
      </c>
      <c r="D1303" t="inlineStr">
        <is>
          <t>VÄSTMANLANDS LÄN</t>
        </is>
      </c>
      <c r="E1303" t="inlineStr">
        <is>
          <t>SURAHAMMAR</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43614-2020</t>
        </is>
      </c>
      <c r="B1304" s="1" t="n">
        <v>44082</v>
      </c>
      <c r="C1304" s="1" t="n">
        <v>45345</v>
      </c>
      <c r="D1304" t="inlineStr">
        <is>
          <t>VÄSTMANLANDS LÄN</t>
        </is>
      </c>
      <c r="E1304" t="inlineStr">
        <is>
          <t>VÄSTERÅS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44008-2020</t>
        </is>
      </c>
      <c r="B1305" s="1" t="n">
        <v>44083</v>
      </c>
      <c r="C1305" s="1" t="n">
        <v>45345</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44091-2020</t>
        </is>
      </c>
      <c r="B1306" s="1" t="n">
        <v>44083</v>
      </c>
      <c r="C1306" s="1" t="n">
        <v>45345</v>
      </c>
      <c r="D1306" t="inlineStr">
        <is>
          <t>VÄSTMANLANDS LÄN</t>
        </is>
      </c>
      <c r="E1306" t="inlineStr">
        <is>
          <t>ARBOGA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44143-2020</t>
        </is>
      </c>
      <c r="B1307" s="1" t="n">
        <v>44083</v>
      </c>
      <c r="C1307" s="1" t="n">
        <v>45345</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44145-2020</t>
        </is>
      </c>
      <c r="B1308" s="1" t="n">
        <v>44083</v>
      </c>
      <c r="C1308" s="1" t="n">
        <v>45345</v>
      </c>
      <c r="D1308" t="inlineStr">
        <is>
          <t>VÄSTMANLANDS LÄN</t>
        </is>
      </c>
      <c r="E1308" t="inlineStr">
        <is>
          <t>HALLSTAHAMMAR</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44152-2020</t>
        </is>
      </c>
      <c r="B1309" s="1" t="n">
        <v>44083</v>
      </c>
      <c r="C1309" s="1" t="n">
        <v>45345</v>
      </c>
      <c r="D1309" t="inlineStr">
        <is>
          <t>VÄSTMANLANDS LÄN</t>
        </is>
      </c>
      <c r="E1309" t="inlineStr">
        <is>
          <t>SKINNSKATTEBERG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44363-2020</t>
        </is>
      </c>
      <c r="B1310" s="1" t="n">
        <v>44084</v>
      </c>
      <c r="C1310" s="1" t="n">
        <v>45345</v>
      </c>
      <c r="D1310" t="inlineStr">
        <is>
          <t>VÄSTMANLANDS LÄN</t>
        </is>
      </c>
      <c r="E1310" t="inlineStr">
        <is>
          <t>NORBERG</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44443-2020</t>
        </is>
      </c>
      <c r="B1311" s="1" t="n">
        <v>44084</v>
      </c>
      <c r="C1311" s="1" t="n">
        <v>45345</v>
      </c>
      <c r="D1311" t="inlineStr">
        <is>
          <t>VÄSTMANLANDS LÄN</t>
        </is>
      </c>
      <c r="E1311" t="inlineStr">
        <is>
          <t>HALLSTAHAMMAR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44474-2020</t>
        </is>
      </c>
      <c r="B1312" s="1" t="n">
        <v>44084</v>
      </c>
      <c r="C1312" s="1" t="n">
        <v>45345</v>
      </c>
      <c r="D1312" t="inlineStr">
        <is>
          <t>VÄSTMANLANDS LÄN</t>
        </is>
      </c>
      <c r="E1312" t="inlineStr">
        <is>
          <t>KUNGSÖR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44440-2020</t>
        </is>
      </c>
      <c r="B1313" s="1" t="n">
        <v>44084</v>
      </c>
      <c r="C1313" s="1" t="n">
        <v>45345</v>
      </c>
      <c r="D1313" t="inlineStr">
        <is>
          <t>VÄSTMANLANDS LÄN</t>
        </is>
      </c>
      <c r="E1313" t="inlineStr">
        <is>
          <t>HALLSTAHAMMAR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44446-2020</t>
        </is>
      </c>
      <c r="B1314" s="1" t="n">
        <v>44084</v>
      </c>
      <c r="C1314" s="1" t="n">
        <v>45345</v>
      </c>
      <c r="D1314" t="inlineStr">
        <is>
          <t>VÄSTMANLANDS LÄN</t>
        </is>
      </c>
      <c r="E1314" t="inlineStr">
        <is>
          <t>HALLSTAHAMMAR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44532-2020</t>
        </is>
      </c>
      <c r="B1315" s="1" t="n">
        <v>44085</v>
      </c>
      <c r="C1315" s="1" t="n">
        <v>45345</v>
      </c>
      <c r="D1315" t="inlineStr">
        <is>
          <t>VÄSTMANLANDS LÄN</t>
        </is>
      </c>
      <c r="E1315" t="inlineStr">
        <is>
          <t>FAGERSTA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44652-2020</t>
        </is>
      </c>
      <c r="B1316" s="1" t="n">
        <v>44085</v>
      </c>
      <c r="C1316" s="1" t="n">
        <v>45345</v>
      </c>
      <c r="D1316" t="inlineStr">
        <is>
          <t>VÄSTMANLANDS LÄN</t>
        </is>
      </c>
      <c r="E1316" t="inlineStr">
        <is>
          <t>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44950-2020</t>
        </is>
      </c>
      <c r="B1317" s="1" t="n">
        <v>44088</v>
      </c>
      <c r="C1317" s="1" t="n">
        <v>45345</v>
      </c>
      <c r="D1317" t="inlineStr">
        <is>
          <t>VÄSTMANLANDS LÄN</t>
        </is>
      </c>
      <c r="E1317" t="inlineStr">
        <is>
          <t>SALA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44969-2020</t>
        </is>
      </c>
      <c r="B1318" s="1" t="n">
        <v>44088</v>
      </c>
      <c r="C1318" s="1" t="n">
        <v>45345</v>
      </c>
      <c r="D1318" t="inlineStr">
        <is>
          <t>VÄSTMANLANDS LÄN</t>
        </is>
      </c>
      <c r="E1318" t="inlineStr">
        <is>
          <t>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45800-2020</t>
        </is>
      </c>
      <c r="B1319" s="1" t="n">
        <v>44090</v>
      </c>
      <c r="C1319" s="1" t="n">
        <v>45345</v>
      </c>
      <c r="D1319" t="inlineStr">
        <is>
          <t>VÄSTMANLANDS LÄN</t>
        </is>
      </c>
      <c r="E1319" t="inlineStr">
        <is>
          <t>NORBERG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45802-2020</t>
        </is>
      </c>
      <c r="B1320" s="1" t="n">
        <v>44090</v>
      </c>
      <c r="C1320" s="1" t="n">
        <v>45345</v>
      </c>
      <c r="D1320" t="inlineStr">
        <is>
          <t>VÄSTMANLANDS LÄN</t>
        </is>
      </c>
      <c r="E1320" t="inlineStr">
        <is>
          <t>NORBERG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45878-2020</t>
        </is>
      </c>
      <c r="B1321" s="1" t="n">
        <v>44090</v>
      </c>
      <c r="C1321" s="1" t="n">
        <v>45345</v>
      </c>
      <c r="D1321" t="inlineStr">
        <is>
          <t>VÄSTMANLANDS LÄN</t>
        </is>
      </c>
      <c r="E1321" t="inlineStr">
        <is>
          <t>ARBOGA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47003-2020</t>
        </is>
      </c>
      <c r="B1322" s="1" t="n">
        <v>44090</v>
      </c>
      <c r="C1322" s="1" t="n">
        <v>45345</v>
      </c>
      <c r="D1322" t="inlineStr">
        <is>
          <t>VÄSTMANLANDS LÄN</t>
        </is>
      </c>
      <c r="E1322" t="inlineStr">
        <is>
          <t>ARBOGA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45923-2020</t>
        </is>
      </c>
      <c r="B1323" s="1" t="n">
        <v>44091</v>
      </c>
      <c r="C1323" s="1" t="n">
        <v>45345</v>
      </c>
      <c r="D1323" t="inlineStr">
        <is>
          <t>VÄSTMANLANDS LÄN</t>
        </is>
      </c>
      <c r="E1323" t="inlineStr">
        <is>
          <t>KUNGSÖR</t>
        </is>
      </c>
      <c r="F1323" t="inlineStr">
        <is>
          <t>Allmännings- och besparingsskogar</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45931-2020</t>
        </is>
      </c>
      <c r="B1324" s="1" t="n">
        <v>44091</v>
      </c>
      <c r="C1324" s="1" t="n">
        <v>45345</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46014-2020</t>
        </is>
      </c>
      <c r="B1325" s="1" t="n">
        <v>44091</v>
      </c>
      <c r="C1325" s="1" t="n">
        <v>45345</v>
      </c>
      <c r="D1325" t="inlineStr">
        <is>
          <t>VÄSTMANLANDS LÄN</t>
        </is>
      </c>
      <c r="E1325" t="inlineStr">
        <is>
          <t>KUNGSÖR</t>
        </is>
      </c>
      <c r="F1325" t="inlineStr">
        <is>
          <t>Allmännings- och besparingsskogar</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45935-2020</t>
        </is>
      </c>
      <c r="B1326" s="1" t="n">
        <v>44091</v>
      </c>
      <c r="C1326" s="1" t="n">
        <v>45345</v>
      </c>
      <c r="D1326" t="inlineStr">
        <is>
          <t>VÄSTMANLANDS LÄN</t>
        </is>
      </c>
      <c r="E1326" t="inlineStr">
        <is>
          <t>VÄSTERÅS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46415-2020</t>
        </is>
      </c>
      <c r="B1327" s="1" t="n">
        <v>44094</v>
      </c>
      <c r="C1327" s="1" t="n">
        <v>45345</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46416-2020</t>
        </is>
      </c>
      <c r="B1328" s="1" t="n">
        <v>44094</v>
      </c>
      <c r="C1328" s="1" t="n">
        <v>45345</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46417-2020</t>
        </is>
      </c>
      <c r="B1329" s="1" t="n">
        <v>44094</v>
      </c>
      <c r="C1329" s="1" t="n">
        <v>45345</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46412-2020</t>
        </is>
      </c>
      <c r="B1330" s="1" t="n">
        <v>44094</v>
      </c>
      <c r="C1330" s="1" t="n">
        <v>45345</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46810-2020</t>
        </is>
      </c>
      <c r="B1331" s="1" t="n">
        <v>44096</v>
      </c>
      <c r="C1331" s="1" t="n">
        <v>45345</v>
      </c>
      <c r="D1331" t="inlineStr">
        <is>
          <t>VÄSTMANLANDS LÄN</t>
        </is>
      </c>
      <c r="E1331" t="inlineStr">
        <is>
          <t>VÄSTERÅS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47048-2020</t>
        </is>
      </c>
      <c r="B1332" s="1" t="n">
        <v>44096</v>
      </c>
      <c r="C1332" s="1" t="n">
        <v>45345</v>
      </c>
      <c r="D1332" t="inlineStr">
        <is>
          <t>VÄSTMANLANDS LÄN</t>
        </is>
      </c>
      <c r="E1332" t="inlineStr">
        <is>
          <t>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46965-2020</t>
        </is>
      </c>
      <c r="B1333" s="1" t="n">
        <v>44096</v>
      </c>
      <c r="C1333" s="1" t="n">
        <v>45345</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46962-2020</t>
        </is>
      </c>
      <c r="B1334" s="1" t="n">
        <v>44096</v>
      </c>
      <c r="C1334" s="1" t="n">
        <v>45345</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46814-2020</t>
        </is>
      </c>
      <c r="B1335" s="1" t="n">
        <v>44096</v>
      </c>
      <c r="C1335" s="1" t="n">
        <v>45345</v>
      </c>
      <c r="D1335" t="inlineStr">
        <is>
          <t>VÄSTMANLANDS LÄN</t>
        </is>
      </c>
      <c r="E1335" t="inlineStr">
        <is>
          <t>VÄSTERÅS</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46870-2020</t>
        </is>
      </c>
      <c r="B1336" s="1" t="n">
        <v>44096</v>
      </c>
      <c r="C1336" s="1" t="n">
        <v>45345</v>
      </c>
      <c r="D1336" t="inlineStr">
        <is>
          <t>VÄSTMANLANDS LÄN</t>
        </is>
      </c>
      <c r="E1336" t="inlineStr">
        <is>
          <t>VÄSTERÅS</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47054-2020</t>
        </is>
      </c>
      <c r="B1337" s="1" t="n">
        <v>44096</v>
      </c>
      <c r="C1337" s="1" t="n">
        <v>45345</v>
      </c>
      <c r="D1337" t="inlineStr">
        <is>
          <t>VÄSTMANLANDS LÄN</t>
        </is>
      </c>
      <c r="E1337" t="inlineStr">
        <is>
          <t>SALA</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47772-2020</t>
        </is>
      </c>
      <c r="B1338" s="1" t="n">
        <v>44096</v>
      </c>
      <c r="C1338" s="1" t="n">
        <v>45345</v>
      </c>
      <c r="D1338" t="inlineStr">
        <is>
          <t>VÄSTMANLANDS LÄN</t>
        </is>
      </c>
      <c r="E1338" t="inlineStr">
        <is>
          <t>SKINNSKATTEBERG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46817-2020</t>
        </is>
      </c>
      <c r="B1339" s="1" t="n">
        <v>44096</v>
      </c>
      <c r="C1339" s="1" t="n">
        <v>45345</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47168-2020</t>
        </is>
      </c>
      <c r="B1340" s="1" t="n">
        <v>44097</v>
      </c>
      <c r="C1340" s="1" t="n">
        <v>45345</v>
      </c>
      <c r="D1340" t="inlineStr">
        <is>
          <t>VÄSTMANLANDS LÄN</t>
        </is>
      </c>
      <c r="E1340" t="inlineStr">
        <is>
          <t>FAGERSTA</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47208-2020</t>
        </is>
      </c>
      <c r="B1341" s="1" t="n">
        <v>44097</v>
      </c>
      <c r="C1341" s="1" t="n">
        <v>45345</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47161-2020</t>
        </is>
      </c>
      <c r="B1342" s="1" t="n">
        <v>44097</v>
      </c>
      <c r="C1342" s="1" t="n">
        <v>45345</v>
      </c>
      <c r="D1342" t="inlineStr">
        <is>
          <t>VÄSTMANLANDS LÄN</t>
        </is>
      </c>
      <c r="E1342" t="inlineStr">
        <is>
          <t>FAGERSTA</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47163-2020</t>
        </is>
      </c>
      <c r="B1343" s="1" t="n">
        <v>44097</v>
      </c>
      <c r="C1343" s="1" t="n">
        <v>45345</v>
      </c>
      <c r="D1343" t="inlineStr">
        <is>
          <t>VÄSTMANLANDS LÄN</t>
        </is>
      </c>
      <c r="E1343" t="inlineStr">
        <is>
          <t>FAGERSTA</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47165-2020</t>
        </is>
      </c>
      <c r="B1344" s="1" t="n">
        <v>44097</v>
      </c>
      <c r="C1344" s="1" t="n">
        <v>45345</v>
      </c>
      <c r="D1344" t="inlineStr">
        <is>
          <t>VÄSTMANLANDS LÄN</t>
        </is>
      </c>
      <c r="E1344" t="inlineStr">
        <is>
          <t>FAGERSTA</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48286-2020</t>
        </is>
      </c>
      <c r="B1345" s="1" t="n">
        <v>44097</v>
      </c>
      <c r="C1345" s="1" t="n">
        <v>45345</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48313-2020</t>
        </is>
      </c>
      <c r="B1346" s="1" t="n">
        <v>44097</v>
      </c>
      <c r="C1346" s="1" t="n">
        <v>45345</v>
      </c>
      <c r="D1346" t="inlineStr">
        <is>
          <t>VÄSTMANLANDS LÄN</t>
        </is>
      </c>
      <c r="E1346" t="inlineStr">
        <is>
          <t>FAGERSTA</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47221-2020</t>
        </is>
      </c>
      <c r="B1347" s="1" t="n">
        <v>44097</v>
      </c>
      <c r="C1347" s="1" t="n">
        <v>45345</v>
      </c>
      <c r="D1347" t="inlineStr">
        <is>
          <t>VÄSTMANLANDS LÄN</t>
        </is>
      </c>
      <c r="E1347" t="inlineStr">
        <is>
          <t>ARBOGA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47514-2020</t>
        </is>
      </c>
      <c r="B1348" s="1" t="n">
        <v>44098</v>
      </c>
      <c r="C1348" s="1" t="n">
        <v>45345</v>
      </c>
      <c r="D1348" t="inlineStr">
        <is>
          <t>VÄSTMANLANDS LÄN</t>
        </is>
      </c>
      <c r="E1348" t="inlineStr">
        <is>
          <t>NORBERG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47801-2020</t>
        </is>
      </c>
      <c r="B1349" s="1" t="n">
        <v>44098</v>
      </c>
      <c r="C1349" s="1" t="n">
        <v>45345</v>
      </c>
      <c r="D1349" t="inlineStr">
        <is>
          <t>VÄSTMANLANDS LÄN</t>
        </is>
      </c>
      <c r="E1349" t="inlineStr">
        <is>
          <t>SKINNSKATTEBERG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47806-2020</t>
        </is>
      </c>
      <c r="B1350" s="1" t="n">
        <v>44098</v>
      </c>
      <c r="C1350" s="1" t="n">
        <v>45345</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47803-2020</t>
        </is>
      </c>
      <c r="B1351" s="1" t="n">
        <v>44098</v>
      </c>
      <c r="C1351" s="1" t="n">
        <v>45345</v>
      </c>
      <c r="D1351" t="inlineStr">
        <is>
          <t>VÄSTMANLANDS LÄN</t>
        </is>
      </c>
      <c r="E1351" t="inlineStr">
        <is>
          <t>SKINNSKATTEBERG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47795-2020</t>
        </is>
      </c>
      <c r="B1352" s="1" t="n">
        <v>44098</v>
      </c>
      <c r="C1352" s="1" t="n">
        <v>45345</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47805-2020</t>
        </is>
      </c>
      <c r="B1353" s="1" t="n">
        <v>44098</v>
      </c>
      <c r="C1353" s="1" t="n">
        <v>45345</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47813-2020</t>
        </is>
      </c>
      <c r="B1354" s="1" t="n">
        <v>44098</v>
      </c>
      <c r="C1354" s="1" t="n">
        <v>45345</v>
      </c>
      <c r="D1354" t="inlineStr">
        <is>
          <t>VÄSTMANLANDS LÄN</t>
        </is>
      </c>
      <c r="E1354" t="inlineStr">
        <is>
          <t>SKINNSKATTEBERG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47754-2020</t>
        </is>
      </c>
      <c r="B1355" s="1" t="n">
        <v>44098</v>
      </c>
      <c r="C1355" s="1" t="n">
        <v>45345</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47804-2020</t>
        </is>
      </c>
      <c r="B1356" s="1" t="n">
        <v>44098</v>
      </c>
      <c r="C1356" s="1" t="n">
        <v>45345</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47810-2020</t>
        </is>
      </c>
      <c r="B1357" s="1" t="n">
        <v>44098</v>
      </c>
      <c r="C1357" s="1" t="n">
        <v>45345</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47807-2020</t>
        </is>
      </c>
      <c r="B1358" s="1" t="n">
        <v>44098</v>
      </c>
      <c r="C1358" s="1" t="n">
        <v>45345</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47944-2020</t>
        </is>
      </c>
      <c r="B1359" s="1" t="n">
        <v>44099</v>
      </c>
      <c r="C1359" s="1" t="n">
        <v>45345</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47964-2020</t>
        </is>
      </c>
      <c r="B1360" s="1" t="n">
        <v>44099</v>
      </c>
      <c r="C1360" s="1" t="n">
        <v>45345</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47997-2020</t>
        </is>
      </c>
      <c r="B1361" s="1" t="n">
        <v>44099</v>
      </c>
      <c r="C1361" s="1" t="n">
        <v>45345</v>
      </c>
      <c r="D1361" t="inlineStr">
        <is>
          <t>VÄSTMANLANDS LÄN</t>
        </is>
      </c>
      <c r="E1361" t="inlineStr">
        <is>
          <t>SURAHAMMAR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48084-2020</t>
        </is>
      </c>
      <c r="B1362" s="1" t="n">
        <v>44100</v>
      </c>
      <c r="C1362" s="1" t="n">
        <v>45345</v>
      </c>
      <c r="D1362" t="inlineStr">
        <is>
          <t>VÄSTMANLANDS LÄN</t>
        </is>
      </c>
      <c r="E1362" t="inlineStr">
        <is>
          <t>SKINNSKATTEBERG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48108-2020</t>
        </is>
      </c>
      <c r="B1363" s="1" t="n">
        <v>44101</v>
      </c>
      <c r="C1363" s="1" t="n">
        <v>45345</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48622-2020</t>
        </is>
      </c>
      <c r="B1364" s="1" t="n">
        <v>44103</v>
      </c>
      <c r="C1364" s="1" t="n">
        <v>45345</v>
      </c>
      <c r="D1364" t="inlineStr">
        <is>
          <t>VÄSTMANLANDS LÄN</t>
        </is>
      </c>
      <c r="E1364" t="inlineStr">
        <is>
          <t>ARBOGA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49554-2020</t>
        </is>
      </c>
      <c r="B1365" s="1" t="n">
        <v>44103</v>
      </c>
      <c r="C1365" s="1" t="n">
        <v>45345</v>
      </c>
      <c r="D1365" t="inlineStr">
        <is>
          <t>VÄSTMANLANDS LÄN</t>
        </is>
      </c>
      <c r="E1365" t="inlineStr">
        <is>
          <t>SKINNSKATTEBERG</t>
        </is>
      </c>
      <c r="G1365" t="n">
        <v>21.8</v>
      </c>
      <c r="H1365" t="n">
        <v>0</v>
      </c>
      <c r="I1365" t="n">
        <v>0</v>
      </c>
      <c r="J1365" t="n">
        <v>0</v>
      </c>
      <c r="K1365" t="n">
        <v>0</v>
      </c>
      <c r="L1365" t="n">
        <v>0</v>
      </c>
      <c r="M1365" t="n">
        <v>0</v>
      </c>
      <c r="N1365" t="n">
        <v>0</v>
      </c>
      <c r="O1365" t="n">
        <v>0</v>
      </c>
      <c r="P1365" t="n">
        <v>0</v>
      </c>
      <c r="Q1365" t="n">
        <v>0</v>
      </c>
      <c r="R1365" s="2" t="inlineStr"/>
    </row>
    <row r="1366" ht="15" customHeight="1">
      <c r="A1366" t="inlineStr">
        <is>
          <t>A 49113-2020</t>
        </is>
      </c>
      <c r="B1366" s="1" t="n">
        <v>44104</v>
      </c>
      <c r="C1366" s="1" t="n">
        <v>45345</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49112-2020</t>
        </is>
      </c>
      <c r="B1367" s="1" t="n">
        <v>44104</v>
      </c>
      <c r="C1367" s="1" t="n">
        <v>45345</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49111-2020</t>
        </is>
      </c>
      <c r="B1368" s="1" t="n">
        <v>44104</v>
      </c>
      <c r="C1368" s="1" t="n">
        <v>45345</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49115-2020</t>
        </is>
      </c>
      <c r="B1369" s="1" t="n">
        <v>44104</v>
      </c>
      <c r="C1369" s="1" t="n">
        <v>45345</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49117-2020</t>
        </is>
      </c>
      <c r="B1370" s="1" t="n">
        <v>44104</v>
      </c>
      <c r="C1370" s="1" t="n">
        <v>45345</v>
      </c>
      <c r="D1370" t="inlineStr">
        <is>
          <t>VÄSTMANLANDS LÄN</t>
        </is>
      </c>
      <c r="E1370" t="inlineStr">
        <is>
          <t>SKINNSKATTEBERG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49110-2020</t>
        </is>
      </c>
      <c r="B1371" s="1" t="n">
        <v>44104</v>
      </c>
      <c r="C1371" s="1" t="n">
        <v>45345</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49114-2020</t>
        </is>
      </c>
      <c r="B1372" s="1" t="n">
        <v>44104</v>
      </c>
      <c r="C1372" s="1" t="n">
        <v>45345</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49373-2020</t>
        </is>
      </c>
      <c r="B1373" s="1" t="n">
        <v>44105</v>
      </c>
      <c r="C1373" s="1" t="n">
        <v>45345</v>
      </c>
      <c r="D1373" t="inlineStr">
        <is>
          <t>VÄSTMANLANDS LÄN</t>
        </is>
      </c>
      <c r="E1373" t="inlineStr">
        <is>
          <t>ARBOGA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50172-2020</t>
        </is>
      </c>
      <c r="B1374" s="1" t="n">
        <v>44109</v>
      </c>
      <c r="C1374" s="1" t="n">
        <v>45345</v>
      </c>
      <c r="D1374" t="inlineStr">
        <is>
          <t>VÄSTMANLANDS LÄN</t>
        </is>
      </c>
      <c r="E1374" t="inlineStr">
        <is>
          <t>SKINNSKATTEBERG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50357-2020</t>
        </is>
      </c>
      <c r="B1375" s="1" t="n">
        <v>44110</v>
      </c>
      <c r="C1375" s="1" t="n">
        <v>45345</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50360-2020</t>
        </is>
      </c>
      <c r="B1376" s="1" t="n">
        <v>44110</v>
      </c>
      <c r="C1376" s="1" t="n">
        <v>45345</v>
      </c>
      <c r="D1376" t="inlineStr">
        <is>
          <t>VÄSTMANLANDS LÄN</t>
        </is>
      </c>
      <c r="E1376" t="inlineStr">
        <is>
          <t>KÖPING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50559-2020</t>
        </is>
      </c>
      <c r="B1377" s="1" t="n">
        <v>44110</v>
      </c>
      <c r="C1377" s="1" t="n">
        <v>45345</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50801-2020</t>
        </is>
      </c>
      <c r="B1378" s="1" t="n">
        <v>44111</v>
      </c>
      <c r="C1378" s="1" t="n">
        <v>45345</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50818-2020</t>
        </is>
      </c>
      <c r="B1379" s="1" t="n">
        <v>44111</v>
      </c>
      <c r="C1379" s="1" t="n">
        <v>45345</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50866-2020</t>
        </is>
      </c>
      <c r="B1380" s="1" t="n">
        <v>44111</v>
      </c>
      <c r="C1380" s="1" t="n">
        <v>45345</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51349-2020</t>
        </is>
      </c>
      <c r="B1381" s="1" t="n">
        <v>44112</v>
      </c>
      <c r="C1381" s="1" t="n">
        <v>45345</v>
      </c>
      <c r="D1381" t="inlineStr">
        <is>
          <t>VÄSTMANLANDS LÄN</t>
        </is>
      </c>
      <c r="E1381" t="inlineStr">
        <is>
          <t>KÖPING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51350-2020</t>
        </is>
      </c>
      <c r="B1382" s="1" t="n">
        <v>44112</v>
      </c>
      <c r="C1382" s="1" t="n">
        <v>45345</v>
      </c>
      <c r="D1382" t="inlineStr">
        <is>
          <t>VÄSTMANLANDS LÄN</t>
        </is>
      </c>
      <c r="E1382" t="inlineStr">
        <is>
          <t>KÖPING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51624-2020</t>
        </is>
      </c>
      <c r="B1383" s="1" t="n">
        <v>44113</v>
      </c>
      <c r="C1383" s="1" t="n">
        <v>45345</v>
      </c>
      <c r="D1383" t="inlineStr">
        <is>
          <t>VÄSTMANLANDS LÄN</t>
        </is>
      </c>
      <c r="E1383" t="inlineStr">
        <is>
          <t>FAGERSTA</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51489-2020</t>
        </is>
      </c>
      <c r="B1384" s="1" t="n">
        <v>44113</v>
      </c>
      <c r="C1384" s="1" t="n">
        <v>45345</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51618-2020</t>
        </is>
      </c>
      <c r="B1385" s="1" t="n">
        <v>44113</v>
      </c>
      <c r="C1385" s="1" t="n">
        <v>45345</v>
      </c>
      <c r="D1385" t="inlineStr">
        <is>
          <t>VÄSTMANLANDS LÄN</t>
        </is>
      </c>
      <c r="E1385" t="inlineStr">
        <is>
          <t>FAGERSTA</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51634-2020</t>
        </is>
      </c>
      <c r="B1386" s="1" t="n">
        <v>44113</v>
      </c>
      <c r="C1386" s="1" t="n">
        <v>45345</v>
      </c>
      <c r="D1386" t="inlineStr">
        <is>
          <t>VÄSTMANLANDS LÄN</t>
        </is>
      </c>
      <c r="E1386" t="inlineStr">
        <is>
          <t>FAGERSTA</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51607-2020</t>
        </is>
      </c>
      <c r="B1387" s="1" t="n">
        <v>44113</v>
      </c>
      <c r="C1387" s="1" t="n">
        <v>45345</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52016-2020</t>
        </is>
      </c>
      <c r="B1388" s="1" t="n">
        <v>44116</v>
      </c>
      <c r="C1388" s="1" t="n">
        <v>45345</v>
      </c>
      <c r="D1388" t="inlineStr">
        <is>
          <t>VÄSTMANLANDS LÄN</t>
        </is>
      </c>
      <c r="E1388" t="inlineStr">
        <is>
          <t>VÄSTERÅS</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51975-2020</t>
        </is>
      </c>
      <c r="B1389" s="1" t="n">
        <v>44116</v>
      </c>
      <c r="C1389" s="1" t="n">
        <v>45345</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52006-2020</t>
        </is>
      </c>
      <c r="B1390" s="1" t="n">
        <v>44116</v>
      </c>
      <c r="C1390" s="1" t="n">
        <v>45345</v>
      </c>
      <c r="D1390" t="inlineStr">
        <is>
          <t>VÄSTMANLANDS LÄN</t>
        </is>
      </c>
      <c r="E1390" t="inlineStr">
        <is>
          <t>NORBERG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52084-2020</t>
        </is>
      </c>
      <c r="B1391" s="1" t="n">
        <v>44117</v>
      </c>
      <c r="C1391" s="1" t="n">
        <v>45345</v>
      </c>
      <c r="D1391" t="inlineStr">
        <is>
          <t>VÄSTMANLANDS LÄN</t>
        </is>
      </c>
      <c r="E1391" t="inlineStr">
        <is>
          <t>SKINNSKATTEBERG</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52076-2020</t>
        </is>
      </c>
      <c r="B1392" s="1" t="n">
        <v>44117</v>
      </c>
      <c r="C1392" s="1" t="n">
        <v>45345</v>
      </c>
      <c r="D1392" t="inlineStr">
        <is>
          <t>VÄSTMANLANDS LÄN</t>
        </is>
      </c>
      <c r="E1392" t="inlineStr">
        <is>
          <t>SURAHAMMAR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52074-2020</t>
        </is>
      </c>
      <c r="B1393" s="1" t="n">
        <v>44117</v>
      </c>
      <c r="C1393" s="1" t="n">
        <v>45345</v>
      </c>
      <c r="D1393" t="inlineStr">
        <is>
          <t>VÄSTMANLANDS LÄN</t>
        </is>
      </c>
      <c r="E1393" t="inlineStr">
        <is>
          <t>SURAHAMMAR</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52289-2020</t>
        </is>
      </c>
      <c r="B1394" s="1" t="n">
        <v>44117</v>
      </c>
      <c r="C1394" s="1" t="n">
        <v>45345</v>
      </c>
      <c r="D1394" t="inlineStr">
        <is>
          <t>VÄSTMANLANDS LÄN</t>
        </is>
      </c>
      <c r="E1394" t="inlineStr">
        <is>
          <t>KÖPING</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53224-2020</t>
        </is>
      </c>
      <c r="B1395" s="1" t="n">
        <v>44123</v>
      </c>
      <c r="C1395" s="1" t="n">
        <v>45345</v>
      </c>
      <c r="D1395" t="inlineStr">
        <is>
          <t>VÄSTMANLANDS LÄN</t>
        </is>
      </c>
      <c r="E1395" t="inlineStr">
        <is>
          <t>VÄSTERÅS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53306-2020</t>
        </is>
      </c>
      <c r="B1396" s="1" t="n">
        <v>44123</v>
      </c>
      <c r="C1396" s="1" t="n">
        <v>45345</v>
      </c>
      <c r="D1396" t="inlineStr">
        <is>
          <t>VÄSTMANLANDS LÄN</t>
        </is>
      </c>
      <c r="E1396" t="inlineStr">
        <is>
          <t>KÖPING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54117-2020</t>
        </is>
      </c>
      <c r="B1397" s="1" t="n">
        <v>44123</v>
      </c>
      <c r="C1397" s="1" t="n">
        <v>45345</v>
      </c>
      <c r="D1397" t="inlineStr">
        <is>
          <t>VÄSTMANLANDS LÄN</t>
        </is>
      </c>
      <c r="E1397" t="inlineStr">
        <is>
          <t>KÖPING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53580-2020</t>
        </is>
      </c>
      <c r="B1398" s="1" t="n">
        <v>44124</v>
      </c>
      <c r="C1398" s="1" t="n">
        <v>45345</v>
      </c>
      <c r="D1398" t="inlineStr">
        <is>
          <t>VÄSTMANLANDS LÄN</t>
        </is>
      </c>
      <c r="E1398" t="inlineStr">
        <is>
          <t>HALLSTAHAMMAR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54276-2020</t>
        </is>
      </c>
      <c r="B1399" s="1" t="n">
        <v>44126</v>
      </c>
      <c r="C1399" s="1" t="n">
        <v>45345</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54322-2020</t>
        </is>
      </c>
      <c r="B1400" s="1" t="n">
        <v>44126</v>
      </c>
      <c r="C1400" s="1" t="n">
        <v>45345</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54423-2020</t>
        </is>
      </c>
      <c r="B1401" s="1" t="n">
        <v>44126</v>
      </c>
      <c r="C1401" s="1" t="n">
        <v>45345</v>
      </c>
      <c r="D1401" t="inlineStr">
        <is>
          <t>VÄSTMANLANDS LÄN</t>
        </is>
      </c>
      <c r="E1401" t="inlineStr">
        <is>
          <t>SKINNSKATTEBERG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54706-2020</t>
        </is>
      </c>
      <c r="B1402" s="1" t="n">
        <v>44127</v>
      </c>
      <c r="C1402" s="1" t="n">
        <v>45345</v>
      </c>
      <c r="D1402" t="inlineStr">
        <is>
          <t>VÄSTMANLANDS LÄN</t>
        </is>
      </c>
      <c r="E1402" t="inlineStr">
        <is>
          <t>KUNGSÖR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54769-2020</t>
        </is>
      </c>
      <c r="B1403" s="1" t="n">
        <v>44127</v>
      </c>
      <c r="C1403" s="1" t="n">
        <v>45345</v>
      </c>
      <c r="D1403" t="inlineStr">
        <is>
          <t>VÄSTMANLANDS LÄN</t>
        </is>
      </c>
      <c r="E1403" t="inlineStr">
        <is>
          <t>KÖPING</t>
        </is>
      </c>
      <c r="F1403" t="inlineStr">
        <is>
          <t>Allmännings- och besparingsskogar</t>
        </is>
      </c>
      <c r="G1403" t="n">
        <v>23.2</v>
      </c>
      <c r="H1403" t="n">
        <v>0</v>
      </c>
      <c r="I1403" t="n">
        <v>0</v>
      </c>
      <c r="J1403" t="n">
        <v>0</v>
      </c>
      <c r="K1403" t="n">
        <v>0</v>
      </c>
      <c r="L1403" t="n">
        <v>0</v>
      </c>
      <c r="M1403" t="n">
        <v>0</v>
      </c>
      <c r="N1403" t="n">
        <v>0</v>
      </c>
      <c r="O1403" t="n">
        <v>0</v>
      </c>
      <c r="P1403" t="n">
        <v>0</v>
      </c>
      <c r="Q1403" t="n">
        <v>0</v>
      </c>
      <c r="R1403" s="2" t="inlineStr"/>
    </row>
    <row r="1404" ht="15" customHeight="1">
      <c r="A1404" t="inlineStr">
        <is>
          <t>A 54923-2020</t>
        </is>
      </c>
      <c r="B1404" s="1" t="n">
        <v>44127</v>
      </c>
      <c r="C1404" s="1" t="n">
        <v>45345</v>
      </c>
      <c r="D1404" t="inlineStr">
        <is>
          <t>VÄSTMANLANDS LÄN</t>
        </is>
      </c>
      <c r="E1404" t="inlineStr">
        <is>
          <t>SALA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54705-2020</t>
        </is>
      </c>
      <c r="B1405" s="1" t="n">
        <v>44127</v>
      </c>
      <c r="C1405" s="1" t="n">
        <v>45345</v>
      </c>
      <c r="D1405" t="inlineStr">
        <is>
          <t>VÄSTMANLANDS LÄN</t>
        </is>
      </c>
      <c r="E1405" t="inlineStr">
        <is>
          <t>KUNGSÖR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54931-2020</t>
        </is>
      </c>
      <c r="B1406" s="1" t="n">
        <v>44127</v>
      </c>
      <c r="C1406" s="1" t="n">
        <v>45345</v>
      </c>
      <c r="D1406" t="inlineStr">
        <is>
          <t>VÄSTMANLANDS LÄN</t>
        </is>
      </c>
      <c r="E1406" t="inlineStr">
        <is>
          <t>SALA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54962-2020</t>
        </is>
      </c>
      <c r="B1407" s="1" t="n">
        <v>44130</v>
      </c>
      <c r="C1407" s="1" t="n">
        <v>45345</v>
      </c>
      <c r="D1407" t="inlineStr">
        <is>
          <t>VÄSTMANLANDS LÄN</t>
        </is>
      </c>
      <c r="E1407" t="inlineStr">
        <is>
          <t>SURAHAMMAR</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54977-2020</t>
        </is>
      </c>
      <c r="B1408" s="1" t="n">
        <v>44130</v>
      </c>
      <c r="C1408" s="1" t="n">
        <v>45345</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55439-2020</t>
        </is>
      </c>
      <c r="B1409" s="1" t="n">
        <v>44130</v>
      </c>
      <c r="C1409" s="1" t="n">
        <v>45345</v>
      </c>
      <c r="D1409" t="inlineStr">
        <is>
          <t>VÄSTMANLANDS LÄN</t>
        </is>
      </c>
      <c r="E1409" t="inlineStr">
        <is>
          <t>SALA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55397-2020</t>
        </is>
      </c>
      <c r="B1410" s="1" t="n">
        <v>44131</v>
      </c>
      <c r="C1410" s="1" t="n">
        <v>45345</v>
      </c>
      <c r="D1410" t="inlineStr">
        <is>
          <t>VÄSTMANLANDS LÄN</t>
        </is>
      </c>
      <c r="E1410" t="inlineStr">
        <is>
          <t>SURAHAMMAR</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55881-2020</t>
        </is>
      </c>
      <c r="B1411" s="1" t="n">
        <v>44132</v>
      </c>
      <c r="C1411" s="1" t="n">
        <v>45345</v>
      </c>
      <c r="D1411" t="inlineStr">
        <is>
          <t>VÄSTMANLANDS LÄN</t>
        </is>
      </c>
      <c r="E1411" t="inlineStr">
        <is>
          <t>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56134-2020</t>
        </is>
      </c>
      <c r="B1412" s="1" t="n">
        <v>44132</v>
      </c>
      <c r="C1412" s="1" t="n">
        <v>45345</v>
      </c>
      <c r="D1412" t="inlineStr">
        <is>
          <t>VÄSTMANLANDS LÄN</t>
        </is>
      </c>
      <c r="E1412" t="inlineStr">
        <is>
          <t>SALA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56098-2020</t>
        </is>
      </c>
      <c r="B1413" s="1" t="n">
        <v>44132</v>
      </c>
      <c r="C1413" s="1" t="n">
        <v>45345</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56513-2020</t>
        </is>
      </c>
      <c r="B1414" s="1" t="n">
        <v>44137</v>
      </c>
      <c r="C1414" s="1" t="n">
        <v>45345</v>
      </c>
      <c r="D1414" t="inlineStr">
        <is>
          <t>VÄSTMANLANDS LÄN</t>
        </is>
      </c>
      <c r="E1414" t="inlineStr">
        <is>
          <t>VÄSTERÅS</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56446-2020</t>
        </is>
      </c>
      <c r="B1415" s="1" t="n">
        <v>44137</v>
      </c>
      <c r="C1415" s="1" t="n">
        <v>45345</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57629-2020</t>
        </is>
      </c>
      <c r="B1416" s="1" t="n">
        <v>44140</v>
      </c>
      <c r="C1416" s="1" t="n">
        <v>45345</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57800-2020</t>
        </is>
      </c>
      <c r="B1417" s="1" t="n">
        <v>44141</v>
      </c>
      <c r="C1417" s="1" t="n">
        <v>45345</v>
      </c>
      <c r="D1417" t="inlineStr">
        <is>
          <t>VÄSTMANLANDS LÄN</t>
        </is>
      </c>
      <c r="E1417" t="inlineStr">
        <is>
          <t>SALA</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57923-2020</t>
        </is>
      </c>
      <c r="B1418" s="1" t="n">
        <v>44141</v>
      </c>
      <c r="C1418" s="1" t="n">
        <v>45345</v>
      </c>
      <c r="D1418" t="inlineStr">
        <is>
          <t>VÄSTMANLANDS LÄN</t>
        </is>
      </c>
      <c r="E1418" t="inlineStr">
        <is>
          <t>SKINNSKATTEBERG</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57979-2020</t>
        </is>
      </c>
      <c r="B1419" s="1" t="n">
        <v>44143</v>
      </c>
      <c r="C1419" s="1" t="n">
        <v>45345</v>
      </c>
      <c r="D1419" t="inlineStr">
        <is>
          <t>VÄSTMANLANDS LÄN</t>
        </is>
      </c>
      <c r="E1419" t="inlineStr">
        <is>
          <t>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58008-2020</t>
        </is>
      </c>
      <c r="B1420" s="1" t="n">
        <v>44144</v>
      </c>
      <c r="C1420" s="1" t="n">
        <v>45345</v>
      </c>
      <c r="D1420" t="inlineStr">
        <is>
          <t>VÄSTMANLANDS LÄN</t>
        </is>
      </c>
      <c r="E1420" t="inlineStr">
        <is>
          <t>SKINNSKATTEBERG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58015-2020</t>
        </is>
      </c>
      <c r="B1421" s="1" t="n">
        <v>44144</v>
      </c>
      <c r="C1421" s="1" t="n">
        <v>45345</v>
      </c>
      <c r="D1421" t="inlineStr">
        <is>
          <t>VÄSTMANLANDS LÄN</t>
        </is>
      </c>
      <c r="E1421" t="inlineStr">
        <is>
          <t>SKINNSKATTEBERG</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58139-2020</t>
        </is>
      </c>
      <c r="B1422" s="1" t="n">
        <v>44144</v>
      </c>
      <c r="C1422" s="1" t="n">
        <v>45345</v>
      </c>
      <c r="D1422" t="inlineStr">
        <is>
          <t>VÄSTMANLANDS LÄN</t>
        </is>
      </c>
      <c r="E1422" t="inlineStr">
        <is>
          <t>HALLSTAHAMMAR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58040-2020</t>
        </is>
      </c>
      <c r="B1423" s="1" t="n">
        <v>44144</v>
      </c>
      <c r="C1423" s="1" t="n">
        <v>45345</v>
      </c>
      <c r="D1423" t="inlineStr">
        <is>
          <t>VÄSTMANLANDS LÄN</t>
        </is>
      </c>
      <c r="E1423" t="inlineStr">
        <is>
          <t>KUNGSÖR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58314-2020</t>
        </is>
      </c>
      <c r="B1424" s="1" t="n">
        <v>44145</v>
      </c>
      <c r="C1424" s="1" t="n">
        <v>45345</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58494-2020</t>
        </is>
      </c>
      <c r="B1425" s="1" t="n">
        <v>44145</v>
      </c>
      <c r="C1425" s="1" t="n">
        <v>45345</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58734-2020</t>
        </is>
      </c>
      <c r="B1426" s="1" t="n">
        <v>44146</v>
      </c>
      <c r="C1426" s="1" t="n">
        <v>45345</v>
      </c>
      <c r="D1426" t="inlineStr">
        <is>
          <t>VÄSTMANLANDS LÄN</t>
        </is>
      </c>
      <c r="E1426" t="inlineStr">
        <is>
          <t>SKINNSKATTEBERG</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58737-2020</t>
        </is>
      </c>
      <c r="B1427" s="1" t="n">
        <v>44146</v>
      </c>
      <c r="C1427" s="1" t="n">
        <v>45345</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58781-2020</t>
        </is>
      </c>
      <c r="B1428" s="1" t="n">
        <v>44146</v>
      </c>
      <c r="C1428" s="1" t="n">
        <v>45345</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58912-2020</t>
        </is>
      </c>
      <c r="B1429" s="1" t="n">
        <v>44146</v>
      </c>
      <c r="C1429" s="1" t="n">
        <v>45345</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59165-2020</t>
        </is>
      </c>
      <c r="B1430" s="1" t="n">
        <v>44147</v>
      </c>
      <c r="C1430" s="1" t="n">
        <v>45345</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59395-2020</t>
        </is>
      </c>
      <c r="B1431" s="1" t="n">
        <v>44147</v>
      </c>
      <c r="C1431" s="1" t="n">
        <v>45345</v>
      </c>
      <c r="D1431" t="inlineStr">
        <is>
          <t>VÄSTMANLANDS LÄN</t>
        </is>
      </c>
      <c r="E1431" t="inlineStr">
        <is>
          <t>SKINNSKATTEBERG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59512-2020</t>
        </is>
      </c>
      <c r="B1432" s="1" t="n">
        <v>44148</v>
      </c>
      <c r="C1432" s="1" t="n">
        <v>45345</v>
      </c>
      <c r="D1432" t="inlineStr">
        <is>
          <t>VÄSTMANLANDS LÄN</t>
        </is>
      </c>
      <c r="E1432" t="inlineStr">
        <is>
          <t>VÄSTERÅS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59543-2020</t>
        </is>
      </c>
      <c r="B1433" s="1" t="n">
        <v>44148</v>
      </c>
      <c r="C1433" s="1" t="n">
        <v>45345</v>
      </c>
      <c r="D1433" t="inlineStr">
        <is>
          <t>VÄSTMANLANDS LÄN</t>
        </is>
      </c>
      <c r="E1433" t="inlineStr">
        <is>
          <t>SURAHAMMAR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59740-2020</t>
        </is>
      </c>
      <c r="B1434" s="1" t="n">
        <v>44151</v>
      </c>
      <c r="C1434" s="1" t="n">
        <v>45345</v>
      </c>
      <c r="D1434" t="inlineStr">
        <is>
          <t>VÄSTMANLANDS LÄN</t>
        </is>
      </c>
      <c r="E1434" t="inlineStr">
        <is>
          <t>SURAHAMMAR</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59727-2020</t>
        </is>
      </c>
      <c r="B1435" s="1" t="n">
        <v>44151</v>
      </c>
      <c r="C1435" s="1" t="n">
        <v>45345</v>
      </c>
      <c r="D1435" t="inlineStr">
        <is>
          <t>VÄSTMANLANDS LÄN</t>
        </is>
      </c>
      <c r="E1435" t="inlineStr">
        <is>
          <t>SURAHAMMAR</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60161-2020</t>
        </is>
      </c>
      <c r="B1436" s="1" t="n">
        <v>44151</v>
      </c>
      <c r="C1436" s="1" t="n">
        <v>45345</v>
      </c>
      <c r="D1436" t="inlineStr">
        <is>
          <t>VÄSTMANLANDS LÄN</t>
        </is>
      </c>
      <c r="E1436" t="inlineStr">
        <is>
          <t>NORBERG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60442-2020</t>
        </is>
      </c>
      <c r="B1437" s="1" t="n">
        <v>44151</v>
      </c>
      <c r="C1437" s="1" t="n">
        <v>45345</v>
      </c>
      <c r="D1437" t="inlineStr">
        <is>
          <t>VÄSTMANLANDS LÄN</t>
        </is>
      </c>
      <c r="E1437" t="inlineStr">
        <is>
          <t>NORBERG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60363-2020</t>
        </is>
      </c>
      <c r="B1438" s="1" t="n">
        <v>44152</v>
      </c>
      <c r="C1438" s="1" t="n">
        <v>45345</v>
      </c>
      <c r="D1438" t="inlineStr">
        <is>
          <t>VÄSTMANLANDS LÄN</t>
        </is>
      </c>
      <c r="E1438" t="inlineStr">
        <is>
          <t>VÄSTERÅS</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60134-2020</t>
        </is>
      </c>
      <c r="B1439" s="1" t="n">
        <v>44152</v>
      </c>
      <c r="C1439" s="1" t="n">
        <v>45345</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c r="U1439">
        <f>HYPERLINK("https://klasma.github.io/Logging_1904/knärot/A 60134-2020 karta knärot.png", "A 60134-2020")</f>
        <v/>
      </c>
      <c r="V1439">
        <f>HYPERLINK("https://klasma.github.io/Logging_1904/klagomål/A 60134-2020 FSC-klagomål.docx", "A 60134-2020")</f>
        <v/>
      </c>
      <c r="W1439">
        <f>HYPERLINK("https://klasma.github.io/Logging_1904/klagomålsmail/A 60134-2020 FSC-klagomål mail.docx", "A 60134-2020")</f>
        <v/>
      </c>
      <c r="X1439">
        <f>HYPERLINK("https://klasma.github.io/Logging_1904/tillsyn/A 60134-2020 tillsynsbegäran.docx", "A 60134-2020")</f>
        <v/>
      </c>
      <c r="Y1439">
        <f>HYPERLINK("https://klasma.github.io/Logging_1904/tillsynsmail/A 60134-2020 tillsynsbegäran mail.docx", "A 60134-2020")</f>
        <v/>
      </c>
    </row>
    <row r="1440" ht="15" customHeight="1">
      <c r="A1440" t="inlineStr">
        <is>
          <t>A 60355-2020</t>
        </is>
      </c>
      <c r="B1440" s="1" t="n">
        <v>44152</v>
      </c>
      <c r="C1440" s="1" t="n">
        <v>45345</v>
      </c>
      <c r="D1440" t="inlineStr">
        <is>
          <t>VÄSTMANLANDS LÄN</t>
        </is>
      </c>
      <c r="E1440" t="inlineStr">
        <is>
          <t>VÄSTERÅS</t>
        </is>
      </c>
      <c r="F1440" t="inlineStr">
        <is>
          <t>Övriga Aktiebolag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60555-2020</t>
        </is>
      </c>
      <c r="B1441" s="1" t="n">
        <v>44153</v>
      </c>
      <c r="C1441" s="1" t="n">
        <v>45345</v>
      </c>
      <c r="D1441" t="inlineStr">
        <is>
          <t>VÄSTMANLANDS LÄN</t>
        </is>
      </c>
      <c r="E1441" t="inlineStr">
        <is>
          <t>VÄSTERÅS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60797-2020</t>
        </is>
      </c>
      <c r="B1442" s="1" t="n">
        <v>44154</v>
      </c>
      <c r="C1442" s="1" t="n">
        <v>45345</v>
      </c>
      <c r="D1442" t="inlineStr">
        <is>
          <t>VÄSTMANLANDS LÄN</t>
        </is>
      </c>
      <c r="E1442" t="inlineStr">
        <is>
          <t>SKINNSKATTEBERG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61327-2020</t>
        </is>
      </c>
      <c r="B1443" s="1" t="n">
        <v>44155</v>
      </c>
      <c r="C1443" s="1" t="n">
        <v>45345</v>
      </c>
      <c r="D1443" t="inlineStr">
        <is>
          <t>VÄSTMANLANDS LÄN</t>
        </is>
      </c>
      <c r="E1443" t="inlineStr">
        <is>
          <t>VÄSTERÅS</t>
        </is>
      </c>
      <c r="F1443" t="inlineStr">
        <is>
          <t>Övriga statliga verk och myndigheter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61201-2020</t>
        </is>
      </c>
      <c r="B1444" s="1" t="n">
        <v>44155</v>
      </c>
      <c r="C1444" s="1" t="n">
        <v>45345</v>
      </c>
      <c r="D1444" t="inlineStr">
        <is>
          <t>VÄSTMANLANDS LÄN</t>
        </is>
      </c>
      <c r="E1444" t="inlineStr">
        <is>
          <t>KÖPING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61202-2020</t>
        </is>
      </c>
      <c r="B1445" s="1" t="n">
        <v>44155</v>
      </c>
      <c r="C1445" s="1" t="n">
        <v>45345</v>
      </c>
      <c r="D1445" t="inlineStr">
        <is>
          <t>VÄSTMANLANDS LÄN</t>
        </is>
      </c>
      <c r="E1445" t="inlineStr">
        <is>
          <t>KÖPING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61415-2020</t>
        </is>
      </c>
      <c r="B1446" s="1" t="n">
        <v>44156</v>
      </c>
      <c r="C1446" s="1" t="n">
        <v>45345</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62275-2020</t>
        </is>
      </c>
      <c r="B1447" s="1" t="n">
        <v>44158</v>
      </c>
      <c r="C1447" s="1" t="n">
        <v>45345</v>
      </c>
      <c r="D1447" t="inlineStr">
        <is>
          <t>VÄSTMANLANDS LÄN</t>
        </is>
      </c>
      <c r="E1447" t="inlineStr">
        <is>
          <t>SALA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61858-2020</t>
        </is>
      </c>
      <c r="B1448" s="1" t="n">
        <v>44159</v>
      </c>
      <c r="C1448" s="1" t="n">
        <v>45345</v>
      </c>
      <c r="D1448" t="inlineStr">
        <is>
          <t>VÄSTMANLANDS LÄN</t>
        </is>
      </c>
      <c r="E1448" t="inlineStr">
        <is>
          <t>VÄSTERÅS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62395-2020</t>
        </is>
      </c>
      <c r="B1449" s="1" t="n">
        <v>44160</v>
      </c>
      <c r="C1449" s="1" t="n">
        <v>45345</v>
      </c>
      <c r="D1449" t="inlineStr">
        <is>
          <t>VÄSTMANLANDS LÄN</t>
        </is>
      </c>
      <c r="E1449" t="inlineStr">
        <is>
          <t>SKINNSKATTEBERG</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62686-2020</t>
        </is>
      </c>
      <c r="B1450" s="1" t="n">
        <v>44161</v>
      </c>
      <c r="C1450" s="1" t="n">
        <v>45345</v>
      </c>
      <c r="D1450" t="inlineStr">
        <is>
          <t>VÄSTMANLANDS LÄN</t>
        </is>
      </c>
      <c r="E1450" t="inlineStr">
        <is>
          <t>FAGERSTA</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62680-2020</t>
        </is>
      </c>
      <c r="B1451" s="1" t="n">
        <v>44161</v>
      </c>
      <c r="C1451" s="1" t="n">
        <v>45345</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63035-2020</t>
        </is>
      </c>
      <c r="B1452" s="1" t="n">
        <v>44162</v>
      </c>
      <c r="C1452" s="1" t="n">
        <v>45345</v>
      </c>
      <c r="D1452" t="inlineStr">
        <is>
          <t>VÄSTMANLANDS LÄN</t>
        </is>
      </c>
      <c r="E1452" t="inlineStr">
        <is>
          <t>VÄSTERÅS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63718-2020</t>
        </is>
      </c>
      <c r="B1453" s="1" t="n">
        <v>44162</v>
      </c>
      <c r="C1453" s="1" t="n">
        <v>45345</v>
      </c>
      <c r="D1453" t="inlineStr">
        <is>
          <t>VÄSTMANLANDS LÄN</t>
        </is>
      </c>
      <c r="E1453" t="inlineStr">
        <is>
          <t>NORBERG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63346-2020</t>
        </is>
      </c>
      <c r="B1454" s="1" t="n">
        <v>44165</v>
      </c>
      <c r="C1454" s="1" t="n">
        <v>45345</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63318-2020</t>
        </is>
      </c>
      <c r="B1455" s="1" t="n">
        <v>44165</v>
      </c>
      <c r="C1455" s="1" t="n">
        <v>45345</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63457-2020</t>
        </is>
      </c>
      <c r="B1456" s="1" t="n">
        <v>44165</v>
      </c>
      <c r="C1456" s="1" t="n">
        <v>45345</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64317-2020</t>
        </is>
      </c>
      <c r="B1457" s="1" t="n">
        <v>44167</v>
      </c>
      <c r="C1457" s="1" t="n">
        <v>45345</v>
      </c>
      <c r="D1457" t="inlineStr">
        <is>
          <t>VÄSTMANLANDS LÄN</t>
        </is>
      </c>
      <c r="E1457" t="inlineStr">
        <is>
          <t>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64251-2020</t>
        </is>
      </c>
      <c r="B1458" s="1" t="n">
        <v>44168</v>
      </c>
      <c r="C1458" s="1" t="n">
        <v>45345</v>
      </c>
      <c r="D1458" t="inlineStr">
        <is>
          <t>VÄSTMANLANDS LÄN</t>
        </is>
      </c>
      <c r="E1458" t="inlineStr">
        <is>
          <t>KUNGSÖR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64306-2020</t>
        </is>
      </c>
      <c r="B1459" s="1" t="n">
        <v>44168</v>
      </c>
      <c r="C1459" s="1" t="n">
        <v>45345</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64310-2020</t>
        </is>
      </c>
      <c r="B1460" s="1" t="n">
        <v>44168</v>
      </c>
      <c r="C1460" s="1" t="n">
        <v>45345</v>
      </c>
      <c r="D1460" t="inlineStr">
        <is>
          <t>VÄSTMANLANDS LÄN</t>
        </is>
      </c>
      <c r="E1460" t="inlineStr">
        <is>
          <t>FAGERSTA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64314-2020</t>
        </is>
      </c>
      <c r="B1461" s="1" t="n">
        <v>44168</v>
      </c>
      <c r="C1461" s="1" t="n">
        <v>45345</v>
      </c>
      <c r="D1461" t="inlineStr">
        <is>
          <t>VÄSTMANLANDS LÄN</t>
        </is>
      </c>
      <c r="E1461" t="inlineStr">
        <is>
          <t>ARBOGA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64464-2020</t>
        </is>
      </c>
      <c r="B1462" s="1" t="n">
        <v>44168</v>
      </c>
      <c r="C1462" s="1" t="n">
        <v>45345</v>
      </c>
      <c r="D1462" t="inlineStr">
        <is>
          <t>VÄSTMANLANDS LÄN</t>
        </is>
      </c>
      <c r="E1462" t="inlineStr">
        <is>
          <t>SKINNSKATTEBERG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64853-2020</t>
        </is>
      </c>
      <c r="B1463" s="1" t="n">
        <v>44171</v>
      </c>
      <c r="C1463" s="1" t="n">
        <v>45345</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64885-2020</t>
        </is>
      </c>
      <c r="B1464" s="1" t="n">
        <v>44171</v>
      </c>
      <c r="C1464" s="1" t="n">
        <v>45345</v>
      </c>
      <c r="D1464" t="inlineStr">
        <is>
          <t>VÄSTMANLANDS LÄN</t>
        </is>
      </c>
      <c r="E1464" t="inlineStr">
        <is>
          <t>NORBERG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64940-2020</t>
        </is>
      </c>
      <c r="B1465" s="1" t="n">
        <v>44172</v>
      </c>
      <c r="C1465" s="1" t="n">
        <v>45345</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65193-2020</t>
        </is>
      </c>
      <c r="B1466" s="1" t="n">
        <v>44172</v>
      </c>
      <c r="C1466" s="1" t="n">
        <v>45345</v>
      </c>
      <c r="D1466" t="inlineStr">
        <is>
          <t>VÄSTMANLANDS LÄN</t>
        </is>
      </c>
      <c r="E1466" t="inlineStr">
        <is>
          <t>KÖPING</t>
        </is>
      </c>
      <c r="F1466" t="inlineStr">
        <is>
          <t>Sveaskog</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65113-2020</t>
        </is>
      </c>
      <c r="B1467" s="1" t="n">
        <v>44172</v>
      </c>
      <c r="C1467" s="1" t="n">
        <v>45345</v>
      </c>
      <c r="D1467" t="inlineStr">
        <is>
          <t>VÄSTMANLANDS LÄN</t>
        </is>
      </c>
      <c r="E1467" t="inlineStr">
        <is>
          <t>FAGERSTA</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65829-2020</t>
        </is>
      </c>
      <c r="B1468" s="1" t="n">
        <v>44172</v>
      </c>
      <c r="C1468" s="1" t="n">
        <v>45345</v>
      </c>
      <c r="D1468" t="inlineStr">
        <is>
          <t>VÄSTMANLANDS LÄN</t>
        </is>
      </c>
      <c r="E1468" t="inlineStr">
        <is>
          <t>FAGERSTA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65521-2020</t>
        </is>
      </c>
      <c r="B1469" s="1" t="n">
        <v>44173</v>
      </c>
      <c r="C1469" s="1" t="n">
        <v>45345</v>
      </c>
      <c r="D1469" t="inlineStr">
        <is>
          <t>VÄSTMANLANDS LÄN</t>
        </is>
      </c>
      <c r="E1469" t="inlineStr">
        <is>
          <t>SKINNSKATTEBERG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66603-2020</t>
        </is>
      </c>
      <c r="B1470" s="1" t="n">
        <v>44179</v>
      </c>
      <c r="C1470" s="1" t="n">
        <v>45345</v>
      </c>
      <c r="D1470" t="inlineStr">
        <is>
          <t>VÄSTMANLANDS LÄN</t>
        </is>
      </c>
      <c r="E1470" t="inlineStr">
        <is>
          <t>ARBOGA</t>
        </is>
      </c>
      <c r="G1470" t="n">
        <v>16.5</v>
      </c>
      <c r="H1470" t="n">
        <v>0</v>
      </c>
      <c r="I1470" t="n">
        <v>0</v>
      </c>
      <c r="J1470" t="n">
        <v>0</v>
      </c>
      <c r="K1470" t="n">
        <v>0</v>
      </c>
      <c r="L1470" t="n">
        <v>0</v>
      </c>
      <c r="M1470" t="n">
        <v>0</v>
      </c>
      <c r="N1470" t="n">
        <v>0</v>
      </c>
      <c r="O1470" t="n">
        <v>0</v>
      </c>
      <c r="P1470" t="n">
        <v>0</v>
      </c>
      <c r="Q1470" t="n">
        <v>0</v>
      </c>
      <c r="R1470" s="2" t="inlineStr"/>
    </row>
    <row r="1471" ht="15" customHeight="1">
      <c r="A1471" t="inlineStr">
        <is>
          <t>A 66704-2020</t>
        </is>
      </c>
      <c r="B1471" s="1" t="n">
        <v>44179</v>
      </c>
      <c r="C1471" s="1" t="n">
        <v>45345</v>
      </c>
      <c r="D1471" t="inlineStr">
        <is>
          <t>VÄSTMANLANDS LÄN</t>
        </is>
      </c>
      <c r="E1471" t="inlineStr">
        <is>
          <t>SKINNSKATTEBERG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66574-2020</t>
        </is>
      </c>
      <c r="B1472" s="1" t="n">
        <v>44179</v>
      </c>
      <c r="C1472" s="1" t="n">
        <v>45345</v>
      </c>
      <c r="D1472" t="inlineStr">
        <is>
          <t>VÄSTMANLANDS LÄN</t>
        </is>
      </c>
      <c r="E1472" t="inlineStr">
        <is>
          <t>VÄSTERÅS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66595-2020</t>
        </is>
      </c>
      <c r="B1473" s="1" t="n">
        <v>44179</v>
      </c>
      <c r="C1473" s="1" t="n">
        <v>45345</v>
      </c>
      <c r="D1473" t="inlineStr">
        <is>
          <t>VÄSTMANLANDS LÄN</t>
        </is>
      </c>
      <c r="E1473" t="inlineStr">
        <is>
          <t>ARBOGA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66821-2020</t>
        </is>
      </c>
      <c r="B1474" s="1" t="n">
        <v>44179</v>
      </c>
      <c r="C1474" s="1" t="n">
        <v>45345</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66974-2020</t>
        </is>
      </c>
      <c r="B1475" s="1" t="n">
        <v>44180</v>
      </c>
      <c r="C1475" s="1" t="n">
        <v>45345</v>
      </c>
      <c r="D1475" t="inlineStr">
        <is>
          <t>VÄSTMANLANDS LÄN</t>
        </is>
      </c>
      <c r="E1475" t="inlineStr">
        <is>
          <t>KUNGSÖR</t>
        </is>
      </c>
      <c r="F1475" t="inlineStr">
        <is>
          <t>Allmännings- och besparingsskogar</t>
        </is>
      </c>
      <c r="G1475" t="n">
        <v>28.1</v>
      </c>
      <c r="H1475" t="n">
        <v>0</v>
      </c>
      <c r="I1475" t="n">
        <v>0</v>
      </c>
      <c r="J1475" t="n">
        <v>0</v>
      </c>
      <c r="K1475" t="n">
        <v>0</v>
      </c>
      <c r="L1475" t="n">
        <v>0</v>
      </c>
      <c r="M1475" t="n">
        <v>0</v>
      </c>
      <c r="N1475" t="n">
        <v>0</v>
      </c>
      <c r="O1475" t="n">
        <v>0</v>
      </c>
      <c r="P1475" t="n">
        <v>0</v>
      </c>
      <c r="Q1475" t="n">
        <v>0</v>
      </c>
      <c r="R1475" s="2" t="inlineStr"/>
    </row>
    <row r="1476" ht="15" customHeight="1">
      <c r="A1476" t="inlineStr">
        <is>
          <t>A 67005-2020</t>
        </is>
      </c>
      <c r="B1476" s="1" t="n">
        <v>44180</v>
      </c>
      <c r="C1476" s="1" t="n">
        <v>45345</v>
      </c>
      <c r="D1476" t="inlineStr">
        <is>
          <t>VÄSTMANLANDS LÄN</t>
        </is>
      </c>
      <c r="E1476" t="inlineStr">
        <is>
          <t>KÖPING</t>
        </is>
      </c>
      <c r="F1476" t="inlineStr">
        <is>
          <t>Allmännings- och besparingsskogar</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66952-2020</t>
        </is>
      </c>
      <c r="B1477" s="1" t="n">
        <v>44180</v>
      </c>
      <c r="C1477" s="1" t="n">
        <v>45345</v>
      </c>
      <c r="D1477" t="inlineStr">
        <is>
          <t>VÄSTMANLANDS LÄN</t>
        </is>
      </c>
      <c r="E1477" t="inlineStr">
        <is>
          <t>SKINNSKATTEBERG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67943-2020</t>
        </is>
      </c>
      <c r="B1478" s="1" t="n">
        <v>44182</v>
      </c>
      <c r="C1478" s="1" t="n">
        <v>45345</v>
      </c>
      <c r="D1478" t="inlineStr">
        <is>
          <t>VÄSTMANLANDS LÄN</t>
        </is>
      </c>
      <c r="E1478" t="inlineStr">
        <is>
          <t>VÄSTERÅS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68113-2020</t>
        </is>
      </c>
      <c r="B1479" s="1" t="n">
        <v>44182</v>
      </c>
      <c r="C1479" s="1" t="n">
        <v>45345</v>
      </c>
      <c r="D1479" t="inlineStr">
        <is>
          <t>VÄSTMANLANDS LÄN</t>
        </is>
      </c>
      <c r="E1479" t="inlineStr">
        <is>
          <t>SALA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68193-2020</t>
        </is>
      </c>
      <c r="B1480" s="1" t="n">
        <v>44183</v>
      </c>
      <c r="C1480" s="1" t="n">
        <v>45345</v>
      </c>
      <c r="D1480" t="inlineStr">
        <is>
          <t>VÄSTMANLANDS LÄN</t>
        </is>
      </c>
      <c r="E1480" t="inlineStr">
        <is>
          <t>VÄSTERÅS</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68191-2020</t>
        </is>
      </c>
      <c r="B1481" s="1" t="n">
        <v>44183</v>
      </c>
      <c r="C1481" s="1" t="n">
        <v>45345</v>
      </c>
      <c r="D1481" t="inlineStr">
        <is>
          <t>VÄSTMANLANDS LÄN</t>
        </is>
      </c>
      <c r="E1481" t="inlineStr">
        <is>
          <t>VÄSTERÅS</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68513-2020</t>
        </is>
      </c>
      <c r="B1482" s="1" t="n">
        <v>44186</v>
      </c>
      <c r="C1482" s="1" t="n">
        <v>45345</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68531-2020</t>
        </is>
      </c>
      <c r="B1483" s="1" t="n">
        <v>44186</v>
      </c>
      <c r="C1483" s="1" t="n">
        <v>45345</v>
      </c>
      <c r="D1483" t="inlineStr">
        <is>
          <t>VÄSTMANLANDS LÄN</t>
        </is>
      </c>
      <c r="E1483" t="inlineStr">
        <is>
          <t>KÖPING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68824-2020</t>
        </is>
      </c>
      <c r="B1484" s="1" t="n">
        <v>44186</v>
      </c>
      <c r="C1484" s="1" t="n">
        <v>45345</v>
      </c>
      <c r="D1484" t="inlineStr">
        <is>
          <t>VÄSTMANLANDS LÄN</t>
        </is>
      </c>
      <c r="E1484" t="inlineStr">
        <is>
          <t>SKINNSKATTEBERG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68934-2020</t>
        </is>
      </c>
      <c r="B1485" s="1" t="n">
        <v>44187</v>
      </c>
      <c r="C1485" s="1" t="n">
        <v>45345</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69194-2020</t>
        </is>
      </c>
      <c r="B1486" s="1" t="n">
        <v>44191</v>
      </c>
      <c r="C1486" s="1" t="n">
        <v>45345</v>
      </c>
      <c r="D1486" t="inlineStr">
        <is>
          <t>VÄSTMANLANDS LÄN</t>
        </is>
      </c>
      <c r="E1486" t="inlineStr">
        <is>
          <t>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69192-2020</t>
        </is>
      </c>
      <c r="B1487" s="1" t="n">
        <v>44191</v>
      </c>
      <c r="C1487" s="1" t="n">
        <v>45345</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69195-2020</t>
        </is>
      </c>
      <c r="B1488" s="1" t="n">
        <v>44191</v>
      </c>
      <c r="C1488" s="1" t="n">
        <v>45345</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69319-2020</t>
        </is>
      </c>
      <c r="B1489" s="1" t="n">
        <v>44193</v>
      </c>
      <c r="C1489" s="1" t="n">
        <v>45345</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69318-2020</t>
        </is>
      </c>
      <c r="B1490" s="1" t="n">
        <v>44193</v>
      </c>
      <c r="C1490" s="1" t="n">
        <v>45345</v>
      </c>
      <c r="D1490" t="inlineStr">
        <is>
          <t>VÄSTMANLANDS LÄN</t>
        </is>
      </c>
      <c r="E1490" t="inlineStr">
        <is>
          <t>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69362-2020</t>
        </is>
      </c>
      <c r="B1491" s="1" t="n">
        <v>44193</v>
      </c>
      <c r="C1491" s="1" t="n">
        <v>45345</v>
      </c>
      <c r="D1491" t="inlineStr">
        <is>
          <t>VÄSTMANLANDS LÄN</t>
        </is>
      </c>
      <c r="E1491" t="inlineStr">
        <is>
          <t>SALA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69514-2020</t>
        </is>
      </c>
      <c r="B1492" s="1" t="n">
        <v>44193</v>
      </c>
      <c r="C1492" s="1" t="n">
        <v>45345</v>
      </c>
      <c r="D1492" t="inlineStr">
        <is>
          <t>VÄSTMANLANDS LÄN</t>
        </is>
      </c>
      <c r="E1492" t="inlineStr">
        <is>
          <t>NORBERG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69450-2020</t>
        </is>
      </c>
      <c r="B1493" s="1" t="n">
        <v>44194</v>
      </c>
      <c r="C1493" s="1" t="n">
        <v>45345</v>
      </c>
      <c r="D1493" t="inlineStr">
        <is>
          <t>VÄSTMANLANDS LÄN</t>
        </is>
      </c>
      <c r="E1493" t="inlineStr">
        <is>
          <t>NORBERG</t>
        </is>
      </c>
      <c r="F1493" t="inlineStr">
        <is>
          <t>Kyrkan</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69590-2020</t>
        </is>
      </c>
      <c r="B1494" s="1" t="n">
        <v>44194</v>
      </c>
      <c r="C1494" s="1" t="n">
        <v>45345</v>
      </c>
      <c r="D1494" t="inlineStr">
        <is>
          <t>VÄSTMANLANDS LÄN</t>
        </is>
      </c>
      <c r="E1494" t="inlineStr">
        <is>
          <t>NORBERG</t>
        </is>
      </c>
      <c r="F1494" t="inlineStr">
        <is>
          <t>Kyrkan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69631-2020</t>
        </is>
      </c>
      <c r="B1495" s="1" t="n">
        <v>44195</v>
      </c>
      <c r="C1495" s="1" t="n">
        <v>45345</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11-2021</t>
        </is>
      </c>
      <c r="B1496" s="1" t="n">
        <v>44197</v>
      </c>
      <c r="C1496" s="1" t="n">
        <v>45345</v>
      </c>
      <c r="D1496" t="inlineStr">
        <is>
          <t>VÄSTMANLANDS LÄN</t>
        </is>
      </c>
      <c r="E1496" t="inlineStr">
        <is>
          <t>ARBOGA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238-2021</t>
        </is>
      </c>
      <c r="B1497" s="1" t="n">
        <v>44200</v>
      </c>
      <c r="C1497" s="1" t="n">
        <v>45345</v>
      </c>
      <c r="D1497" t="inlineStr">
        <is>
          <t>VÄSTMANLANDS LÄN</t>
        </is>
      </c>
      <c r="E1497" t="inlineStr">
        <is>
          <t>SKINNSKATTEBERG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263-2021</t>
        </is>
      </c>
      <c r="B1498" s="1" t="n">
        <v>44200</v>
      </c>
      <c r="C1498" s="1" t="n">
        <v>45345</v>
      </c>
      <c r="D1498" t="inlineStr">
        <is>
          <t>VÄSTMANLANDS LÄN</t>
        </is>
      </c>
      <c r="E1498" t="inlineStr">
        <is>
          <t>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503-2021</t>
        </is>
      </c>
      <c r="B1499" s="1" t="n">
        <v>44203</v>
      </c>
      <c r="C1499" s="1" t="n">
        <v>45345</v>
      </c>
      <c r="D1499" t="inlineStr">
        <is>
          <t>VÄSTMANLANDS LÄN</t>
        </is>
      </c>
      <c r="E1499" t="inlineStr">
        <is>
          <t>ARBOGA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509-2021</t>
        </is>
      </c>
      <c r="B1500" s="1" t="n">
        <v>44203</v>
      </c>
      <c r="C1500" s="1" t="n">
        <v>45345</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852-2021</t>
        </is>
      </c>
      <c r="B1501" s="1" t="n">
        <v>44204</v>
      </c>
      <c r="C1501" s="1" t="n">
        <v>45345</v>
      </c>
      <c r="D1501" t="inlineStr">
        <is>
          <t>VÄSTMANLANDS LÄN</t>
        </is>
      </c>
      <c r="E1501" t="inlineStr">
        <is>
          <t>SKINNSKATTEBERG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1492-2021</t>
        </is>
      </c>
      <c r="B1502" s="1" t="n">
        <v>44209</v>
      </c>
      <c r="C1502" s="1" t="n">
        <v>45345</v>
      </c>
      <c r="D1502" t="inlineStr">
        <is>
          <t>VÄSTMANLANDS LÄN</t>
        </is>
      </c>
      <c r="E1502" t="inlineStr">
        <is>
          <t>SURAHAMMAR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1599-2021</t>
        </is>
      </c>
      <c r="B1503" s="1" t="n">
        <v>44209</v>
      </c>
      <c r="C1503" s="1" t="n">
        <v>45345</v>
      </c>
      <c r="D1503" t="inlineStr">
        <is>
          <t>VÄSTMANLANDS LÄN</t>
        </is>
      </c>
      <c r="E1503" t="inlineStr">
        <is>
          <t>SALA</t>
        </is>
      </c>
      <c r="G1503" t="n">
        <v>9.6</v>
      </c>
      <c r="H1503" t="n">
        <v>0</v>
      </c>
      <c r="I1503" t="n">
        <v>0</v>
      </c>
      <c r="J1503" t="n">
        <v>0</v>
      </c>
      <c r="K1503" t="n">
        <v>0</v>
      </c>
      <c r="L1503" t="n">
        <v>0</v>
      </c>
      <c r="M1503" t="n">
        <v>0</v>
      </c>
      <c r="N1503" t="n">
        <v>0</v>
      </c>
      <c r="O1503" t="n">
        <v>0</v>
      </c>
      <c r="P1503" t="n">
        <v>0</v>
      </c>
      <c r="Q1503" t="n">
        <v>0</v>
      </c>
      <c r="R1503" s="2" t="inlineStr"/>
      <c r="U1503">
        <f>HYPERLINK("https://klasma.github.io/Logging_1981/knärot/A 1599-2021 karta knärot.png", "A 1599-2021")</f>
        <v/>
      </c>
      <c r="V1503">
        <f>HYPERLINK("https://klasma.github.io/Logging_1981/klagomål/A 1599-2021 FSC-klagomål.docx", "A 1599-2021")</f>
        <v/>
      </c>
      <c r="W1503">
        <f>HYPERLINK("https://klasma.github.io/Logging_1981/klagomålsmail/A 1599-2021 FSC-klagomål mail.docx", "A 1599-2021")</f>
        <v/>
      </c>
      <c r="X1503">
        <f>HYPERLINK("https://klasma.github.io/Logging_1981/tillsyn/A 1599-2021 tillsynsbegäran.docx", "A 1599-2021")</f>
        <v/>
      </c>
      <c r="Y1503">
        <f>HYPERLINK("https://klasma.github.io/Logging_1981/tillsynsmail/A 1599-2021 tillsynsbegäran mail.docx", "A 1599-2021")</f>
        <v/>
      </c>
    </row>
    <row r="1504" ht="15" customHeight="1">
      <c r="A1504" t="inlineStr">
        <is>
          <t>A 1527-2021</t>
        </is>
      </c>
      <c r="B1504" s="1" t="n">
        <v>44209</v>
      </c>
      <c r="C1504" s="1" t="n">
        <v>45345</v>
      </c>
      <c r="D1504" t="inlineStr">
        <is>
          <t>VÄSTMANLANDS LÄN</t>
        </is>
      </c>
      <c r="E1504" t="inlineStr">
        <is>
          <t>VÄSTERÅS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2443-2021</t>
        </is>
      </c>
      <c r="B1505" s="1" t="n">
        <v>44214</v>
      </c>
      <c r="C1505" s="1" t="n">
        <v>45345</v>
      </c>
      <c r="D1505" t="inlineStr">
        <is>
          <t>VÄSTMANLANDS LÄN</t>
        </is>
      </c>
      <c r="E1505" t="inlineStr">
        <is>
          <t>SALA</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3223-2021</t>
        </is>
      </c>
      <c r="B1506" s="1" t="n">
        <v>44217</v>
      </c>
      <c r="C1506" s="1" t="n">
        <v>45345</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3170-2021</t>
        </is>
      </c>
      <c r="B1507" s="1" t="n">
        <v>44217</v>
      </c>
      <c r="C1507" s="1" t="n">
        <v>45345</v>
      </c>
      <c r="D1507" t="inlineStr">
        <is>
          <t>VÄSTMANLANDS LÄN</t>
        </is>
      </c>
      <c r="E1507" t="inlineStr">
        <is>
          <t>HALLSTAHAMMAR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3187-2021</t>
        </is>
      </c>
      <c r="B1508" s="1" t="n">
        <v>44217</v>
      </c>
      <c r="C1508" s="1" t="n">
        <v>45345</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3906-2021</t>
        </is>
      </c>
      <c r="B1509" s="1" t="n">
        <v>44217</v>
      </c>
      <c r="C1509" s="1" t="n">
        <v>45345</v>
      </c>
      <c r="D1509" t="inlineStr">
        <is>
          <t>VÄSTMANLANDS LÄN</t>
        </is>
      </c>
      <c r="E1509" t="inlineStr">
        <is>
          <t>VÄSTERÅS</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3901-2021</t>
        </is>
      </c>
      <c r="B1510" s="1" t="n">
        <v>44217</v>
      </c>
      <c r="C1510" s="1" t="n">
        <v>45345</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3909-2021</t>
        </is>
      </c>
      <c r="B1511" s="1" t="n">
        <v>44217</v>
      </c>
      <c r="C1511" s="1" t="n">
        <v>45345</v>
      </c>
      <c r="D1511" t="inlineStr">
        <is>
          <t>VÄSTMANLANDS LÄN</t>
        </is>
      </c>
      <c r="E1511" t="inlineStr">
        <is>
          <t>VÄSTERÅS</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4183-2021</t>
        </is>
      </c>
      <c r="B1512" s="1" t="n">
        <v>44218</v>
      </c>
      <c r="C1512" s="1" t="n">
        <v>45345</v>
      </c>
      <c r="D1512" t="inlineStr">
        <is>
          <t>VÄSTMANLANDS LÄN</t>
        </is>
      </c>
      <c r="E1512" t="inlineStr">
        <is>
          <t>NORBERG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4036-2021</t>
        </is>
      </c>
      <c r="B1513" s="1" t="n">
        <v>44222</v>
      </c>
      <c r="C1513" s="1" t="n">
        <v>45345</v>
      </c>
      <c r="D1513" t="inlineStr">
        <is>
          <t>VÄSTMANLANDS LÄN</t>
        </is>
      </c>
      <c r="E1513" t="inlineStr">
        <is>
          <t>ARBOGA</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4051-2021</t>
        </is>
      </c>
      <c r="B1514" s="1" t="n">
        <v>44222</v>
      </c>
      <c r="C1514" s="1" t="n">
        <v>45345</v>
      </c>
      <c r="D1514" t="inlineStr">
        <is>
          <t>VÄSTMANLANDS LÄN</t>
        </is>
      </c>
      <c r="E1514" t="inlineStr">
        <is>
          <t>ARBOGA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4508-2021</t>
        </is>
      </c>
      <c r="B1515" s="1" t="n">
        <v>44224</v>
      </c>
      <c r="C1515" s="1" t="n">
        <v>45345</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4471-2021</t>
        </is>
      </c>
      <c r="B1516" s="1" t="n">
        <v>44224</v>
      </c>
      <c r="C1516" s="1" t="n">
        <v>45345</v>
      </c>
      <c r="D1516" t="inlineStr">
        <is>
          <t>VÄSTMANLANDS LÄN</t>
        </is>
      </c>
      <c r="E1516" t="inlineStr">
        <is>
          <t>NORBERG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4736-2021</t>
        </is>
      </c>
      <c r="B1517" s="1" t="n">
        <v>44225</v>
      </c>
      <c r="C1517" s="1" t="n">
        <v>45345</v>
      </c>
      <c r="D1517" t="inlineStr">
        <is>
          <t>VÄSTMANLANDS LÄN</t>
        </is>
      </c>
      <c r="E1517" t="inlineStr">
        <is>
          <t>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4759-2021</t>
        </is>
      </c>
      <c r="B1518" s="1" t="n">
        <v>44225</v>
      </c>
      <c r="C1518" s="1" t="n">
        <v>45345</v>
      </c>
      <c r="D1518" t="inlineStr">
        <is>
          <t>VÄSTMANLANDS LÄN</t>
        </is>
      </c>
      <c r="E1518" t="inlineStr">
        <is>
          <t>VÄSTERÅS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4778-2021</t>
        </is>
      </c>
      <c r="B1519" s="1" t="n">
        <v>44225</v>
      </c>
      <c r="C1519" s="1" t="n">
        <v>45345</v>
      </c>
      <c r="D1519" t="inlineStr">
        <is>
          <t>VÄSTMANLANDS LÄN</t>
        </is>
      </c>
      <c r="E1519" t="inlineStr">
        <is>
          <t>VÄSTERÅS</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4776-2021</t>
        </is>
      </c>
      <c r="B1520" s="1" t="n">
        <v>44225</v>
      </c>
      <c r="C1520" s="1" t="n">
        <v>45345</v>
      </c>
      <c r="D1520" t="inlineStr">
        <is>
          <t>VÄSTMANLANDS LÄN</t>
        </is>
      </c>
      <c r="E1520" t="inlineStr">
        <is>
          <t>VÄSTERÅS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5700-2021</t>
        </is>
      </c>
      <c r="B1521" s="1" t="n">
        <v>44230</v>
      </c>
      <c r="C1521" s="1" t="n">
        <v>45345</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5687-2021</t>
        </is>
      </c>
      <c r="B1522" s="1" t="n">
        <v>44230</v>
      </c>
      <c r="C1522" s="1" t="n">
        <v>45345</v>
      </c>
      <c r="D1522" t="inlineStr">
        <is>
          <t>VÄSTMANLANDS LÄN</t>
        </is>
      </c>
      <c r="E1522" t="inlineStr">
        <is>
          <t>SKINNSKATTEBERG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6088-2021</t>
        </is>
      </c>
      <c r="B1523" s="1" t="n">
        <v>44232</v>
      </c>
      <c r="C1523" s="1" t="n">
        <v>45345</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6061-2021</t>
        </is>
      </c>
      <c r="B1524" s="1" t="n">
        <v>44232</v>
      </c>
      <c r="C1524" s="1" t="n">
        <v>45345</v>
      </c>
      <c r="D1524" t="inlineStr">
        <is>
          <t>VÄSTMANLANDS LÄN</t>
        </is>
      </c>
      <c r="E1524" t="inlineStr">
        <is>
          <t>ARBOGA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6191-2021</t>
        </is>
      </c>
      <c r="B1525" s="1" t="n">
        <v>44234</v>
      </c>
      <c r="C1525" s="1" t="n">
        <v>45345</v>
      </c>
      <c r="D1525" t="inlineStr">
        <is>
          <t>VÄSTMANLANDS LÄN</t>
        </is>
      </c>
      <c r="E1525" t="inlineStr">
        <is>
          <t>ARBOGA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6308-2021</t>
        </is>
      </c>
      <c r="B1526" s="1" t="n">
        <v>44235</v>
      </c>
      <c r="C1526" s="1" t="n">
        <v>45345</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6516-2021</t>
        </is>
      </c>
      <c r="B1527" s="1" t="n">
        <v>44236</v>
      </c>
      <c r="C1527" s="1" t="n">
        <v>45345</v>
      </c>
      <c r="D1527" t="inlineStr">
        <is>
          <t>VÄSTMANLANDS LÄN</t>
        </is>
      </c>
      <c r="E1527" t="inlineStr">
        <is>
          <t>SKINNSKATTEBERG</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6518-2021</t>
        </is>
      </c>
      <c r="B1528" s="1" t="n">
        <v>44236</v>
      </c>
      <c r="C1528" s="1" t="n">
        <v>45345</v>
      </c>
      <c r="D1528" t="inlineStr">
        <is>
          <t>VÄSTMANLANDS LÄN</t>
        </is>
      </c>
      <c r="E1528" t="inlineStr">
        <is>
          <t>SKINNSKATTEBERG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6785-2021</t>
        </is>
      </c>
      <c r="B1529" s="1" t="n">
        <v>44236</v>
      </c>
      <c r="C1529" s="1" t="n">
        <v>45345</v>
      </c>
      <c r="D1529" t="inlineStr">
        <is>
          <t>VÄSTMANLANDS LÄN</t>
        </is>
      </c>
      <c r="E1529" t="inlineStr">
        <is>
          <t>VÄSTERÅS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6834-2021</t>
        </is>
      </c>
      <c r="B1530" s="1" t="n">
        <v>44236</v>
      </c>
      <c r="C1530" s="1" t="n">
        <v>45345</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6830-2021</t>
        </is>
      </c>
      <c r="B1531" s="1" t="n">
        <v>44236</v>
      </c>
      <c r="C1531" s="1" t="n">
        <v>45345</v>
      </c>
      <c r="D1531" t="inlineStr">
        <is>
          <t>VÄSTMANLANDS LÄN</t>
        </is>
      </c>
      <c r="E1531" t="inlineStr">
        <is>
          <t>KÖPING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6913-2021</t>
        </is>
      </c>
      <c r="B1532" s="1" t="n">
        <v>44237</v>
      </c>
      <c r="C1532" s="1" t="n">
        <v>45345</v>
      </c>
      <c r="D1532" t="inlineStr">
        <is>
          <t>VÄSTMANLANDS LÄN</t>
        </is>
      </c>
      <c r="E1532" t="inlineStr">
        <is>
          <t>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6934-2021</t>
        </is>
      </c>
      <c r="B1533" s="1" t="n">
        <v>44237</v>
      </c>
      <c r="C1533" s="1" t="n">
        <v>45345</v>
      </c>
      <c r="D1533" t="inlineStr">
        <is>
          <t>VÄSTMANLANDS LÄN</t>
        </is>
      </c>
      <c r="E1533" t="inlineStr">
        <is>
          <t>HALLSTAHAMMAR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7275-2021</t>
        </is>
      </c>
      <c r="B1534" s="1" t="n">
        <v>44238</v>
      </c>
      <c r="C1534" s="1" t="n">
        <v>45345</v>
      </c>
      <c r="D1534" t="inlineStr">
        <is>
          <t>VÄSTMANLANDS LÄN</t>
        </is>
      </c>
      <c r="E1534" t="inlineStr">
        <is>
          <t>VÄSTERÅS</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7642-2021</t>
        </is>
      </c>
      <c r="B1535" s="1" t="n">
        <v>44239</v>
      </c>
      <c r="C1535" s="1" t="n">
        <v>45345</v>
      </c>
      <c r="D1535" t="inlineStr">
        <is>
          <t>VÄSTMANLANDS LÄN</t>
        </is>
      </c>
      <c r="E1535" t="inlineStr">
        <is>
          <t>NORBERG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7556-2021</t>
        </is>
      </c>
      <c r="B1536" s="1" t="n">
        <v>44239</v>
      </c>
      <c r="C1536" s="1" t="n">
        <v>45345</v>
      </c>
      <c r="D1536" t="inlineStr">
        <is>
          <t>VÄSTMANLANDS LÄN</t>
        </is>
      </c>
      <c r="E1536" t="inlineStr">
        <is>
          <t>VÄSTERÅS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7690-2021</t>
        </is>
      </c>
      <c r="B1537" s="1" t="n">
        <v>44242</v>
      </c>
      <c r="C1537" s="1" t="n">
        <v>45345</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7712-2021</t>
        </is>
      </c>
      <c r="B1538" s="1" t="n">
        <v>44242</v>
      </c>
      <c r="C1538" s="1" t="n">
        <v>45345</v>
      </c>
      <c r="D1538" t="inlineStr">
        <is>
          <t>VÄSTMANLANDS LÄN</t>
        </is>
      </c>
      <c r="E1538" t="inlineStr">
        <is>
          <t>ARBOGA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7722-2021</t>
        </is>
      </c>
      <c r="B1539" s="1" t="n">
        <v>44242</v>
      </c>
      <c r="C1539" s="1" t="n">
        <v>45345</v>
      </c>
      <c r="D1539" t="inlineStr">
        <is>
          <t>VÄSTMANLANDS LÄN</t>
        </is>
      </c>
      <c r="E1539" t="inlineStr">
        <is>
          <t>ARBOGA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7681-2021</t>
        </is>
      </c>
      <c r="B1540" s="1" t="n">
        <v>44242</v>
      </c>
      <c r="C1540" s="1" t="n">
        <v>45345</v>
      </c>
      <c r="D1540" t="inlineStr">
        <is>
          <t>VÄSTMANLANDS LÄN</t>
        </is>
      </c>
      <c r="E1540" t="inlineStr">
        <is>
          <t>SALA</t>
        </is>
      </c>
      <c r="F1540" t="inlineStr">
        <is>
          <t>Sveaskog</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7720-2021</t>
        </is>
      </c>
      <c r="B1541" s="1" t="n">
        <v>44242</v>
      </c>
      <c r="C1541" s="1" t="n">
        <v>45345</v>
      </c>
      <c r="D1541" t="inlineStr">
        <is>
          <t>VÄSTMANLANDS LÄN</t>
        </is>
      </c>
      <c r="E1541" t="inlineStr">
        <is>
          <t>ARBOGA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7968-2021</t>
        </is>
      </c>
      <c r="B1542" s="1" t="n">
        <v>44243</v>
      </c>
      <c r="C1542" s="1" t="n">
        <v>45345</v>
      </c>
      <c r="D1542" t="inlineStr">
        <is>
          <t>VÄSTMANLANDS LÄN</t>
        </is>
      </c>
      <c r="E1542" t="inlineStr">
        <is>
          <t>SALA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7955-2021</t>
        </is>
      </c>
      <c r="B1543" s="1" t="n">
        <v>44243</v>
      </c>
      <c r="C1543" s="1" t="n">
        <v>45345</v>
      </c>
      <c r="D1543" t="inlineStr">
        <is>
          <t>VÄSTMANLANDS LÄN</t>
        </is>
      </c>
      <c r="E1543" t="inlineStr">
        <is>
          <t>SALA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8205-2021</t>
        </is>
      </c>
      <c r="B1544" s="1" t="n">
        <v>44244</v>
      </c>
      <c r="C1544" s="1" t="n">
        <v>45345</v>
      </c>
      <c r="D1544" t="inlineStr">
        <is>
          <t>VÄSTMANLANDS LÄN</t>
        </is>
      </c>
      <c r="E1544" t="inlineStr">
        <is>
          <t>NORBERG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8513-2021</t>
        </is>
      </c>
      <c r="B1545" s="1" t="n">
        <v>44244</v>
      </c>
      <c r="C1545" s="1" t="n">
        <v>45345</v>
      </c>
      <c r="D1545" t="inlineStr">
        <is>
          <t>VÄSTMANLANDS LÄN</t>
        </is>
      </c>
      <c r="E1545" t="inlineStr">
        <is>
          <t>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8731-2021</t>
        </is>
      </c>
      <c r="B1546" s="1" t="n">
        <v>44246</v>
      </c>
      <c r="C1546" s="1" t="n">
        <v>45345</v>
      </c>
      <c r="D1546" t="inlineStr">
        <is>
          <t>VÄSTMANLANDS LÄN</t>
        </is>
      </c>
      <c r="E1546" t="inlineStr">
        <is>
          <t>KÖPING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8681-2021</t>
        </is>
      </c>
      <c r="B1547" s="1" t="n">
        <v>44246</v>
      </c>
      <c r="C1547" s="1" t="n">
        <v>45345</v>
      </c>
      <c r="D1547" t="inlineStr">
        <is>
          <t>VÄSTMANLANDS LÄN</t>
        </is>
      </c>
      <c r="E1547" t="inlineStr">
        <is>
          <t>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9152-2021</t>
        </is>
      </c>
      <c r="B1548" s="1" t="n">
        <v>44249</v>
      </c>
      <c r="C1548" s="1" t="n">
        <v>45345</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9149-2021</t>
        </is>
      </c>
      <c r="B1549" s="1" t="n">
        <v>44249</v>
      </c>
      <c r="C1549" s="1" t="n">
        <v>45345</v>
      </c>
      <c r="D1549" t="inlineStr">
        <is>
          <t>VÄSTMANLANDS LÄN</t>
        </is>
      </c>
      <c r="E1549" t="inlineStr">
        <is>
          <t>VÄSTERÅS</t>
        </is>
      </c>
      <c r="F1549" t="inlineStr">
        <is>
          <t>Kyrkan</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9761-2021</t>
        </is>
      </c>
      <c r="B1550" s="1" t="n">
        <v>44252</v>
      </c>
      <c r="C1550" s="1" t="n">
        <v>45345</v>
      </c>
      <c r="D1550" t="inlineStr">
        <is>
          <t>VÄSTMANLANDS LÄN</t>
        </is>
      </c>
      <c r="E1550" t="inlineStr">
        <is>
          <t>HALLSTAHAMMAR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9967-2021</t>
        </is>
      </c>
      <c r="B1551" s="1" t="n">
        <v>44253</v>
      </c>
      <c r="C1551" s="1" t="n">
        <v>45345</v>
      </c>
      <c r="D1551" t="inlineStr">
        <is>
          <t>VÄSTMANLANDS LÄN</t>
        </is>
      </c>
      <c r="E1551" t="inlineStr">
        <is>
          <t>VÄSTERÅS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9969-2021</t>
        </is>
      </c>
      <c r="B1552" s="1" t="n">
        <v>44253</v>
      </c>
      <c r="C1552" s="1" t="n">
        <v>45345</v>
      </c>
      <c r="D1552" t="inlineStr">
        <is>
          <t>VÄSTMANLANDS LÄN</t>
        </is>
      </c>
      <c r="E1552" t="inlineStr">
        <is>
          <t>VÄSTERÅS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10154-2021</t>
        </is>
      </c>
      <c r="B1553" s="1" t="n">
        <v>44256</v>
      </c>
      <c r="C1553" s="1" t="n">
        <v>45345</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10339-2021</t>
        </is>
      </c>
      <c r="B1554" s="1" t="n">
        <v>44257</v>
      </c>
      <c r="C1554" s="1" t="n">
        <v>45345</v>
      </c>
      <c r="D1554" t="inlineStr">
        <is>
          <t>VÄSTMANLANDS LÄN</t>
        </is>
      </c>
      <c r="E1554" t="inlineStr">
        <is>
          <t>NORBERG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10354-2021</t>
        </is>
      </c>
      <c r="B1555" s="1" t="n">
        <v>44257</v>
      </c>
      <c r="C1555" s="1" t="n">
        <v>45345</v>
      </c>
      <c r="D1555" t="inlineStr">
        <is>
          <t>VÄSTMANLANDS LÄN</t>
        </is>
      </c>
      <c r="E1555" t="inlineStr">
        <is>
          <t>ARBOGA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10349-2021</t>
        </is>
      </c>
      <c r="B1556" s="1" t="n">
        <v>44257</v>
      </c>
      <c r="C1556" s="1" t="n">
        <v>45345</v>
      </c>
      <c r="D1556" t="inlineStr">
        <is>
          <t>VÄSTMANLANDS LÄN</t>
        </is>
      </c>
      <c r="E1556" t="inlineStr">
        <is>
          <t>ARBOGA</t>
        </is>
      </c>
      <c r="F1556" t="inlineStr">
        <is>
          <t>Sveaskog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10352-2021</t>
        </is>
      </c>
      <c r="B1557" s="1" t="n">
        <v>44257</v>
      </c>
      <c r="C1557" s="1" t="n">
        <v>45345</v>
      </c>
      <c r="D1557" t="inlineStr">
        <is>
          <t>VÄSTMANLANDS LÄN</t>
        </is>
      </c>
      <c r="E1557" t="inlineStr">
        <is>
          <t>ARBOGA</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10359-2021</t>
        </is>
      </c>
      <c r="B1558" s="1" t="n">
        <v>44257</v>
      </c>
      <c r="C1558" s="1" t="n">
        <v>45345</v>
      </c>
      <c r="D1558" t="inlineStr">
        <is>
          <t>VÄSTMANLANDS LÄN</t>
        </is>
      </c>
      <c r="E1558" t="inlineStr">
        <is>
          <t>ARBOGA</t>
        </is>
      </c>
      <c r="F1558" t="inlineStr">
        <is>
          <t>Sveaskog</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10366-2021</t>
        </is>
      </c>
      <c r="B1559" s="1" t="n">
        <v>44257</v>
      </c>
      <c r="C1559" s="1" t="n">
        <v>45345</v>
      </c>
      <c r="D1559" t="inlineStr">
        <is>
          <t>VÄSTMANLANDS LÄN</t>
        </is>
      </c>
      <c r="E1559" t="inlineStr">
        <is>
          <t>ARBOGA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10355-2021</t>
        </is>
      </c>
      <c r="B1560" s="1" t="n">
        <v>44257</v>
      </c>
      <c r="C1560" s="1" t="n">
        <v>45345</v>
      </c>
      <c r="D1560" t="inlineStr">
        <is>
          <t>VÄSTMANLANDS LÄN</t>
        </is>
      </c>
      <c r="E1560" t="inlineStr">
        <is>
          <t>ARBOGA</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10362-2021</t>
        </is>
      </c>
      <c r="B1561" s="1" t="n">
        <v>44257</v>
      </c>
      <c r="C1561" s="1" t="n">
        <v>45345</v>
      </c>
      <c r="D1561" t="inlineStr">
        <is>
          <t>VÄSTMANLANDS LÄN</t>
        </is>
      </c>
      <c r="E1561" t="inlineStr">
        <is>
          <t>ARBOGA</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10447-2021</t>
        </is>
      </c>
      <c r="B1562" s="1" t="n">
        <v>44257</v>
      </c>
      <c r="C1562" s="1" t="n">
        <v>45345</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10435-2021</t>
        </is>
      </c>
      <c r="B1563" s="1" t="n">
        <v>44257</v>
      </c>
      <c r="C1563" s="1" t="n">
        <v>45345</v>
      </c>
      <c r="D1563" t="inlineStr">
        <is>
          <t>VÄSTMANLANDS LÄN</t>
        </is>
      </c>
      <c r="E1563" t="inlineStr">
        <is>
          <t>KÖPING</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10357-2021</t>
        </is>
      </c>
      <c r="B1564" s="1" t="n">
        <v>44257</v>
      </c>
      <c r="C1564" s="1" t="n">
        <v>45345</v>
      </c>
      <c r="D1564" t="inlineStr">
        <is>
          <t>VÄSTMANLANDS LÄN</t>
        </is>
      </c>
      <c r="E1564" t="inlineStr">
        <is>
          <t>ARBOGA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10431-2021</t>
        </is>
      </c>
      <c r="B1565" s="1" t="n">
        <v>44257</v>
      </c>
      <c r="C1565" s="1" t="n">
        <v>45345</v>
      </c>
      <c r="D1565" t="inlineStr">
        <is>
          <t>VÄSTMANLANDS LÄN</t>
        </is>
      </c>
      <c r="E1565" t="inlineStr">
        <is>
          <t>KÖPING</t>
        </is>
      </c>
      <c r="F1565" t="inlineStr">
        <is>
          <t>Kyrkan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10812-2021</t>
        </is>
      </c>
      <c r="B1566" s="1" t="n">
        <v>44259</v>
      </c>
      <c r="C1566" s="1" t="n">
        <v>45345</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10753-2021</t>
        </is>
      </c>
      <c r="B1567" s="1" t="n">
        <v>44259</v>
      </c>
      <c r="C1567" s="1" t="n">
        <v>45345</v>
      </c>
      <c r="D1567" t="inlineStr">
        <is>
          <t>VÄSTMANLANDS LÄN</t>
        </is>
      </c>
      <c r="E1567" t="inlineStr">
        <is>
          <t>VÄSTERÅS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10972-2021</t>
        </is>
      </c>
      <c r="B1568" s="1" t="n">
        <v>44260</v>
      </c>
      <c r="C1568" s="1" t="n">
        <v>45345</v>
      </c>
      <c r="D1568" t="inlineStr">
        <is>
          <t>VÄSTMANLANDS LÄN</t>
        </is>
      </c>
      <c r="E1568" t="inlineStr">
        <is>
          <t>KÖPING</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11017-2021</t>
        </is>
      </c>
      <c r="B1569" s="1" t="n">
        <v>44260</v>
      </c>
      <c r="C1569" s="1" t="n">
        <v>45345</v>
      </c>
      <c r="D1569" t="inlineStr">
        <is>
          <t>VÄSTMANLANDS LÄN</t>
        </is>
      </c>
      <c r="E1569" t="inlineStr">
        <is>
          <t>SALA</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11007-2021</t>
        </is>
      </c>
      <c r="B1570" s="1" t="n">
        <v>44260</v>
      </c>
      <c r="C1570" s="1" t="n">
        <v>45345</v>
      </c>
      <c r="D1570" t="inlineStr">
        <is>
          <t>VÄSTMANLANDS LÄN</t>
        </is>
      </c>
      <c r="E1570" t="inlineStr">
        <is>
          <t>SALA</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11284-2021</t>
        </is>
      </c>
      <c r="B1571" s="1" t="n">
        <v>44263</v>
      </c>
      <c r="C1571" s="1" t="n">
        <v>45345</v>
      </c>
      <c r="D1571" t="inlineStr">
        <is>
          <t>VÄSTMANLANDS LÄN</t>
        </is>
      </c>
      <c r="E1571" t="inlineStr">
        <is>
          <t>VÄSTERÅS</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11311-2021</t>
        </is>
      </c>
      <c r="B1572" s="1" t="n">
        <v>44263</v>
      </c>
      <c r="C1572" s="1" t="n">
        <v>45345</v>
      </c>
      <c r="D1572" t="inlineStr">
        <is>
          <t>VÄSTMANLANDS LÄN</t>
        </is>
      </c>
      <c r="E1572" t="inlineStr">
        <is>
          <t>ARBOGA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11322-2021</t>
        </is>
      </c>
      <c r="B1573" s="1" t="n">
        <v>44263</v>
      </c>
      <c r="C1573" s="1" t="n">
        <v>45345</v>
      </c>
      <c r="D1573" t="inlineStr">
        <is>
          <t>VÄSTMANLANDS LÄN</t>
        </is>
      </c>
      <c r="E1573" t="inlineStr">
        <is>
          <t>ARBOGA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11381-2021</t>
        </is>
      </c>
      <c r="B1574" s="1" t="n">
        <v>44263</v>
      </c>
      <c r="C1574" s="1" t="n">
        <v>45345</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11323-2021</t>
        </is>
      </c>
      <c r="B1575" s="1" t="n">
        <v>44263</v>
      </c>
      <c r="C1575" s="1" t="n">
        <v>45345</v>
      </c>
      <c r="D1575" t="inlineStr">
        <is>
          <t>VÄSTMANLANDS LÄN</t>
        </is>
      </c>
      <c r="E1575" t="inlineStr">
        <is>
          <t>ARBOGA</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11448-2021</t>
        </is>
      </c>
      <c r="B1576" s="1" t="n">
        <v>44264</v>
      </c>
      <c r="C1576" s="1" t="n">
        <v>45345</v>
      </c>
      <c r="D1576" t="inlineStr">
        <is>
          <t>VÄSTMANLANDS LÄN</t>
        </is>
      </c>
      <c r="E1576" t="inlineStr">
        <is>
          <t>NORBERG</t>
        </is>
      </c>
      <c r="F1576" t="inlineStr">
        <is>
          <t>Övriga Aktiebolag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11560-2021</t>
        </is>
      </c>
      <c r="B1577" s="1" t="n">
        <v>44264</v>
      </c>
      <c r="C1577" s="1" t="n">
        <v>45345</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11636-2021</t>
        </is>
      </c>
      <c r="B1578" s="1" t="n">
        <v>44264</v>
      </c>
      <c r="C1578" s="1" t="n">
        <v>45345</v>
      </c>
      <c r="D1578" t="inlineStr">
        <is>
          <t>VÄSTMANLANDS LÄN</t>
        </is>
      </c>
      <c r="E1578" t="inlineStr">
        <is>
          <t>ARBOGA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11625-2021</t>
        </is>
      </c>
      <c r="B1579" s="1" t="n">
        <v>44264</v>
      </c>
      <c r="C1579" s="1" t="n">
        <v>45345</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11752-2021</t>
        </is>
      </c>
      <c r="B1580" s="1" t="n">
        <v>44265</v>
      </c>
      <c r="C1580" s="1" t="n">
        <v>45345</v>
      </c>
      <c r="D1580" t="inlineStr">
        <is>
          <t>VÄSTMANLANDS LÄN</t>
        </is>
      </c>
      <c r="E1580" t="inlineStr">
        <is>
          <t>VÄSTERÅS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11890-2021</t>
        </is>
      </c>
      <c r="B1581" s="1" t="n">
        <v>44265</v>
      </c>
      <c r="C1581" s="1" t="n">
        <v>45345</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11922-2021</t>
        </is>
      </c>
      <c r="B1582" s="1" t="n">
        <v>44266</v>
      </c>
      <c r="C1582" s="1" t="n">
        <v>45345</v>
      </c>
      <c r="D1582" t="inlineStr">
        <is>
          <t>VÄSTMANLANDS LÄN</t>
        </is>
      </c>
      <c r="E1582" t="inlineStr">
        <is>
          <t>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12244-2021</t>
        </is>
      </c>
      <c r="B1583" s="1" t="n">
        <v>44266</v>
      </c>
      <c r="C1583" s="1" t="n">
        <v>45345</v>
      </c>
      <c r="D1583" t="inlineStr">
        <is>
          <t>VÄSTMANLANDS LÄN</t>
        </is>
      </c>
      <c r="E1583" t="inlineStr">
        <is>
          <t>VÄSTERÅS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12357-2021</t>
        </is>
      </c>
      <c r="B1584" s="1" t="n">
        <v>44267</v>
      </c>
      <c r="C1584" s="1" t="n">
        <v>45345</v>
      </c>
      <c r="D1584" t="inlineStr">
        <is>
          <t>VÄSTMANLANDS LÄN</t>
        </is>
      </c>
      <c r="E1584" t="inlineStr">
        <is>
          <t>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12655-2021</t>
        </is>
      </c>
      <c r="B1585" s="1" t="n">
        <v>44267</v>
      </c>
      <c r="C1585" s="1" t="n">
        <v>45345</v>
      </c>
      <c r="D1585" t="inlineStr">
        <is>
          <t>VÄSTMANLANDS LÄN</t>
        </is>
      </c>
      <c r="E1585" t="inlineStr">
        <is>
          <t>KÖPING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12641-2021</t>
        </is>
      </c>
      <c r="B1586" s="1" t="n">
        <v>44267</v>
      </c>
      <c r="C1586" s="1" t="n">
        <v>45345</v>
      </c>
      <c r="D1586" t="inlineStr">
        <is>
          <t>VÄSTMANLANDS LÄN</t>
        </is>
      </c>
      <c r="E1586" t="inlineStr">
        <is>
          <t>KÖPING</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12671-2021</t>
        </is>
      </c>
      <c r="B1587" s="1" t="n">
        <v>44267</v>
      </c>
      <c r="C1587" s="1" t="n">
        <v>45345</v>
      </c>
      <c r="D1587" t="inlineStr">
        <is>
          <t>VÄSTMANLANDS LÄN</t>
        </is>
      </c>
      <c r="E1587" t="inlineStr">
        <is>
          <t>SKINNSKATTEBERG</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12672-2021</t>
        </is>
      </c>
      <c r="B1588" s="1" t="n">
        <v>44267</v>
      </c>
      <c r="C1588" s="1" t="n">
        <v>45345</v>
      </c>
      <c r="D1588" t="inlineStr">
        <is>
          <t>VÄSTMANLANDS LÄN</t>
        </is>
      </c>
      <c r="E1588" t="inlineStr">
        <is>
          <t>SKINNSKATTEBERG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12500-2021</t>
        </is>
      </c>
      <c r="B1589" s="1" t="n">
        <v>44268</v>
      </c>
      <c r="C1589" s="1" t="n">
        <v>45345</v>
      </c>
      <c r="D1589" t="inlineStr">
        <is>
          <t>VÄSTMANLANDS LÄN</t>
        </is>
      </c>
      <c r="E1589" t="inlineStr">
        <is>
          <t>SKINNSKATTEBERG</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12756-2021</t>
        </is>
      </c>
      <c r="B1590" s="1" t="n">
        <v>44270</v>
      </c>
      <c r="C1590" s="1" t="n">
        <v>45345</v>
      </c>
      <c r="D1590" t="inlineStr">
        <is>
          <t>VÄSTMANLANDS LÄN</t>
        </is>
      </c>
      <c r="E1590" t="inlineStr">
        <is>
          <t>FAGERSTA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12777-2021</t>
        </is>
      </c>
      <c r="B1591" s="1" t="n">
        <v>44270</v>
      </c>
      <c r="C1591" s="1" t="n">
        <v>45345</v>
      </c>
      <c r="D1591" t="inlineStr">
        <is>
          <t>VÄSTMANLANDS LÄN</t>
        </is>
      </c>
      <c r="E1591" t="inlineStr">
        <is>
          <t>ARBOGA</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13112-2021</t>
        </is>
      </c>
      <c r="B1592" s="1" t="n">
        <v>44272</v>
      </c>
      <c r="C1592" s="1" t="n">
        <v>45345</v>
      </c>
      <c r="D1592" t="inlineStr">
        <is>
          <t>VÄSTMANLANDS LÄN</t>
        </is>
      </c>
      <c r="E1592" t="inlineStr">
        <is>
          <t>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13252-2021</t>
        </is>
      </c>
      <c r="B1593" s="1" t="n">
        <v>44272</v>
      </c>
      <c r="C1593" s="1" t="n">
        <v>45345</v>
      </c>
      <c r="D1593" t="inlineStr">
        <is>
          <t>VÄSTMANLANDS LÄN</t>
        </is>
      </c>
      <c r="E1593" t="inlineStr">
        <is>
          <t>VÄSTERÅS</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13168-2021</t>
        </is>
      </c>
      <c r="B1594" s="1" t="n">
        <v>44272</v>
      </c>
      <c r="C1594" s="1" t="n">
        <v>45345</v>
      </c>
      <c r="D1594" t="inlineStr">
        <is>
          <t>VÄSTMANLANDS LÄN</t>
        </is>
      </c>
      <c r="E1594" t="inlineStr">
        <is>
          <t>ARBOGA</t>
        </is>
      </c>
      <c r="F1594" t="inlineStr">
        <is>
          <t>Allmännings- och besparingsskogar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13622-2021</t>
        </is>
      </c>
      <c r="B1595" s="1" t="n">
        <v>44274</v>
      </c>
      <c r="C1595" s="1" t="n">
        <v>45345</v>
      </c>
      <c r="D1595" t="inlineStr">
        <is>
          <t>VÄSTMANLANDS LÄN</t>
        </is>
      </c>
      <c r="E1595" t="inlineStr">
        <is>
          <t>NORBERG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13993-2021</t>
        </is>
      </c>
      <c r="B1596" s="1" t="n">
        <v>44277</v>
      </c>
      <c r="C1596" s="1" t="n">
        <v>45345</v>
      </c>
      <c r="D1596" t="inlineStr">
        <is>
          <t>VÄSTMANLANDS LÄN</t>
        </is>
      </c>
      <c r="E1596" t="inlineStr">
        <is>
          <t>SALA</t>
        </is>
      </c>
      <c r="G1596" t="n">
        <v>27.6</v>
      </c>
      <c r="H1596" t="n">
        <v>0</v>
      </c>
      <c r="I1596" t="n">
        <v>0</v>
      </c>
      <c r="J1596" t="n">
        <v>0</v>
      </c>
      <c r="K1596" t="n">
        <v>0</v>
      </c>
      <c r="L1596" t="n">
        <v>0</v>
      </c>
      <c r="M1596" t="n">
        <v>0</v>
      </c>
      <c r="N1596" t="n">
        <v>0</v>
      </c>
      <c r="O1596" t="n">
        <v>0</v>
      </c>
      <c r="P1596" t="n">
        <v>0</v>
      </c>
      <c r="Q1596" t="n">
        <v>0</v>
      </c>
      <c r="R1596" s="2" t="inlineStr"/>
    </row>
    <row r="1597" ht="15" customHeight="1">
      <c r="A1597" t="inlineStr">
        <is>
          <t>A 14010-2021</t>
        </is>
      </c>
      <c r="B1597" s="1" t="n">
        <v>44277</v>
      </c>
      <c r="C1597" s="1" t="n">
        <v>45345</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14124-2021</t>
        </is>
      </c>
      <c r="B1598" s="1" t="n">
        <v>44278</v>
      </c>
      <c r="C1598" s="1" t="n">
        <v>45345</v>
      </c>
      <c r="D1598" t="inlineStr">
        <is>
          <t>VÄSTMANLANDS LÄN</t>
        </is>
      </c>
      <c r="E1598" t="inlineStr">
        <is>
          <t>SKINNSKATTEBERG</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14314-2021</t>
        </is>
      </c>
      <c r="B1599" s="1" t="n">
        <v>44278</v>
      </c>
      <c r="C1599" s="1" t="n">
        <v>45345</v>
      </c>
      <c r="D1599" t="inlineStr">
        <is>
          <t>VÄSTMANLANDS LÄN</t>
        </is>
      </c>
      <c r="E1599" t="inlineStr">
        <is>
          <t>KÖPING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14313-2021</t>
        </is>
      </c>
      <c r="B1600" s="1" t="n">
        <v>44278</v>
      </c>
      <c r="C1600" s="1" t="n">
        <v>45345</v>
      </c>
      <c r="D1600" t="inlineStr">
        <is>
          <t>VÄSTMANLANDS LÄN</t>
        </is>
      </c>
      <c r="E1600" t="inlineStr">
        <is>
          <t>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14407-2021</t>
        </is>
      </c>
      <c r="B1601" s="1" t="n">
        <v>44279</v>
      </c>
      <c r="C1601" s="1" t="n">
        <v>45345</v>
      </c>
      <c r="D1601" t="inlineStr">
        <is>
          <t>VÄSTMANLANDS LÄN</t>
        </is>
      </c>
      <c r="E1601" t="inlineStr">
        <is>
          <t>FAGERSTA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14405-2021</t>
        </is>
      </c>
      <c r="B1602" s="1" t="n">
        <v>44279</v>
      </c>
      <c r="C1602" s="1" t="n">
        <v>45345</v>
      </c>
      <c r="D1602" t="inlineStr">
        <is>
          <t>VÄSTMANLANDS LÄN</t>
        </is>
      </c>
      <c r="E1602" t="inlineStr">
        <is>
          <t>NORBERG</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15354-2021</t>
        </is>
      </c>
      <c r="B1603" s="1" t="n">
        <v>44284</v>
      </c>
      <c r="C1603" s="1" t="n">
        <v>45345</v>
      </c>
      <c r="D1603" t="inlineStr">
        <is>
          <t>VÄSTMANLANDS LÄN</t>
        </is>
      </c>
      <c r="E1603" t="inlineStr">
        <is>
          <t>SALA</t>
        </is>
      </c>
      <c r="F1603" t="inlineStr">
        <is>
          <t>Kyrkan</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15347-2021</t>
        </is>
      </c>
      <c r="B1604" s="1" t="n">
        <v>44284</v>
      </c>
      <c r="C1604" s="1" t="n">
        <v>45345</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15483-2021</t>
        </is>
      </c>
      <c r="B1605" s="1" t="n">
        <v>44285</v>
      </c>
      <c r="C1605" s="1" t="n">
        <v>45345</v>
      </c>
      <c r="D1605" t="inlineStr">
        <is>
          <t>VÄSTMANLANDS LÄN</t>
        </is>
      </c>
      <c r="E1605" t="inlineStr">
        <is>
          <t>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15584-2021</t>
        </is>
      </c>
      <c r="B1606" s="1" t="n">
        <v>44285</v>
      </c>
      <c r="C1606" s="1" t="n">
        <v>45345</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15575-2021</t>
        </is>
      </c>
      <c r="B1607" s="1" t="n">
        <v>44285</v>
      </c>
      <c r="C1607" s="1" t="n">
        <v>45345</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15809-2021</t>
        </is>
      </c>
      <c r="B1608" s="1" t="n">
        <v>44286</v>
      </c>
      <c r="C1608" s="1" t="n">
        <v>45345</v>
      </c>
      <c r="D1608" t="inlineStr">
        <is>
          <t>VÄSTMANLANDS LÄN</t>
        </is>
      </c>
      <c r="E1608" t="inlineStr">
        <is>
          <t>KUNGSÖR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15847-2021</t>
        </is>
      </c>
      <c r="B1609" s="1" t="n">
        <v>44286</v>
      </c>
      <c r="C1609" s="1" t="n">
        <v>45345</v>
      </c>
      <c r="D1609" t="inlineStr">
        <is>
          <t>VÄSTMANLANDS LÄN</t>
        </is>
      </c>
      <c r="E1609" t="inlineStr">
        <is>
          <t>KÖPING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15793-2021</t>
        </is>
      </c>
      <c r="B1610" s="1" t="n">
        <v>44286</v>
      </c>
      <c r="C1610" s="1" t="n">
        <v>45345</v>
      </c>
      <c r="D1610" t="inlineStr">
        <is>
          <t>VÄSTMANLANDS LÄN</t>
        </is>
      </c>
      <c r="E1610" t="inlineStr">
        <is>
          <t>SKINNSKATTEBERG</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15840-2021</t>
        </is>
      </c>
      <c r="B1611" s="1" t="n">
        <v>44286</v>
      </c>
      <c r="C1611" s="1" t="n">
        <v>45345</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15832-2021</t>
        </is>
      </c>
      <c r="B1612" s="1" t="n">
        <v>44286</v>
      </c>
      <c r="C1612" s="1" t="n">
        <v>45345</v>
      </c>
      <c r="D1612" t="inlineStr">
        <is>
          <t>VÄSTMANLANDS LÄN</t>
        </is>
      </c>
      <c r="E1612" t="inlineStr">
        <is>
          <t>KUNGSÖR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16315-2021</t>
        </is>
      </c>
      <c r="B1613" s="1" t="n">
        <v>44292</v>
      </c>
      <c r="C1613" s="1" t="n">
        <v>45345</v>
      </c>
      <c r="D1613" t="inlineStr">
        <is>
          <t>VÄSTMANLANDS LÄN</t>
        </is>
      </c>
      <c r="E1613" t="inlineStr">
        <is>
          <t>SKINNSKATTEBERG</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16415-2021</t>
        </is>
      </c>
      <c r="B1614" s="1" t="n">
        <v>44293</v>
      </c>
      <c r="C1614" s="1" t="n">
        <v>45345</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16450-2021</t>
        </is>
      </c>
      <c r="B1615" s="1" t="n">
        <v>44293</v>
      </c>
      <c r="C1615" s="1" t="n">
        <v>45345</v>
      </c>
      <c r="D1615" t="inlineStr">
        <is>
          <t>VÄSTMANLANDS LÄN</t>
        </is>
      </c>
      <c r="E1615" t="inlineStr">
        <is>
          <t>ARBOGA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16601-2021</t>
        </is>
      </c>
      <c r="B1616" s="1" t="n">
        <v>44294</v>
      </c>
      <c r="C1616" s="1" t="n">
        <v>45345</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16651-2021</t>
        </is>
      </c>
      <c r="B1617" s="1" t="n">
        <v>44294</v>
      </c>
      <c r="C1617" s="1" t="n">
        <v>45345</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16798-2021</t>
        </is>
      </c>
      <c r="B1618" s="1" t="n">
        <v>44295</v>
      </c>
      <c r="C1618" s="1" t="n">
        <v>45345</v>
      </c>
      <c r="D1618" t="inlineStr">
        <is>
          <t>VÄSTMANLANDS LÄN</t>
        </is>
      </c>
      <c r="E1618" t="inlineStr">
        <is>
          <t>FAGERSTA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17103-2021</t>
        </is>
      </c>
      <c r="B1619" s="1" t="n">
        <v>44298</v>
      </c>
      <c r="C1619" s="1" t="n">
        <v>45345</v>
      </c>
      <c r="D1619" t="inlineStr">
        <is>
          <t>VÄSTMANLANDS LÄN</t>
        </is>
      </c>
      <c r="E1619" t="inlineStr">
        <is>
          <t>NORBERG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17506-2021</t>
        </is>
      </c>
      <c r="B1620" s="1" t="n">
        <v>44298</v>
      </c>
      <c r="C1620" s="1" t="n">
        <v>45345</v>
      </c>
      <c r="D1620" t="inlineStr">
        <is>
          <t>VÄSTMANLANDS LÄN</t>
        </is>
      </c>
      <c r="E1620" t="inlineStr">
        <is>
          <t>SKINNSKATTEBERG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17786-2021</t>
        </is>
      </c>
      <c r="B1621" s="1" t="n">
        <v>44300</v>
      </c>
      <c r="C1621" s="1" t="n">
        <v>45345</v>
      </c>
      <c r="D1621" t="inlineStr">
        <is>
          <t>VÄSTMANLANDS LÄN</t>
        </is>
      </c>
      <c r="E1621" t="inlineStr">
        <is>
          <t>FAGERSTA</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17778-2021</t>
        </is>
      </c>
      <c r="B1622" s="1" t="n">
        <v>44300</v>
      </c>
      <c r="C1622" s="1" t="n">
        <v>45345</v>
      </c>
      <c r="D1622" t="inlineStr">
        <is>
          <t>VÄSTMANLANDS LÄN</t>
        </is>
      </c>
      <c r="E1622" t="inlineStr">
        <is>
          <t>FAGERSTA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18046-2021</t>
        </is>
      </c>
      <c r="B1623" s="1" t="n">
        <v>44301</v>
      </c>
      <c r="C1623" s="1" t="n">
        <v>45345</v>
      </c>
      <c r="D1623" t="inlineStr">
        <is>
          <t>VÄSTMANLANDS LÄN</t>
        </is>
      </c>
      <c r="E1623" t="inlineStr">
        <is>
          <t>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18189-2021</t>
        </is>
      </c>
      <c r="B1624" s="1" t="n">
        <v>44302</v>
      </c>
      <c r="C1624" s="1" t="n">
        <v>45345</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18259-2021</t>
        </is>
      </c>
      <c r="B1625" s="1" t="n">
        <v>44305</v>
      </c>
      <c r="C1625" s="1" t="n">
        <v>45345</v>
      </c>
      <c r="D1625" t="inlineStr">
        <is>
          <t>VÄSTMANLANDS LÄN</t>
        </is>
      </c>
      <c r="E1625" t="inlineStr">
        <is>
          <t>SALA</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18378-2021</t>
        </is>
      </c>
      <c r="B1626" s="1" t="n">
        <v>44305</v>
      </c>
      <c r="C1626" s="1" t="n">
        <v>45345</v>
      </c>
      <c r="D1626" t="inlineStr">
        <is>
          <t>VÄSTMANLANDS LÄN</t>
        </is>
      </c>
      <c r="E1626" t="inlineStr">
        <is>
          <t>SALA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18385-2021</t>
        </is>
      </c>
      <c r="B1627" s="1" t="n">
        <v>44305</v>
      </c>
      <c r="C1627" s="1" t="n">
        <v>45345</v>
      </c>
      <c r="D1627" t="inlineStr">
        <is>
          <t>VÄSTMANLANDS LÄN</t>
        </is>
      </c>
      <c r="E1627" t="inlineStr">
        <is>
          <t>SALA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18723-2021</t>
        </is>
      </c>
      <c r="B1628" s="1" t="n">
        <v>44306</v>
      </c>
      <c r="C1628" s="1" t="n">
        <v>45345</v>
      </c>
      <c r="D1628" t="inlineStr">
        <is>
          <t>VÄSTMANLANDS LÄN</t>
        </is>
      </c>
      <c r="E1628" t="inlineStr">
        <is>
          <t>SURAHAMMAR</t>
        </is>
      </c>
      <c r="F1628" t="inlineStr">
        <is>
          <t>Bergvik skog väst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18951-2021</t>
        </is>
      </c>
      <c r="B1629" s="1" t="n">
        <v>44308</v>
      </c>
      <c r="C1629" s="1" t="n">
        <v>45345</v>
      </c>
      <c r="D1629" t="inlineStr">
        <is>
          <t>VÄSTMANLANDS LÄN</t>
        </is>
      </c>
      <c r="E1629" t="inlineStr">
        <is>
          <t>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19002-2021</t>
        </is>
      </c>
      <c r="B1630" s="1" t="n">
        <v>44308</v>
      </c>
      <c r="C1630" s="1" t="n">
        <v>45345</v>
      </c>
      <c r="D1630" t="inlineStr">
        <is>
          <t>VÄSTMANLANDS LÄN</t>
        </is>
      </c>
      <c r="E1630" t="inlineStr">
        <is>
          <t>SKINNSKATTEBERG</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19030-2021</t>
        </is>
      </c>
      <c r="B1631" s="1" t="n">
        <v>44308</v>
      </c>
      <c r="C1631" s="1" t="n">
        <v>45345</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19038-2021</t>
        </is>
      </c>
      <c r="B1632" s="1" t="n">
        <v>44308</v>
      </c>
      <c r="C1632" s="1" t="n">
        <v>45345</v>
      </c>
      <c r="D1632" t="inlineStr">
        <is>
          <t>VÄSTMANLANDS LÄN</t>
        </is>
      </c>
      <c r="E1632" t="inlineStr">
        <is>
          <t>SKINNSKATTEBERG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19000-2021</t>
        </is>
      </c>
      <c r="B1633" s="1" t="n">
        <v>44308</v>
      </c>
      <c r="C1633" s="1" t="n">
        <v>45345</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19016-2021</t>
        </is>
      </c>
      <c r="B1634" s="1" t="n">
        <v>44308</v>
      </c>
      <c r="C1634" s="1" t="n">
        <v>45345</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19035-2021</t>
        </is>
      </c>
      <c r="B1635" s="1" t="n">
        <v>44308</v>
      </c>
      <c r="C1635" s="1" t="n">
        <v>45345</v>
      </c>
      <c r="D1635" t="inlineStr">
        <is>
          <t>VÄSTMANLANDS LÄN</t>
        </is>
      </c>
      <c r="E1635" t="inlineStr">
        <is>
          <t>SKINNSKATTEBERG</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19013-2021</t>
        </is>
      </c>
      <c r="B1636" s="1" t="n">
        <v>44308</v>
      </c>
      <c r="C1636" s="1" t="n">
        <v>45345</v>
      </c>
      <c r="D1636" t="inlineStr">
        <is>
          <t>VÄSTMANLANDS LÄN</t>
        </is>
      </c>
      <c r="E1636" t="inlineStr">
        <is>
          <t>SKINNSKATTEBERG</t>
        </is>
      </c>
      <c r="F1636" t="inlineStr">
        <is>
          <t>Sveaskog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18957-2021</t>
        </is>
      </c>
      <c r="B1637" s="1" t="n">
        <v>44308</v>
      </c>
      <c r="C1637" s="1" t="n">
        <v>45345</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18965-2021</t>
        </is>
      </c>
      <c r="B1638" s="1" t="n">
        <v>44308</v>
      </c>
      <c r="C1638" s="1" t="n">
        <v>45345</v>
      </c>
      <c r="D1638" t="inlineStr">
        <is>
          <t>VÄSTMANLANDS LÄN</t>
        </is>
      </c>
      <c r="E1638" t="inlineStr">
        <is>
          <t>HALLSTAHAMMAR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20478-2021</t>
        </is>
      </c>
      <c r="B1639" s="1" t="n">
        <v>44315</v>
      </c>
      <c r="C1639" s="1" t="n">
        <v>45345</v>
      </c>
      <c r="D1639" t="inlineStr">
        <is>
          <t>VÄSTMANLANDS LÄN</t>
        </is>
      </c>
      <c r="E1639" t="inlineStr">
        <is>
          <t>SURAHAMMAR</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20871-2021</t>
        </is>
      </c>
      <c r="B1640" s="1" t="n">
        <v>44316</v>
      </c>
      <c r="C1640" s="1" t="n">
        <v>45345</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21043-2021</t>
        </is>
      </c>
      <c r="B1641" s="1" t="n">
        <v>44319</v>
      </c>
      <c r="C1641" s="1" t="n">
        <v>45345</v>
      </c>
      <c r="D1641" t="inlineStr">
        <is>
          <t>VÄSTMANLANDS LÄN</t>
        </is>
      </c>
      <c r="E1641" t="inlineStr">
        <is>
          <t>ARBOGA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20878-2021</t>
        </is>
      </c>
      <c r="B1642" s="1" t="n">
        <v>44319</v>
      </c>
      <c r="C1642" s="1" t="n">
        <v>45345</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21045-2021</t>
        </is>
      </c>
      <c r="B1643" s="1" t="n">
        <v>44319</v>
      </c>
      <c r="C1643" s="1" t="n">
        <v>45345</v>
      </c>
      <c r="D1643" t="inlineStr">
        <is>
          <t>VÄSTMANLANDS LÄN</t>
        </is>
      </c>
      <c r="E1643" t="inlineStr">
        <is>
          <t>ARBOGA</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21435-2021</t>
        </is>
      </c>
      <c r="B1644" s="1" t="n">
        <v>44321</v>
      </c>
      <c r="C1644" s="1" t="n">
        <v>45345</v>
      </c>
      <c r="D1644" t="inlineStr">
        <is>
          <t>VÄSTMANLANDS LÄN</t>
        </is>
      </c>
      <c r="E1644" t="inlineStr">
        <is>
          <t>KÖPING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21458-2021</t>
        </is>
      </c>
      <c r="B1645" s="1" t="n">
        <v>44321</v>
      </c>
      <c r="C1645" s="1" t="n">
        <v>45345</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21478-2021</t>
        </is>
      </c>
      <c r="B1646" s="1" t="n">
        <v>44321</v>
      </c>
      <c r="C1646" s="1" t="n">
        <v>45345</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21551-2021</t>
        </is>
      </c>
      <c r="B1647" s="1" t="n">
        <v>44321</v>
      </c>
      <c r="C1647" s="1" t="n">
        <v>45345</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21595-2021</t>
        </is>
      </c>
      <c r="B1648" s="1" t="n">
        <v>44321</v>
      </c>
      <c r="C1648" s="1" t="n">
        <v>45345</v>
      </c>
      <c r="D1648" t="inlineStr">
        <is>
          <t>VÄSTMANLANDS LÄN</t>
        </is>
      </c>
      <c r="E1648" t="inlineStr">
        <is>
          <t>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21839-2021</t>
        </is>
      </c>
      <c r="B1649" s="1" t="n">
        <v>44322</v>
      </c>
      <c r="C1649" s="1" t="n">
        <v>45345</v>
      </c>
      <c r="D1649" t="inlineStr">
        <is>
          <t>VÄSTMANLANDS LÄN</t>
        </is>
      </c>
      <c r="E1649" t="inlineStr">
        <is>
          <t>SURAHAMMAR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22019-2021</t>
        </is>
      </c>
      <c r="B1650" s="1" t="n">
        <v>44323</v>
      </c>
      <c r="C1650" s="1" t="n">
        <v>45345</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22026-2021</t>
        </is>
      </c>
      <c r="B1651" s="1" t="n">
        <v>44323</v>
      </c>
      <c r="C1651" s="1" t="n">
        <v>45345</v>
      </c>
      <c r="D1651" t="inlineStr">
        <is>
          <t>VÄSTMANLANDS LÄN</t>
        </is>
      </c>
      <c r="E1651" t="inlineStr">
        <is>
          <t>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22097-2021</t>
        </is>
      </c>
      <c r="B1652" s="1" t="n">
        <v>44323</v>
      </c>
      <c r="C1652" s="1" t="n">
        <v>45345</v>
      </c>
      <c r="D1652" t="inlineStr">
        <is>
          <t>VÄSTMANLANDS LÄN</t>
        </is>
      </c>
      <c r="E1652" t="inlineStr">
        <is>
          <t>SKINNSKATTEBERG</t>
        </is>
      </c>
      <c r="F1652" t="inlineStr">
        <is>
          <t>Sveaskog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22017-2021</t>
        </is>
      </c>
      <c r="B1653" s="1" t="n">
        <v>44323</v>
      </c>
      <c r="C1653" s="1" t="n">
        <v>45345</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22154-2021</t>
        </is>
      </c>
      <c r="B1654" s="1" t="n">
        <v>44325</v>
      </c>
      <c r="C1654" s="1" t="n">
        <v>45345</v>
      </c>
      <c r="D1654" t="inlineStr">
        <is>
          <t>VÄSTMANLANDS LÄN</t>
        </is>
      </c>
      <c r="E1654" t="inlineStr">
        <is>
          <t>ARBOGA</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22362-2021</t>
        </is>
      </c>
      <c r="B1655" s="1" t="n">
        <v>44326</v>
      </c>
      <c r="C1655" s="1" t="n">
        <v>45345</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23098-2021</t>
        </is>
      </c>
      <c r="B1656" s="1" t="n">
        <v>44330</v>
      </c>
      <c r="C1656" s="1" t="n">
        <v>45345</v>
      </c>
      <c r="D1656" t="inlineStr">
        <is>
          <t>VÄSTMANLANDS LÄN</t>
        </is>
      </c>
      <c r="E1656" t="inlineStr">
        <is>
          <t>VÄSTERÅS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23110-2021</t>
        </is>
      </c>
      <c r="B1657" s="1" t="n">
        <v>44330</v>
      </c>
      <c r="C1657" s="1" t="n">
        <v>45345</v>
      </c>
      <c r="D1657" t="inlineStr">
        <is>
          <t>VÄSTMANLANDS LÄN</t>
        </is>
      </c>
      <c r="E1657" t="inlineStr">
        <is>
          <t>SKINNSKATTEBERG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23240-2021</t>
        </is>
      </c>
      <c r="B1658" s="1" t="n">
        <v>44333</v>
      </c>
      <c r="C1658" s="1" t="n">
        <v>45345</v>
      </c>
      <c r="D1658" t="inlineStr">
        <is>
          <t>VÄSTMANLANDS LÄN</t>
        </is>
      </c>
      <c r="E1658" t="inlineStr">
        <is>
          <t>SKINNSKATTEBERG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23374-2021</t>
        </is>
      </c>
      <c r="B1659" s="1" t="n">
        <v>44333</v>
      </c>
      <c r="C1659" s="1" t="n">
        <v>45345</v>
      </c>
      <c r="D1659" t="inlineStr">
        <is>
          <t>VÄSTMANLANDS LÄN</t>
        </is>
      </c>
      <c r="E1659" t="inlineStr">
        <is>
          <t>HALLSTAHAMMAR</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23592-2021</t>
        </is>
      </c>
      <c r="B1660" s="1" t="n">
        <v>44333</v>
      </c>
      <c r="C1660" s="1" t="n">
        <v>45345</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23596-2021</t>
        </is>
      </c>
      <c r="B1661" s="1" t="n">
        <v>44333</v>
      </c>
      <c r="C1661" s="1" t="n">
        <v>45345</v>
      </c>
      <c r="D1661" t="inlineStr">
        <is>
          <t>VÄSTMANLANDS LÄN</t>
        </is>
      </c>
      <c r="E1661" t="inlineStr">
        <is>
          <t>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23696-2021</t>
        </is>
      </c>
      <c r="B1662" s="1" t="n">
        <v>44334</v>
      </c>
      <c r="C1662" s="1" t="n">
        <v>45345</v>
      </c>
      <c r="D1662" t="inlineStr">
        <is>
          <t>VÄSTMANLANDS LÄN</t>
        </is>
      </c>
      <c r="E1662" t="inlineStr">
        <is>
          <t>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23693-2021</t>
        </is>
      </c>
      <c r="B1663" s="1" t="n">
        <v>44334</v>
      </c>
      <c r="C1663" s="1" t="n">
        <v>45345</v>
      </c>
      <c r="D1663" t="inlineStr">
        <is>
          <t>VÄSTMANLANDS LÄN</t>
        </is>
      </c>
      <c r="E1663" t="inlineStr">
        <is>
          <t>SALA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23795-2021</t>
        </is>
      </c>
      <c r="B1664" s="1" t="n">
        <v>44335</v>
      </c>
      <c r="C1664" s="1" t="n">
        <v>45345</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23965-2021</t>
        </is>
      </c>
      <c r="B1665" s="1" t="n">
        <v>44335</v>
      </c>
      <c r="C1665" s="1" t="n">
        <v>45345</v>
      </c>
      <c r="D1665" t="inlineStr">
        <is>
          <t>VÄSTMANLANDS LÄN</t>
        </is>
      </c>
      <c r="E1665" t="inlineStr">
        <is>
          <t>SKINNSKATTEBERG</t>
        </is>
      </c>
      <c r="F1665" t="inlineStr">
        <is>
          <t>Sveaskog</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24163-2021</t>
        </is>
      </c>
      <c r="B1666" s="1" t="n">
        <v>44336</v>
      </c>
      <c r="C1666" s="1" t="n">
        <v>45345</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24229-2021</t>
        </is>
      </c>
      <c r="B1667" s="1" t="n">
        <v>44336</v>
      </c>
      <c r="C1667" s="1" t="n">
        <v>45345</v>
      </c>
      <c r="D1667" t="inlineStr">
        <is>
          <t>VÄSTMANLANDS LÄN</t>
        </is>
      </c>
      <c r="E1667" t="inlineStr">
        <is>
          <t>VÄSTERÅS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24535-2021</t>
        </is>
      </c>
      <c r="B1668" s="1" t="n">
        <v>44339</v>
      </c>
      <c r="C1668" s="1" t="n">
        <v>45345</v>
      </c>
      <c r="D1668" t="inlineStr">
        <is>
          <t>VÄSTMANLANDS LÄN</t>
        </is>
      </c>
      <c r="E1668" t="inlineStr">
        <is>
          <t>KÖPING</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24740-2021</t>
        </is>
      </c>
      <c r="B1669" s="1" t="n">
        <v>44340</v>
      </c>
      <c r="C1669" s="1" t="n">
        <v>45345</v>
      </c>
      <c r="D1669" t="inlineStr">
        <is>
          <t>VÄSTMANLANDS LÄN</t>
        </is>
      </c>
      <c r="E1669" t="inlineStr">
        <is>
          <t>SALA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24804-2021</t>
        </is>
      </c>
      <c r="B1670" s="1" t="n">
        <v>44340</v>
      </c>
      <c r="C1670" s="1" t="n">
        <v>45345</v>
      </c>
      <c r="D1670" t="inlineStr">
        <is>
          <t>VÄSTMANLANDS LÄN</t>
        </is>
      </c>
      <c r="E1670" t="inlineStr">
        <is>
          <t>SURAHAMMAR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24823-2021</t>
        </is>
      </c>
      <c r="B1671" s="1" t="n">
        <v>44340</v>
      </c>
      <c r="C1671" s="1" t="n">
        <v>45345</v>
      </c>
      <c r="D1671" t="inlineStr">
        <is>
          <t>VÄSTMANLANDS LÄN</t>
        </is>
      </c>
      <c r="E1671" t="inlineStr">
        <is>
          <t>SALA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24755-2021</t>
        </is>
      </c>
      <c r="B1672" s="1" t="n">
        <v>44340</v>
      </c>
      <c r="C1672" s="1" t="n">
        <v>45345</v>
      </c>
      <c r="D1672" t="inlineStr">
        <is>
          <t>VÄSTMANLANDS LÄN</t>
        </is>
      </c>
      <c r="E1672" t="inlineStr">
        <is>
          <t>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24834-2021</t>
        </is>
      </c>
      <c r="B1673" s="1" t="n">
        <v>44340</v>
      </c>
      <c r="C1673" s="1" t="n">
        <v>45345</v>
      </c>
      <c r="D1673" t="inlineStr">
        <is>
          <t>VÄSTMANLANDS LÄN</t>
        </is>
      </c>
      <c r="E1673" t="inlineStr">
        <is>
          <t>VÄSTERÅS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24838-2021</t>
        </is>
      </c>
      <c r="B1674" s="1" t="n">
        <v>44340</v>
      </c>
      <c r="C1674" s="1" t="n">
        <v>45345</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25052-2021</t>
        </is>
      </c>
      <c r="B1675" s="1" t="n">
        <v>44341</v>
      </c>
      <c r="C1675" s="1" t="n">
        <v>45345</v>
      </c>
      <c r="D1675" t="inlineStr">
        <is>
          <t>VÄSTMANLANDS LÄN</t>
        </is>
      </c>
      <c r="E1675" t="inlineStr">
        <is>
          <t>ARBOGA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25015-2021</t>
        </is>
      </c>
      <c r="B1676" s="1" t="n">
        <v>44341</v>
      </c>
      <c r="C1676" s="1" t="n">
        <v>45345</v>
      </c>
      <c r="D1676" t="inlineStr">
        <is>
          <t>VÄSTMANLANDS LÄN</t>
        </is>
      </c>
      <c r="E1676" t="inlineStr">
        <is>
          <t>VÄSTERÅS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25219-2021</t>
        </is>
      </c>
      <c r="B1677" s="1" t="n">
        <v>44342</v>
      </c>
      <c r="C1677" s="1" t="n">
        <v>45345</v>
      </c>
      <c r="D1677" t="inlineStr">
        <is>
          <t>VÄSTMANLANDS LÄN</t>
        </is>
      </c>
      <c r="E1677" t="inlineStr">
        <is>
          <t>SKINNSKATTEBERG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25340-2021</t>
        </is>
      </c>
      <c r="B1678" s="1" t="n">
        <v>44342</v>
      </c>
      <c r="C1678" s="1" t="n">
        <v>45345</v>
      </c>
      <c r="D1678" t="inlineStr">
        <is>
          <t>VÄSTMANLANDS LÄN</t>
        </is>
      </c>
      <c r="E1678" t="inlineStr">
        <is>
          <t>VÄSTERÅS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25382-2021</t>
        </is>
      </c>
      <c r="B1679" s="1" t="n">
        <v>44342</v>
      </c>
      <c r="C1679" s="1" t="n">
        <v>45345</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25386-2021</t>
        </is>
      </c>
      <c r="B1680" s="1" t="n">
        <v>44342</v>
      </c>
      <c r="C1680" s="1" t="n">
        <v>45345</v>
      </c>
      <c r="D1680" t="inlineStr">
        <is>
          <t>VÄSTMANLANDS LÄN</t>
        </is>
      </c>
      <c r="E1680" t="inlineStr">
        <is>
          <t>SKINNSKATTEBERG</t>
        </is>
      </c>
      <c r="F1680" t="inlineStr">
        <is>
          <t>Sveaskog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25364-2021</t>
        </is>
      </c>
      <c r="B1681" s="1" t="n">
        <v>44342</v>
      </c>
      <c r="C1681" s="1" t="n">
        <v>45345</v>
      </c>
      <c r="D1681" t="inlineStr">
        <is>
          <t>VÄSTMANLANDS LÄN</t>
        </is>
      </c>
      <c r="E1681" t="inlineStr">
        <is>
          <t>NORBERG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25421-2021</t>
        </is>
      </c>
      <c r="B1682" s="1" t="n">
        <v>44342</v>
      </c>
      <c r="C1682" s="1" t="n">
        <v>45345</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25536-2021</t>
        </is>
      </c>
      <c r="B1683" s="1" t="n">
        <v>44343</v>
      </c>
      <c r="C1683" s="1" t="n">
        <v>45345</v>
      </c>
      <c r="D1683" t="inlineStr">
        <is>
          <t>VÄSTMANLANDS LÄN</t>
        </is>
      </c>
      <c r="E1683" t="inlineStr">
        <is>
          <t>SKINNSKATTEBERG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26579-2021</t>
        </is>
      </c>
      <c r="B1684" s="1" t="n">
        <v>44348</v>
      </c>
      <c r="C1684" s="1" t="n">
        <v>45345</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26520-2021</t>
        </is>
      </c>
      <c r="B1685" s="1" t="n">
        <v>44348</v>
      </c>
      <c r="C1685" s="1" t="n">
        <v>45345</v>
      </c>
      <c r="D1685" t="inlineStr">
        <is>
          <t>VÄSTMANLANDS LÄN</t>
        </is>
      </c>
      <c r="E1685" t="inlineStr">
        <is>
          <t>VÄSTERÅS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26571-2021</t>
        </is>
      </c>
      <c r="B1686" s="1" t="n">
        <v>44348</v>
      </c>
      <c r="C1686" s="1" t="n">
        <v>45345</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26444-2021</t>
        </is>
      </c>
      <c r="B1687" s="1" t="n">
        <v>44348</v>
      </c>
      <c r="C1687" s="1" t="n">
        <v>45345</v>
      </c>
      <c r="D1687" t="inlineStr">
        <is>
          <t>VÄSTMANLANDS LÄN</t>
        </is>
      </c>
      <c r="E1687" t="inlineStr">
        <is>
          <t>NORBERG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26495-2021</t>
        </is>
      </c>
      <c r="B1688" s="1" t="n">
        <v>44348</v>
      </c>
      <c r="C1688" s="1" t="n">
        <v>45345</v>
      </c>
      <c r="D1688" t="inlineStr">
        <is>
          <t>VÄSTMANLANDS LÄN</t>
        </is>
      </c>
      <c r="E1688" t="inlineStr">
        <is>
          <t>KUNGSÖR</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26570-2021</t>
        </is>
      </c>
      <c r="B1689" s="1" t="n">
        <v>44348</v>
      </c>
      <c r="C1689" s="1" t="n">
        <v>45345</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26575-2021</t>
        </is>
      </c>
      <c r="B1690" s="1" t="n">
        <v>44348</v>
      </c>
      <c r="C1690" s="1" t="n">
        <v>45345</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26859-2021</t>
        </is>
      </c>
      <c r="B1691" s="1" t="n">
        <v>44349</v>
      </c>
      <c r="C1691" s="1" t="n">
        <v>45345</v>
      </c>
      <c r="D1691" t="inlineStr">
        <is>
          <t>VÄSTMANLANDS LÄN</t>
        </is>
      </c>
      <c r="E1691" t="inlineStr">
        <is>
          <t>ARBOGA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26910-2021</t>
        </is>
      </c>
      <c r="B1692" s="1" t="n">
        <v>44349</v>
      </c>
      <c r="C1692" s="1" t="n">
        <v>45345</v>
      </c>
      <c r="D1692" t="inlineStr">
        <is>
          <t>VÄSTMANLANDS LÄN</t>
        </is>
      </c>
      <c r="E1692" t="inlineStr">
        <is>
          <t>NORBERG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26891-2021</t>
        </is>
      </c>
      <c r="B1693" s="1" t="n">
        <v>44349</v>
      </c>
      <c r="C1693" s="1" t="n">
        <v>45345</v>
      </c>
      <c r="D1693" t="inlineStr">
        <is>
          <t>VÄSTMANLANDS LÄN</t>
        </is>
      </c>
      <c r="E1693" t="inlineStr">
        <is>
          <t>NORBERG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26899-2021</t>
        </is>
      </c>
      <c r="B1694" s="1" t="n">
        <v>44349</v>
      </c>
      <c r="C1694" s="1" t="n">
        <v>45345</v>
      </c>
      <c r="D1694" t="inlineStr">
        <is>
          <t>VÄSTMANLANDS LÄN</t>
        </is>
      </c>
      <c r="E1694" t="inlineStr">
        <is>
          <t>NORBERG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27213-2021</t>
        </is>
      </c>
      <c r="B1695" s="1" t="n">
        <v>44350</v>
      </c>
      <c r="C1695" s="1" t="n">
        <v>45345</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27212-2021</t>
        </is>
      </c>
      <c r="B1696" s="1" t="n">
        <v>44350</v>
      </c>
      <c r="C1696" s="1" t="n">
        <v>45345</v>
      </c>
      <c r="D1696" t="inlineStr">
        <is>
          <t>VÄSTMANLANDS LÄN</t>
        </is>
      </c>
      <c r="E1696" t="inlineStr">
        <is>
          <t>KÖPING</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27065-2021</t>
        </is>
      </c>
      <c r="B1697" s="1" t="n">
        <v>44350</v>
      </c>
      <c r="C1697" s="1" t="n">
        <v>45345</v>
      </c>
      <c r="D1697" t="inlineStr">
        <is>
          <t>VÄSTMANLANDS LÄN</t>
        </is>
      </c>
      <c r="E1697" t="inlineStr">
        <is>
          <t>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27209-2021</t>
        </is>
      </c>
      <c r="B1698" s="1" t="n">
        <v>44350</v>
      </c>
      <c r="C1698" s="1" t="n">
        <v>45345</v>
      </c>
      <c r="D1698" t="inlineStr">
        <is>
          <t>VÄSTMANLANDS LÄN</t>
        </is>
      </c>
      <c r="E1698" t="inlineStr">
        <is>
          <t>KÖPING</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27402-2021</t>
        </is>
      </c>
      <c r="B1699" s="1" t="n">
        <v>44351</v>
      </c>
      <c r="C1699" s="1" t="n">
        <v>45345</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27525-2021</t>
        </is>
      </c>
      <c r="B1700" s="1" t="n">
        <v>44351</v>
      </c>
      <c r="C1700" s="1" t="n">
        <v>45345</v>
      </c>
      <c r="D1700" t="inlineStr">
        <is>
          <t>VÄSTMANLANDS LÄN</t>
        </is>
      </c>
      <c r="E1700" t="inlineStr">
        <is>
          <t>FAGERSTA</t>
        </is>
      </c>
      <c r="F1700" t="inlineStr">
        <is>
          <t>Sveaskog</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27604-2021</t>
        </is>
      </c>
      <c r="B1701" s="1" t="n">
        <v>44351</v>
      </c>
      <c r="C1701" s="1" t="n">
        <v>45345</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27793-2021</t>
        </is>
      </c>
      <c r="B1702" s="1" t="n">
        <v>44354</v>
      </c>
      <c r="C1702" s="1" t="n">
        <v>45345</v>
      </c>
      <c r="D1702" t="inlineStr">
        <is>
          <t>VÄSTMANLANDS LÄN</t>
        </is>
      </c>
      <c r="E1702" t="inlineStr">
        <is>
          <t>ARBOGA</t>
        </is>
      </c>
      <c r="F1702" t="inlineStr">
        <is>
          <t>Allmännings- och besparingsskogar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27911-2021</t>
        </is>
      </c>
      <c r="B1703" s="1" t="n">
        <v>44354</v>
      </c>
      <c r="C1703" s="1" t="n">
        <v>45345</v>
      </c>
      <c r="D1703" t="inlineStr">
        <is>
          <t>VÄSTMANLANDS LÄN</t>
        </is>
      </c>
      <c r="E1703" t="inlineStr">
        <is>
          <t>KÖPING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28054-2021</t>
        </is>
      </c>
      <c r="B1704" s="1" t="n">
        <v>44355</v>
      </c>
      <c r="C1704" s="1" t="n">
        <v>45345</v>
      </c>
      <c r="D1704" t="inlineStr">
        <is>
          <t>VÄSTMANLANDS LÄN</t>
        </is>
      </c>
      <c r="E1704" t="inlineStr">
        <is>
          <t>ARBOGA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28051-2021</t>
        </is>
      </c>
      <c r="B1705" s="1" t="n">
        <v>44355</v>
      </c>
      <c r="C1705" s="1" t="n">
        <v>45345</v>
      </c>
      <c r="D1705" t="inlineStr">
        <is>
          <t>VÄSTMANLANDS LÄN</t>
        </is>
      </c>
      <c r="E1705" t="inlineStr">
        <is>
          <t>ARBOGA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28173-2021</t>
        </is>
      </c>
      <c r="B1706" s="1" t="n">
        <v>44355</v>
      </c>
      <c r="C1706" s="1" t="n">
        <v>45345</v>
      </c>
      <c r="D1706" t="inlineStr">
        <is>
          <t>VÄSTMANLANDS LÄN</t>
        </is>
      </c>
      <c r="E1706" t="inlineStr">
        <is>
          <t>SKINNSKATTEBERG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28232-2021</t>
        </is>
      </c>
      <c r="B1707" s="1" t="n">
        <v>44355</v>
      </c>
      <c r="C1707" s="1" t="n">
        <v>45345</v>
      </c>
      <c r="D1707" t="inlineStr">
        <is>
          <t>VÄSTMANLANDS LÄN</t>
        </is>
      </c>
      <c r="E1707" t="inlineStr">
        <is>
          <t>KÖPING</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28324-2021</t>
        </is>
      </c>
      <c r="B1708" s="1" t="n">
        <v>44356</v>
      </c>
      <c r="C1708" s="1" t="n">
        <v>45345</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28425-2021</t>
        </is>
      </c>
      <c r="B1709" s="1" t="n">
        <v>44356</v>
      </c>
      <c r="C1709" s="1" t="n">
        <v>45345</v>
      </c>
      <c r="D1709" t="inlineStr">
        <is>
          <t>VÄSTMANLANDS LÄN</t>
        </is>
      </c>
      <c r="E1709" t="inlineStr">
        <is>
          <t>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45345</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29035-2021</t>
        </is>
      </c>
      <c r="B1711" s="1" t="n">
        <v>44358</v>
      </c>
      <c r="C1711" s="1" t="n">
        <v>45345</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29197-2021</t>
        </is>
      </c>
      <c r="B1712" s="1" t="n">
        <v>44359</v>
      </c>
      <c r="C1712" s="1" t="n">
        <v>45345</v>
      </c>
      <c r="D1712" t="inlineStr">
        <is>
          <t>VÄSTMANLANDS LÄN</t>
        </is>
      </c>
      <c r="E1712" t="inlineStr">
        <is>
          <t>FAGERSTA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29244-2021</t>
        </is>
      </c>
      <c r="B1713" s="1" t="n">
        <v>44360</v>
      </c>
      <c r="C1713" s="1" t="n">
        <v>45345</v>
      </c>
      <c r="D1713" t="inlineStr">
        <is>
          <t>VÄSTMANLANDS LÄN</t>
        </is>
      </c>
      <c r="E1713" t="inlineStr">
        <is>
          <t>NORBERG</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29791-2021</t>
        </is>
      </c>
      <c r="B1714" s="1" t="n">
        <v>44362</v>
      </c>
      <c r="C1714" s="1" t="n">
        <v>45345</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29894-2021</t>
        </is>
      </c>
      <c r="B1715" s="1" t="n">
        <v>44362</v>
      </c>
      <c r="C1715" s="1" t="n">
        <v>45345</v>
      </c>
      <c r="D1715" t="inlineStr">
        <is>
          <t>VÄSTMANLANDS LÄN</t>
        </is>
      </c>
      <c r="E1715" t="inlineStr">
        <is>
          <t>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30087-2021</t>
        </is>
      </c>
      <c r="B1716" s="1" t="n">
        <v>44363</v>
      </c>
      <c r="C1716" s="1" t="n">
        <v>45345</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30170-2021</t>
        </is>
      </c>
      <c r="B1717" s="1" t="n">
        <v>44363</v>
      </c>
      <c r="C1717" s="1" t="n">
        <v>45345</v>
      </c>
      <c r="D1717" t="inlineStr">
        <is>
          <t>VÄSTMANLANDS LÄN</t>
        </is>
      </c>
      <c r="E1717" t="inlineStr">
        <is>
          <t>SALA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30174-2021</t>
        </is>
      </c>
      <c r="B1718" s="1" t="n">
        <v>44363</v>
      </c>
      <c r="C1718" s="1" t="n">
        <v>45345</v>
      </c>
      <c r="D1718" t="inlineStr">
        <is>
          <t>VÄSTMANLANDS LÄN</t>
        </is>
      </c>
      <c r="E1718" t="inlineStr">
        <is>
          <t>HALLSTAHAMMAR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30465-2021</t>
        </is>
      </c>
      <c r="B1719" s="1" t="n">
        <v>44364</v>
      </c>
      <c r="C1719" s="1" t="n">
        <v>45345</v>
      </c>
      <c r="D1719" t="inlineStr">
        <is>
          <t>VÄSTMANLANDS LÄN</t>
        </is>
      </c>
      <c r="E1719" t="inlineStr">
        <is>
          <t>VÄSTERÅS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30482-2021</t>
        </is>
      </c>
      <c r="B1720" s="1" t="n">
        <v>44364</v>
      </c>
      <c r="C1720" s="1" t="n">
        <v>45345</v>
      </c>
      <c r="D1720" t="inlineStr">
        <is>
          <t>VÄSTMANLANDS LÄN</t>
        </is>
      </c>
      <c r="E1720" t="inlineStr">
        <is>
          <t>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45345</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30743-2021</t>
        </is>
      </c>
      <c r="B1722" s="1" t="n">
        <v>44365</v>
      </c>
      <c r="C1722" s="1" t="n">
        <v>45345</v>
      </c>
      <c r="D1722" t="inlineStr">
        <is>
          <t>VÄSTMANLANDS LÄN</t>
        </is>
      </c>
      <c r="E1722" t="inlineStr">
        <is>
          <t>HALLSTAHAMMAR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30782-2021</t>
        </is>
      </c>
      <c r="B1723" s="1" t="n">
        <v>44365</v>
      </c>
      <c r="C1723" s="1" t="n">
        <v>45345</v>
      </c>
      <c r="D1723" t="inlineStr">
        <is>
          <t>VÄSTMANLANDS LÄN</t>
        </is>
      </c>
      <c r="E1723" t="inlineStr">
        <is>
          <t>HALLSTAHAMMAR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30859-2021</t>
        </is>
      </c>
      <c r="B1724" s="1" t="n">
        <v>44365</v>
      </c>
      <c r="C1724" s="1" t="n">
        <v>45345</v>
      </c>
      <c r="D1724" t="inlineStr">
        <is>
          <t>VÄSTMANLANDS LÄN</t>
        </is>
      </c>
      <c r="E1724" t="inlineStr">
        <is>
          <t>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30904-2021</t>
        </is>
      </c>
      <c r="B1725" s="1" t="n">
        <v>44365</v>
      </c>
      <c r="C1725" s="1" t="n">
        <v>45345</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30915-2021</t>
        </is>
      </c>
      <c r="B1726" s="1" t="n">
        <v>44365</v>
      </c>
      <c r="C1726" s="1" t="n">
        <v>45345</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30925-2021</t>
        </is>
      </c>
      <c r="B1727" s="1" t="n">
        <v>44365</v>
      </c>
      <c r="C1727" s="1" t="n">
        <v>45345</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30918-2021</t>
        </is>
      </c>
      <c r="B1728" s="1" t="n">
        <v>44365</v>
      </c>
      <c r="C1728" s="1" t="n">
        <v>45345</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31072-2021</t>
        </is>
      </c>
      <c r="B1729" s="1" t="n">
        <v>44368</v>
      </c>
      <c r="C1729" s="1" t="n">
        <v>45345</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45345</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31257-2021</t>
        </is>
      </c>
      <c r="B1731" s="1" t="n">
        <v>44368</v>
      </c>
      <c r="C1731" s="1" t="n">
        <v>45345</v>
      </c>
      <c r="D1731" t="inlineStr">
        <is>
          <t>VÄSTMANLANDS LÄN</t>
        </is>
      </c>
      <c r="E1731" t="inlineStr">
        <is>
          <t>NORBERG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31452-2021</t>
        </is>
      </c>
      <c r="B1732" s="1" t="n">
        <v>44369</v>
      </c>
      <c r="C1732" s="1" t="n">
        <v>45345</v>
      </c>
      <c r="D1732" t="inlineStr">
        <is>
          <t>VÄSTMANLANDS LÄN</t>
        </is>
      </c>
      <c r="E1732" t="inlineStr">
        <is>
          <t>SALA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31470-2021</t>
        </is>
      </c>
      <c r="B1733" s="1" t="n">
        <v>44369</v>
      </c>
      <c r="C1733" s="1" t="n">
        <v>45345</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31468-2021</t>
        </is>
      </c>
      <c r="B1734" s="1" t="n">
        <v>44369</v>
      </c>
      <c r="C1734" s="1" t="n">
        <v>45345</v>
      </c>
      <c r="D1734" t="inlineStr">
        <is>
          <t>VÄSTMANLANDS LÄN</t>
        </is>
      </c>
      <c r="E1734" t="inlineStr">
        <is>
          <t>SURAHAMMAR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31424-2021</t>
        </is>
      </c>
      <c r="B1735" s="1" t="n">
        <v>44369</v>
      </c>
      <c r="C1735" s="1" t="n">
        <v>45345</v>
      </c>
      <c r="D1735" t="inlineStr">
        <is>
          <t>VÄSTMANLANDS LÄN</t>
        </is>
      </c>
      <c r="E1735" t="inlineStr">
        <is>
          <t>SKINNSKATTEBERG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31626-2021</t>
        </is>
      </c>
      <c r="B1736" s="1" t="n">
        <v>44369</v>
      </c>
      <c r="C1736" s="1" t="n">
        <v>45345</v>
      </c>
      <c r="D1736" t="inlineStr">
        <is>
          <t>VÄSTMANLANDS LÄN</t>
        </is>
      </c>
      <c r="E1736" t="inlineStr">
        <is>
          <t>VÄSTERÅS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31680-2021</t>
        </is>
      </c>
      <c r="B1737" s="1" t="n">
        <v>44369</v>
      </c>
      <c r="C1737" s="1" t="n">
        <v>45345</v>
      </c>
      <c r="D1737" t="inlineStr">
        <is>
          <t>VÄSTMANLANDS LÄN</t>
        </is>
      </c>
      <c r="E1737" t="inlineStr">
        <is>
          <t>VÄSTERÅS</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31904-2021</t>
        </is>
      </c>
      <c r="B1738" s="1" t="n">
        <v>44370</v>
      </c>
      <c r="C1738" s="1" t="n">
        <v>45345</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31880-2021</t>
        </is>
      </c>
      <c r="B1739" s="1" t="n">
        <v>44370</v>
      </c>
      <c r="C1739" s="1" t="n">
        <v>45345</v>
      </c>
      <c r="D1739" t="inlineStr">
        <is>
          <t>VÄSTMANLANDS LÄN</t>
        </is>
      </c>
      <c r="E1739" t="inlineStr">
        <is>
          <t>VÄSTERÅS</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31918-2021</t>
        </is>
      </c>
      <c r="B1740" s="1" t="n">
        <v>44370</v>
      </c>
      <c r="C1740" s="1" t="n">
        <v>45345</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32312-2021</t>
        </is>
      </c>
      <c r="B1741" s="1" t="n">
        <v>44371</v>
      </c>
      <c r="C1741" s="1" t="n">
        <v>45345</v>
      </c>
      <c r="D1741" t="inlineStr">
        <is>
          <t>VÄSTMANLANDS LÄN</t>
        </is>
      </c>
      <c r="E1741" t="inlineStr">
        <is>
          <t>VÄSTERÅS</t>
        </is>
      </c>
      <c r="F1741" t="inlineStr">
        <is>
          <t>Övriga Aktiebolag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32436-2021</t>
        </is>
      </c>
      <c r="B1742" s="1" t="n">
        <v>44371</v>
      </c>
      <c r="C1742" s="1" t="n">
        <v>45345</v>
      </c>
      <c r="D1742" t="inlineStr">
        <is>
          <t>VÄSTMANLANDS LÄN</t>
        </is>
      </c>
      <c r="E1742" t="inlineStr">
        <is>
          <t>VÄSTERÅS</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32610-2021</t>
        </is>
      </c>
      <c r="B1743" s="1" t="n">
        <v>44375</v>
      </c>
      <c r="C1743" s="1" t="n">
        <v>45345</v>
      </c>
      <c r="D1743" t="inlineStr">
        <is>
          <t>VÄSTMANLANDS LÄN</t>
        </is>
      </c>
      <c r="E1743" t="inlineStr">
        <is>
          <t>SALA</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33512-2021</t>
        </is>
      </c>
      <c r="B1744" s="1" t="n">
        <v>44377</v>
      </c>
      <c r="C1744" s="1" t="n">
        <v>45345</v>
      </c>
      <c r="D1744" t="inlineStr">
        <is>
          <t>VÄSTMANLANDS LÄN</t>
        </is>
      </c>
      <c r="E1744" t="inlineStr">
        <is>
          <t>VÄSTERÅS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33762-2021</t>
        </is>
      </c>
      <c r="B1745" s="1" t="n">
        <v>44378</v>
      </c>
      <c r="C1745" s="1" t="n">
        <v>45345</v>
      </c>
      <c r="D1745" t="inlineStr">
        <is>
          <t>VÄSTMANLANDS LÄN</t>
        </is>
      </c>
      <c r="E1745" t="inlineStr">
        <is>
          <t>SALA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33998-2021</t>
        </is>
      </c>
      <c r="B1746" s="1" t="n">
        <v>44378</v>
      </c>
      <c r="C1746" s="1" t="n">
        <v>45345</v>
      </c>
      <c r="D1746" t="inlineStr">
        <is>
          <t>VÄSTMANLANDS LÄN</t>
        </is>
      </c>
      <c r="E1746" t="inlineStr">
        <is>
          <t>SURAHAMMAR</t>
        </is>
      </c>
      <c r="F1746" t="inlineStr">
        <is>
          <t>Bergvik skog väst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34001-2021</t>
        </is>
      </c>
      <c r="B1747" s="1" t="n">
        <v>44378</v>
      </c>
      <c r="C1747" s="1" t="n">
        <v>45345</v>
      </c>
      <c r="D1747" t="inlineStr">
        <is>
          <t>VÄSTMANLANDS LÄN</t>
        </is>
      </c>
      <c r="E1747" t="inlineStr">
        <is>
          <t>SURAHAMMAR</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33953-2021</t>
        </is>
      </c>
      <c r="B1748" s="1" t="n">
        <v>44378</v>
      </c>
      <c r="C1748" s="1" t="n">
        <v>45345</v>
      </c>
      <c r="D1748" t="inlineStr">
        <is>
          <t>VÄSTMANLANDS LÄN</t>
        </is>
      </c>
      <c r="E1748" t="inlineStr">
        <is>
          <t>HALLSTAHAMMAR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34215-2021</t>
        </is>
      </c>
      <c r="B1749" s="1" t="n">
        <v>44379</v>
      </c>
      <c r="C1749" s="1" t="n">
        <v>45345</v>
      </c>
      <c r="D1749" t="inlineStr">
        <is>
          <t>VÄSTMANLANDS LÄN</t>
        </is>
      </c>
      <c r="E1749" t="inlineStr">
        <is>
          <t>KÖPING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34426-2021</t>
        </is>
      </c>
      <c r="B1750" s="1" t="n">
        <v>44380</v>
      </c>
      <c r="C1750" s="1" t="n">
        <v>45345</v>
      </c>
      <c r="D1750" t="inlineStr">
        <is>
          <t>VÄSTMANLANDS LÄN</t>
        </is>
      </c>
      <c r="E1750" t="inlineStr">
        <is>
          <t>FAGERSTA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34897-2021</t>
        </is>
      </c>
      <c r="B1751" s="1" t="n">
        <v>44383</v>
      </c>
      <c r="C1751" s="1" t="n">
        <v>45345</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34814-2021</t>
        </is>
      </c>
      <c r="B1752" s="1" t="n">
        <v>44383</v>
      </c>
      <c r="C1752" s="1" t="n">
        <v>45345</v>
      </c>
      <c r="D1752" t="inlineStr">
        <is>
          <t>VÄSTMANLANDS LÄN</t>
        </is>
      </c>
      <c r="E1752" t="inlineStr">
        <is>
          <t>SALA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35207-2021</t>
        </is>
      </c>
      <c r="B1753" s="1" t="n">
        <v>44384</v>
      </c>
      <c r="C1753" s="1" t="n">
        <v>45345</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35211-2021</t>
        </is>
      </c>
      <c r="B1754" s="1" t="n">
        <v>44384</v>
      </c>
      <c r="C1754" s="1" t="n">
        <v>45345</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35451-2021</t>
        </is>
      </c>
      <c r="B1755" s="1" t="n">
        <v>44384</v>
      </c>
      <c r="C1755" s="1" t="n">
        <v>45345</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35487-2021</t>
        </is>
      </c>
      <c r="B1756" s="1" t="n">
        <v>44384</v>
      </c>
      <c r="C1756" s="1" t="n">
        <v>45345</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35482-2021</t>
        </is>
      </c>
      <c r="B1757" s="1" t="n">
        <v>44384</v>
      </c>
      <c r="C1757" s="1" t="n">
        <v>45345</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35656-2021</t>
        </is>
      </c>
      <c r="B1758" s="1" t="n">
        <v>44386</v>
      </c>
      <c r="C1758" s="1" t="n">
        <v>45345</v>
      </c>
      <c r="D1758" t="inlineStr">
        <is>
          <t>VÄSTMANLANDS LÄN</t>
        </is>
      </c>
      <c r="E1758" t="inlineStr">
        <is>
          <t>NORBERG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35600-2021</t>
        </is>
      </c>
      <c r="B1759" s="1" t="n">
        <v>44386</v>
      </c>
      <c r="C1759" s="1" t="n">
        <v>45345</v>
      </c>
      <c r="D1759" t="inlineStr">
        <is>
          <t>VÄSTMANLANDS LÄN</t>
        </is>
      </c>
      <c r="E1759" t="inlineStr">
        <is>
          <t>ARBOGA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35905-2021</t>
        </is>
      </c>
      <c r="B1760" s="1" t="n">
        <v>44387</v>
      </c>
      <c r="C1760" s="1" t="n">
        <v>45345</v>
      </c>
      <c r="D1760" t="inlineStr">
        <is>
          <t>VÄSTMANLANDS LÄN</t>
        </is>
      </c>
      <c r="E1760" t="inlineStr">
        <is>
          <t>FAGERSTA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35896-2021</t>
        </is>
      </c>
      <c r="B1761" s="1" t="n">
        <v>44387</v>
      </c>
      <c r="C1761" s="1" t="n">
        <v>45345</v>
      </c>
      <c r="D1761" t="inlineStr">
        <is>
          <t>VÄSTMANLANDS LÄN</t>
        </is>
      </c>
      <c r="E1761" t="inlineStr">
        <is>
          <t>FAGERSTA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35921-2021</t>
        </is>
      </c>
      <c r="B1762" s="1" t="n">
        <v>44388</v>
      </c>
      <c r="C1762" s="1" t="n">
        <v>45345</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36507-2021</t>
        </is>
      </c>
      <c r="B1763" s="1" t="n">
        <v>44391</v>
      </c>
      <c r="C1763" s="1" t="n">
        <v>45345</v>
      </c>
      <c r="D1763" t="inlineStr">
        <is>
          <t>VÄSTMANLANDS LÄN</t>
        </is>
      </c>
      <c r="E1763" t="inlineStr">
        <is>
          <t>VÄSTERÅS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36539-2021</t>
        </is>
      </c>
      <c r="B1764" s="1" t="n">
        <v>44391</v>
      </c>
      <c r="C1764" s="1" t="n">
        <v>45345</v>
      </c>
      <c r="D1764" t="inlineStr">
        <is>
          <t>VÄSTMANLANDS LÄN</t>
        </is>
      </c>
      <c r="E1764" t="inlineStr">
        <is>
          <t>KUNGSÖR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36532-2021</t>
        </is>
      </c>
      <c r="B1765" s="1" t="n">
        <v>44391</v>
      </c>
      <c r="C1765" s="1" t="n">
        <v>45345</v>
      </c>
      <c r="D1765" t="inlineStr">
        <is>
          <t>VÄSTMANLANDS LÄN</t>
        </is>
      </c>
      <c r="E1765" t="inlineStr">
        <is>
          <t>KUNGSÖR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36639-2021</t>
        </is>
      </c>
      <c r="B1766" s="1" t="n">
        <v>44392</v>
      </c>
      <c r="C1766" s="1" t="n">
        <v>45345</v>
      </c>
      <c r="D1766" t="inlineStr">
        <is>
          <t>VÄSTMANLANDS LÄN</t>
        </is>
      </c>
      <c r="E1766" t="inlineStr">
        <is>
          <t>KUNGSÖR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36638-2021</t>
        </is>
      </c>
      <c r="B1767" s="1" t="n">
        <v>44392</v>
      </c>
      <c r="C1767" s="1" t="n">
        <v>45345</v>
      </c>
      <c r="D1767" t="inlineStr">
        <is>
          <t>VÄSTMANLANDS LÄN</t>
        </is>
      </c>
      <c r="E1767" t="inlineStr">
        <is>
          <t>KUNGSÖR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36866-2021</t>
        </is>
      </c>
      <c r="B1768" s="1" t="n">
        <v>44393</v>
      </c>
      <c r="C1768" s="1" t="n">
        <v>45345</v>
      </c>
      <c r="D1768" t="inlineStr">
        <is>
          <t>VÄSTMANLANDS LÄN</t>
        </is>
      </c>
      <c r="E1768" t="inlineStr">
        <is>
          <t>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45345</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37602-2021</t>
        </is>
      </c>
      <c r="B1770" s="1" t="n">
        <v>44399</v>
      </c>
      <c r="C1770" s="1" t="n">
        <v>45345</v>
      </c>
      <c r="D1770" t="inlineStr">
        <is>
          <t>VÄSTMANLANDS LÄN</t>
        </is>
      </c>
      <c r="E1770" t="inlineStr">
        <is>
          <t>FAGERSTA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37653-2021</t>
        </is>
      </c>
      <c r="B1771" s="1" t="n">
        <v>44400</v>
      </c>
      <c r="C1771" s="1" t="n">
        <v>45345</v>
      </c>
      <c r="D1771" t="inlineStr">
        <is>
          <t>VÄSTMANLANDS LÄN</t>
        </is>
      </c>
      <c r="E1771" t="inlineStr">
        <is>
          <t>ARBOGA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37703-2021</t>
        </is>
      </c>
      <c r="B1772" s="1" t="n">
        <v>44400</v>
      </c>
      <c r="C1772" s="1" t="n">
        <v>45345</v>
      </c>
      <c r="D1772" t="inlineStr">
        <is>
          <t>VÄSTMANLANDS LÄN</t>
        </is>
      </c>
      <c r="E1772" t="inlineStr">
        <is>
          <t>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37798-2021</t>
        </is>
      </c>
      <c r="B1773" s="1" t="n">
        <v>44402</v>
      </c>
      <c r="C1773" s="1" t="n">
        <v>45345</v>
      </c>
      <c r="D1773" t="inlineStr">
        <is>
          <t>VÄSTMANLANDS LÄN</t>
        </is>
      </c>
      <c r="E1773" t="inlineStr">
        <is>
          <t>SURAHAMMAR</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37799-2021</t>
        </is>
      </c>
      <c r="B1774" s="1" t="n">
        <v>44402</v>
      </c>
      <c r="C1774" s="1" t="n">
        <v>45345</v>
      </c>
      <c r="D1774" t="inlineStr">
        <is>
          <t>VÄSTMANLANDS LÄN</t>
        </is>
      </c>
      <c r="E1774" t="inlineStr">
        <is>
          <t>SURAHAMMAR</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37856-2021</t>
        </is>
      </c>
      <c r="B1775" s="1" t="n">
        <v>44403</v>
      </c>
      <c r="C1775" s="1" t="n">
        <v>45345</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37872-2021</t>
        </is>
      </c>
      <c r="B1776" s="1" t="n">
        <v>44403</v>
      </c>
      <c r="C1776" s="1" t="n">
        <v>45345</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37881-2021</t>
        </is>
      </c>
      <c r="B1777" s="1" t="n">
        <v>44403</v>
      </c>
      <c r="C1777" s="1" t="n">
        <v>45345</v>
      </c>
      <c r="D1777" t="inlineStr">
        <is>
          <t>VÄSTMANLANDS LÄN</t>
        </is>
      </c>
      <c r="E1777" t="inlineStr">
        <is>
          <t>SALA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38067-2021</t>
        </is>
      </c>
      <c r="B1778" s="1" t="n">
        <v>44404</v>
      </c>
      <c r="C1778" s="1" t="n">
        <v>45345</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38068-2021</t>
        </is>
      </c>
      <c r="B1779" s="1" t="n">
        <v>44404</v>
      </c>
      <c r="C1779" s="1" t="n">
        <v>45345</v>
      </c>
      <c r="D1779" t="inlineStr">
        <is>
          <t>VÄSTMANLANDS LÄN</t>
        </is>
      </c>
      <c r="E1779" t="inlineStr">
        <is>
          <t>ARBOGA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38066-2021</t>
        </is>
      </c>
      <c r="B1780" s="1" t="n">
        <v>44404</v>
      </c>
      <c r="C1780" s="1" t="n">
        <v>45345</v>
      </c>
      <c r="D1780" t="inlineStr">
        <is>
          <t>VÄSTMANLANDS LÄN</t>
        </is>
      </c>
      <c r="E1780" t="inlineStr">
        <is>
          <t>ARBOGA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38074-2021</t>
        </is>
      </c>
      <c r="B1781" s="1" t="n">
        <v>44404</v>
      </c>
      <c r="C1781" s="1" t="n">
        <v>45345</v>
      </c>
      <c r="D1781" t="inlineStr">
        <is>
          <t>VÄSTMANLANDS LÄN</t>
        </is>
      </c>
      <c r="E1781" t="inlineStr">
        <is>
          <t>ARBOGA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38195-2021</t>
        </is>
      </c>
      <c r="B1782" s="1" t="n">
        <v>44405</v>
      </c>
      <c r="C1782" s="1" t="n">
        <v>45345</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38126-2021</t>
        </is>
      </c>
      <c r="B1783" s="1" t="n">
        <v>44405</v>
      </c>
      <c r="C1783" s="1" t="n">
        <v>45345</v>
      </c>
      <c r="D1783" t="inlineStr">
        <is>
          <t>VÄSTMANLANDS LÄN</t>
        </is>
      </c>
      <c r="E1783" t="inlineStr">
        <is>
          <t>FAGERSTA</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38150-2021</t>
        </is>
      </c>
      <c r="B1784" s="1" t="n">
        <v>44405</v>
      </c>
      <c r="C1784" s="1" t="n">
        <v>45345</v>
      </c>
      <c r="D1784" t="inlineStr">
        <is>
          <t>VÄSTMANLANDS LÄN</t>
        </is>
      </c>
      <c r="E1784" t="inlineStr">
        <is>
          <t>SURAHAMMAR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38178-2021</t>
        </is>
      </c>
      <c r="B1785" s="1" t="n">
        <v>44405</v>
      </c>
      <c r="C1785" s="1" t="n">
        <v>45345</v>
      </c>
      <c r="D1785" t="inlineStr">
        <is>
          <t>VÄSTMANLANDS LÄN</t>
        </is>
      </c>
      <c r="E1785" t="inlineStr">
        <is>
          <t>SURAHAMMAR</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38128-2021</t>
        </is>
      </c>
      <c r="B1786" s="1" t="n">
        <v>44405</v>
      </c>
      <c r="C1786" s="1" t="n">
        <v>45345</v>
      </c>
      <c r="D1786" t="inlineStr">
        <is>
          <t>VÄSTMANLANDS LÄN</t>
        </is>
      </c>
      <c r="E1786" t="inlineStr">
        <is>
          <t>FAGERSTA</t>
        </is>
      </c>
      <c r="F1786" t="inlineStr">
        <is>
          <t>Sveaskog</t>
        </is>
      </c>
      <c r="G1786" t="n">
        <v>0.8</v>
      </c>
      <c r="H1786" t="n">
        <v>0</v>
      </c>
      <c r="I1786" t="n">
        <v>0</v>
      </c>
      <c r="J1786" t="n">
        <v>0</v>
      </c>
      <c r="K1786" t="n">
        <v>0</v>
      </c>
      <c r="L1786" t="n">
        <v>0</v>
      </c>
      <c r="M1786" t="n">
        <v>0</v>
      </c>
      <c r="N1786" t="n">
        <v>0</v>
      </c>
      <c r="O1786" t="n">
        <v>0</v>
      </c>
      <c r="P1786" t="n">
        <v>0</v>
      </c>
      <c r="Q1786" t="n">
        <v>0</v>
      </c>
      <c r="R1786" s="2" t="inlineStr"/>
      <c r="U1786">
        <f>HYPERLINK("https://klasma.github.io/Logging_1982/knärot/A 38128-2021 karta knärot.png", "A 38128-2021")</f>
        <v/>
      </c>
      <c r="V1786">
        <f>HYPERLINK("https://klasma.github.io/Logging_1982/klagomål/A 38128-2021 FSC-klagomål.docx", "A 38128-2021")</f>
        <v/>
      </c>
      <c r="W1786">
        <f>HYPERLINK("https://klasma.github.io/Logging_1982/klagomålsmail/A 38128-2021 FSC-klagomål mail.docx", "A 38128-2021")</f>
        <v/>
      </c>
      <c r="X1786">
        <f>HYPERLINK("https://klasma.github.io/Logging_1982/tillsyn/A 38128-2021 tillsynsbegäran.docx", "A 38128-2021")</f>
        <v/>
      </c>
      <c r="Y1786">
        <f>HYPERLINK("https://klasma.github.io/Logging_1982/tillsynsmail/A 38128-2021 tillsynsbegäran mail.docx", "A 38128-2021")</f>
        <v/>
      </c>
    </row>
    <row r="1787" ht="15" customHeight="1">
      <c r="A1787" t="inlineStr">
        <is>
          <t>A 38149-2021</t>
        </is>
      </c>
      <c r="B1787" s="1" t="n">
        <v>44405</v>
      </c>
      <c r="C1787" s="1" t="n">
        <v>45345</v>
      </c>
      <c r="D1787" t="inlineStr">
        <is>
          <t>VÄSTMANLANDS LÄN</t>
        </is>
      </c>
      <c r="E1787" t="inlineStr">
        <is>
          <t>SURAHAMMAR</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38163-2021</t>
        </is>
      </c>
      <c r="B1788" s="1" t="n">
        <v>44405</v>
      </c>
      <c r="C1788" s="1" t="n">
        <v>45345</v>
      </c>
      <c r="D1788" t="inlineStr">
        <is>
          <t>VÄSTMANLANDS LÄN</t>
        </is>
      </c>
      <c r="E1788" t="inlineStr">
        <is>
          <t>SURAHAMMAR</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38176-2021</t>
        </is>
      </c>
      <c r="B1789" s="1" t="n">
        <v>44405</v>
      </c>
      <c r="C1789" s="1" t="n">
        <v>45345</v>
      </c>
      <c r="D1789" t="inlineStr">
        <is>
          <t>VÄSTMANLANDS LÄN</t>
        </is>
      </c>
      <c r="E1789" t="inlineStr">
        <is>
          <t>VÄSTERÅS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38154-2021</t>
        </is>
      </c>
      <c r="B1790" s="1" t="n">
        <v>44405</v>
      </c>
      <c r="C1790" s="1" t="n">
        <v>45345</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38329-2021</t>
        </is>
      </c>
      <c r="B1791" s="1" t="n">
        <v>44405</v>
      </c>
      <c r="C1791" s="1" t="n">
        <v>45345</v>
      </c>
      <c r="D1791" t="inlineStr">
        <is>
          <t>VÄSTMANLANDS LÄN</t>
        </is>
      </c>
      <c r="E1791" t="inlineStr">
        <is>
          <t>VÄSTERÅS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38634-2021</t>
        </is>
      </c>
      <c r="B1792" s="1" t="n">
        <v>44410</v>
      </c>
      <c r="C1792" s="1" t="n">
        <v>45345</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38724-2021</t>
        </is>
      </c>
      <c r="B1793" s="1" t="n">
        <v>44410</v>
      </c>
      <c r="C1793" s="1" t="n">
        <v>45345</v>
      </c>
      <c r="D1793" t="inlineStr">
        <is>
          <t>VÄSTMANLANDS LÄN</t>
        </is>
      </c>
      <c r="E1793" t="inlineStr">
        <is>
          <t>SKINNSKATTEBERG</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38738-2021</t>
        </is>
      </c>
      <c r="B1794" s="1" t="n">
        <v>44410</v>
      </c>
      <c r="C1794" s="1" t="n">
        <v>45345</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38727-2021</t>
        </is>
      </c>
      <c r="B1795" s="1" t="n">
        <v>44410</v>
      </c>
      <c r="C1795" s="1" t="n">
        <v>45345</v>
      </c>
      <c r="D1795" t="inlineStr">
        <is>
          <t>VÄSTMANLANDS LÄN</t>
        </is>
      </c>
      <c r="E1795" t="inlineStr">
        <is>
          <t>SKINNSKATTEBERG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38732-2021</t>
        </is>
      </c>
      <c r="B1796" s="1" t="n">
        <v>44410</v>
      </c>
      <c r="C1796" s="1" t="n">
        <v>45345</v>
      </c>
      <c r="D1796" t="inlineStr">
        <is>
          <t>VÄSTMANLANDS LÄN</t>
        </is>
      </c>
      <c r="E1796" t="inlineStr">
        <is>
          <t>SKINNSKATTEBERG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38728-2021</t>
        </is>
      </c>
      <c r="B1797" s="1" t="n">
        <v>44410</v>
      </c>
      <c r="C1797" s="1" t="n">
        <v>45345</v>
      </c>
      <c r="D1797" t="inlineStr">
        <is>
          <t>VÄSTMANLANDS LÄN</t>
        </is>
      </c>
      <c r="E1797" t="inlineStr">
        <is>
          <t>SKINNSKATTEBERG</t>
        </is>
      </c>
      <c r="F1797" t="inlineStr">
        <is>
          <t>Sveaskog</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38785-2021</t>
        </is>
      </c>
      <c r="B1798" s="1" t="n">
        <v>44410</v>
      </c>
      <c r="C1798" s="1" t="n">
        <v>45345</v>
      </c>
      <c r="D1798" t="inlineStr">
        <is>
          <t>VÄSTMANLANDS LÄN</t>
        </is>
      </c>
      <c r="E1798" t="inlineStr">
        <is>
          <t>ARBOGA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38938-2021</t>
        </is>
      </c>
      <c r="B1799" s="1" t="n">
        <v>44411</v>
      </c>
      <c r="C1799" s="1" t="n">
        <v>45345</v>
      </c>
      <c r="D1799" t="inlineStr">
        <is>
          <t>VÄSTMANLANDS LÄN</t>
        </is>
      </c>
      <c r="E1799" t="inlineStr">
        <is>
          <t>KUNGSÖR</t>
        </is>
      </c>
      <c r="F1799" t="inlineStr">
        <is>
          <t>Allmännings- och besparingsskogar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39206-2021</t>
        </is>
      </c>
      <c r="B1800" s="1" t="n">
        <v>44413</v>
      </c>
      <c r="C1800" s="1" t="n">
        <v>45345</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39439-2021</t>
        </is>
      </c>
      <c r="B1801" s="1" t="n">
        <v>44414</v>
      </c>
      <c r="C1801" s="1" t="n">
        <v>45345</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39807-2021</t>
        </is>
      </c>
      <c r="B1802" s="1" t="n">
        <v>44417</v>
      </c>
      <c r="C1802" s="1" t="n">
        <v>45345</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40157-2021</t>
        </is>
      </c>
      <c r="B1803" s="1" t="n">
        <v>44418</v>
      </c>
      <c r="C1803" s="1" t="n">
        <v>45345</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40153-2021</t>
        </is>
      </c>
      <c r="B1804" s="1" t="n">
        <v>44418</v>
      </c>
      <c r="C1804" s="1" t="n">
        <v>45345</v>
      </c>
      <c r="D1804" t="inlineStr">
        <is>
          <t>VÄSTMANLANDS LÄN</t>
        </is>
      </c>
      <c r="E1804" t="inlineStr">
        <is>
          <t>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40398-2021</t>
        </is>
      </c>
      <c r="B1805" s="1" t="n">
        <v>44419</v>
      </c>
      <c r="C1805" s="1" t="n">
        <v>45345</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40659-2021</t>
        </is>
      </c>
      <c r="B1806" s="1" t="n">
        <v>44420</v>
      </c>
      <c r="C1806" s="1" t="n">
        <v>45345</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40910-2021</t>
        </is>
      </c>
      <c r="B1807" s="1" t="n">
        <v>44421</v>
      </c>
      <c r="C1807" s="1" t="n">
        <v>45345</v>
      </c>
      <c r="D1807" t="inlineStr">
        <is>
          <t>VÄSTMANLANDS LÄN</t>
        </is>
      </c>
      <c r="E1807" t="inlineStr">
        <is>
          <t>SKINNSKATTEBERG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40918-2021</t>
        </is>
      </c>
      <c r="B1808" s="1" t="n">
        <v>44421</v>
      </c>
      <c r="C1808" s="1" t="n">
        <v>45345</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40909-2021</t>
        </is>
      </c>
      <c r="B1809" s="1" t="n">
        <v>44421</v>
      </c>
      <c r="C1809" s="1" t="n">
        <v>45345</v>
      </c>
      <c r="D1809" t="inlineStr">
        <is>
          <t>VÄSTMANLANDS LÄN</t>
        </is>
      </c>
      <c r="E1809" t="inlineStr">
        <is>
          <t>SKINNSKATTEBERG</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40871-2021</t>
        </is>
      </c>
      <c r="B1810" s="1" t="n">
        <v>44421</v>
      </c>
      <c r="C1810" s="1" t="n">
        <v>45345</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40901-2021</t>
        </is>
      </c>
      <c r="B1811" s="1" t="n">
        <v>44421</v>
      </c>
      <c r="C1811" s="1" t="n">
        <v>45345</v>
      </c>
      <c r="D1811" t="inlineStr">
        <is>
          <t>VÄSTMANLANDS LÄN</t>
        </is>
      </c>
      <c r="E1811" t="inlineStr">
        <is>
          <t>SKINNSKATTEBERG</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40907-2021</t>
        </is>
      </c>
      <c r="B1812" s="1" t="n">
        <v>44421</v>
      </c>
      <c r="C1812" s="1" t="n">
        <v>45345</v>
      </c>
      <c r="D1812" t="inlineStr">
        <is>
          <t>VÄSTMANLANDS LÄN</t>
        </is>
      </c>
      <c r="E1812" t="inlineStr">
        <is>
          <t>SKINNSKATTEBERG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40913-2021</t>
        </is>
      </c>
      <c r="B1813" s="1" t="n">
        <v>44421</v>
      </c>
      <c r="C1813" s="1" t="n">
        <v>45345</v>
      </c>
      <c r="D1813" t="inlineStr">
        <is>
          <t>VÄSTMANLANDS LÄN</t>
        </is>
      </c>
      <c r="E1813" t="inlineStr">
        <is>
          <t>SKINNSKATTEBERG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41097-2021</t>
        </is>
      </c>
      <c r="B1814" s="1" t="n">
        <v>44422</v>
      </c>
      <c r="C1814" s="1" t="n">
        <v>45345</v>
      </c>
      <c r="D1814" t="inlineStr">
        <is>
          <t>VÄSTMANLANDS LÄN</t>
        </is>
      </c>
      <c r="E1814" t="inlineStr">
        <is>
          <t>FAGERSTA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41292-2021</t>
        </is>
      </c>
      <c r="B1815" s="1" t="n">
        <v>44424</v>
      </c>
      <c r="C1815" s="1" t="n">
        <v>45345</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41518-2021</t>
        </is>
      </c>
      <c r="B1816" s="1" t="n">
        <v>44425</v>
      </c>
      <c r="C1816" s="1" t="n">
        <v>45345</v>
      </c>
      <c r="D1816" t="inlineStr">
        <is>
          <t>VÄSTMANLANDS LÄN</t>
        </is>
      </c>
      <c r="E1816" t="inlineStr">
        <is>
          <t>NORBERG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41583-2021</t>
        </is>
      </c>
      <c r="B1817" s="1" t="n">
        <v>44425</v>
      </c>
      <c r="C1817" s="1" t="n">
        <v>45345</v>
      </c>
      <c r="D1817" t="inlineStr">
        <is>
          <t>VÄSTMANLANDS LÄN</t>
        </is>
      </c>
      <c r="E1817" t="inlineStr">
        <is>
          <t>SALA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42071-2021</t>
        </is>
      </c>
      <c r="B1818" s="1" t="n">
        <v>44426</v>
      </c>
      <c r="C1818" s="1" t="n">
        <v>45345</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42078-2021</t>
        </is>
      </c>
      <c r="B1819" s="1" t="n">
        <v>44426</v>
      </c>
      <c r="C1819" s="1" t="n">
        <v>45345</v>
      </c>
      <c r="D1819" t="inlineStr">
        <is>
          <t>VÄSTMANLANDS LÄN</t>
        </is>
      </c>
      <c r="E1819" t="inlineStr">
        <is>
          <t>SKINNSKATTEBERG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42338-2021</t>
        </is>
      </c>
      <c r="B1820" s="1" t="n">
        <v>44427</v>
      </c>
      <c r="C1820" s="1" t="n">
        <v>45345</v>
      </c>
      <c r="D1820" t="inlineStr">
        <is>
          <t>VÄSTMANLANDS LÄN</t>
        </is>
      </c>
      <c r="E1820" t="inlineStr">
        <is>
          <t>ARBOGA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v>
      </c>
      <c r="C1821" s="1" t="n">
        <v>45345</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42386-2021</t>
        </is>
      </c>
      <c r="B1822" s="1" t="n">
        <v>44427</v>
      </c>
      <c r="C1822" s="1" t="n">
        <v>45345</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42379-2021</t>
        </is>
      </c>
      <c r="B1823" s="1" t="n">
        <v>44427</v>
      </c>
      <c r="C1823" s="1" t="n">
        <v>45345</v>
      </c>
      <c r="D1823" t="inlineStr">
        <is>
          <t>VÄSTMANLANDS LÄN</t>
        </is>
      </c>
      <c r="E1823" t="inlineStr">
        <is>
          <t>ARBOGA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42621-2021</t>
        </is>
      </c>
      <c r="B1824" s="1" t="n">
        <v>44428</v>
      </c>
      <c r="C1824" s="1" t="n">
        <v>45345</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42650-2021</t>
        </is>
      </c>
      <c r="B1825" s="1" t="n">
        <v>44428</v>
      </c>
      <c r="C1825" s="1" t="n">
        <v>45345</v>
      </c>
      <c r="D1825" t="inlineStr">
        <is>
          <t>VÄSTMANLANDS LÄN</t>
        </is>
      </c>
      <c r="E1825" t="inlineStr">
        <is>
          <t>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42659-2021</t>
        </is>
      </c>
      <c r="B1826" s="1" t="n">
        <v>44428</v>
      </c>
      <c r="C1826" s="1" t="n">
        <v>45345</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42645-2021</t>
        </is>
      </c>
      <c r="B1827" s="1" t="n">
        <v>44428</v>
      </c>
      <c r="C1827" s="1" t="n">
        <v>45345</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42699-2021</t>
        </is>
      </c>
      <c r="B1828" s="1" t="n">
        <v>44428</v>
      </c>
      <c r="C1828" s="1" t="n">
        <v>45345</v>
      </c>
      <c r="D1828" t="inlineStr">
        <is>
          <t>VÄSTMANLANDS LÄN</t>
        </is>
      </c>
      <c r="E1828" t="inlineStr">
        <is>
          <t>NORBERG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43354-2021</t>
        </is>
      </c>
      <c r="B1829" s="1" t="n">
        <v>44432</v>
      </c>
      <c r="C1829" s="1" t="n">
        <v>45345</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43355-2021</t>
        </is>
      </c>
      <c r="B1830" s="1" t="n">
        <v>44432</v>
      </c>
      <c r="C1830" s="1" t="n">
        <v>45345</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43292-2021</t>
        </is>
      </c>
      <c r="B1831" s="1" t="n">
        <v>44432</v>
      </c>
      <c r="C1831" s="1" t="n">
        <v>45345</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43509-2021</t>
        </is>
      </c>
      <c r="B1832" s="1" t="n">
        <v>44433</v>
      </c>
      <c r="C1832" s="1" t="n">
        <v>45345</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43973-2021</t>
        </is>
      </c>
      <c r="B1833" s="1" t="n">
        <v>44434</v>
      </c>
      <c r="C1833" s="1" t="n">
        <v>45345</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44075-2021</t>
        </is>
      </c>
      <c r="B1834" s="1" t="n">
        <v>44434</v>
      </c>
      <c r="C1834" s="1" t="n">
        <v>45345</v>
      </c>
      <c r="D1834" t="inlineStr">
        <is>
          <t>VÄSTMANLANDS LÄN</t>
        </is>
      </c>
      <c r="E1834" t="inlineStr">
        <is>
          <t>HALLSTAHAMMAR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44069-2021</t>
        </is>
      </c>
      <c r="B1835" s="1" t="n">
        <v>44434</v>
      </c>
      <c r="C1835" s="1" t="n">
        <v>45345</v>
      </c>
      <c r="D1835" t="inlineStr">
        <is>
          <t>VÄSTMANLANDS LÄN</t>
        </is>
      </c>
      <c r="E1835" t="inlineStr">
        <is>
          <t>HALLSTAHAMMAR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44720-2021</t>
        </is>
      </c>
      <c r="B1836" s="1" t="n">
        <v>44438</v>
      </c>
      <c r="C1836" s="1" t="n">
        <v>45345</v>
      </c>
      <c r="D1836" t="inlineStr">
        <is>
          <t>VÄSTMANLANDS LÄN</t>
        </is>
      </c>
      <c r="E1836" t="inlineStr">
        <is>
          <t>KUNGSÖR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44749-2021</t>
        </is>
      </c>
      <c r="B1837" s="1" t="n">
        <v>44438</v>
      </c>
      <c r="C1837" s="1" t="n">
        <v>45345</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45159-2021</t>
        </is>
      </c>
      <c r="B1838" s="1" t="n">
        <v>44439</v>
      </c>
      <c r="C1838" s="1" t="n">
        <v>45345</v>
      </c>
      <c r="D1838" t="inlineStr">
        <is>
          <t>VÄSTMANLANDS LÄN</t>
        </is>
      </c>
      <c r="E1838" t="inlineStr">
        <is>
          <t>KUNGSÖR</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45714-2021</t>
        </is>
      </c>
      <c r="B1839" s="1" t="n">
        <v>44441</v>
      </c>
      <c r="C1839" s="1" t="n">
        <v>45345</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45904-2021</t>
        </is>
      </c>
      <c r="B1840" s="1" t="n">
        <v>44441</v>
      </c>
      <c r="C1840" s="1" t="n">
        <v>45345</v>
      </c>
      <c r="D1840" t="inlineStr">
        <is>
          <t>VÄSTMANLANDS LÄN</t>
        </is>
      </c>
      <c r="E1840" t="inlineStr">
        <is>
          <t>KÖPING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45929-2021</t>
        </is>
      </c>
      <c r="B1841" s="1" t="n">
        <v>44441</v>
      </c>
      <c r="C1841" s="1" t="n">
        <v>45345</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45910-2021</t>
        </is>
      </c>
      <c r="B1842" s="1" t="n">
        <v>44441</v>
      </c>
      <c r="C1842" s="1" t="n">
        <v>45345</v>
      </c>
      <c r="D1842" t="inlineStr">
        <is>
          <t>VÄSTMANLANDS LÄN</t>
        </is>
      </c>
      <c r="E1842" t="inlineStr">
        <is>
          <t>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45934-2021</t>
        </is>
      </c>
      <c r="B1843" s="1" t="n">
        <v>44441</v>
      </c>
      <c r="C1843" s="1" t="n">
        <v>45345</v>
      </c>
      <c r="D1843" t="inlineStr">
        <is>
          <t>VÄSTMANLANDS LÄN</t>
        </is>
      </c>
      <c r="E1843" t="inlineStr">
        <is>
          <t>NORBERG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46200-2021</t>
        </is>
      </c>
      <c r="B1844" s="1" t="n">
        <v>44442</v>
      </c>
      <c r="C1844" s="1" t="n">
        <v>45345</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46279-2021</t>
        </is>
      </c>
      <c r="B1845" s="1" t="n">
        <v>44442</v>
      </c>
      <c r="C1845" s="1" t="n">
        <v>45345</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46343-2021</t>
        </is>
      </c>
      <c r="B1846" s="1" t="n">
        <v>44442</v>
      </c>
      <c r="C1846" s="1" t="n">
        <v>45345</v>
      </c>
      <c r="D1846" t="inlineStr">
        <is>
          <t>VÄSTMANLANDS LÄN</t>
        </is>
      </c>
      <c r="E1846" t="inlineStr">
        <is>
          <t>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46469-2021</t>
        </is>
      </c>
      <c r="B1847" s="1" t="n">
        <v>44445</v>
      </c>
      <c r="C1847" s="1" t="n">
        <v>45345</v>
      </c>
      <c r="D1847" t="inlineStr">
        <is>
          <t>VÄSTMANLANDS LÄN</t>
        </is>
      </c>
      <c r="E1847" t="inlineStr">
        <is>
          <t>SKINNSKATTEBERG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46616-2021</t>
        </is>
      </c>
      <c r="B1848" s="1" t="n">
        <v>44445</v>
      </c>
      <c r="C1848" s="1" t="n">
        <v>45345</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46661-2021</t>
        </is>
      </c>
      <c r="B1849" s="1" t="n">
        <v>44445</v>
      </c>
      <c r="C1849" s="1" t="n">
        <v>45345</v>
      </c>
      <c r="D1849" t="inlineStr">
        <is>
          <t>VÄSTMANLANDS LÄN</t>
        </is>
      </c>
      <c r="E1849" t="inlineStr">
        <is>
          <t>KÖPING</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46658-2021</t>
        </is>
      </c>
      <c r="B1850" s="1" t="n">
        <v>44445</v>
      </c>
      <c r="C1850" s="1" t="n">
        <v>45345</v>
      </c>
      <c r="D1850" t="inlineStr">
        <is>
          <t>VÄSTMANLANDS LÄN</t>
        </is>
      </c>
      <c r="E1850" t="inlineStr">
        <is>
          <t>KÖPING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47136-2021</t>
        </is>
      </c>
      <c r="B1851" s="1" t="n">
        <v>44446</v>
      </c>
      <c r="C1851" s="1" t="n">
        <v>45345</v>
      </c>
      <c r="D1851" t="inlineStr">
        <is>
          <t>VÄSTMANLANDS LÄN</t>
        </is>
      </c>
      <c r="E1851" t="inlineStr">
        <is>
          <t>SKINNSKATTEBERG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47701-2021</t>
        </is>
      </c>
      <c r="B1852" s="1" t="n">
        <v>44448</v>
      </c>
      <c r="C1852" s="1" t="n">
        <v>45345</v>
      </c>
      <c r="D1852" t="inlineStr">
        <is>
          <t>VÄSTMANLANDS LÄN</t>
        </is>
      </c>
      <c r="E1852" t="inlineStr">
        <is>
          <t>SALA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47683-2021</t>
        </is>
      </c>
      <c r="B1853" s="1" t="n">
        <v>44448</v>
      </c>
      <c r="C1853" s="1" t="n">
        <v>45345</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47852-2021</t>
        </is>
      </c>
      <c r="B1854" s="1" t="n">
        <v>44448</v>
      </c>
      <c r="C1854" s="1" t="n">
        <v>45345</v>
      </c>
      <c r="D1854" t="inlineStr">
        <is>
          <t>VÄSTMANLANDS LÄN</t>
        </is>
      </c>
      <c r="E1854" t="inlineStr">
        <is>
          <t>SURAHAMMAR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47785-2021</t>
        </is>
      </c>
      <c r="B1855" s="1" t="n">
        <v>44448</v>
      </c>
      <c r="C1855" s="1" t="n">
        <v>45345</v>
      </c>
      <c r="D1855" t="inlineStr">
        <is>
          <t>VÄSTMANLANDS LÄN</t>
        </is>
      </c>
      <c r="E1855" t="inlineStr">
        <is>
          <t>SURAHAMMAR</t>
        </is>
      </c>
      <c r="F1855" t="inlineStr">
        <is>
          <t>Kommuner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48055-2021</t>
        </is>
      </c>
      <c r="B1856" s="1" t="n">
        <v>44449</v>
      </c>
      <c r="C1856" s="1" t="n">
        <v>45345</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48143-2021</t>
        </is>
      </c>
      <c r="B1857" s="1" t="n">
        <v>44449</v>
      </c>
      <c r="C1857" s="1" t="n">
        <v>45345</v>
      </c>
      <c r="D1857" t="inlineStr">
        <is>
          <t>VÄSTMANLANDS LÄN</t>
        </is>
      </c>
      <c r="E1857" t="inlineStr">
        <is>
          <t>NORBERG</t>
        </is>
      </c>
      <c r="F1857" t="inlineStr">
        <is>
          <t>Bergvik skog väst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48400-2021</t>
        </is>
      </c>
      <c r="B1858" s="1" t="n">
        <v>44449</v>
      </c>
      <c r="C1858" s="1" t="n">
        <v>45345</v>
      </c>
      <c r="D1858" t="inlineStr">
        <is>
          <t>VÄSTMANLANDS LÄN</t>
        </is>
      </c>
      <c r="E1858" t="inlineStr">
        <is>
          <t>SALA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48544-2021</t>
        </is>
      </c>
      <c r="B1859" s="1" t="n">
        <v>44452</v>
      </c>
      <c r="C1859" s="1" t="n">
        <v>45345</v>
      </c>
      <c r="D1859" t="inlineStr">
        <is>
          <t>VÄSTMANLANDS LÄN</t>
        </is>
      </c>
      <c r="E1859" t="inlineStr">
        <is>
          <t>NORBERG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49284-2021</t>
        </is>
      </c>
      <c r="B1860" s="1" t="n">
        <v>44454</v>
      </c>
      <c r="C1860" s="1" t="n">
        <v>45345</v>
      </c>
      <c r="D1860" t="inlineStr">
        <is>
          <t>VÄSTMANLANDS LÄN</t>
        </is>
      </c>
      <c r="E1860" t="inlineStr">
        <is>
          <t>VÄSTERÅS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49717-2021</t>
        </is>
      </c>
      <c r="B1861" s="1" t="n">
        <v>44455</v>
      </c>
      <c r="C1861" s="1" t="n">
        <v>45345</v>
      </c>
      <c r="D1861" t="inlineStr">
        <is>
          <t>VÄSTMANLANDS LÄN</t>
        </is>
      </c>
      <c r="E1861" t="inlineStr">
        <is>
          <t>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49847-2021</t>
        </is>
      </c>
      <c r="B1862" s="1" t="n">
        <v>44455</v>
      </c>
      <c r="C1862" s="1" t="n">
        <v>45345</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50049-2021</t>
        </is>
      </c>
      <c r="B1863" s="1" t="n">
        <v>44456</v>
      </c>
      <c r="C1863" s="1" t="n">
        <v>45345</v>
      </c>
      <c r="D1863" t="inlineStr">
        <is>
          <t>VÄSTMANLANDS LÄN</t>
        </is>
      </c>
      <c r="E1863" t="inlineStr">
        <is>
          <t>ARBOGA</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50058-2021</t>
        </is>
      </c>
      <c r="B1864" s="1" t="n">
        <v>44456</v>
      </c>
      <c r="C1864" s="1" t="n">
        <v>45345</v>
      </c>
      <c r="D1864" t="inlineStr">
        <is>
          <t>VÄSTMANLANDS LÄN</t>
        </is>
      </c>
      <c r="E1864" t="inlineStr">
        <is>
          <t>KUNGSÖR</t>
        </is>
      </c>
      <c r="F1864" t="inlineStr">
        <is>
          <t>Allmännings- och besparingsskogar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50011-2021</t>
        </is>
      </c>
      <c r="B1865" s="1" t="n">
        <v>44456</v>
      </c>
      <c r="C1865" s="1" t="n">
        <v>45345</v>
      </c>
      <c r="D1865" t="inlineStr">
        <is>
          <t>VÄSTMANLANDS LÄN</t>
        </is>
      </c>
      <c r="E1865" t="inlineStr">
        <is>
          <t>ARBOGA</t>
        </is>
      </c>
      <c r="F1865" t="inlineStr">
        <is>
          <t>Allmännings- och besparingsskogar</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50007-2021</t>
        </is>
      </c>
      <c r="B1866" s="1" t="n">
        <v>44456</v>
      </c>
      <c r="C1866" s="1" t="n">
        <v>45345</v>
      </c>
      <c r="D1866" t="inlineStr">
        <is>
          <t>VÄSTMANLANDS LÄN</t>
        </is>
      </c>
      <c r="E1866" t="inlineStr">
        <is>
          <t>ARBOGA</t>
        </is>
      </c>
      <c r="F1866" t="inlineStr">
        <is>
          <t>Allmännings- och besparingsskogar</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50962-2021</t>
        </is>
      </c>
      <c r="B1867" s="1" t="n">
        <v>44460</v>
      </c>
      <c r="C1867" s="1" t="n">
        <v>45345</v>
      </c>
      <c r="D1867" t="inlineStr">
        <is>
          <t>VÄSTMANLANDS LÄN</t>
        </is>
      </c>
      <c r="E1867" t="inlineStr">
        <is>
          <t>SALA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51112-2021</t>
        </is>
      </c>
      <c r="B1868" s="1" t="n">
        <v>44461</v>
      </c>
      <c r="C1868" s="1" t="n">
        <v>45345</v>
      </c>
      <c r="D1868" t="inlineStr">
        <is>
          <t>VÄSTMANLANDS LÄN</t>
        </is>
      </c>
      <c r="E1868" t="inlineStr">
        <is>
          <t>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51508-2021</t>
        </is>
      </c>
      <c r="B1869" s="1" t="n">
        <v>44462</v>
      </c>
      <c r="C1869" s="1" t="n">
        <v>45345</v>
      </c>
      <c r="D1869" t="inlineStr">
        <is>
          <t>VÄSTMANLANDS LÄN</t>
        </is>
      </c>
      <c r="E1869" t="inlineStr">
        <is>
          <t>SKINNSKATTEBERG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51861-2021</t>
        </is>
      </c>
      <c r="B1870" s="1" t="n">
        <v>44462</v>
      </c>
      <c r="C1870" s="1" t="n">
        <v>45345</v>
      </c>
      <c r="D1870" t="inlineStr">
        <is>
          <t>VÄSTMANLANDS LÄN</t>
        </is>
      </c>
      <c r="E1870" t="inlineStr">
        <is>
          <t>VÄSTERÅS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52587-2021</t>
        </is>
      </c>
      <c r="B1871" s="1" t="n">
        <v>44466</v>
      </c>
      <c r="C1871" s="1" t="n">
        <v>45345</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52600-2021</t>
        </is>
      </c>
      <c r="B1872" s="1" t="n">
        <v>44466</v>
      </c>
      <c r="C1872" s="1" t="n">
        <v>45345</v>
      </c>
      <c r="D1872" t="inlineStr">
        <is>
          <t>VÄSTMANLANDS LÄN</t>
        </is>
      </c>
      <c r="E1872" t="inlineStr">
        <is>
          <t>SKINNSKATTEBERG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52799-2021</t>
        </is>
      </c>
      <c r="B1873" s="1" t="n">
        <v>44467</v>
      </c>
      <c r="C1873" s="1" t="n">
        <v>45345</v>
      </c>
      <c r="D1873" t="inlineStr">
        <is>
          <t>VÄSTMANLANDS LÄN</t>
        </is>
      </c>
      <c r="E1873" t="inlineStr">
        <is>
          <t>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52811-2021</t>
        </is>
      </c>
      <c r="B1874" s="1" t="n">
        <v>44467</v>
      </c>
      <c r="C1874" s="1" t="n">
        <v>45345</v>
      </c>
      <c r="D1874" t="inlineStr">
        <is>
          <t>VÄSTMANLANDS LÄN</t>
        </is>
      </c>
      <c r="E1874" t="inlineStr">
        <is>
          <t>VÄSTERÅS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53297-2021</t>
        </is>
      </c>
      <c r="B1875" s="1" t="n">
        <v>44467</v>
      </c>
      <c r="C1875" s="1" t="n">
        <v>45345</v>
      </c>
      <c r="D1875" t="inlineStr">
        <is>
          <t>VÄSTMANLANDS LÄN</t>
        </is>
      </c>
      <c r="E1875" t="inlineStr">
        <is>
          <t>NORBERG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53183-2021</t>
        </is>
      </c>
      <c r="B1876" s="1" t="n">
        <v>44468</v>
      </c>
      <c r="C1876" s="1" t="n">
        <v>45345</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53243-2021</t>
        </is>
      </c>
      <c r="B1877" s="1" t="n">
        <v>44468</v>
      </c>
      <c r="C1877" s="1" t="n">
        <v>45345</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53148-2021</t>
        </is>
      </c>
      <c r="B1878" s="1" t="n">
        <v>44468</v>
      </c>
      <c r="C1878" s="1" t="n">
        <v>45345</v>
      </c>
      <c r="D1878" t="inlineStr">
        <is>
          <t>VÄSTMANLANDS LÄN</t>
        </is>
      </c>
      <c r="E1878" t="inlineStr">
        <is>
          <t>KÖPING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53142-2021</t>
        </is>
      </c>
      <c r="B1879" s="1" t="n">
        <v>44468</v>
      </c>
      <c r="C1879" s="1" t="n">
        <v>45345</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53145-2021</t>
        </is>
      </c>
      <c r="B1880" s="1" t="n">
        <v>44468</v>
      </c>
      <c r="C1880" s="1" t="n">
        <v>45345</v>
      </c>
      <c r="D1880" t="inlineStr">
        <is>
          <t>VÄSTMANLANDS LÄN</t>
        </is>
      </c>
      <c r="E1880" t="inlineStr">
        <is>
          <t>SKINNSKATTEBERG</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53686-2021</t>
        </is>
      </c>
      <c r="B1881" s="1" t="n">
        <v>44469</v>
      </c>
      <c r="C1881" s="1" t="n">
        <v>45345</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53885-2021</t>
        </is>
      </c>
      <c r="B1882" s="1" t="n">
        <v>44469</v>
      </c>
      <c r="C1882" s="1" t="n">
        <v>45345</v>
      </c>
      <c r="D1882" t="inlineStr">
        <is>
          <t>VÄSTMANLANDS LÄN</t>
        </is>
      </c>
      <c r="E1882" t="inlineStr">
        <is>
          <t>SKINNSKATTEBERG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53880-2021</t>
        </is>
      </c>
      <c r="B1883" s="1" t="n">
        <v>44469</v>
      </c>
      <c r="C1883" s="1" t="n">
        <v>45345</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53996-2021</t>
        </is>
      </c>
      <c r="B1884" s="1" t="n">
        <v>44470</v>
      </c>
      <c r="C1884" s="1" t="n">
        <v>45345</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54030-2021</t>
        </is>
      </c>
      <c r="B1885" s="1" t="n">
        <v>44470</v>
      </c>
      <c r="C1885" s="1" t="n">
        <v>45345</v>
      </c>
      <c r="D1885" t="inlineStr">
        <is>
          <t>VÄSTMANLANDS LÄN</t>
        </is>
      </c>
      <c r="E1885" t="inlineStr">
        <is>
          <t>SALA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54079-2021</t>
        </is>
      </c>
      <c r="B1886" s="1" t="n">
        <v>44470</v>
      </c>
      <c r="C1886" s="1" t="n">
        <v>45345</v>
      </c>
      <c r="D1886" t="inlineStr">
        <is>
          <t>VÄSTMANLANDS LÄN</t>
        </is>
      </c>
      <c r="E1886" t="inlineStr">
        <is>
          <t>ARBOGA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54188-2021</t>
        </is>
      </c>
      <c r="B1887" s="1" t="n">
        <v>44470</v>
      </c>
      <c r="C1887" s="1" t="n">
        <v>45345</v>
      </c>
      <c r="D1887" t="inlineStr">
        <is>
          <t>VÄSTMANLANDS LÄN</t>
        </is>
      </c>
      <c r="E1887" t="inlineStr">
        <is>
          <t>KUNGSÖR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54301-2021</t>
        </is>
      </c>
      <c r="B1888" s="1" t="n">
        <v>44472</v>
      </c>
      <c r="C1888" s="1" t="n">
        <v>45345</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54520-2021</t>
        </is>
      </c>
      <c r="B1889" s="1" t="n">
        <v>44473</v>
      </c>
      <c r="C1889" s="1" t="n">
        <v>45345</v>
      </c>
      <c r="D1889" t="inlineStr">
        <is>
          <t>VÄSTMANLANDS LÄN</t>
        </is>
      </c>
      <c r="E1889" t="inlineStr">
        <is>
          <t>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54864-2021</t>
        </is>
      </c>
      <c r="B1890" s="1" t="n">
        <v>44473</v>
      </c>
      <c r="C1890" s="1" t="n">
        <v>45345</v>
      </c>
      <c r="D1890" t="inlineStr">
        <is>
          <t>VÄSTMANLANDS LÄN</t>
        </is>
      </c>
      <c r="E1890" t="inlineStr">
        <is>
          <t>NORBERG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55079-2021</t>
        </is>
      </c>
      <c r="B1891" s="1" t="n">
        <v>44474</v>
      </c>
      <c r="C1891" s="1" t="n">
        <v>45345</v>
      </c>
      <c r="D1891" t="inlineStr">
        <is>
          <t>VÄSTMANLANDS LÄN</t>
        </is>
      </c>
      <c r="E1891" t="inlineStr">
        <is>
          <t>KUNGSÖR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55072-2021</t>
        </is>
      </c>
      <c r="B1892" s="1" t="n">
        <v>44474</v>
      </c>
      <c r="C1892" s="1" t="n">
        <v>45345</v>
      </c>
      <c r="D1892" t="inlineStr">
        <is>
          <t>VÄSTMANLANDS LÄN</t>
        </is>
      </c>
      <c r="E1892" t="inlineStr">
        <is>
          <t>KUNGSÖR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55369-2021</t>
        </is>
      </c>
      <c r="B1893" s="1" t="n">
        <v>44475</v>
      </c>
      <c r="C1893" s="1" t="n">
        <v>45345</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45345</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55693-2021</t>
        </is>
      </c>
      <c r="B1895" s="1" t="n">
        <v>44476</v>
      </c>
      <c r="C1895" s="1" t="n">
        <v>45345</v>
      </c>
      <c r="D1895" t="inlineStr">
        <is>
          <t>VÄSTMANLANDS LÄN</t>
        </is>
      </c>
      <c r="E1895" t="inlineStr">
        <is>
          <t>VÄSTERÅS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55835-2021</t>
        </is>
      </c>
      <c r="B1896" s="1" t="n">
        <v>44476</v>
      </c>
      <c r="C1896" s="1" t="n">
        <v>45345</v>
      </c>
      <c r="D1896" t="inlineStr">
        <is>
          <t>VÄSTMANLANDS LÄN</t>
        </is>
      </c>
      <c r="E1896" t="inlineStr">
        <is>
          <t>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56249-2021</t>
        </is>
      </c>
      <c r="B1897" s="1" t="n">
        <v>44479</v>
      </c>
      <c r="C1897" s="1" t="n">
        <v>45345</v>
      </c>
      <c r="D1897" t="inlineStr">
        <is>
          <t>VÄSTMANLANDS LÄN</t>
        </is>
      </c>
      <c r="E1897" t="inlineStr">
        <is>
          <t>KÖPING</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45345</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56936-2021</t>
        </is>
      </c>
      <c r="B1899" s="1" t="n">
        <v>44480</v>
      </c>
      <c r="C1899" s="1" t="n">
        <v>45345</v>
      </c>
      <c r="D1899" t="inlineStr">
        <is>
          <t>VÄSTMANLANDS LÄN</t>
        </is>
      </c>
      <c r="E1899" t="inlineStr">
        <is>
          <t>NORBERG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56929-2021</t>
        </is>
      </c>
      <c r="B1900" s="1" t="n">
        <v>44480</v>
      </c>
      <c r="C1900" s="1" t="n">
        <v>45345</v>
      </c>
      <c r="D1900" t="inlineStr">
        <is>
          <t>VÄSTMANLANDS LÄN</t>
        </is>
      </c>
      <c r="E1900" t="inlineStr">
        <is>
          <t>NORBERG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56733-2021</t>
        </is>
      </c>
      <c r="B1901" s="1" t="n">
        <v>44481</v>
      </c>
      <c r="C1901" s="1" t="n">
        <v>45345</v>
      </c>
      <c r="D1901" t="inlineStr">
        <is>
          <t>VÄSTMANLANDS LÄN</t>
        </is>
      </c>
      <c r="E1901" t="inlineStr">
        <is>
          <t>FAGERSTA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56739-2021</t>
        </is>
      </c>
      <c r="B1902" s="1" t="n">
        <v>44481</v>
      </c>
      <c r="C1902" s="1" t="n">
        <v>45345</v>
      </c>
      <c r="D1902" t="inlineStr">
        <is>
          <t>VÄSTMANLANDS LÄN</t>
        </is>
      </c>
      <c r="E1902" t="inlineStr">
        <is>
          <t>FAGERSTA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56862-2021</t>
        </is>
      </c>
      <c r="B1903" s="1" t="n">
        <v>44481</v>
      </c>
      <c r="C1903" s="1" t="n">
        <v>45345</v>
      </c>
      <c r="D1903" t="inlineStr">
        <is>
          <t>VÄSTMANLANDS LÄN</t>
        </is>
      </c>
      <c r="E1903" t="inlineStr">
        <is>
          <t>VÄSTERÅS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56980-2021</t>
        </is>
      </c>
      <c r="B1904" s="1" t="n">
        <v>44482</v>
      </c>
      <c r="C1904" s="1" t="n">
        <v>45345</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57049-2021</t>
        </is>
      </c>
      <c r="B1905" s="1" t="n">
        <v>44482</v>
      </c>
      <c r="C1905" s="1" t="n">
        <v>45345</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57056-2021</t>
        </is>
      </c>
      <c r="B1906" s="1" t="n">
        <v>44482</v>
      </c>
      <c r="C1906" s="1" t="n">
        <v>45345</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57000-2021</t>
        </is>
      </c>
      <c r="B1907" s="1" t="n">
        <v>44482</v>
      </c>
      <c r="C1907" s="1" t="n">
        <v>45345</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56967-2021</t>
        </is>
      </c>
      <c r="B1908" s="1" t="n">
        <v>44482</v>
      </c>
      <c r="C1908" s="1" t="n">
        <v>45345</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57131-2021</t>
        </is>
      </c>
      <c r="B1909" s="1" t="n">
        <v>44482</v>
      </c>
      <c r="C1909" s="1" t="n">
        <v>45345</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57517-2021</t>
        </is>
      </c>
      <c r="B1910" s="1" t="n">
        <v>44483</v>
      </c>
      <c r="C1910" s="1" t="n">
        <v>45345</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57596-2021</t>
        </is>
      </c>
      <c r="B1911" s="1" t="n">
        <v>44483</v>
      </c>
      <c r="C1911" s="1" t="n">
        <v>45345</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57651-2021</t>
        </is>
      </c>
      <c r="B1912" s="1" t="n">
        <v>44484</v>
      </c>
      <c r="C1912" s="1" t="n">
        <v>45345</v>
      </c>
      <c r="D1912" t="inlineStr">
        <is>
          <t>VÄSTMANLANDS LÄN</t>
        </is>
      </c>
      <c r="E1912" t="inlineStr">
        <is>
          <t>ARBOGA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57646-2021</t>
        </is>
      </c>
      <c r="B1913" s="1" t="n">
        <v>44484</v>
      </c>
      <c r="C1913" s="1" t="n">
        <v>45345</v>
      </c>
      <c r="D1913" t="inlineStr">
        <is>
          <t>VÄSTMANLANDS LÄN</t>
        </is>
      </c>
      <c r="E1913" t="inlineStr">
        <is>
          <t>ARBOGA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57769-2021</t>
        </is>
      </c>
      <c r="B1914" s="1" t="n">
        <v>44484</v>
      </c>
      <c r="C1914" s="1" t="n">
        <v>45345</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57788-2021</t>
        </is>
      </c>
      <c r="B1915" s="1" t="n">
        <v>44484</v>
      </c>
      <c r="C1915" s="1" t="n">
        <v>45345</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57789-2021</t>
        </is>
      </c>
      <c r="B1916" s="1" t="n">
        <v>44484</v>
      </c>
      <c r="C1916" s="1" t="n">
        <v>45345</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58107-2021</t>
        </is>
      </c>
      <c r="B1917" s="1" t="n">
        <v>44487</v>
      </c>
      <c r="C1917" s="1" t="n">
        <v>45345</v>
      </c>
      <c r="D1917" t="inlineStr">
        <is>
          <t>VÄSTMANLANDS LÄN</t>
        </is>
      </c>
      <c r="E1917" t="inlineStr">
        <is>
          <t>SALA</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58106-2021</t>
        </is>
      </c>
      <c r="B1918" s="1" t="n">
        <v>44487</v>
      </c>
      <c r="C1918" s="1" t="n">
        <v>45345</v>
      </c>
      <c r="D1918" t="inlineStr">
        <is>
          <t>VÄSTMANLANDS LÄN</t>
        </is>
      </c>
      <c r="E1918" t="inlineStr">
        <is>
          <t>SALA</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58366-2021</t>
        </is>
      </c>
      <c r="B1919" s="1" t="n">
        <v>44488</v>
      </c>
      <c r="C1919" s="1" t="n">
        <v>45345</v>
      </c>
      <c r="D1919" t="inlineStr">
        <is>
          <t>VÄSTMANLANDS LÄN</t>
        </is>
      </c>
      <c r="E1919" t="inlineStr">
        <is>
          <t>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58371-2021</t>
        </is>
      </c>
      <c r="B1920" s="1" t="n">
        <v>44488</v>
      </c>
      <c r="C1920" s="1" t="n">
        <v>45345</v>
      </c>
      <c r="D1920" t="inlineStr">
        <is>
          <t>VÄSTMANLANDS LÄN</t>
        </is>
      </c>
      <c r="E1920" t="inlineStr">
        <is>
          <t>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58522-2021</t>
        </is>
      </c>
      <c r="B1921" s="1" t="n">
        <v>44488</v>
      </c>
      <c r="C1921" s="1" t="n">
        <v>45345</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58514-2021</t>
        </is>
      </c>
      <c r="B1922" s="1" t="n">
        <v>44488</v>
      </c>
      <c r="C1922" s="1" t="n">
        <v>45345</v>
      </c>
      <c r="D1922" t="inlineStr">
        <is>
          <t>VÄSTMANLANDS LÄN</t>
        </is>
      </c>
      <c r="E1922" t="inlineStr">
        <is>
          <t>NORBERG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58551-2021</t>
        </is>
      </c>
      <c r="B1923" s="1" t="n">
        <v>44488</v>
      </c>
      <c r="C1923" s="1" t="n">
        <v>45345</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v>
      </c>
      <c r="C1924" s="1" t="n">
        <v>45345</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59119-2021</t>
        </is>
      </c>
      <c r="B1925" s="1" t="n">
        <v>44489</v>
      </c>
      <c r="C1925" s="1" t="n">
        <v>45345</v>
      </c>
      <c r="D1925" t="inlineStr">
        <is>
          <t>VÄSTMANLANDS LÄN</t>
        </is>
      </c>
      <c r="E1925" t="inlineStr">
        <is>
          <t>SKINNSKATTEBERG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59428-2021</t>
        </is>
      </c>
      <c r="B1926" s="1" t="n">
        <v>44491</v>
      </c>
      <c r="C1926" s="1" t="n">
        <v>45345</v>
      </c>
      <c r="D1926" t="inlineStr">
        <is>
          <t>VÄSTMANLANDS LÄN</t>
        </is>
      </c>
      <c r="E1926" t="inlineStr">
        <is>
          <t>SKINNSKATTEBERG</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59417-2021</t>
        </is>
      </c>
      <c r="B1927" s="1" t="n">
        <v>44491</v>
      </c>
      <c r="C1927" s="1" t="n">
        <v>45345</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59423-2021</t>
        </is>
      </c>
      <c r="B1928" s="1" t="n">
        <v>44491</v>
      </c>
      <c r="C1928" s="1" t="n">
        <v>45345</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59597-2021</t>
        </is>
      </c>
      <c r="B1929" s="1" t="n">
        <v>44491</v>
      </c>
      <c r="C1929" s="1" t="n">
        <v>45345</v>
      </c>
      <c r="D1929" t="inlineStr">
        <is>
          <t>VÄSTMANLANDS LÄN</t>
        </is>
      </c>
      <c r="E1929" t="inlineStr">
        <is>
          <t>KUNGSÖR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59603-2021</t>
        </is>
      </c>
      <c r="B1930" s="1" t="n">
        <v>44491</v>
      </c>
      <c r="C1930" s="1" t="n">
        <v>45345</v>
      </c>
      <c r="D1930" t="inlineStr">
        <is>
          <t>VÄSTMANLANDS LÄN</t>
        </is>
      </c>
      <c r="E1930" t="inlineStr">
        <is>
          <t>KUNGSÖR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59612-2021</t>
        </is>
      </c>
      <c r="B1931" s="1" t="n">
        <v>44491</v>
      </c>
      <c r="C1931" s="1" t="n">
        <v>45345</v>
      </c>
      <c r="D1931" t="inlineStr">
        <is>
          <t>VÄSTMANLANDS LÄN</t>
        </is>
      </c>
      <c r="E1931" t="inlineStr">
        <is>
          <t>KUNGSÖR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59609-2021</t>
        </is>
      </c>
      <c r="B1932" s="1" t="n">
        <v>44491</v>
      </c>
      <c r="C1932" s="1" t="n">
        <v>45345</v>
      </c>
      <c r="D1932" t="inlineStr">
        <is>
          <t>VÄSTMANLANDS LÄN</t>
        </is>
      </c>
      <c r="E1932" t="inlineStr">
        <is>
          <t>KUNGSÖR</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59615-2021</t>
        </is>
      </c>
      <c r="B1933" s="1" t="n">
        <v>44491</v>
      </c>
      <c r="C1933" s="1" t="n">
        <v>45345</v>
      </c>
      <c r="D1933" t="inlineStr">
        <is>
          <t>VÄSTMANLANDS LÄN</t>
        </is>
      </c>
      <c r="E1933" t="inlineStr">
        <is>
          <t>KUNGSÖR</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59715-2021</t>
        </is>
      </c>
      <c r="B1934" s="1" t="n">
        <v>44494</v>
      </c>
      <c r="C1934" s="1" t="n">
        <v>45345</v>
      </c>
      <c r="D1934" t="inlineStr">
        <is>
          <t>VÄSTMANLANDS LÄN</t>
        </is>
      </c>
      <c r="E1934" t="inlineStr">
        <is>
          <t>ARBOGA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60031-2021</t>
        </is>
      </c>
      <c r="B1935" s="1" t="n">
        <v>44495</v>
      </c>
      <c r="C1935" s="1" t="n">
        <v>45345</v>
      </c>
      <c r="D1935" t="inlineStr">
        <is>
          <t>VÄSTMANLANDS LÄN</t>
        </is>
      </c>
      <c r="E1935" t="inlineStr">
        <is>
          <t>SALA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60627-2021</t>
        </is>
      </c>
      <c r="B1936" s="1" t="n">
        <v>44496</v>
      </c>
      <c r="C1936" s="1" t="n">
        <v>45345</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60951-2021</t>
        </is>
      </c>
      <c r="B1937" s="1" t="n">
        <v>44497</v>
      </c>
      <c r="C1937" s="1" t="n">
        <v>45345</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61249-2021</t>
        </is>
      </c>
      <c r="B1938" s="1" t="n">
        <v>44498</v>
      </c>
      <c r="C1938" s="1" t="n">
        <v>45345</v>
      </c>
      <c r="D1938" t="inlineStr">
        <is>
          <t>VÄSTMANLANDS LÄN</t>
        </is>
      </c>
      <c r="E1938" t="inlineStr">
        <is>
          <t>VÄSTERÅS</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v>
      </c>
      <c r="C1939" s="1" t="n">
        <v>45345</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61389-2021</t>
        </is>
      </c>
      <c r="B1940" s="1" t="n">
        <v>44500</v>
      </c>
      <c r="C1940" s="1" t="n">
        <v>45345</v>
      </c>
      <c r="D1940" t="inlineStr">
        <is>
          <t>VÄSTMANLANDS LÄN</t>
        </is>
      </c>
      <c r="E1940" t="inlineStr">
        <is>
          <t>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45345</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61874-2021</t>
        </is>
      </c>
      <c r="B1942" s="1" t="n">
        <v>44502</v>
      </c>
      <c r="C1942" s="1" t="n">
        <v>45345</v>
      </c>
      <c r="D1942" t="inlineStr">
        <is>
          <t>VÄSTMANLANDS LÄN</t>
        </is>
      </c>
      <c r="E1942" t="inlineStr">
        <is>
          <t>SALA</t>
        </is>
      </c>
      <c r="F1942" t="inlineStr">
        <is>
          <t>Kyrkan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61897-2021</t>
        </is>
      </c>
      <c r="B1943" s="1" t="n">
        <v>44502</v>
      </c>
      <c r="C1943" s="1" t="n">
        <v>45345</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68488-2021</t>
        </is>
      </c>
      <c r="B1944" s="1" t="n">
        <v>44502</v>
      </c>
      <c r="C1944" s="1" t="n">
        <v>45345</v>
      </c>
      <c r="D1944" t="inlineStr">
        <is>
          <t>VÄSTMANLANDS LÄN</t>
        </is>
      </c>
      <c r="E1944" t="inlineStr">
        <is>
          <t>HALLSTAHAMMAR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62150-2021</t>
        </is>
      </c>
      <c r="B1945" s="1" t="n">
        <v>44502</v>
      </c>
      <c r="C1945" s="1" t="n">
        <v>45345</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62705-2021</t>
        </is>
      </c>
      <c r="B1946" s="1" t="n">
        <v>44502</v>
      </c>
      <c r="C1946" s="1" t="n">
        <v>45345</v>
      </c>
      <c r="D1946" t="inlineStr">
        <is>
          <t>VÄSTMANLANDS LÄN</t>
        </is>
      </c>
      <c r="E1946" t="inlineStr">
        <is>
          <t>HALLSTAHAMMAR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68621-2021</t>
        </is>
      </c>
      <c r="B1947" s="1" t="n">
        <v>44502</v>
      </c>
      <c r="C1947" s="1" t="n">
        <v>45345</v>
      </c>
      <c r="D1947" t="inlineStr">
        <is>
          <t>VÄSTMANLANDS LÄN</t>
        </is>
      </c>
      <c r="E1947" t="inlineStr">
        <is>
          <t>HALLSTAHAMMAR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68624-2021</t>
        </is>
      </c>
      <c r="B1948" s="1" t="n">
        <v>44502</v>
      </c>
      <c r="C1948" s="1" t="n">
        <v>45345</v>
      </c>
      <c r="D1948" t="inlineStr">
        <is>
          <t>VÄSTMANLANDS LÄN</t>
        </is>
      </c>
      <c r="E1948" t="inlineStr">
        <is>
          <t>HALLSTAHAMMAR</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68619-2021</t>
        </is>
      </c>
      <c r="B1949" s="1" t="n">
        <v>44502</v>
      </c>
      <c r="C1949" s="1" t="n">
        <v>45345</v>
      </c>
      <c r="D1949" t="inlineStr">
        <is>
          <t>VÄSTMANLANDS LÄN</t>
        </is>
      </c>
      <c r="E1949" t="inlineStr">
        <is>
          <t>HALLSTAHAMMAR</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62306-2021</t>
        </is>
      </c>
      <c r="B1950" s="1" t="n">
        <v>44503</v>
      </c>
      <c r="C1950" s="1" t="n">
        <v>45345</v>
      </c>
      <c r="D1950" t="inlineStr">
        <is>
          <t>VÄSTMANLANDS LÄN</t>
        </is>
      </c>
      <c r="E1950" t="inlineStr">
        <is>
          <t>SKINNSKATTEBERG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62499-2021</t>
        </is>
      </c>
      <c r="B1951" s="1" t="n">
        <v>44503</v>
      </c>
      <c r="C1951" s="1" t="n">
        <v>45345</v>
      </c>
      <c r="D1951" t="inlineStr">
        <is>
          <t>VÄSTMANLANDS LÄN</t>
        </is>
      </c>
      <c r="E1951" t="inlineStr">
        <is>
          <t>VÄSTERÅS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62470-2021</t>
        </is>
      </c>
      <c r="B1952" s="1" t="n">
        <v>44503</v>
      </c>
      <c r="C1952" s="1" t="n">
        <v>45345</v>
      </c>
      <c r="D1952" t="inlineStr">
        <is>
          <t>VÄSTMANLANDS LÄN</t>
        </is>
      </c>
      <c r="E1952" t="inlineStr">
        <is>
          <t>FAGERSTA</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62312-2021</t>
        </is>
      </c>
      <c r="B1953" s="1" t="n">
        <v>44503</v>
      </c>
      <c r="C1953" s="1" t="n">
        <v>45345</v>
      </c>
      <c r="D1953" t="inlineStr">
        <is>
          <t>VÄSTMANLANDS LÄN</t>
        </is>
      </c>
      <c r="E1953" t="inlineStr">
        <is>
          <t>SKINNSKATTEBERG</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62528-2021</t>
        </is>
      </c>
      <c r="B1954" s="1" t="n">
        <v>44503</v>
      </c>
      <c r="C1954" s="1" t="n">
        <v>45345</v>
      </c>
      <c r="D1954" t="inlineStr">
        <is>
          <t>VÄSTMANLANDS LÄN</t>
        </is>
      </c>
      <c r="E1954" t="inlineStr">
        <is>
          <t>VÄSTERÅS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62842-2021</t>
        </is>
      </c>
      <c r="B1955" s="1" t="n">
        <v>44504</v>
      </c>
      <c r="C1955" s="1" t="n">
        <v>45345</v>
      </c>
      <c r="D1955" t="inlineStr">
        <is>
          <t>VÄSTMANLANDS LÄN</t>
        </is>
      </c>
      <c r="E1955" t="inlineStr">
        <is>
          <t>SALA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62793-2021</t>
        </is>
      </c>
      <c r="B1956" s="1" t="n">
        <v>44504</v>
      </c>
      <c r="C1956" s="1" t="n">
        <v>45345</v>
      </c>
      <c r="D1956" t="inlineStr">
        <is>
          <t>VÄSTMANLANDS LÄN</t>
        </is>
      </c>
      <c r="E1956" t="inlineStr">
        <is>
          <t>SALA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62833-2021</t>
        </is>
      </c>
      <c r="B1957" s="1" t="n">
        <v>44504</v>
      </c>
      <c r="C1957" s="1" t="n">
        <v>45345</v>
      </c>
      <c r="D1957" t="inlineStr">
        <is>
          <t>VÄSTMANLANDS LÄN</t>
        </is>
      </c>
      <c r="E1957" t="inlineStr">
        <is>
          <t>SALA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62850-2021</t>
        </is>
      </c>
      <c r="B1958" s="1" t="n">
        <v>44504</v>
      </c>
      <c r="C1958" s="1" t="n">
        <v>45345</v>
      </c>
      <c r="D1958" t="inlineStr">
        <is>
          <t>VÄSTMANLANDS LÄN</t>
        </is>
      </c>
      <c r="E1958" t="inlineStr">
        <is>
          <t>SALA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62967-2021</t>
        </is>
      </c>
      <c r="B1959" s="1" t="n">
        <v>44505</v>
      </c>
      <c r="C1959" s="1" t="n">
        <v>45345</v>
      </c>
      <c r="D1959" t="inlineStr">
        <is>
          <t>VÄSTMANLANDS LÄN</t>
        </is>
      </c>
      <c r="E1959" t="inlineStr">
        <is>
          <t>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63139-2021</t>
        </is>
      </c>
      <c r="B1960" s="1" t="n">
        <v>44505</v>
      </c>
      <c r="C1960" s="1" t="n">
        <v>45345</v>
      </c>
      <c r="D1960" t="inlineStr">
        <is>
          <t>VÄSTMANLANDS LÄN</t>
        </is>
      </c>
      <c r="E1960" t="inlineStr">
        <is>
          <t>SKINNSKATTEBERG</t>
        </is>
      </c>
      <c r="F1960" t="inlineStr">
        <is>
          <t>Sveaskog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63290-2021</t>
        </is>
      </c>
      <c r="B1961" s="1" t="n">
        <v>44505</v>
      </c>
      <c r="C1961" s="1" t="n">
        <v>45345</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63561-2021</t>
        </is>
      </c>
      <c r="B1962" s="1" t="n">
        <v>44508</v>
      </c>
      <c r="C1962" s="1" t="n">
        <v>45345</v>
      </c>
      <c r="D1962" t="inlineStr">
        <is>
          <t>VÄSTMANLANDS LÄN</t>
        </is>
      </c>
      <c r="E1962" t="inlineStr">
        <is>
          <t>KÖPING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63492-2021</t>
        </is>
      </c>
      <c r="B1963" s="1" t="n">
        <v>44508</v>
      </c>
      <c r="C1963" s="1" t="n">
        <v>45345</v>
      </c>
      <c r="D1963" t="inlineStr">
        <is>
          <t>VÄSTMANLANDS LÄN</t>
        </is>
      </c>
      <c r="E1963" t="inlineStr">
        <is>
          <t>VÄSTERÅS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63756-2021</t>
        </is>
      </c>
      <c r="B1964" s="1" t="n">
        <v>44509</v>
      </c>
      <c r="C1964" s="1" t="n">
        <v>45345</v>
      </c>
      <c r="D1964" t="inlineStr">
        <is>
          <t>VÄSTMANLANDS LÄN</t>
        </is>
      </c>
      <c r="E1964" t="inlineStr">
        <is>
          <t>FAGERSTA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63811-2021</t>
        </is>
      </c>
      <c r="B1965" s="1" t="n">
        <v>44509</v>
      </c>
      <c r="C1965" s="1" t="n">
        <v>45345</v>
      </c>
      <c r="D1965" t="inlineStr">
        <is>
          <t>VÄSTMANLANDS LÄN</t>
        </is>
      </c>
      <c r="E1965" t="inlineStr">
        <is>
          <t>ARBOGA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63851-2021</t>
        </is>
      </c>
      <c r="B1966" s="1" t="n">
        <v>44509</v>
      </c>
      <c r="C1966" s="1" t="n">
        <v>45345</v>
      </c>
      <c r="D1966" t="inlineStr">
        <is>
          <t>VÄSTMANLANDS LÄN</t>
        </is>
      </c>
      <c r="E1966" t="inlineStr">
        <is>
          <t>VÄSTERÅS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64073-2021</t>
        </is>
      </c>
      <c r="B1967" s="1" t="n">
        <v>44509</v>
      </c>
      <c r="C1967" s="1" t="n">
        <v>45345</v>
      </c>
      <c r="D1967" t="inlineStr">
        <is>
          <t>VÄSTMANLANDS LÄN</t>
        </is>
      </c>
      <c r="E1967" t="inlineStr">
        <is>
          <t>SURAHAMMAR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64471-2021</t>
        </is>
      </c>
      <c r="B1968" s="1" t="n">
        <v>44511</v>
      </c>
      <c r="C1968" s="1" t="n">
        <v>45345</v>
      </c>
      <c r="D1968" t="inlineStr">
        <is>
          <t>VÄSTMANLANDS LÄN</t>
        </is>
      </c>
      <c r="E1968" t="inlineStr">
        <is>
          <t>ARBOGA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64341-2021</t>
        </is>
      </c>
      <c r="B1969" s="1" t="n">
        <v>44511</v>
      </c>
      <c r="C1969" s="1" t="n">
        <v>45345</v>
      </c>
      <c r="D1969" t="inlineStr">
        <is>
          <t>VÄSTMANLANDS LÄN</t>
        </is>
      </c>
      <c r="E1969" t="inlineStr">
        <is>
          <t>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45345</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64833-2021</t>
        </is>
      </c>
      <c r="B1971" s="1" t="n">
        <v>44512</v>
      </c>
      <c r="C1971" s="1" t="n">
        <v>45345</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64931-2021</t>
        </is>
      </c>
      <c r="B1972" s="1" t="n">
        <v>44512</v>
      </c>
      <c r="C1972" s="1" t="n">
        <v>45345</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64839-2021</t>
        </is>
      </c>
      <c r="B1973" s="1" t="n">
        <v>44512</v>
      </c>
      <c r="C1973" s="1" t="n">
        <v>45345</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64932-2021</t>
        </is>
      </c>
      <c r="B1974" s="1" t="n">
        <v>44512</v>
      </c>
      <c r="C1974" s="1" t="n">
        <v>45345</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65023-2021</t>
        </is>
      </c>
      <c r="B1975" s="1" t="n">
        <v>44512</v>
      </c>
      <c r="C1975" s="1" t="n">
        <v>45345</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65213-2021</t>
        </is>
      </c>
      <c r="B1976" s="1" t="n">
        <v>44515</v>
      </c>
      <c r="C1976" s="1" t="n">
        <v>45345</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65321-2021</t>
        </is>
      </c>
      <c r="B1977" s="1" t="n">
        <v>44515</v>
      </c>
      <c r="C1977" s="1" t="n">
        <v>45345</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65338-2021</t>
        </is>
      </c>
      <c r="B1978" s="1" t="n">
        <v>44515</v>
      </c>
      <c r="C1978" s="1" t="n">
        <v>45345</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65387-2021</t>
        </is>
      </c>
      <c r="B1979" s="1" t="n">
        <v>44515</v>
      </c>
      <c r="C1979" s="1" t="n">
        <v>45345</v>
      </c>
      <c r="D1979" t="inlineStr">
        <is>
          <t>VÄSTMANLANDS LÄN</t>
        </is>
      </c>
      <c r="E1979" t="inlineStr">
        <is>
          <t>SKINNSKATTEBERG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65353-2021</t>
        </is>
      </c>
      <c r="B1980" s="1" t="n">
        <v>44515</v>
      </c>
      <c r="C1980" s="1" t="n">
        <v>45345</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65490-2021</t>
        </is>
      </c>
      <c r="B1981" s="1" t="n">
        <v>44515</v>
      </c>
      <c r="C1981" s="1" t="n">
        <v>45345</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65678-2021</t>
        </is>
      </c>
      <c r="B1982" s="1" t="n">
        <v>44516</v>
      </c>
      <c r="C1982" s="1" t="n">
        <v>45345</v>
      </c>
      <c r="D1982" t="inlineStr">
        <is>
          <t>VÄSTMANLANDS LÄN</t>
        </is>
      </c>
      <c r="E1982" t="inlineStr">
        <is>
          <t>VÄSTERÅS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65582-2021</t>
        </is>
      </c>
      <c r="B1983" s="1" t="n">
        <v>44516</v>
      </c>
      <c r="C1983" s="1" t="n">
        <v>45345</v>
      </c>
      <c r="D1983" t="inlineStr">
        <is>
          <t>VÄSTMANLANDS LÄN</t>
        </is>
      </c>
      <c r="E1983" t="inlineStr">
        <is>
          <t>KÖPING</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65663-2021</t>
        </is>
      </c>
      <c r="B1984" s="1" t="n">
        <v>44516</v>
      </c>
      <c r="C1984" s="1" t="n">
        <v>45345</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65740-2021</t>
        </is>
      </c>
      <c r="B1985" s="1" t="n">
        <v>44516</v>
      </c>
      <c r="C1985" s="1" t="n">
        <v>45345</v>
      </c>
      <c r="D1985" t="inlineStr">
        <is>
          <t>VÄSTMANLANDS LÄN</t>
        </is>
      </c>
      <c r="E1985" t="inlineStr">
        <is>
          <t>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65748-2021</t>
        </is>
      </c>
      <c r="B1986" s="1" t="n">
        <v>44516</v>
      </c>
      <c r="C1986" s="1" t="n">
        <v>45345</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65856-2021</t>
        </is>
      </c>
      <c r="B1987" s="1" t="n">
        <v>44517</v>
      </c>
      <c r="C1987" s="1" t="n">
        <v>45345</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65818-2021</t>
        </is>
      </c>
      <c r="B1988" s="1" t="n">
        <v>44517</v>
      </c>
      <c r="C1988" s="1" t="n">
        <v>45345</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65835-2021</t>
        </is>
      </c>
      <c r="B1989" s="1" t="n">
        <v>44517</v>
      </c>
      <c r="C1989" s="1" t="n">
        <v>45345</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65860-2021</t>
        </is>
      </c>
      <c r="B1990" s="1" t="n">
        <v>44517</v>
      </c>
      <c r="C1990" s="1" t="n">
        <v>45345</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66307-2021</t>
        </is>
      </c>
      <c r="B1991" s="1" t="n">
        <v>44518</v>
      </c>
      <c r="C1991" s="1" t="n">
        <v>45345</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66343-2021</t>
        </is>
      </c>
      <c r="B1992" s="1" t="n">
        <v>44518</v>
      </c>
      <c r="C1992" s="1" t="n">
        <v>45345</v>
      </c>
      <c r="D1992" t="inlineStr">
        <is>
          <t>VÄSTMANLANDS LÄN</t>
        </is>
      </c>
      <c r="E1992" t="inlineStr">
        <is>
          <t>SURAHAMMAR</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66342-2021</t>
        </is>
      </c>
      <c r="B1993" s="1" t="n">
        <v>44518</v>
      </c>
      <c r="C1993" s="1" t="n">
        <v>45345</v>
      </c>
      <c r="D1993" t="inlineStr">
        <is>
          <t>VÄSTMANLANDS LÄN</t>
        </is>
      </c>
      <c r="E1993" t="inlineStr">
        <is>
          <t>SURAHAMMAR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66350-2021</t>
        </is>
      </c>
      <c r="B1994" s="1" t="n">
        <v>44518</v>
      </c>
      <c r="C1994" s="1" t="n">
        <v>45345</v>
      </c>
      <c r="D1994" t="inlineStr">
        <is>
          <t>VÄSTMANLANDS LÄN</t>
        </is>
      </c>
      <c r="E1994" t="inlineStr">
        <is>
          <t>SURAHAMMAR</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66508-2021</t>
        </is>
      </c>
      <c r="B1995" s="1" t="n">
        <v>44519</v>
      </c>
      <c r="C1995" s="1" t="n">
        <v>45345</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66571-2021</t>
        </is>
      </c>
      <c r="B1996" s="1" t="n">
        <v>44519</v>
      </c>
      <c r="C1996" s="1" t="n">
        <v>45345</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66580-2021</t>
        </is>
      </c>
      <c r="B1997" s="1" t="n">
        <v>44519</v>
      </c>
      <c r="C1997" s="1" t="n">
        <v>45345</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66563-2021</t>
        </is>
      </c>
      <c r="B1998" s="1" t="n">
        <v>44519</v>
      </c>
      <c r="C1998" s="1" t="n">
        <v>45345</v>
      </c>
      <c r="D1998" t="inlineStr">
        <is>
          <t>VÄSTMANLANDS LÄN</t>
        </is>
      </c>
      <c r="E1998" t="inlineStr">
        <is>
          <t>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66587-2021</t>
        </is>
      </c>
      <c r="B1999" s="1" t="n">
        <v>44519</v>
      </c>
      <c r="C1999" s="1" t="n">
        <v>45345</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66561-2021</t>
        </is>
      </c>
      <c r="B2000" s="1" t="n">
        <v>44519</v>
      </c>
      <c r="C2000" s="1" t="n">
        <v>45345</v>
      </c>
      <c r="D2000" t="inlineStr">
        <is>
          <t>VÄSTMANLANDS LÄN</t>
        </is>
      </c>
      <c r="E2000" t="inlineStr">
        <is>
          <t>SALA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66574-2021</t>
        </is>
      </c>
      <c r="B2001" s="1" t="n">
        <v>44519</v>
      </c>
      <c r="C2001" s="1" t="n">
        <v>45345</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66584-2021</t>
        </is>
      </c>
      <c r="B2002" s="1" t="n">
        <v>44519</v>
      </c>
      <c r="C2002" s="1" t="n">
        <v>45345</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66572-2021</t>
        </is>
      </c>
      <c r="B2003" s="1" t="n">
        <v>44519</v>
      </c>
      <c r="C2003" s="1" t="n">
        <v>45345</v>
      </c>
      <c r="D2003" t="inlineStr">
        <is>
          <t>VÄSTMANLANDS LÄN</t>
        </is>
      </c>
      <c r="E2003" t="inlineStr">
        <is>
          <t>SKINNSKATTEBERG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66908-2021</t>
        </is>
      </c>
      <c r="B2004" s="1" t="n">
        <v>44522</v>
      </c>
      <c r="C2004" s="1" t="n">
        <v>45345</v>
      </c>
      <c r="D2004" t="inlineStr">
        <is>
          <t>VÄSTMANLANDS LÄN</t>
        </is>
      </c>
      <c r="E2004" t="inlineStr">
        <is>
          <t>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66830-2021</t>
        </is>
      </c>
      <c r="B2005" s="1" t="n">
        <v>44522</v>
      </c>
      <c r="C2005" s="1" t="n">
        <v>45345</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66997-2021</t>
        </is>
      </c>
      <c r="B2006" s="1" t="n">
        <v>44522</v>
      </c>
      <c r="C2006" s="1" t="n">
        <v>45345</v>
      </c>
      <c r="D2006" t="inlineStr">
        <is>
          <t>VÄSTMANLANDS LÄN</t>
        </is>
      </c>
      <c r="E2006" t="inlineStr">
        <is>
          <t>KÖPING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67037-2021</t>
        </is>
      </c>
      <c r="B2007" s="1" t="n">
        <v>44522</v>
      </c>
      <c r="C2007" s="1" t="n">
        <v>45345</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c r="U2007">
        <f>HYPERLINK("https://klasma.github.io/Logging_1981/knärot/A 67037-2021 karta knärot.png", "A 67037-2021")</f>
        <v/>
      </c>
      <c r="V2007">
        <f>HYPERLINK("https://klasma.github.io/Logging_1981/klagomål/A 67037-2021 FSC-klagomål.docx", "A 67037-2021")</f>
        <v/>
      </c>
      <c r="W2007">
        <f>HYPERLINK("https://klasma.github.io/Logging_1981/klagomålsmail/A 67037-2021 FSC-klagomål mail.docx", "A 67037-2021")</f>
        <v/>
      </c>
      <c r="X2007">
        <f>HYPERLINK("https://klasma.github.io/Logging_1981/tillsyn/A 67037-2021 tillsynsbegäran.docx", "A 67037-2021")</f>
        <v/>
      </c>
      <c r="Y2007">
        <f>HYPERLINK("https://klasma.github.io/Logging_1981/tillsynsmail/A 67037-2021 tillsynsbegäran mail.docx", "A 67037-2021")</f>
        <v/>
      </c>
    </row>
    <row r="2008" ht="15" customHeight="1">
      <c r="A2008" t="inlineStr">
        <is>
          <t>A 67350-2021</t>
        </is>
      </c>
      <c r="B2008" s="1" t="n">
        <v>44523</v>
      </c>
      <c r="C2008" s="1" t="n">
        <v>45345</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67352-2021</t>
        </is>
      </c>
      <c r="B2009" s="1" t="n">
        <v>44523</v>
      </c>
      <c r="C2009" s="1" t="n">
        <v>45345</v>
      </c>
      <c r="D2009" t="inlineStr">
        <is>
          <t>VÄSTMANLANDS LÄN</t>
        </is>
      </c>
      <c r="E2009" t="inlineStr">
        <is>
          <t>VÄSTERÅS</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67361-2021</t>
        </is>
      </c>
      <c r="B2010" s="1" t="n">
        <v>44523</v>
      </c>
      <c r="C2010" s="1" t="n">
        <v>45345</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67356-2021</t>
        </is>
      </c>
      <c r="B2011" s="1" t="n">
        <v>44523</v>
      </c>
      <c r="C2011" s="1" t="n">
        <v>45345</v>
      </c>
      <c r="D2011" t="inlineStr">
        <is>
          <t>VÄSTMANLANDS LÄN</t>
        </is>
      </c>
      <c r="E2011" t="inlineStr">
        <is>
          <t>NORBERG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67353-2021</t>
        </is>
      </c>
      <c r="B2012" s="1" t="n">
        <v>44523</v>
      </c>
      <c r="C2012" s="1" t="n">
        <v>45345</v>
      </c>
      <c r="D2012" t="inlineStr">
        <is>
          <t>VÄSTMANLANDS LÄN</t>
        </is>
      </c>
      <c r="E2012" t="inlineStr">
        <is>
          <t>VÄSTERÅS</t>
        </is>
      </c>
      <c r="F2012" t="inlineStr">
        <is>
          <t>Övriga Aktiebolag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67611-2021</t>
        </is>
      </c>
      <c r="B2013" s="1" t="n">
        <v>44524</v>
      </c>
      <c r="C2013" s="1" t="n">
        <v>45345</v>
      </c>
      <c r="D2013" t="inlineStr">
        <is>
          <t>VÄSTMANLANDS LÄN</t>
        </is>
      </c>
      <c r="E2013" t="inlineStr">
        <is>
          <t>SURAHAMMAR</t>
        </is>
      </c>
      <c r="F2013" t="inlineStr">
        <is>
          <t>Kommuner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67965-2021</t>
        </is>
      </c>
      <c r="B2014" s="1" t="n">
        <v>44525</v>
      </c>
      <c r="C2014" s="1" t="n">
        <v>45345</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67958-2021</t>
        </is>
      </c>
      <c r="B2015" s="1" t="n">
        <v>44525</v>
      </c>
      <c r="C2015" s="1" t="n">
        <v>45345</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67943-2021</t>
        </is>
      </c>
      <c r="B2016" s="1" t="n">
        <v>44525</v>
      </c>
      <c r="C2016" s="1" t="n">
        <v>45345</v>
      </c>
      <c r="D2016" t="inlineStr">
        <is>
          <t>VÄSTMANLANDS LÄN</t>
        </is>
      </c>
      <c r="E2016" t="inlineStr">
        <is>
          <t>VÄSTERÅS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67946-2021</t>
        </is>
      </c>
      <c r="B2017" s="1" t="n">
        <v>44525</v>
      </c>
      <c r="C2017" s="1" t="n">
        <v>45345</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67962-2021</t>
        </is>
      </c>
      <c r="B2018" s="1" t="n">
        <v>44525</v>
      </c>
      <c r="C2018" s="1" t="n">
        <v>45345</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68174-2021</t>
        </is>
      </c>
      <c r="B2019" s="1" t="n">
        <v>44526</v>
      </c>
      <c r="C2019" s="1" t="n">
        <v>45345</v>
      </c>
      <c r="D2019" t="inlineStr">
        <is>
          <t>VÄSTMANLANDS LÄN</t>
        </is>
      </c>
      <c r="E2019" t="inlineStr">
        <is>
          <t>FAGERSTA</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68237-2021</t>
        </is>
      </c>
      <c r="B2020" s="1" t="n">
        <v>44526</v>
      </c>
      <c r="C2020" s="1" t="n">
        <v>45345</v>
      </c>
      <c r="D2020" t="inlineStr">
        <is>
          <t>VÄSTMANLANDS LÄN</t>
        </is>
      </c>
      <c r="E2020" t="inlineStr">
        <is>
          <t>ARBOGA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68256-2021</t>
        </is>
      </c>
      <c r="B2021" s="1" t="n">
        <v>44526</v>
      </c>
      <c r="C2021" s="1" t="n">
        <v>45345</v>
      </c>
      <c r="D2021" t="inlineStr">
        <is>
          <t>VÄSTMANLANDS LÄN</t>
        </is>
      </c>
      <c r="E2021" t="inlineStr">
        <is>
          <t>ARBOGA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68355-2021</t>
        </is>
      </c>
      <c r="B2022" s="1" t="n">
        <v>44528</v>
      </c>
      <c r="C2022" s="1" t="n">
        <v>45345</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68484-2021</t>
        </is>
      </c>
      <c r="B2023" s="1" t="n">
        <v>44529</v>
      </c>
      <c r="C2023" s="1" t="n">
        <v>45345</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68714-2021</t>
        </is>
      </c>
      <c r="B2024" s="1" t="n">
        <v>44529</v>
      </c>
      <c r="C2024" s="1" t="n">
        <v>45345</v>
      </c>
      <c r="D2024" t="inlineStr">
        <is>
          <t>VÄSTMANLANDS LÄN</t>
        </is>
      </c>
      <c r="E2024" t="inlineStr">
        <is>
          <t>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68540-2021</t>
        </is>
      </c>
      <c r="B2025" s="1" t="n">
        <v>44529</v>
      </c>
      <c r="C2025" s="1" t="n">
        <v>45345</v>
      </c>
      <c r="D2025" t="inlineStr">
        <is>
          <t>VÄSTMANLANDS LÄN</t>
        </is>
      </c>
      <c r="E2025" t="inlineStr">
        <is>
          <t>SKINNSKATTEBERG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68525-2021</t>
        </is>
      </c>
      <c r="B2026" s="1" t="n">
        <v>44529</v>
      </c>
      <c r="C2026" s="1" t="n">
        <v>45345</v>
      </c>
      <c r="D2026" t="inlineStr">
        <is>
          <t>VÄSTMANLANDS LÄN</t>
        </is>
      </c>
      <c r="E2026" t="inlineStr">
        <is>
          <t>SKINNSKATTEBERG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68980-2021</t>
        </is>
      </c>
      <c r="B2027" s="1" t="n">
        <v>44529</v>
      </c>
      <c r="C2027" s="1" t="n">
        <v>45345</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68976-2021</t>
        </is>
      </c>
      <c r="B2028" s="1" t="n">
        <v>44530</v>
      </c>
      <c r="C2028" s="1" t="n">
        <v>45345</v>
      </c>
      <c r="D2028" t="inlineStr">
        <is>
          <t>VÄSTMANLANDS LÄN</t>
        </is>
      </c>
      <c r="E2028" t="inlineStr">
        <is>
          <t>KÖPING</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45345</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68939-2021</t>
        </is>
      </c>
      <c r="B2030" s="1" t="n">
        <v>44530</v>
      </c>
      <c r="C2030" s="1" t="n">
        <v>45345</v>
      </c>
      <c r="D2030" t="inlineStr">
        <is>
          <t>VÄSTMANLANDS LÄN</t>
        </is>
      </c>
      <c r="E2030" t="inlineStr">
        <is>
          <t>ARBOGA</t>
        </is>
      </c>
      <c r="F2030" t="inlineStr">
        <is>
          <t>Kommuner</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68954-2021</t>
        </is>
      </c>
      <c r="B2031" s="1" t="n">
        <v>44530</v>
      </c>
      <c r="C2031" s="1" t="n">
        <v>45345</v>
      </c>
      <c r="D2031" t="inlineStr">
        <is>
          <t>VÄSTMANLANDS LÄN</t>
        </is>
      </c>
      <c r="E2031" t="inlineStr">
        <is>
          <t>KÖPING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69104-2021</t>
        </is>
      </c>
      <c r="B2032" s="1" t="n">
        <v>44530</v>
      </c>
      <c r="C2032" s="1" t="n">
        <v>45345</v>
      </c>
      <c r="D2032" t="inlineStr">
        <is>
          <t>VÄSTMANLANDS LÄN</t>
        </is>
      </c>
      <c r="E2032" t="inlineStr">
        <is>
          <t>FAGERSTA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69168-2021</t>
        </is>
      </c>
      <c r="B2033" s="1" t="n">
        <v>44530</v>
      </c>
      <c r="C2033" s="1" t="n">
        <v>45345</v>
      </c>
      <c r="D2033" t="inlineStr">
        <is>
          <t>VÄSTMANLANDS LÄN</t>
        </is>
      </c>
      <c r="E2033" t="inlineStr">
        <is>
          <t>ARBOGA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69169-2021</t>
        </is>
      </c>
      <c r="B2034" s="1" t="n">
        <v>44530</v>
      </c>
      <c r="C2034" s="1" t="n">
        <v>45345</v>
      </c>
      <c r="D2034" t="inlineStr">
        <is>
          <t>VÄSTMANLANDS LÄN</t>
        </is>
      </c>
      <c r="E2034" t="inlineStr">
        <is>
          <t>ARBOGA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69232-2021</t>
        </is>
      </c>
      <c r="B2035" s="1" t="n">
        <v>44531</v>
      </c>
      <c r="C2035" s="1" t="n">
        <v>45345</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69256-2021</t>
        </is>
      </c>
      <c r="B2036" s="1" t="n">
        <v>44531</v>
      </c>
      <c r="C2036" s="1" t="n">
        <v>45345</v>
      </c>
      <c r="D2036" t="inlineStr">
        <is>
          <t>VÄSTMANLANDS LÄN</t>
        </is>
      </c>
      <c r="E2036" t="inlineStr">
        <is>
          <t>SKINNSKATTEBERG</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69236-2021</t>
        </is>
      </c>
      <c r="B2037" s="1" t="n">
        <v>44531</v>
      </c>
      <c r="C2037" s="1" t="n">
        <v>45345</v>
      </c>
      <c r="D2037" t="inlineStr">
        <is>
          <t>VÄSTMANLANDS LÄN</t>
        </is>
      </c>
      <c r="E2037" t="inlineStr">
        <is>
          <t>SALA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69259-2021</t>
        </is>
      </c>
      <c r="B2038" s="1" t="n">
        <v>44531</v>
      </c>
      <c r="C2038" s="1" t="n">
        <v>45345</v>
      </c>
      <c r="D2038" t="inlineStr">
        <is>
          <t>VÄSTMANLANDS LÄN</t>
        </is>
      </c>
      <c r="E2038" t="inlineStr">
        <is>
          <t>SKINNSKATTEBERG</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69276-2021</t>
        </is>
      </c>
      <c r="B2039" s="1" t="n">
        <v>44531</v>
      </c>
      <c r="C2039" s="1" t="n">
        <v>45345</v>
      </c>
      <c r="D2039" t="inlineStr">
        <is>
          <t>VÄSTMANLANDS LÄN</t>
        </is>
      </c>
      <c r="E2039" t="inlineStr">
        <is>
          <t>SKINNSKATTEBERG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69565-2021</t>
        </is>
      </c>
      <c r="B2040" s="1" t="n">
        <v>44531</v>
      </c>
      <c r="C2040" s="1" t="n">
        <v>45345</v>
      </c>
      <c r="D2040" t="inlineStr">
        <is>
          <t>VÄSTMANLANDS LÄN</t>
        </is>
      </c>
      <c r="E2040" t="inlineStr">
        <is>
          <t>VÄSTERÅS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69645-2021</t>
        </is>
      </c>
      <c r="B2041" s="1" t="n">
        <v>44532</v>
      </c>
      <c r="C2041" s="1" t="n">
        <v>45345</v>
      </c>
      <c r="D2041" t="inlineStr">
        <is>
          <t>VÄSTMANLANDS LÄN</t>
        </is>
      </c>
      <c r="E2041" t="inlineStr">
        <is>
          <t>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69656-2021</t>
        </is>
      </c>
      <c r="B2042" s="1" t="n">
        <v>44532</v>
      </c>
      <c r="C2042" s="1" t="n">
        <v>45345</v>
      </c>
      <c r="D2042" t="inlineStr">
        <is>
          <t>VÄSTMANLANDS LÄN</t>
        </is>
      </c>
      <c r="E2042" t="inlineStr">
        <is>
          <t>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69758-2021</t>
        </is>
      </c>
      <c r="B2043" s="1" t="n">
        <v>44532</v>
      </c>
      <c r="C2043" s="1" t="n">
        <v>45345</v>
      </c>
      <c r="D2043" t="inlineStr">
        <is>
          <t>VÄSTMANLANDS LÄN</t>
        </is>
      </c>
      <c r="E2043" t="inlineStr">
        <is>
          <t>NORBERG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74421-2021</t>
        </is>
      </c>
      <c r="B2044" s="1" t="n">
        <v>44533</v>
      </c>
      <c r="C2044" s="1" t="n">
        <v>45345</v>
      </c>
      <c r="D2044" t="inlineStr">
        <is>
          <t>VÄSTMANLANDS LÄN</t>
        </is>
      </c>
      <c r="E2044" t="inlineStr">
        <is>
          <t>FAGERSTA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70012-2021</t>
        </is>
      </c>
      <c r="B2045" s="1" t="n">
        <v>44533</v>
      </c>
      <c r="C2045" s="1" t="n">
        <v>45345</v>
      </c>
      <c r="D2045" t="inlineStr">
        <is>
          <t>VÄSTMANLANDS LÄN</t>
        </is>
      </c>
      <c r="E2045" t="inlineStr">
        <is>
          <t>FAGERSTA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70218-2021</t>
        </is>
      </c>
      <c r="B2046" s="1" t="n">
        <v>44535</v>
      </c>
      <c r="C2046" s="1" t="n">
        <v>45345</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70266-2021</t>
        </is>
      </c>
      <c r="B2047" s="1" t="n">
        <v>44536</v>
      </c>
      <c r="C2047" s="1" t="n">
        <v>45345</v>
      </c>
      <c r="D2047" t="inlineStr">
        <is>
          <t>VÄSTMANLANDS LÄN</t>
        </is>
      </c>
      <c r="E2047" t="inlineStr">
        <is>
          <t>ARBOGA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70319-2021</t>
        </is>
      </c>
      <c r="B2048" s="1" t="n">
        <v>44536</v>
      </c>
      <c r="C2048" s="1" t="n">
        <v>45345</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70642-2021</t>
        </is>
      </c>
      <c r="B2049" s="1" t="n">
        <v>44537</v>
      </c>
      <c r="C2049" s="1" t="n">
        <v>45345</v>
      </c>
      <c r="D2049" t="inlineStr">
        <is>
          <t>VÄSTMANLANDS LÄN</t>
        </is>
      </c>
      <c r="E2049" t="inlineStr">
        <is>
          <t>HALLSTAHAMMAR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70655-2021</t>
        </is>
      </c>
      <c r="B2050" s="1" t="n">
        <v>44537</v>
      </c>
      <c r="C2050" s="1" t="n">
        <v>45345</v>
      </c>
      <c r="D2050" t="inlineStr">
        <is>
          <t>VÄSTMANLANDS LÄN</t>
        </is>
      </c>
      <c r="E2050" t="inlineStr">
        <is>
          <t>SALA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70661-2021</t>
        </is>
      </c>
      <c r="B2051" s="1" t="n">
        <v>44537</v>
      </c>
      <c r="C2051" s="1" t="n">
        <v>45345</v>
      </c>
      <c r="D2051" t="inlineStr">
        <is>
          <t>VÄSTMANLANDS LÄN</t>
        </is>
      </c>
      <c r="E2051" t="inlineStr">
        <is>
          <t>NORBERG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70958-2021</t>
        </is>
      </c>
      <c r="B2052" s="1" t="n">
        <v>44538</v>
      </c>
      <c r="C2052" s="1" t="n">
        <v>45345</v>
      </c>
      <c r="D2052" t="inlineStr">
        <is>
          <t>VÄSTMANLANDS LÄN</t>
        </is>
      </c>
      <c r="E2052" t="inlineStr">
        <is>
          <t>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70909-2021</t>
        </is>
      </c>
      <c r="B2053" s="1" t="n">
        <v>44538</v>
      </c>
      <c r="C2053" s="1" t="n">
        <v>45345</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71717-2021</t>
        </is>
      </c>
      <c r="B2054" s="1" t="n">
        <v>44539</v>
      </c>
      <c r="C2054" s="1" t="n">
        <v>45345</v>
      </c>
      <c r="D2054" t="inlineStr">
        <is>
          <t>VÄSTMANLANDS LÄN</t>
        </is>
      </c>
      <c r="E2054" t="inlineStr">
        <is>
          <t>KÖPING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71735-2021</t>
        </is>
      </c>
      <c r="B2055" s="1" t="n">
        <v>44539</v>
      </c>
      <c r="C2055" s="1" t="n">
        <v>45345</v>
      </c>
      <c r="D2055" t="inlineStr">
        <is>
          <t>VÄSTMANLANDS LÄN</t>
        </is>
      </c>
      <c r="E2055" t="inlineStr">
        <is>
          <t>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71471-2021</t>
        </is>
      </c>
      <c r="B2056" s="1" t="n">
        <v>44540</v>
      </c>
      <c r="C2056" s="1" t="n">
        <v>45345</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72019-2021</t>
        </is>
      </c>
      <c r="B2057" s="1" t="n">
        <v>44540</v>
      </c>
      <c r="C2057" s="1" t="n">
        <v>45345</v>
      </c>
      <c r="D2057" t="inlineStr">
        <is>
          <t>VÄSTMANLANDS LÄN</t>
        </is>
      </c>
      <c r="E2057" t="inlineStr">
        <is>
          <t>VÄSTERÅS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71853-2021</t>
        </is>
      </c>
      <c r="B2058" s="1" t="n">
        <v>44543</v>
      </c>
      <c r="C2058" s="1" t="n">
        <v>45345</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71997-2021</t>
        </is>
      </c>
      <c r="B2059" s="1" t="n">
        <v>44543</v>
      </c>
      <c r="C2059" s="1" t="n">
        <v>45345</v>
      </c>
      <c r="D2059" t="inlineStr">
        <is>
          <t>VÄSTMANLANDS LÄN</t>
        </is>
      </c>
      <c r="E2059" t="inlineStr">
        <is>
          <t>VÄSTERÅS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71999-2021</t>
        </is>
      </c>
      <c r="B2060" s="1" t="n">
        <v>44544</v>
      </c>
      <c r="C2060" s="1" t="n">
        <v>45345</v>
      </c>
      <c r="D2060" t="inlineStr">
        <is>
          <t>VÄSTMANLANDS LÄN</t>
        </is>
      </c>
      <c r="E2060" t="inlineStr">
        <is>
          <t>SKINNSKATTEBERG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72071-2021</t>
        </is>
      </c>
      <c r="B2061" s="1" t="n">
        <v>44544</v>
      </c>
      <c r="C2061" s="1" t="n">
        <v>45345</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71996-2021</t>
        </is>
      </c>
      <c r="B2062" s="1" t="n">
        <v>44544</v>
      </c>
      <c r="C2062" s="1" t="n">
        <v>45345</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72405-2021</t>
        </is>
      </c>
      <c r="B2063" s="1" t="n">
        <v>44545</v>
      </c>
      <c r="C2063" s="1" t="n">
        <v>45345</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72367-2021</t>
        </is>
      </c>
      <c r="B2064" s="1" t="n">
        <v>44545</v>
      </c>
      <c r="C2064" s="1" t="n">
        <v>45345</v>
      </c>
      <c r="D2064" t="inlineStr">
        <is>
          <t>VÄSTMANLANDS LÄN</t>
        </is>
      </c>
      <c r="E2064" t="inlineStr">
        <is>
          <t>SURAHAMMAR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72389-2021</t>
        </is>
      </c>
      <c r="B2065" s="1" t="n">
        <v>44545</v>
      </c>
      <c r="C2065" s="1" t="n">
        <v>45345</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72460-2021</t>
        </is>
      </c>
      <c r="B2066" s="1" t="n">
        <v>44545</v>
      </c>
      <c r="C2066" s="1" t="n">
        <v>45345</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72710-2021</t>
        </is>
      </c>
      <c r="B2067" s="1" t="n">
        <v>44545</v>
      </c>
      <c r="C2067" s="1" t="n">
        <v>45345</v>
      </c>
      <c r="D2067" t="inlineStr">
        <is>
          <t>VÄSTMANLANDS LÄN</t>
        </is>
      </c>
      <c r="E2067" t="inlineStr">
        <is>
          <t>SKINNSKATTEBERG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72503-2021</t>
        </is>
      </c>
      <c r="B2068" s="1" t="n">
        <v>44545</v>
      </c>
      <c r="C2068" s="1" t="n">
        <v>45345</v>
      </c>
      <c r="D2068" t="inlineStr">
        <is>
          <t>VÄSTMANLANDS LÄN</t>
        </is>
      </c>
      <c r="E2068" t="inlineStr">
        <is>
          <t>SKINNSKATTEBERG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72684-2021</t>
        </is>
      </c>
      <c r="B2069" s="1" t="n">
        <v>44545</v>
      </c>
      <c r="C2069" s="1" t="n">
        <v>45345</v>
      </c>
      <c r="D2069" t="inlineStr">
        <is>
          <t>VÄSTMANLANDS LÄN</t>
        </is>
      </c>
      <c r="E2069" t="inlineStr">
        <is>
          <t>SKINNSKATTEBERG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45345</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72700-2021</t>
        </is>
      </c>
      <c r="B2071" s="1" t="n">
        <v>44545</v>
      </c>
      <c r="C2071" s="1" t="n">
        <v>45345</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72634-2021</t>
        </is>
      </c>
      <c r="B2072" s="1" t="n">
        <v>44545</v>
      </c>
      <c r="C2072" s="1" t="n">
        <v>45345</v>
      </c>
      <c r="D2072" t="inlineStr">
        <is>
          <t>VÄSTMANLANDS LÄN</t>
        </is>
      </c>
      <c r="E2072" t="inlineStr">
        <is>
          <t>SKINNSKATTEBERG</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72810-2021</t>
        </is>
      </c>
      <c r="B2073" s="1" t="n">
        <v>44546</v>
      </c>
      <c r="C2073" s="1" t="n">
        <v>45345</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72805-2021</t>
        </is>
      </c>
      <c r="B2074" s="1" t="n">
        <v>44546</v>
      </c>
      <c r="C2074" s="1" t="n">
        <v>45345</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72808-2021</t>
        </is>
      </c>
      <c r="B2075" s="1" t="n">
        <v>44546</v>
      </c>
      <c r="C2075" s="1" t="n">
        <v>45345</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72776-2021</t>
        </is>
      </c>
      <c r="B2076" s="1" t="n">
        <v>44547</v>
      </c>
      <c r="C2076" s="1" t="n">
        <v>45345</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73156-2021</t>
        </is>
      </c>
      <c r="B2077" s="1" t="n">
        <v>44550</v>
      </c>
      <c r="C2077" s="1" t="n">
        <v>45345</v>
      </c>
      <c r="D2077" t="inlineStr">
        <is>
          <t>VÄSTMANLANDS LÄN</t>
        </is>
      </c>
      <c r="E2077" t="inlineStr">
        <is>
          <t>SURAHAMMAR</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73008-2021</t>
        </is>
      </c>
      <c r="B2078" s="1" t="n">
        <v>44550</v>
      </c>
      <c r="C2078" s="1" t="n">
        <v>45345</v>
      </c>
      <c r="D2078" t="inlineStr">
        <is>
          <t>VÄSTMANLANDS LÄN</t>
        </is>
      </c>
      <c r="E2078" t="inlineStr">
        <is>
          <t>SKINNSKATTEBERG</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73029-2021</t>
        </is>
      </c>
      <c r="B2079" s="1" t="n">
        <v>44550</v>
      </c>
      <c r="C2079" s="1" t="n">
        <v>45345</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73124-2021</t>
        </is>
      </c>
      <c r="B2080" s="1" t="n">
        <v>44550</v>
      </c>
      <c r="C2080" s="1" t="n">
        <v>45345</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73073-2021</t>
        </is>
      </c>
      <c r="B2081" s="1" t="n">
        <v>44550</v>
      </c>
      <c r="C2081" s="1" t="n">
        <v>45345</v>
      </c>
      <c r="D2081" t="inlineStr">
        <is>
          <t>VÄSTMANLANDS LÄN</t>
        </is>
      </c>
      <c r="E2081" t="inlineStr">
        <is>
          <t>NORBERG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73083-2021</t>
        </is>
      </c>
      <c r="B2082" s="1" t="n">
        <v>44550</v>
      </c>
      <c r="C2082" s="1" t="n">
        <v>45345</v>
      </c>
      <c r="D2082" t="inlineStr">
        <is>
          <t>VÄSTMANLANDS LÄN</t>
        </is>
      </c>
      <c r="E2082" t="inlineStr">
        <is>
          <t>NORBERG</t>
        </is>
      </c>
      <c r="F2082" t="inlineStr">
        <is>
          <t>Bergvik skog väst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73219-2021</t>
        </is>
      </c>
      <c r="B2083" s="1" t="n">
        <v>44550</v>
      </c>
      <c r="C2083" s="1" t="n">
        <v>45345</v>
      </c>
      <c r="D2083" t="inlineStr">
        <is>
          <t>VÄSTMANLANDS LÄN</t>
        </is>
      </c>
      <c r="E2083" t="inlineStr">
        <is>
          <t>SALA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73293-2021</t>
        </is>
      </c>
      <c r="B2084" s="1" t="n">
        <v>44550</v>
      </c>
      <c r="C2084" s="1" t="n">
        <v>45345</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73334-2021</t>
        </is>
      </c>
      <c r="B2085" s="1" t="n">
        <v>44551</v>
      </c>
      <c r="C2085" s="1" t="n">
        <v>45345</v>
      </c>
      <c r="D2085" t="inlineStr">
        <is>
          <t>VÄSTMANLANDS LÄN</t>
        </is>
      </c>
      <c r="E2085" t="inlineStr">
        <is>
          <t>VÄSTERÅS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73423-2021</t>
        </is>
      </c>
      <c r="B2086" s="1" t="n">
        <v>44551</v>
      </c>
      <c r="C2086" s="1" t="n">
        <v>45345</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73519-2021</t>
        </is>
      </c>
      <c r="B2087" s="1" t="n">
        <v>44551</v>
      </c>
      <c r="C2087" s="1" t="n">
        <v>45345</v>
      </c>
      <c r="D2087" t="inlineStr">
        <is>
          <t>VÄSTMANLANDS LÄN</t>
        </is>
      </c>
      <c r="E2087" t="inlineStr">
        <is>
          <t>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73597-2021</t>
        </is>
      </c>
      <c r="B2088" s="1" t="n">
        <v>44552</v>
      </c>
      <c r="C2088" s="1" t="n">
        <v>45345</v>
      </c>
      <c r="D2088" t="inlineStr">
        <is>
          <t>VÄSTMANLANDS LÄN</t>
        </is>
      </c>
      <c r="E2088" t="inlineStr">
        <is>
          <t>VÄSTERÅS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73683-2021</t>
        </is>
      </c>
      <c r="B2089" s="1" t="n">
        <v>44552</v>
      </c>
      <c r="C2089" s="1" t="n">
        <v>45345</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73569-2021</t>
        </is>
      </c>
      <c r="B2090" s="1" t="n">
        <v>44552</v>
      </c>
      <c r="C2090" s="1" t="n">
        <v>45345</v>
      </c>
      <c r="D2090" t="inlineStr">
        <is>
          <t>VÄSTMANLANDS LÄN</t>
        </is>
      </c>
      <c r="E2090" t="inlineStr">
        <is>
          <t>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73663-2021</t>
        </is>
      </c>
      <c r="B2091" s="1" t="n">
        <v>44552</v>
      </c>
      <c r="C2091" s="1" t="n">
        <v>45345</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73679-2021</t>
        </is>
      </c>
      <c r="B2092" s="1" t="n">
        <v>44552</v>
      </c>
      <c r="C2092" s="1" t="n">
        <v>45345</v>
      </c>
      <c r="D2092" t="inlineStr">
        <is>
          <t>VÄSTMANLANDS LÄN</t>
        </is>
      </c>
      <c r="E2092" t="inlineStr">
        <is>
          <t>VÄSTERÅS</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73601-2021</t>
        </is>
      </c>
      <c r="B2093" s="1" t="n">
        <v>44552</v>
      </c>
      <c r="C2093" s="1" t="n">
        <v>45345</v>
      </c>
      <c r="D2093" t="inlineStr">
        <is>
          <t>VÄSTMANLANDS LÄN</t>
        </is>
      </c>
      <c r="E2093" t="inlineStr">
        <is>
          <t>VÄSTERÅS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v>
      </c>
      <c r="C2094" s="1" t="n">
        <v>45345</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73606-2021</t>
        </is>
      </c>
      <c r="B2095" s="1" t="n">
        <v>44552</v>
      </c>
      <c r="C2095" s="1" t="n">
        <v>45345</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73668-2021</t>
        </is>
      </c>
      <c r="B2096" s="1" t="n">
        <v>44552</v>
      </c>
      <c r="C2096" s="1" t="n">
        <v>45345</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73797-2021</t>
        </is>
      </c>
      <c r="B2097" s="1" t="n">
        <v>44552</v>
      </c>
      <c r="C2097" s="1" t="n">
        <v>45345</v>
      </c>
      <c r="D2097" t="inlineStr">
        <is>
          <t>VÄSTMANLANDS LÄN</t>
        </is>
      </c>
      <c r="E2097" t="inlineStr">
        <is>
          <t>NORBERG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73687-2021</t>
        </is>
      </c>
      <c r="B2098" s="1" t="n">
        <v>44552</v>
      </c>
      <c r="C2098" s="1" t="n">
        <v>45345</v>
      </c>
      <c r="D2098" t="inlineStr">
        <is>
          <t>VÄSTMANLANDS LÄN</t>
        </is>
      </c>
      <c r="E2098" t="inlineStr">
        <is>
          <t>SALA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73788-2021</t>
        </is>
      </c>
      <c r="B2099" s="1" t="n">
        <v>44552</v>
      </c>
      <c r="C2099" s="1" t="n">
        <v>45345</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73835-2021</t>
        </is>
      </c>
      <c r="B2100" s="1" t="n">
        <v>44552</v>
      </c>
      <c r="C2100" s="1" t="n">
        <v>45345</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73890-2021</t>
        </is>
      </c>
      <c r="B2101" s="1" t="n">
        <v>44553</v>
      </c>
      <c r="C2101" s="1" t="n">
        <v>45345</v>
      </c>
      <c r="D2101" t="inlineStr">
        <is>
          <t>VÄSTMANLANDS LÄN</t>
        </is>
      </c>
      <c r="E2101" t="inlineStr">
        <is>
          <t>KÖPING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73888-2021</t>
        </is>
      </c>
      <c r="B2102" s="1" t="n">
        <v>44553</v>
      </c>
      <c r="C2102" s="1" t="n">
        <v>45345</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73994-2021</t>
        </is>
      </c>
      <c r="B2103" s="1" t="n">
        <v>44556</v>
      </c>
      <c r="C2103" s="1" t="n">
        <v>45345</v>
      </c>
      <c r="D2103" t="inlineStr">
        <is>
          <t>VÄSTMANLANDS LÄN</t>
        </is>
      </c>
      <c r="E2103" t="inlineStr">
        <is>
          <t>VÄSTERÅS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74123-2021</t>
        </is>
      </c>
      <c r="B2104" s="1" t="n">
        <v>44557</v>
      </c>
      <c r="C2104" s="1" t="n">
        <v>45345</v>
      </c>
      <c r="D2104" t="inlineStr">
        <is>
          <t>VÄSTMANLANDS LÄN</t>
        </is>
      </c>
      <c r="E2104" t="inlineStr">
        <is>
          <t>SALA</t>
        </is>
      </c>
      <c r="F2104" t="inlineStr">
        <is>
          <t>Kommuner</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74277-2021</t>
        </is>
      </c>
      <c r="B2105" s="1" t="n">
        <v>44558</v>
      </c>
      <c r="C2105" s="1" t="n">
        <v>45345</v>
      </c>
      <c r="D2105" t="inlineStr">
        <is>
          <t>VÄSTMANLANDS LÄN</t>
        </is>
      </c>
      <c r="E2105" t="inlineStr">
        <is>
          <t>SALA</t>
        </is>
      </c>
      <c r="F2105" t="inlineStr">
        <is>
          <t>Kommuner</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74279-2021</t>
        </is>
      </c>
      <c r="B2106" s="1" t="n">
        <v>44558</v>
      </c>
      <c r="C2106" s="1" t="n">
        <v>45345</v>
      </c>
      <c r="D2106" t="inlineStr">
        <is>
          <t>VÄSTMANLANDS LÄN</t>
        </is>
      </c>
      <c r="E2106" t="inlineStr">
        <is>
          <t>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74314-2021</t>
        </is>
      </c>
      <c r="B2107" s="1" t="n">
        <v>44559</v>
      </c>
      <c r="C2107" s="1" t="n">
        <v>45345</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74356-2021</t>
        </is>
      </c>
      <c r="B2108" s="1" t="n">
        <v>44559</v>
      </c>
      <c r="C2108" s="1" t="n">
        <v>45345</v>
      </c>
      <c r="D2108" t="inlineStr">
        <is>
          <t>VÄSTMANLANDS LÄN</t>
        </is>
      </c>
      <c r="E2108" t="inlineStr">
        <is>
          <t>FAGERSTA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74423-2021</t>
        </is>
      </c>
      <c r="B2109" s="1" t="n">
        <v>44564</v>
      </c>
      <c r="C2109" s="1" t="n">
        <v>45345</v>
      </c>
      <c r="D2109" t="inlineStr">
        <is>
          <t>VÄSTMANLANDS LÄN</t>
        </is>
      </c>
      <c r="E2109" t="inlineStr">
        <is>
          <t>FAGERSTA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74425-2021</t>
        </is>
      </c>
      <c r="B2110" s="1" t="n">
        <v>44564</v>
      </c>
      <c r="C2110" s="1" t="n">
        <v>45345</v>
      </c>
      <c r="D2110" t="inlineStr">
        <is>
          <t>VÄSTMANLANDS LÄN</t>
        </is>
      </c>
      <c r="E2110" t="inlineStr">
        <is>
          <t>FAGERSTA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617-2022</t>
        </is>
      </c>
      <c r="B2111" s="1" t="n">
        <v>44567</v>
      </c>
      <c r="C2111" s="1" t="n">
        <v>45345</v>
      </c>
      <c r="D2111" t="inlineStr">
        <is>
          <t>VÄSTMANLANDS LÄN</t>
        </is>
      </c>
      <c r="E2111" t="inlineStr">
        <is>
          <t>SALA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822-2022</t>
        </is>
      </c>
      <c r="B2112" s="1" t="n">
        <v>44571</v>
      </c>
      <c r="C2112" s="1" t="n">
        <v>45345</v>
      </c>
      <c r="D2112" t="inlineStr">
        <is>
          <t>VÄSTMANLANDS LÄN</t>
        </is>
      </c>
      <c r="E2112" t="inlineStr">
        <is>
          <t>VÄSTERÅS</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836-2022</t>
        </is>
      </c>
      <c r="B2113" s="1" t="n">
        <v>44571</v>
      </c>
      <c r="C2113" s="1" t="n">
        <v>45345</v>
      </c>
      <c r="D2113" t="inlineStr">
        <is>
          <t>VÄSTMANLANDS LÄN</t>
        </is>
      </c>
      <c r="E2113" t="inlineStr">
        <is>
          <t>VÄSTERÅS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939-2022</t>
        </is>
      </c>
      <c r="B2114" s="1" t="n">
        <v>44571</v>
      </c>
      <c r="C2114" s="1" t="n">
        <v>45345</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1043-2022</t>
        </is>
      </c>
      <c r="B2115" s="1" t="n">
        <v>44571</v>
      </c>
      <c r="C2115" s="1" t="n">
        <v>45345</v>
      </c>
      <c r="D2115" t="inlineStr">
        <is>
          <t>VÄSTMANLANDS LÄN</t>
        </is>
      </c>
      <c r="E2115" t="inlineStr">
        <is>
          <t>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1195-2022</t>
        </is>
      </c>
      <c r="B2116" s="1" t="n">
        <v>44572</v>
      </c>
      <c r="C2116" s="1" t="n">
        <v>45345</v>
      </c>
      <c r="D2116" t="inlineStr">
        <is>
          <t>VÄSTMANLANDS LÄN</t>
        </is>
      </c>
      <c r="E2116" t="inlineStr">
        <is>
          <t>VÄSTERÅS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1198-2022</t>
        </is>
      </c>
      <c r="B2117" s="1" t="n">
        <v>44572</v>
      </c>
      <c r="C2117" s="1" t="n">
        <v>45345</v>
      </c>
      <c r="D2117" t="inlineStr">
        <is>
          <t>VÄSTMANLANDS LÄN</t>
        </is>
      </c>
      <c r="E2117" t="inlineStr">
        <is>
          <t>VÄSTERÅS</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1162-2022</t>
        </is>
      </c>
      <c r="B2118" s="1" t="n">
        <v>44572</v>
      </c>
      <c r="C2118" s="1" t="n">
        <v>45345</v>
      </c>
      <c r="D2118" t="inlineStr">
        <is>
          <t>VÄSTMANLANDS LÄN</t>
        </is>
      </c>
      <c r="E2118" t="inlineStr">
        <is>
          <t>SALA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1186-2022</t>
        </is>
      </c>
      <c r="B2119" s="1" t="n">
        <v>44572</v>
      </c>
      <c r="C2119" s="1" t="n">
        <v>45345</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1470-2022</t>
        </is>
      </c>
      <c r="B2120" s="1" t="n">
        <v>44573</v>
      </c>
      <c r="C2120" s="1" t="n">
        <v>45345</v>
      </c>
      <c r="D2120" t="inlineStr">
        <is>
          <t>VÄSTMANLANDS LÄN</t>
        </is>
      </c>
      <c r="E2120" t="inlineStr">
        <is>
          <t>ARBOGA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1652-2022</t>
        </is>
      </c>
      <c r="B2121" s="1" t="n">
        <v>44574</v>
      </c>
      <c r="C2121" s="1" t="n">
        <v>45345</v>
      </c>
      <c r="D2121" t="inlineStr">
        <is>
          <t>VÄSTMANLANDS LÄN</t>
        </is>
      </c>
      <c r="E2121" t="inlineStr">
        <is>
          <t>VÄSTERÅS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1812-2022</t>
        </is>
      </c>
      <c r="B2122" s="1" t="n">
        <v>44574</v>
      </c>
      <c r="C2122" s="1" t="n">
        <v>45345</v>
      </c>
      <c r="D2122" t="inlineStr">
        <is>
          <t>VÄSTMANLANDS LÄN</t>
        </is>
      </c>
      <c r="E2122" t="inlineStr">
        <is>
          <t>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1906-2022</t>
        </is>
      </c>
      <c r="B2123" s="1" t="n">
        <v>44575</v>
      </c>
      <c r="C2123" s="1" t="n">
        <v>45345</v>
      </c>
      <c r="D2123" t="inlineStr">
        <is>
          <t>VÄSTMANLANDS LÄN</t>
        </is>
      </c>
      <c r="E2123" t="inlineStr">
        <is>
          <t>KUNGSÖR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1985-2022</t>
        </is>
      </c>
      <c r="B2124" s="1" t="n">
        <v>44575</v>
      </c>
      <c r="C2124" s="1" t="n">
        <v>45345</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45345</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2312-2022</t>
        </is>
      </c>
      <c r="B2126" s="1" t="n">
        <v>44578</v>
      </c>
      <c r="C2126" s="1" t="n">
        <v>45345</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2529-2022</t>
        </is>
      </c>
      <c r="B2127" s="1" t="n">
        <v>44579</v>
      </c>
      <c r="C2127" s="1" t="n">
        <v>45345</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2854-2022</t>
        </is>
      </c>
      <c r="B2128" s="1" t="n">
        <v>44581</v>
      </c>
      <c r="C2128" s="1" t="n">
        <v>45345</v>
      </c>
      <c r="D2128" t="inlineStr">
        <is>
          <t>VÄSTMANLANDS LÄN</t>
        </is>
      </c>
      <c r="E2128" t="inlineStr">
        <is>
          <t>KÖPING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3050-2022</t>
        </is>
      </c>
      <c r="B2129" s="1" t="n">
        <v>44582</v>
      </c>
      <c r="C2129" s="1" t="n">
        <v>45345</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3113-2022</t>
        </is>
      </c>
      <c r="B2130" s="1" t="n">
        <v>44582</v>
      </c>
      <c r="C2130" s="1" t="n">
        <v>45345</v>
      </c>
      <c r="D2130" t="inlineStr">
        <is>
          <t>VÄSTMANLANDS LÄN</t>
        </is>
      </c>
      <c r="E2130" t="inlineStr">
        <is>
          <t>ARBOGA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45345</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3128-2022</t>
        </is>
      </c>
      <c r="B2132" s="1" t="n">
        <v>44582</v>
      </c>
      <c r="C2132" s="1" t="n">
        <v>45345</v>
      </c>
      <c r="D2132" t="inlineStr">
        <is>
          <t>VÄSTMANLANDS LÄN</t>
        </is>
      </c>
      <c r="E2132" t="inlineStr">
        <is>
          <t>ARBOGA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3155-2022</t>
        </is>
      </c>
      <c r="B2133" s="1" t="n">
        <v>44582</v>
      </c>
      <c r="C2133" s="1" t="n">
        <v>45345</v>
      </c>
      <c r="D2133" t="inlineStr">
        <is>
          <t>VÄSTMANLANDS LÄN</t>
        </is>
      </c>
      <c r="E2133" t="inlineStr">
        <is>
          <t>SURAHAMMAR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3201-2022</t>
        </is>
      </c>
      <c r="B2134" s="1" t="n">
        <v>44582</v>
      </c>
      <c r="C2134" s="1" t="n">
        <v>45345</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3196-2022</t>
        </is>
      </c>
      <c r="B2135" s="1" t="n">
        <v>44582</v>
      </c>
      <c r="C2135" s="1" t="n">
        <v>45345</v>
      </c>
      <c r="D2135" t="inlineStr">
        <is>
          <t>VÄSTMANLANDS LÄN</t>
        </is>
      </c>
      <c r="E2135" t="inlineStr">
        <is>
          <t>KÖPING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3204-2022</t>
        </is>
      </c>
      <c r="B2136" s="1" t="n">
        <v>44582</v>
      </c>
      <c r="C2136" s="1" t="n">
        <v>45345</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3595-2022</t>
        </is>
      </c>
      <c r="B2137" s="1" t="n">
        <v>44586</v>
      </c>
      <c r="C2137" s="1" t="n">
        <v>45345</v>
      </c>
      <c r="D2137" t="inlineStr">
        <is>
          <t>VÄSTMANLANDS LÄN</t>
        </is>
      </c>
      <c r="E2137" t="inlineStr">
        <is>
          <t>SURAHAMMAR</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3682-2022</t>
        </is>
      </c>
      <c r="B2138" s="1" t="n">
        <v>44586</v>
      </c>
      <c r="C2138" s="1" t="n">
        <v>45345</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3647-2022</t>
        </is>
      </c>
      <c r="B2139" s="1" t="n">
        <v>44586</v>
      </c>
      <c r="C2139" s="1" t="n">
        <v>45345</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3818-2022</t>
        </is>
      </c>
      <c r="B2140" s="1" t="n">
        <v>44587</v>
      </c>
      <c r="C2140" s="1" t="n">
        <v>45345</v>
      </c>
      <c r="D2140" t="inlineStr">
        <is>
          <t>VÄSTMANLANDS LÄN</t>
        </is>
      </c>
      <c r="E2140" t="inlineStr">
        <is>
          <t>SURAHAMMAR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3888-2022</t>
        </is>
      </c>
      <c r="B2141" s="1" t="n">
        <v>44587</v>
      </c>
      <c r="C2141" s="1" t="n">
        <v>45345</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3920-2022</t>
        </is>
      </c>
      <c r="B2142" s="1" t="n">
        <v>44587</v>
      </c>
      <c r="C2142" s="1" t="n">
        <v>45345</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4043-2022</t>
        </is>
      </c>
      <c r="B2143" s="1" t="n">
        <v>44588</v>
      </c>
      <c r="C2143" s="1" t="n">
        <v>45345</v>
      </c>
      <c r="D2143" t="inlineStr">
        <is>
          <t>VÄSTMANLANDS LÄN</t>
        </is>
      </c>
      <c r="E2143" t="inlineStr">
        <is>
          <t>SKINNSKATTEBERG</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4237-2022</t>
        </is>
      </c>
      <c r="B2144" s="1" t="n">
        <v>44588</v>
      </c>
      <c r="C2144" s="1" t="n">
        <v>45345</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4205-2022</t>
        </is>
      </c>
      <c r="B2145" s="1" t="n">
        <v>44588</v>
      </c>
      <c r="C2145" s="1" t="n">
        <v>45345</v>
      </c>
      <c r="D2145" t="inlineStr">
        <is>
          <t>VÄSTMANLANDS LÄN</t>
        </is>
      </c>
      <c r="E2145" t="inlineStr">
        <is>
          <t>FAGERSTA</t>
        </is>
      </c>
      <c r="F2145" t="inlineStr">
        <is>
          <t>Kommuner</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4281-2022</t>
        </is>
      </c>
      <c r="B2146" s="1" t="n">
        <v>44588</v>
      </c>
      <c r="C2146" s="1" t="n">
        <v>45345</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4663-2022</t>
        </is>
      </c>
      <c r="B2147" s="1" t="n">
        <v>44592</v>
      </c>
      <c r="C2147" s="1" t="n">
        <v>45345</v>
      </c>
      <c r="D2147" t="inlineStr">
        <is>
          <t>VÄSTMANLANDS LÄN</t>
        </is>
      </c>
      <c r="E2147" t="inlineStr">
        <is>
          <t>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4779-2022</t>
        </is>
      </c>
      <c r="B2148" s="1" t="n">
        <v>44592</v>
      </c>
      <c r="C2148" s="1" t="n">
        <v>45345</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5208-2022</t>
        </is>
      </c>
      <c r="B2149" s="1" t="n">
        <v>44594</v>
      </c>
      <c r="C2149" s="1" t="n">
        <v>45345</v>
      </c>
      <c r="D2149" t="inlineStr">
        <is>
          <t>VÄSTMANLANDS LÄN</t>
        </is>
      </c>
      <c r="E2149" t="inlineStr">
        <is>
          <t>VÄSTERÅS</t>
        </is>
      </c>
      <c r="G2149" t="n">
        <v>20.3</v>
      </c>
      <c r="H2149" t="n">
        <v>0</v>
      </c>
      <c r="I2149" t="n">
        <v>0</v>
      </c>
      <c r="J2149" t="n">
        <v>0</v>
      </c>
      <c r="K2149" t="n">
        <v>0</v>
      </c>
      <c r="L2149" t="n">
        <v>0</v>
      </c>
      <c r="M2149" t="n">
        <v>0</v>
      </c>
      <c r="N2149" t="n">
        <v>0</v>
      </c>
      <c r="O2149" t="n">
        <v>0</v>
      </c>
      <c r="P2149" t="n">
        <v>0</v>
      </c>
      <c r="Q2149" t="n">
        <v>0</v>
      </c>
      <c r="R2149" s="2" t="inlineStr"/>
    </row>
    <row r="2150" ht="15" customHeight="1">
      <c r="A2150" t="inlineStr">
        <is>
          <t>A 5335-2022</t>
        </is>
      </c>
      <c r="B2150" s="1" t="n">
        <v>44594</v>
      </c>
      <c r="C2150" s="1" t="n">
        <v>45345</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7738-2022</t>
        </is>
      </c>
      <c r="B2151" s="1" t="n">
        <v>44594</v>
      </c>
      <c r="C2151" s="1" t="n">
        <v>45345</v>
      </c>
      <c r="D2151" t="inlineStr">
        <is>
          <t>VÄSTMANLANDS LÄN</t>
        </is>
      </c>
      <c r="E2151" t="inlineStr">
        <is>
          <t>VÄSTERÅS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5604-2022</t>
        </is>
      </c>
      <c r="B2152" s="1" t="n">
        <v>44595</v>
      </c>
      <c r="C2152" s="1" t="n">
        <v>45345</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5567-2022</t>
        </is>
      </c>
      <c r="B2153" s="1" t="n">
        <v>44595</v>
      </c>
      <c r="C2153" s="1" t="n">
        <v>45345</v>
      </c>
      <c r="D2153" t="inlineStr">
        <is>
          <t>VÄSTMANLANDS LÄN</t>
        </is>
      </c>
      <c r="E2153" t="inlineStr">
        <is>
          <t>SURAHAMMAR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5603-2022</t>
        </is>
      </c>
      <c r="B2154" s="1" t="n">
        <v>44595</v>
      </c>
      <c r="C2154" s="1" t="n">
        <v>45345</v>
      </c>
      <c r="D2154" t="inlineStr">
        <is>
          <t>VÄSTMANLANDS LÄN</t>
        </is>
      </c>
      <c r="E2154" t="inlineStr">
        <is>
          <t>VÄSTERÅS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5737-2022</t>
        </is>
      </c>
      <c r="B2155" s="1" t="n">
        <v>44596</v>
      </c>
      <c r="C2155" s="1" t="n">
        <v>45345</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5728-2022</t>
        </is>
      </c>
      <c r="B2156" s="1" t="n">
        <v>44596</v>
      </c>
      <c r="C2156" s="1" t="n">
        <v>45345</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6097-2022</t>
        </is>
      </c>
      <c r="B2157" s="1" t="n">
        <v>44599</v>
      </c>
      <c r="C2157" s="1" t="n">
        <v>45345</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v>
      </c>
      <c r="C2158" s="1" t="n">
        <v>45345</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6319-2022</t>
        </is>
      </c>
      <c r="B2159" s="1" t="n">
        <v>44600</v>
      </c>
      <c r="C2159" s="1" t="n">
        <v>45345</v>
      </c>
      <c r="D2159" t="inlineStr">
        <is>
          <t>VÄSTMANLANDS LÄN</t>
        </is>
      </c>
      <c r="E2159" t="inlineStr">
        <is>
          <t>KUNGSÖR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6353-2022</t>
        </is>
      </c>
      <c r="B2160" s="1" t="n">
        <v>44600</v>
      </c>
      <c r="C2160" s="1" t="n">
        <v>45345</v>
      </c>
      <c r="D2160" t="inlineStr">
        <is>
          <t>VÄSTMANLANDS LÄN</t>
        </is>
      </c>
      <c r="E2160" t="inlineStr">
        <is>
          <t>NORBERG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6420-2022</t>
        </is>
      </c>
      <c r="B2161" s="1" t="n">
        <v>44600</v>
      </c>
      <c r="C2161" s="1" t="n">
        <v>45345</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6585-2022</t>
        </is>
      </c>
      <c r="B2162" s="1" t="n">
        <v>44601</v>
      </c>
      <c r="C2162" s="1" t="n">
        <v>45345</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6589-2022</t>
        </is>
      </c>
      <c r="B2163" s="1" t="n">
        <v>44601</v>
      </c>
      <c r="C2163" s="1" t="n">
        <v>45345</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6603-2022</t>
        </is>
      </c>
      <c r="B2164" s="1" t="n">
        <v>44601</v>
      </c>
      <c r="C2164" s="1" t="n">
        <v>45345</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6734-2022</t>
        </is>
      </c>
      <c r="B2165" s="1" t="n">
        <v>44602</v>
      </c>
      <c r="C2165" s="1" t="n">
        <v>45345</v>
      </c>
      <c r="D2165" t="inlineStr">
        <is>
          <t>VÄSTMANLANDS LÄN</t>
        </is>
      </c>
      <c r="E2165" t="inlineStr">
        <is>
          <t>KUNGSÖR</t>
        </is>
      </c>
      <c r="G2165" t="n">
        <v>32.3</v>
      </c>
      <c r="H2165" t="n">
        <v>0</v>
      </c>
      <c r="I2165" t="n">
        <v>0</v>
      </c>
      <c r="J2165" t="n">
        <v>0</v>
      </c>
      <c r="K2165" t="n">
        <v>0</v>
      </c>
      <c r="L2165" t="n">
        <v>0</v>
      </c>
      <c r="M2165" t="n">
        <v>0</v>
      </c>
      <c r="N2165" t="n">
        <v>0</v>
      </c>
      <c r="O2165" t="n">
        <v>0</v>
      </c>
      <c r="P2165" t="n">
        <v>0</v>
      </c>
      <c r="Q2165" t="n">
        <v>0</v>
      </c>
      <c r="R2165" s="2" t="inlineStr"/>
    </row>
    <row r="2166" ht="15" customHeight="1">
      <c r="A2166" t="inlineStr">
        <is>
          <t>A 6705-2022</t>
        </is>
      </c>
      <c r="B2166" s="1" t="n">
        <v>44602</v>
      </c>
      <c r="C2166" s="1" t="n">
        <v>45345</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6665-2022</t>
        </is>
      </c>
      <c r="B2167" s="1" t="n">
        <v>44602</v>
      </c>
      <c r="C2167" s="1" t="n">
        <v>45345</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6698-2022</t>
        </is>
      </c>
      <c r="B2168" s="1" t="n">
        <v>44602</v>
      </c>
      <c r="C2168" s="1" t="n">
        <v>45345</v>
      </c>
      <c r="D2168" t="inlineStr">
        <is>
          <t>VÄSTMANLANDS LÄN</t>
        </is>
      </c>
      <c r="E2168" t="inlineStr">
        <is>
          <t>ARBOGA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6757-2022</t>
        </is>
      </c>
      <c r="B2169" s="1" t="n">
        <v>44602</v>
      </c>
      <c r="C2169" s="1" t="n">
        <v>45345</v>
      </c>
      <c r="D2169" t="inlineStr">
        <is>
          <t>VÄSTMANLANDS LÄN</t>
        </is>
      </c>
      <c r="E2169" t="inlineStr">
        <is>
          <t>KUNGSÖR</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6667-2022</t>
        </is>
      </c>
      <c r="B2170" s="1" t="n">
        <v>44602</v>
      </c>
      <c r="C2170" s="1" t="n">
        <v>45345</v>
      </c>
      <c r="D2170" t="inlineStr">
        <is>
          <t>VÄSTMANLANDS LÄN</t>
        </is>
      </c>
      <c r="E2170" t="inlineStr">
        <is>
          <t>SALA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6710-2022</t>
        </is>
      </c>
      <c r="B2171" s="1" t="n">
        <v>44602</v>
      </c>
      <c r="C2171" s="1" t="n">
        <v>45345</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7097-2022</t>
        </is>
      </c>
      <c r="B2172" s="1" t="n">
        <v>44603</v>
      </c>
      <c r="C2172" s="1" t="n">
        <v>45345</v>
      </c>
      <c r="D2172" t="inlineStr">
        <is>
          <t>VÄSTMANLANDS LÄN</t>
        </is>
      </c>
      <c r="E2172" t="inlineStr">
        <is>
          <t>SKINNSKATTEBERG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6957-2022</t>
        </is>
      </c>
      <c r="B2173" s="1" t="n">
        <v>44603</v>
      </c>
      <c r="C2173" s="1" t="n">
        <v>45345</v>
      </c>
      <c r="D2173" t="inlineStr">
        <is>
          <t>VÄSTMANLANDS LÄN</t>
        </is>
      </c>
      <c r="E2173" t="inlineStr">
        <is>
          <t>SALA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7080-2022</t>
        </is>
      </c>
      <c r="B2174" s="1" t="n">
        <v>44603</v>
      </c>
      <c r="C2174" s="1" t="n">
        <v>45345</v>
      </c>
      <c r="D2174" t="inlineStr">
        <is>
          <t>VÄSTMANLANDS LÄN</t>
        </is>
      </c>
      <c r="E2174" t="inlineStr">
        <is>
          <t>SKINNSKATTEBERG</t>
        </is>
      </c>
      <c r="F2174" t="inlineStr">
        <is>
          <t>Kyrkan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7088-2022</t>
        </is>
      </c>
      <c r="B2175" s="1" t="n">
        <v>44603</v>
      </c>
      <c r="C2175" s="1" t="n">
        <v>45345</v>
      </c>
      <c r="D2175" t="inlineStr">
        <is>
          <t>VÄSTMANLANDS LÄN</t>
        </is>
      </c>
      <c r="E2175" t="inlineStr">
        <is>
          <t>SKINNSKATTEBERG</t>
        </is>
      </c>
      <c r="F2175" t="inlineStr">
        <is>
          <t>Kyrkan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7117-2022</t>
        </is>
      </c>
      <c r="B2176" s="1" t="n">
        <v>44603</v>
      </c>
      <c r="C2176" s="1" t="n">
        <v>45345</v>
      </c>
      <c r="D2176" t="inlineStr">
        <is>
          <t>VÄSTMANLANDS LÄN</t>
        </is>
      </c>
      <c r="E2176" t="inlineStr">
        <is>
          <t>KUNGSÖR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7103-2022</t>
        </is>
      </c>
      <c r="B2177" s="1" t="n">
        <v>44603</v>
      </c>
      <c r="C2177" s="1" t="n">
        <v>45345</v>
      </c>
      <c r="D2177" t="inlineStr">
        <is>
          <t>VÄSTMANLANDS LÄN</t>
        </is>
      </c>
      <c r="E2177" t="inlineStr">
        <is>
          <t>SKINNSKATTEBERG</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7169-2022</t>
        </is>
      </c>
      <c r="B2178" s="1" t="n">
        <v>44604</v>
      </c>
      <c r="C2178" s="1" t="n">
        <v>45345</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7370-2022</t>
        </is>
      </c>
      <c r="B2179" s="1" t="n">
        <v>44606</v>
      </c>
      <c r="C2179" s="1" t="n">
        <v>45345</v>
      </c>
      <c r="D2179" t="inlineStr">
        <is>
          <t>VÄSTMANLANDS LÄN</t>
        </is>
      </c>
      <c r="E2179" t="inlineStr">
        <is>
          <t>KÖPING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7375-2022</t>
        </is>
      </c>
      <c r="B2180" s="1" t="n">
        <v>44606</v>
      </c>
      <c r="C2180" s="1" t="n">
        <v>45345</v>
      </c>
      <c r="D2180" t="inlineStr">
        <is>
          <t>VÄSTMANLANDS LÄN</t>
        </is>
      </c>
      <c r="E2180" t="inlineStr">
        <is>
          <t>VÄSTERÅS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v>
      </c>
      <c r="C2181" s="1" t="n">
        <v>45345</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7536-2022</t>
        </is>
      </c>
      <c r="B2182" s="1" t="n">
        <v>44607</v>
      </c>
      <c r="C2182" s="1" t="n">
        <v>45345</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7534-2022</t>
        </is>
      </c>
      <c r="B2183" s="1" t="n">
        <v>44607</v>
      </c>
      <c r="C2183" s="1" t="n">
        <v>45345</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7719-2022</t>
        </is>
      </c>
      <c r="B2184" s="1" t="n">
        <v>44608</v>
      </c>
      <c r="C2184" s="1" t="n">
        <v>45345</v>
      </c>
      <c r="D2184" t="inlineStr">
        <is>
          <t>VÄSTMANLANDS LÄN</t>
        </is>
      </c>
      <c r="E2184" t="inlineStr">
        <is>
          <t>VÄSTERÅS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7722-2022</t>
        </is>
      </c>
      <c r="B2185" s="1" t="n">
        <v>44608</v>
      </c>
      <c r="C2185" s="1" t="n">
        <v>45345</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v>
      </c>
      <c r="C2186" s="1" t="n">
        <v>45345</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8130-2022</t>
        </is>
      </c>
      <c r="B2187" s="1" t="n">
        <v>44609</v>
      </c>
      <c r="C2187" s="1" t="n">
        <v>45345</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8346-2022</t>
        </is>
      </c>
      <c r="B2188" s="1" t="n">
        <v>44610</v>
      </c>
      <c r="C2188" s="1" t="n">
        <v>45345</v>
      </c>
      <c r="D2188" t="inlineStr">
        <is>
          <t>VÄSTMANLANDS LÄN</t>
        </is>
      </c>
      <c r="E2188" t="inlineStr">
        <is>
          <t>VÄSTERÅS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8337-2022</t>
        </is>
      </c>
      <c r="B2189" s="1" t="n">
        <v>44610</v>
      </c>
      <c r="C2189" s="1" t="n">
        <v>45345</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8362-2022</t>
        </is>
      </c>
      <c r="B2190" s="1" t="n">
        <v>44610</v>
      </c>
      <c r="C2190" s="1" t="n">
        <v>45345</v>
      </c>
      <c r="D2190" t="inlineStr">
        <is>
          <t>VÄSTMANLANDS LÄN</t>
        </is>
      </c>
      <c r="E2190" t="inlineStr">
        <is>
          <t>VÄSTERÅS</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8357-2022</t>
        </is>
      </c>
      <c r="B2191" s="1" t="n">
        <v>44610</v>
      </c>
      <c r="C2191" s="1" t="n">
        <v>45345</v>
      </c>
      <c r="D2191" t="inlineStr">
        <is>
          <t>VÄSTMANLANDS LÄN</t>
        </is>
      </c>
      <c r="E2191" t="inlineStr">
        <is>
          <t>VÄSTERÅS</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8343-2022</t>
        </is>
      </c>
      <c r="B2192" s="1" t="n">
        <v>44610</v>
      </c>
      <c r="C2192" s="1" t="n">
        <v>45345</v>
      </c>
      <c r="D2192" t="inlineStr">
        <is>
          <t>VÄSTMANLANDS LÄN</t>
        </is>
      </c>
      <c r="E2192" t="inlineStr">
        <is>
          <t>VÄSTERÅS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8687-2022</t>
        </is>
      </c>
      <c r="B2193" s="1" t="n">
        <v>44613</v>
      </c>
      <c r="C2193" s="1" t="n">
        <v>45345</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8845-2022</t>
        </is>
      </c>
      <c r="B2194" s="1" t="n">
        <v>44614</v>
      </c>
      <c r="C2194" s="1" t="n">
        <v>45345</v>
      </c>
      <c r="D2194" t="inlineStr">
        <is>
          <t>VÄSTMANLANDS LÄN</t>
        </is>
      </c>
      <c r="E2194" t="inlineStr">
        <is>
          <t>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9260-2022</t>
        </is>
      </c>
      <c r="B2195" s="1" t="n">
        <v>44614</v>
      </c>
      <c r="C2195" s="1" t="n">
        <v>45345</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9048-2022</t>
        </is>
      </c>
      <c r="B2196" s="1" t="n">
        <v>44615</v>
      </c>
      <c r="C2196" s="1" t="n">
        <v>45345</v>
      </c>
      <c r="D2196" t="inlineStr">
        <is>
          <t>VÄSTMANLANDS LÄN</t>
        </is>
      </c>
      <c r="E2196" t="inlineStr">
        <is>
          <t>SALA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9032-2022</t>
        </is>
      </c>
      <c r="B2197" s="1" t="n">
        <v>44615</v>
      </c>
      <c r="C2197" s="1" t="n">
        <v>45345</v>
      </c>
      <c r="D2197" t="inlineStr">
        <is>
          <t>VÄSTMANLANDS LÄN</t>
        </is>
      </c>
      <c r="E2197" t="inlineStr">
        <is>
          <t>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9050-2022</t>
        </is>
      </c>
      <c r="B2198" s="1" t="n">
        <v>44615</v>
      </c>
      <c r="C2198" s="1" t="n">
        <v>45345</v>
      </c>
      <c r="D2198" t="inlineStr">
        <is>
          <t>VÄSTMANLANDS LÄN</t>
        </is>
      </c>
      <c r="E2198" t="inlineStr">
        <is>
          <t>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9075-2022</t>
        </is>
      </c>
      <c r="B2199" s="1" t="n">
        <v>44615</v>
      </c>
      <c r="C2199" s="1" t="n">
        <v>45345</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9335-2022</t>
        </is>
      </c>
      <c r="B2200" s="1" t="n">
        <v>44616</v>
      </c>
      <c r="C2200" s="1" t="n">
        <v>45345</v>
      </c>
      <c r="D2200" t="inlineStr">
        <is>
          <t>VÄSTMANLANDS LÄN</t>
        </is>
      </c>
      <c r="E2200" t="inlineStr">
        <is>
          <t>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9813-2022</t>
        </is>
      </c>
      <c r="B2201" s="1" t="n">
        <v>44620</v>
      </c>
      <c r="C2201" s="1" t="n">
        <v>45345</v>
      </c>
      <c r="D2201" t="inlineStr">
        <is>
          <t>VÄSTMANLANDS LÄN</t>
        </is>
      </c>
      <c r="E2201" t="inlineStr">
        <is>
          <t>KUNGSÖR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9875-2022</t>
        </is>
      </c>
      <c r="B2202" s="1" t="n">
        <v>44620</v>
      </c>
      <c r="C2202" s="1" t="n">
        <v>45345</v>
      </c>
      <c r="D2202" t="inlineStr">
        <is>
          <t>VÄSTMANLANDS LÄN</t>
        </is>
      </c>
      <c r="E2202" t="inlineStr">
        <is>
          <t>NORBERG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9856-2022</t>
        </is>
      </c>
      <c r="B2203" s="1" t="n">
        <v>44620</v>
      </c>
      <c r="C2203" s="1" t="n">
        <v>45345</v>
      </c>
      <c r="D2203" t="inlineStr">
        <is>
          <t>VÄSTMANLANDS LÄN</t>
        </is>
      </c>
      <c r="E2203" t="inlineStr">
        <is>
          <t>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10083-2022</t>
        </is>
      </c>
      <c r="B2204" s="1" t="n">
        <v>44621</v>
      </c>
      <c r="C2204" s="1" t="n">
        <v>45345</v>
      </c>
      <c r="D2204" t="inlineStr">
        <is>
          <t>VÄSTMANLANDS LÄN</t>
        </is>
      </c>
      <c r="E2204" t="inlineStr">
        <is>
          <t>SALA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10168-2022</t>
        </is>
      </c>
      <c r="B2205" s="1" t="n">
        <v>44622</v>
      </c>
      <c r="C2205" s="1" t="n">
        <v>45345</v>
      </c>
      <c r="D2205" t="inlineStr">
        <is>
          <t>VÄSTMANLANDS LÄN</t>
        </is>
      </c>
      <c r="E2205" t="inlineStr">
        <is>
          <t>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10286-2022</t>
        </is>
      </c>
      <c r="B2206" s="1" t="n">
        <v>44622</v>
      </c>
      <c r="C2206" s="1" t="n">
        <v>45345</v>
      </c>
      <c r="D2206" t="inlineStr">
        <is>
          <t>VÄSTMANLANDS LÄN</t>
        </is>
      </c>
      <c r="E2206" t="inlineStr">
        <is>
          <t>ARBOGA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10434-2022</t>
        </is>
      </c>
      <c r="B2207" s="1" t="n">
        <v>44623</v>
      </c>
      <c r="C2207" s="1" t="n">
        <v>45345</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10496-2022</t>
        </is>
      </c>
      <c r="B2208" s="1" t="n">
        <v>44623</v>
      </c>
      <c r="C2208" s="1" t="n">
        <v>45345</v>
      </c>
      <c r="D2208" t="inlineStr">
        <is>
          <t>VÄSTMANLANDS LÄN</t>
        </is>
      </c>
      <c r="E2208" t="inlineStr">
        <is>
          <t>VÄSTERÅS</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10517-2022</t>
        </is>
      </c>
      <c r="B2209" s="1" t="n">
        <v>44623</v>
      </c>
      <c r="C2209" s="1" t="n">
        <v>45345</v>
      </c>
      <c r="D2209" t="inlineStr">
        <is>
          <t>VÄSTMANLANDS LÄN</t>
        </is>
      </c>
      <c r="E2209" t="inlineStr">
        <is>
          <t>KUNGSÖR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10516-2022</t>
        </is>
      </c>
      <c r="B2210" s="1" t="n">
        <v>44623</v>
      </c>
      <c r="C2210" s="1" t="n">
        <v>45345</v>
      </c>
      <c r="D2210" t="inlineStr">
        <is>
          <t>VÄSTMANLANDS LÄN</t>
        </is>
      </c>
      <c r="E2210" t="inlineStr">
        <is>
          <t>KUNGSÖR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10478-2022</t>
        </is>
      </c>
      <c r="B2211" s="1" t="n">
        <v>44623</v>
      </c>
      <c r="C2211" s="1" t="n">
        <v>45345</v>
      </c>
      <c r="D2211" t="inlineStr">
        <is>
          <t>VÄSTMANLANDS LÄN</t>
        </is>
      </c>
      <c r="E2211" t="inlineStr">
        <is>
          <t>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10499-2022</t>
        </is>
      </c>
      <c r="B2212" s="1" t="n">
        <v>44623</v>
      </c>
      <c r="C2212" s="1" t="n">
        <v>45345</v>
      </c>
      <c r="D2212" t="inlineStr">
        <is>
          <t>VÄSTMANLANDS LÄN</t>
        </is>
      </c>
      <c r="E2212" t="inlineStr">
        <is>
          <t>VÄSTERÅS</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10512-2022</t>
        </is>
      </c>
      <c r="B2213" s="1" t="n">
        <v>44623</v>
      </c>
      <c r="C2213" s="1" t="n">
        <v>45345</v>
      </c>
      <c r="D2213" t="inlineStr">
        <is>
          <t>VÄSTMANLANDS LÄN</t>
        </is>
      </c>
      <c r="E2213" t="inlineStr">
        <is>
          <t>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10639-2022</t>
        </is>
      </c>
      <c r="B2214" s="1" t="n">
        <v>44623</v>
      </c>
      <c r="C2214" s="1" t="n">
        <v>45345</v>
      </c>
      <c r="D2214" t="inlineStr">
        <is>
          <t>VÄSTMANLANDS LÄN</t>
        </is>
      </c>
      <c r="E2214" t="inlineStr">
        <is>
          <t>SKINNSKATTEBERG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10585-2022</t>
        </is>
      </c>
      <c r="B2215" s="1" t="n">
        <v>44624</v>
      </c>
      <c r="C2215" s="1" t="n">
        <v>45345</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10579-2022</t>
        </is>
      </c>
      <c r="B2216" s="1" t="n">
        <v>44624</v>
      </c>
      <c r="C2216" s="1" t="n">
        <v>45345</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10761-2022</t>
        </is>
      </c>
      <c r="B2217" s="1" t="n">
        <v>44627</v>
      </c>
      <c r="C2217" s="1" t="n">
        <v>45345</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10855-2022</t>
        </is>
      </c>
      <c r="B2218" s="1" t="n">
        <v>44627</v>
      </c>
      <c r="C2218" s="1" t="n">
        <v>45345</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10870-2022</t>
        </is>
      </c>
      <c r="B2219" s="1" t="n">
        <v>44627</v>
      </c>
      <c r="C2219" s="1" t="n">
        <v>45345</v>
      </c>
      <c r="D2219" t="inlineStr">
        <is>
          <t>VÄSTMANLANDS LÄN</t>
        </is>
      </c>
      <c r="E2219" t="inlineStr">
        <is>
          <t>VÄSTERÅS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11034-2022</t>
        </is>
      </c>
      <c r="B2220" s="1" t="n">
        <v>44628</v>
      </c>
      <c r="C2220" s="1" t="n">
        <v>45345</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11047-2022</t>
        </is>
      </c>
      <c r="B2221" s="1" t="n">
        <v>44628</v>
      </c>
      <c r="C2221" s="1" t="n">
        <v>45345</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11049-2022</t>
        </is>
      </c>
      <c r="B2222" s="1" t="n">
        <v>44628</v>
      </c>
      <c r="C2222" s="1" t="n">
        <v>45345</v>
      </c>
      <c r="D2222" t="inlineStr">
        <is>
          <t>VÄSTMANLANDS LÄN</t>
        </is>
      </c>
      <c r="E2222" t="inlineStr">
        <is>
          <t>VÄSTERÅS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11044-2022</t>
        </is>
      </c>
      <c r="B2223" s="1" t="n">
        <v>44628</v>
      </c>
      <c r="C2223" s="1" t="n">
        <v>45345</v>
      </c>
      <c r="D2223" t="inlineStr">
        <is>
          <t>VÄSTMANLANDS LÄN</t>
        </is>
      </c>
      <c r="E2223" t="inlineStr">
        <is>
          <t>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11077-2022</t>
        </is>
      </c>
      <c r="B2224" s="1" t="n">
        <v>44628</v>
      </c>
      <c r="C2224" s="1" t="n">
        <v>45345</v>
      </c>
      <c r="D2224" t="inlineStr">
        <is>
          <t>VÄSTMANLANDS LÄN</t>
        </is>
      </c>
      <c r="E2224" t="inlineStr">
        <is>
          <t>VÄSTERÅS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11099-2022</t>
        </is>
      </c>
      <c r="B2225" s="1" t="n">
        <v>44628</v>
      </c>
      <c r="C2225" s="1" t="n">
        <v>45345</v>
      </c>
      <c r="D2225" t="inlineStr">
        <is>
          <t>VÄSTMANLANDS LÄN</t>
        </is>
      </c>
      <c r="E2225" t="inlineStr">
        <is>
          <t>NORBERG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11327-2022</t>
        </is>
      </c>
      <c r="B2226" s="1" t="n">
        <v>44629</v>
      </c>
      <c r="C2226" s="1" t="n">
        <v>45345</v>
      </c>
      <c r="D2226" t="inlineStr">
        <is>
          <t>VÄSTMANLANDS LÄN</t>
        </is>
      </c>
      <c r="E2226" t="inlineStr">
        <is>
          <t>SKINNSKATTEBERG</t>
        </is>
      </c>
      <c r="G2226" t="n">
        <v>37.6</v>
      </c>
      <c r="H2226" t="n">
        <v>0</v>
      </c>
      <c r="I2226" t="n">
        <v>0</v>
      </c>
      <c r="J2226" t="n">
        <v>0</v>
      </c>
      <c r="K2226" t="n">
        <v>0</v>
      </c>
      <c r="L2226" t="n">
        <v>0</v>
      </c>
      <c r="M2226" t="n">
        <v>0</v>
      </c>
      <c r="N2226" t="n">
        <v>0</v>
      </c>
      <c r="O2226" t="n">
        <v>0</v>
      </c>
      <c r="P2226" t="n">
        <v>0</v>
      </c>
      <c r="Q2226" t="n">
        <v>0</v>
      </c>
      <c r="R2226" s="2" t="inlineStr"/>
    </row>
    <row r="2227" ht="15" customHeight="1">
      <c r="A2227" t="inlineStr">
        <is>
          <t>A 11370-2022</t>
        </is>
      </c>
      <c r="B2227" s="1" t="n">
        <v>44630</v>
      </c>
      <c r="C2227" s="1" t="n">
        <v>45345</v>
      </c>
      <c r="D2227" t="inlineStr">
        <is>
          <t>VÄSTMANLANDS LÄN</t>
        </is>
      </c>
      <c r="E2227" t="inlineStr">
        <is>
          <t>SALA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11635-2022</t>
        </is>
      </c>
      <c r="B2228" s="1" t="n">
        <v>44631</v>
      </c>
      <c r="C2228" s="1" t="n">
        <v>45345</v>
      </c>
      <c r="D2228" t="inlineStr">
        <is>
          <t>VÄSTMANLANDS LÄN</t>
        </is>
      </c>
      <c r="E2228" t="inlineStr">
        <is>
          <t>ARBOGA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45345</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11950-2022</t>
        </is>
      </c>
      <c r="B2230" s="1" t="n">
        <v>44635</v>
      </c>
      <c r="C2230" s="1" t="n">
        <v>45345</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11983-2022</t>
        </is>
      </c>
      <c r="B2231" s="1" t="n">
        <v>44635</v>
      </c>
      <c r="C2231" s="1" t="n">
        <v>45345</v>
      </c>
      <c r="D2231" t="inlineStr">
        <is>
          <t>VÄSTMANLANDS LÄN</t>
        </is>
      </c>
      <c r="E2231" t="inlineStr">
        <is>
          <t>VÄSTERÅS</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11971-2022</t>
        </is>
      </c>
      <c r="B2232" s="1" t="n">
        <v>44635</v>
      </c>
      <c r="C2232" s="1" t="n">
        <v>45345</v>
      </c>
      <c r="D2232" t="inlineStr">
        <is>
          <t>VÄSTMANLANDS LÄN</t>
        </is>
      </c>
      <c r="E2232" t="inlineStr">
        <is>
          <t>VÄSTERÅS</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v>
      </c>
      <c r="C2233" s="1" t="n">
        <v>45345</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12233-2022</t>
        </is>
      </c>
      <c r="B2234" s="1" t="n">
        <v>44635</v>
      </c>
      <c r="C2234" s="1" t="n">
        <v>45345</v>
      </c>
      <c r="D2234" t="inlineStr">
        <is>
          <t>VÄSTMANLANDS LÄN</t>
        </is>
      </c>
      <c r="E2234" t="inlineStr">
        <is>
          <t>NORBERG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12077-2022</t>
        </is>
      </c>
      <c r="B2235" s="1" t="n">
        <v>44636</v>
      </c>
      <c r="C2235" s="1" t="n">
        <v>45345</v>
      </c>
      <c r="D2235" t="inlineStr">
        <is>
          <t>VÄSTMANLANDS LÄN</t>
        </is>
      </c>
      <c r="E2235" t="inlineStr">
        <is>
          <t>HALLSTAHAMMAR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45345</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12148-2022</t>
        </is>
      </c>
      <c r="B2237" s="1" t="n">
        <v>44636</v>
      </c>
      <c r="C2237" s="1" t="n">
        <v>45345</v>
      </c>
      <c r="D2237" t="inlineStr">
        <is>
          <t>VÄSTMANLANDS LÄN</t>
        </is>
      </c>
      <c r="E2237" t="inlineStr">
        <is>
          <t>VÄSTERÅS</t>
        </is>
      </c>
      <c r="F2237" t="inlineStr">
        <is>
          <t>Kommuner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12143-2022</t>
        </is>
      </c>
      <c r="B2238" s="1" t="n">
        <v>44636</v>
      </c>
      <c r="C2238" s="1" t="n">
        <v>45345</v>
      </c>
      <c r="D2238" t="inlineStr">
        <is>
          <t>VÄSTMANLANDS LÄN</t>
        </is>
      </c>
      <c r="E2238" t="inlineStr">
        <is>
          <t>VÄSTERÅS</t>
        </is>
      </c>
      <c r="F2238" t="inlineStr">
        <is>
          <t>Kommuner</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12138-2022</t>
        </is>
      </c>
      <c r="B2239" s="1" t="n">
        <v>44636</v>
      </c>
      <c r="C2239" s="1" t="n">
        <v>45345</v>
      </c>
      <c r="D2239" t="inlineStr">
        <is>
          <t>VÄSTMANLANDS LÄN</t>
        </is>
      </c>
      <c r="E2239" t="inlineStr">
        <is>
          <t>VÄSTERÅS</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12258-2022</t>
        </is>
      </c>
      <c r="B2240" s="1" t="n">
        <v>44637</v>
      </c>
      <c r="C2240" s="1" t="n">
        <v>45345</v>
      </c>
      <c r="D2240" t="inlineStr">
        <is>
          <t>VÄSTMANLANDS LÄN</t>
        </is>
      </c>
      <c r="E2240" t="inlineStr">
        <is>
          <t>VÄSTERÅS</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12245-2022</t>
        </is>
      </c>
      <c r="B2241" s="1" t="n">
        <v>44637</v>
      </c>
      <c r="C2241" s="1" t="n">
        <v>45345</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12909-2022</t>
        </is>
      </c>
      <c r="B2242" s="1" t="n">
        <v>44642</v>
      </c>
      <c r="C2242" s="1" t="n">
        <v>45345</v>
      </c>
      <c r="D2242" t="inlineStr">
        <is>
          <t>VÄSTMANLANDS LÄN</t>
        </is>
      </c>
      <c r="E2242" t="inlineStr">
        <is>
          <t>ARBOGA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12928-2022</t>
        </is>
      </c>
      <c r="B2243" s="1" t="n">
        <v>44642</v>
      </c>
      <c r="C2243" s="1" t="n">
        <v>45345</v>
      </c>
      <c r="D2243" t="inlineStr">
        <is>
          <t>VÄSTMANLANDS LÄN</t>
        </is>
      </c>
      <c r="E2243" t="inlineStr">
        <is>
          <t>VÄSTERÅS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13119-2022</t>
        </is>
      </c>
      <c r="B2244" s="1" t="n">
        <v>44643</v>
      </c>
      <c r="C2244" s="1" t="n">
        <v>45345</v>
      </c>
      <c r="D2244" t="inlineStr">
        <is>
          <t>VÄSTMANLANDS LÄN</t>
        </is>
      </c>
      <c r="E2244" t="inlineStr">
        <is>
          <t>SURAHAMMAR</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13070-2022</t>
        </is>
      </c>
      <c r="B2245" s="1" t="n">
        <v>44643</v>
      </c>
      <c r="C2245" s="1" t="n">
        <v>45345</v>
      </c>
      <c r="D2245" t="inlineStr">
        <is>
          <t>VÄSTMANLANDS LÄN</t>
        </is>
      </c>
      <c r="E2245" t="inlineStr">
        <is>
          <t>SURAHAMMAR</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13367-2022</t>
        </is>
      </c>
      <c r="B2246" s="1" t="n">
        <v>44645</v>
      </c>
      <c r="C2246" s="1" t="n">
        <v>45345</v>
      </c>
      <c r="D2246" t="inlineStr">
        <is>
          <t>VÄSTMANLANDS LÄN</t>
        </is>
      </c>
      <c r="E2246" t="inlineStr">
        <is>
          <t>VÄSTERÅS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v>
      </c>
      <c r="C2247" s="1" t="n">
        <v>45345</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13608-2022</t>
        </is>
      </c>
      <c r="B2248" s="1" t="n">
        <v>44648</v>
      </c>
      <c r="C2248" s="1" t="n">
        <v>45345</v>
      </c>
      <c r="D2248" t="inlineStr">
        <is>
          <t>VÄSTMANLANDS LÄN</t>
        </is>
      </c>
      <c r="E2248" t="inlineStr">
        <is>
          <t>SALA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13676-2022</t>
        </is>
      </c>
      <c r="B2249" s="1" t="n">
        <v>44648</v>
      </c>
      <c r="C2249" s="1" t="n">
        <v>45345</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13962-2022</t>
        </is>
      </c>
      <c r="B2250" s="1" t="n">
        <v>44650</v>
      </c>
      <c r="C2250" s="1" t="n">
        <v>45345</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14149-2022</t>
        </is>
      </c>
      <c r="B2251" s="1" t="n">
        <v>44651</v>
      </c>
      <c r="C2251" s="1" t="n">
        <v>45345</v>
      </c>
      <c r="D2251" t="inlineStr">
        <is>
          <t>VÄSTMANLANDS LÄN</t>
        </is>
      </c>
      <c r="E2251" t="inlineStr">
        <is>
          <t>HALLSTAHAMMAR</t>
        </is>
      </c>
      <c r="F2251" t="inlineStr">
        <is>
          <t>Allmännings- och besparingsskogar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14204-2022</t>
        </is>
      </c>
      <c r="B2252" s="1" t="n">
        <v>44651</v>
      </c>
      <c r="C2252" s="1" t="n">
        <v>45345</v>
      </c>
      <c r="D2252" t="inlineStr">
        <is>
          <t>VÄSTMANLANDS LÄN</t>
        </is>
      </c>
      <c r="E2252" t="inlineStr">
        <is>
          <t>SKINNSKATTEBERG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14667-2022</t>
        </is>
      </c>
      <c r="B2253" s="1" t="n">
        <v>44655</v>
      </c>
      <c r="C2253" s="1" t="n">
        <v>45345</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14662-2022</t>
        </is>
      </c>
      <c r="B2254" s="1" t="n">
        <v>44655</v>
      </c>
      <c r="C2254" s="1" t="n">
        <v>45345</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14663-2022</t>
        </is>
      </c>
      <c r="B2255" s="1" t="n">
        <v>44655</v>
      </c>
      <c r="C2255" s="1" t="n">
        <v>45345</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14664-2022</t>
        </is>
      </c>
      <c r="B2256" s="1" t="n">
        <v>44655</v>
      </c>
      <c r="C2256" s="1" t="n">
        <v>45345</v>
      </c>
      <c r="D2256" t="inlineStr">
        <is>
          <t>VÄSTMANLANDS LÄN</t>
        </is>
      </c>
      <c r="E2256" t="inlineStr">
        <is>
          <t>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14691-2022</t>
        </is>
      </c>
      <c r="B2257" s="1" t="n">
        <v>44656</v>
      </c>
      <c r="C2257" s="1" t="n">
        <v>45345</v>
      </c>
      <c r="D2257" t="inlineStr">
        <is>
          <t>VÄSTMANLANDS LÄN</t>
        </is>
      </c>
      <c r="E2257" t="inlineStr">
        <is>
          <t>VÄSTERÅS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14926-2022</t>
        </is>
      </c>
      <c r="B2258" s="1" t="n">
        <v>44657</v>
      </c>
      <c r="C2258" s="1" t="n">
        <v>45345</v>
      </c>
      <c r="D2258" t="inlineStr">
        <is>
          <t>VÄSTMANLANDS LÄN</t>
        </is>
      </c>
      <c r="E2258" t="inlineStr">
        <is>
          <t>VÄSTERÅS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15165-2022</t>
        </is>
      </c>
      <c r="B2259" s="1" t="n">
        <v>44658</v>
      </c>
      <c r="C2259" s="1" t="n">
        <v>45345</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15160-2022</t>
        </is>
      </c>
      <c r="B2260" s="1" t="n">
        <v>44658</v>
      </c>
      <c r="C2260" s="1" t="n">
        <v>45345</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15201-2022</t>
        </is>
      </c>
      <c r="B2261" s="1" t="n">
        <v>44658</v>
      </c>
      <c r="C2261" s="1" t="n">
        <v>45345</v>
      </c>
      <c r="D2261" t="inlineStr">
        <is>
          <t>VÄSTMANLANDS LÄN</t>
        </is>
      </c>
      <c r="E2261" t="inlineStr">
        <is>
          <t>VÄSTERÅS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15158-2022</t>
        </is>
      </c>
      <c r="B2262" s="1" t="n">
        <v>44658</v>
      </c>
      <c r="C2262" s="1" t="n">
        <v>45345</v>
      </c>
      <c r="D2262" t="inlineStr">
        <is>
          <t>VÄSTMANLANDS LÄN</t>
        </is>
      </c>
      <c r="E2262" t="inlineStr">
        <is>
          <t>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15162-2022</t>
        </is>
      </c>
      <c r="B2263" s="1" t="n">
        <v>44658</v>
      </c>
      <c r="C2263" s="1" t="n">
        <v>45345</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15373-2022</t>
        </is>
      </c>
      <c r="B2264" s="1" t="n">
        <v>44659</v>
      </c>
      <c r="C2264" s="1" t="n">
        <v>45345</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15316-2022</t>
        </is>
      </c>
      <c r="B2265" s="1" t="n">
        <v>44659</v>
      </c>
      <c r="C2265" s="1" t="n">
        <v>45345</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15427-2022</t>
        </is>
      </c>
      <c r="B2266" s="1" t="n">
        <v>44659</v>
      </c>
      <c r="C2266" s="1" t="n">
        <v>45345</v>
      </c>
      <c r="D2266" t="inlineStr">
        <is>
          <t>VÄSTMANLANDS LÄN</t>
        </is>
      </c>
      <c r="E2266" t="inlineStr">
        <is>
          <t>NORBERG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15487-2022</t>
        </is>
      </c>
      <c r="B2267" s="1" t="n">
        <v>44662</v>
      </c>
      <c r="C2267" s="1" t="n">
        <v>45345</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15622-2022</t>
        </is>
      </c>
      <c r="B2268" s="1" t="n">
        <v>44662</v>
      </c>
      <c r="C2268" s="1" t="n">
        <v>45345</v>
      </c>
      <c r="D2268" t="inlineStr">
        <is>
          <t>VÄSTMANLANDS LÄN</t>
        </is>
      </c>
      <c r="E2268" t="inlineStr">
        <is>
          <t>VÄSTERÅS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15637-2022</t>
        </is>
      </c>
      <c r="B2269" s="1" t="n">
        <v>44662</v>
      </c>
      <c r="C2269" s="1" t="n">
        <v>45345</v>
      </c>
      <c r="D2269" t="inlineStr">
        <is>
          <t>VÄSTMANLANDS LÄN</t>
        </is>
      </c>
      <c r="E2269" t="inlineStr">
        <is>
          <t>SURAHAMMAR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15640-2022</t>
        </is>
      </c>
      <c r="B2270" s="1" t="n">
        <v>44662</v>
      </c>
      <c r="C2270" s="1" t="n">
        <v>45345</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45345</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15716-2022</t>
        </is>
      </c>
      <c r="B2272" s="1" t="n">
        <v>44663</v>
      </c>
      <c r="C2272" s="1" t="n">
        <v>45345</v>
      </c>
      <c r="D2272" t="inlineStr">
        <is>
          <t>VÄSTMANLANDS LÄN</t>
        </is>
      </c>
      <c r="E2272" t="inlineStr">
        <is>
          <t>KÖPING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15776-2022</t>
        </is>
      </c>
      <c r="B2273" s="1" t="n">
        <v>44663</v>
      </c>
      <c r="C2273" s="1" t="n">
        <v>45345</v>
      </c>
      <c r="D2273" t="inlineStr">
        <is>
          <t>VÄSTMANLANDS LÄN</t>
        </is>
      </c>
      <c r="E2273" t="inlineStr">
        <is>
          <t>ARBOGA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15850-2022</t>
        </is>
      </c>
      <c r="B2274" s="1" t="n">
        <v>44664</v>
      </c>
      <c r="C2274" s="1" t="n">
        <v>45345</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15879-2022</t>
        </is>
      </c>
      <c r="B2275" s="1" t="n">
        <v>44664</v>
      </c>
      <c r="C2275" s="1" t="n">
        <v>45345</v>
      </c>
      <c r="D2275" t="inlineStr">
        <is>
          <t>VÄSTMANLANDS LÄN</t>
        </is>
      </c>
      <c r="E2275" t="inlineStr">
        <is>
          <t>VÄSTERÅS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15889-2022</t>
        </is>
      </c>
      <c r="B2276" s="1" t="n">
        <v>44664</v>
      </c>
      <c r="C2276" s="1" t="n">
        <v>45345</v>
      </c>
      <c r="D2276" t="inlineStr">
        <is>
          <t>VÄSTMANLANDS LÄN</t>
        </is>
      </c>
      <c r="E2276" t="inlineStr">
        <is>
          <t>VÄSTERÅS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15891-2022</t>
        </is>
      </c>
      <c r="B2277" s="1" t="n">
        <v>44664</v>
      </c>
      <c r="C2277" s="1" t="n">
        <v>45345</v>
      </c>
      <c r="D2277" t="inlineStr">
        <is>
          <t>VÄSTMANLANDS LÄN</t>
        </is>
      </c>
      <c r="E2277" t="inlineStr">
        <is>
          <t>VÄSTERÅS</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15870-2022</t>
        </is>
      </c>
      <c r="B2278" s="1" t="n">
        <v>44664</v>
      </c>
      <c r="C2278" s="1" t="n">
        <v>45345</v>
      </c>
      <c r="D2278" t="inlineStr">
        <is>
          <t>VÄSTMANLANDS LÄN</t>
        </is>
      </c>
      <c r="E2278" t="inlineStr">
        <is>
          <t>VÄSTERÅS</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15883-2022</t>
        </is>
      </c>
      <c r="B2279" s="1" t="n">
        <v>44664</v>
      </c>
      <c r="C2279" s="1" t="n">
        <v>45345</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16116-2022</t>
        </is>
      </c>
      <c r="B2280" s="1" t="n">
        <v>44665</v>
      </c>
      <c r="C2280" s="1" t="n">
        <v>45345</v>
      </c>
      <c r="D2280" t="inlineStr">
        <is>
          <t>VÄSTMANLANDS LÄN</t>
        </is>
      </c>
      <c r="E2280" t="inlineStr">
        <is>
          <t>ARBOGA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16178-2022</t>
        </is>
      </c>
      <c r="B2281" s="1" t="n">
        <v>44668</v>
      </c>
      <c r="C2281" s="1" t="n">
        <v>45345</v>
      </c>
      <c r="D2281" t="inlineStr">
        <is>
          <t>VÄSTMANLANDS LÄN</t>
        </is>
      </c>
      <c r="E2281" t="inlineStr">
        <is>
          <t>ARBOGA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16174-2022</t>
        </is>
      </c>
      <c r="B2282" s="1" t="n">
        <v>44668</v>
      </c>
      <c r="C2282" s="1" t="n">
        <v>45345</v>
      </c>
      <c r="D2282" t="inlineStr">
        <is>
          <t>VÄSTMANLANDS LÄN</t>
        </is>
      </c>
      <c r="E2282" t="inlineStr">
        <is>
          <t>ARBOGA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16173-2022</t>
        </is>
      </c>
      <c r="B2283" s="1" t="n">
        <v>44668</v>
      </c>
      <c r="C2283" s="1" t="n">
        <v>45345</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16175-2022</t>
        </is>
      </c>
      <c r="B2284" s="1" t="n">
        <v>44668</v>
      </c>
      <c r="C2284" s="1" t="n">
        <v>45345</v>
      </c>
      <c r="D2284" t="inlineStr">
        <is>
          <t>VÄSTMANLANDS LÄN</t>
        </is>
      </c>
      <c r="E2284" t="inlineStr">
        <is>
          <t>ARBOGA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16255-2022</t>
        </is>
      </c>
      <c r="B2285" s="1" t="n">
        <v>44670</v>
      </c>
      <c r="C2285" s="1" t="n">
        <v>45345</v>
      </c>
      <c r="D2285" t="inlineStr">
        <is>
          <t>VÄSTMANLANDS LÄN</t>
        </is>
      </c>
      <c r="E2285" t="inlineStr">
        <is>
          <t>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16404-2022</t>
        </is>
      </c>
      <c r="B2286" s="1" t="n">
        <v>44671</v>
      </c>
      <c r="C2286" s="1" t="n">
        <v>45345</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16448-2022</t>
        </is>
      </c>
      <c r="B2287" s="1" t="n">
        <v>44671</v>
      </c>
      <c r="C2287" s="1" t="n">
        <v>45345</v>
      </c>
      <c r="D2287" t="inlineStr">
        <is>
          <t>VÄSTMANLANDS LÄN</t>
        </is>
      </c>
      <c r="E2287" t="inlineStr">
        <is>
          <t>VÄSTERÅS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16430-2022</t>
        </is>
      </c>
      <c r="B2288" s="1" t="n">
        <v>44671</v>
      </c>
      <c r="C2288" s="1" t="n">
        <v>45345</v>
      </c>
      <c r="D2288" t="inlineStr">
        <is>
          <t>VÄSTMANLANDS LÄN</t>
        </is>
      </c>
      <c r="E2288" t="inlineStr">
        <is>
          <t>KÖPING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16447-2022</t>
        </is>
      </c>
      <c r="B2289" s="1" t="n">
        <v>44671</v>
      </c>
      <c r="C2289" s="1" t="n">
        <v>45345</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45345</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16608-2022</t>
        </is>
      </c>
      <c r="B2291" s="1" t="n">
        <v>44672</v>
      </c>
      <c r="C2291" s="1" t="n">
        <v>45345</v>
      </c>
      <c r="D2291" t="inlineStr">
        <is>
          <t>VÄSTMANLANDS LÄN</t>
        </is>
      </c>
      <c r="E2291" t="inlineStr">
        <is>
          <t>SURAHAMMAR</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16693-2022</t>
        </is>
      </c>
      <c r="B2292" s="1" t="n">
        <v>44673</v>
      </c>
      <c r="C2292" s="1" t="n">
        <v>45345</v>
      </c>
      <c r="D2292" t="inlineStr">
        <is>
          <t>VÄSTMANLANDS LÄN</t>
        </is>
      </c>
      <c r="E2292" t="inlineStr">
        <is>
          <t>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16762-2022</t>
        </is>
      </c>
      <c r="B2293" s="1" t="n">
        <v>44673</v>
      </c>
      <c r="C2293" s="1" t="n">
        <v>45345</v>
      </c>
      <c r="D2293" t="inlineStr">
        <is>
          <t>VÄSTMANLANDS LÄN</t>
        </is>
      </c>
      <c r="E2293" t="inlineStr">
        <is>
          <t>HALLSTAHAMMAR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16768-2022</t>
        </is>
      </c>
      <c r="B2294" s="1" t="n">
        <v>44673</v>
      </c>
      <c r="C2294" s="1" t="n">
        <v>45345</v>
      </c>
      <c r="D2294" t="inlineStr">
        <is>
          <t>VÄSTMANLANDS LÄN</t>
        </is>
      </c>
      <c r="E2294" t="inlineStr">
        <is>
          <t>SALA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16860-2022</t>
        </is>
      </c>
      <c r="B2295" s="1" t="n">
        <v>44674</v>
      </c>
      <c r="C2295" s="1" t="n">
        <v>45345</v>
      </c>
      <c r="D2295" t="inlineStr">
        <is>
          <t>VÄSTMANLANDS LÄN</t>
        </is>
      </c>
      <c r="E2295" t="inlineStr">
        <is>
          <t>SKINNSKATTEBERG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16905-2022</t>
        </is>
      </c>
      <c r="B2296" s="1" t="n">
        <v>44676</v>
      </c>
      <c r="C2296" s="1" t="n">
        <v>45345</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16988-2022</t>
        </is>
      </c>
      <c r="B2297" s="1" t="n">
        <v>44676</v>
      </c>
      <c r="C2297" s="1" t="n">
        <v>45345</v>
      </c>
      <c r="D2297" t="inlineStr">
        <is>
          <t>VÄSTMANLANDS LÄN</t>
        </is>
      </c>
      <c r="E2297" t="inlineStr">
        <is>
          <t>KUNGSÖR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16951-2022</t>
        </is>
      </c>
      <c r="B2298" s="1" t="n">
        <v>44676</v>
      </c>
      <c r="C2298" s="1" t="n">
        <v>45345</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17036-2022</t>
        </is>
      </c>
      <c r="B2299" s="1" t="n">
        <v>44676</v>
      </c>
      <c r="C2299" s="1" t="n">
        <v>45345</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17062-2022</t>
        </is>
      </c>
      <c r="B2300" s="1" t="n">
        <v>44676</v>
      </c>
      <c r="C2300" s="1" t="n">
        <v>45345</v>
      </c>
      <c r="D2300" t="inlineStr">
        <is>
          <t>VÄSTMANLANDS LÄN</t>
        </is>
      </c>
      <c r="E2300" t="inlineStr">
        <is>
          <t>ARBOGA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17093-2022</t>
        </is>
      </c>
      <c r="B2301" s="1" t="n">
        <v>44677</v>
      </c>
      <c r="C2301" s="1" t="n">
        <v>45345</v>
      </c>
      <c r="D2301" t="inlineStr">
        <is>
          <t>VÄSTMANLANDS LÄN</t>
        </is>
      </c>
      <c r="E2301" t="inlineStr">
        <is>
          <t>KUNGSÖR</t>
        </is>
      </c>
      <c r="F2301" t="inlineStr">
        <is>
          <t>Kommuner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17199-2022</t>
        </is>
      </c>
      <c r="B2302" s="1" t="n">
        <v>44677</v>
      </c>
      <c r="C2302" s="1" t="n">
        <v>45345</v>
      </c>
      <c r="D2302" t="inlineStr">
        <is>
          <t>VÄSTMANLANDS LÄN</t>
        </is>
      </c>
      <c r="E2302" t="inlineStr">
        <is>
          <t>ARBOGA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17261-2022</t>
        </is>
      </c>
      <c r="B2303" s="1" t="n">
        <v>44678</v>
      </c>
      <c r="C2303" s="1" t="n">
        <v>45345</v>
      </c>
      <c r="D2303" t="inlineStr">
        <is>
          <t>VÄSTMANLANDS LÄN</t>
        </is>
      </c>
      <c r="E2303" t="inlineStr">
        <is>
          <t>VÄSTERÅS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17398-2022</t>
        </is>
      </c>
      <c r="B2304" s="1" t="n">
        <v>44678</v>
      </c>
      <c r="C2304" s="1" t="n">
        <v>45345</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17258-2022</t>
        </is>
      </c>
      <c r="B2305" s="1" t="n">
        <v>44678</v>
      </c>
      <c r="C2305" s="1" t="n">
        <v>45345</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17320-2022</t>
        </is>
      </c>
      <c r="B2306" s="1" t="n">
        <v>44678</v>
      </c>
      <c r="C2306" s="1" t="n">
        <v>45345</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17345-2022</t>
        </is>
      </c>
      <c r="B2307" s="1" t="n">
        <v>44678</v>
      </c>
      <c r="C2307" s="1" t="n">
        <v>45345</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17479-2022</t>
        </is>
      </c>
      <c r="B2308" s="1" t="n">
        <v>44679</v>
      </c>
      <c r="C2308" s="1" t="n">
        <v>45345</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17725-2022</t>
        </is>
      </c>
      <c r="B2309" s="1" t="n">
        <v>44680</v>
      </c>
      <c r="C2309" s="1" t="n">
        <v>45345</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17810-2022</t>
        </is>
      </c>
      <c r="B2310" s="1" t="n">
        <v>44683</v>
      </c>
      <c r="C2310" s="1" t="n">
        <v>45345</v>
      </c>
      <c r="D2310" t="inlineStr">
        <is>
          <t>VÄSTMANLANDS LÄN</t>
        </is>
      </c>
      <c r="E2310" t="inlineStr">
        <is>
          <t>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17863-2022</t>
        </is>
      </c>
      <c r="B2311" s="1" t="n">
        <v>44683</v>
      </c>
      <c r="C2311" s="1" t="n">
        <v>45345</v>
      </c>
      <c r="D2311" t="inlineStr">
        <is>
          <t>VÄSTMANLANDS LÄN</t>
        </is>
      </c>
      <c r="E2311" t="inlineStr">
        <is>
          <t>FAGERSTA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17897-2022</t>
        </is>
      </c>
      <c r="B2312" s="1" t="n">
        <v>44683</v>
      </c>
      <c r="C2312" s="1" t="n">
        <v>45345</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17865-2022</t>
        </is>
      </c>
      <c r="B2313" s="1" t="n">
        <v>44683</v>
      </c>
      <c r="C2313" s="1" t="n">
        <v>45345</v>
      </c>
      <c r="D2313" t="inlineStr">
        <is>
          <t>VÄSTMANLANDS LÄN</t>
        </is>
      </c>
      <c r="E2313" t="inlineStr">
        <is>
          <t>FAGERSTA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17989-2022</t>
        </is>
      </c>
      <c r="B2314" s="1" t="n">
        <v>44683</v>
      </c>
      <c r="C2314" s="1" t="n">
        <v>45345</v>
      </c>
      <c r="D2314" t="inlineStr">
        <is>
          <t>VÄSTMANLANDS LÄN</t>
        </is>
      </c>
      <c r="E2314" t="inlineStr">
        <is>
          <t>FAGERSTA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17991-2022</t>
        </is>
      </c>
      <c r="B2315" s="1" t="n">
        <v>44683</v>
      </c>
      <c r="C2315" s="1" t="n">
        <v>45345</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18281-2022</t>
        </is>
      </c>
      <c r="B2316" s="1" t="n">
        <v>44685</v>
      </c>
      <c r="C2316" s="1" t="n">
        <v>45345</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18276-2022</t>
        </is>
      </c>
      <c r="B2317" s="1" t="n">
        <v>44685</v>
      </c>
      <c r="C2317" s="1" t="n">
        <v>45345</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18282-2022</t>
        </is>
      </c>
      <c r="B2318" s="1" t="n">
        <v>44685</v>
      </c>
      <c r="C2318" s="1" t="n">
        <v>45345</v>
      </c>
      <c r="D2318" t="inlineStr">
        <is>
          <t>VÄSTMANLANDS LÄN</t>
        </is>
      </c>
      <c r="E2318" t="inlineStr">
        <is>
          <t>VÄSTERÅS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18326-2022</t>
        </is>
      </c>
      <c r="B2319" s="1" t="n">
        <v>44685</v>
      </c>
      <c r="C2319" s="1" t="n">
        <v>45345</v>
      </c>
      <c r="D2319" t="inlineStr">
        <is>
          <t>VÄSTMANLANDS LÄN</t>
        </is>
      </c>
      <c r="E2319" t="inlineStr">
        <is>
          <t>NORBERG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18284-2022</t>
        </is>
      </c>
      <c r="B2320" s="1" t="n">
        <v>44685</v>
      </c>
      <c r="C2320" s="1" t="n">
        <v>45345</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18531-2022</t>
        </is>
      </c>
      <c r="B2321" s="1" t="n">
        <v>44686</v>
      </c>
      <c r="C2321" s="1" t="n">
        <v>45345</v>
      </c>
      <c r="D2321" t="inlineStr">
        <is>
          <t>VÄSTMANLANDS LÄN</t>
        </is>
      </c>
      <c r="E2321" t="inlineStr">
        <is>
          <t>VÄSTERÅS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v>
      </c>
      <c r="C2322" s="1" t="n">
        <v>45345</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19076-2022</t>
        </is>
      </c>
      <c r="B2323" s="1" t="n">
        <v>44691</v>
      </c>
      <c r="C2323" s="1" t="n">
        <v>45345</v>
      </c>
      <c r="D2323" t="inlineStr">
        <is>
          <t>VÄSTMANLANDS LÄN</t>
        </is>
      </c>
      <c r="E2323" t="inlineStr">
        <is>
          <t>NORBERG</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19058-2022</t>
        </is>
      </c>
      <c r="B2324" s="1" t="n">
        <v>44691</v>
      </c>
      <c r="C2324" s="1" t="n">
        <v>45345</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19075-2022</t>
        </is>
      </c>
      <c r="B2325" s="1" t="n">
        <v>44691</v>
      </c>
      <c r="C2325" s="1" t="n">
        <v>45345</v>
      </c>
      <c r="D2325" t="inlineStr">
        <is>
          <t>VÄSTMANLANDS LÄN</t>
        </is>
      </c>
      <c r="E2325" t="inlineStr">
        <is>
          <t>NORBERG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19065-2022</t>
        </is>
      </c>
      <c r="B2326" s="1" t="n">
        <v>44691</v>
      </c>
      <c r="C2326" s="1" t="n">
        <v>45345</v>
      </c>
      <c r="D2326" t="inlineStr">
        <is>
          <t>VÄSTMANLANDS LÄN</t>
        </is>
      </c>
      <c r="E2326" t="inlineStr">
        <is>
          <t>SALA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19073-2022</t>
        </is>
      </c>
      <c r="B2327" s="1" t="n">
        <v>44691</v>
      </c>
      <c r="C2327" s="1" t="n">
        <v>45345</v>
      </c>
      <c r="D2327" t="inlineStr">
        <is>
          <t>VÄSTMANLANDS LÄN</t>
        </is>
      </c>
      <c r="E2327" t="inlineStr">
        <is>
          <t>NORBERG</t>
        </is>
      </c>
      <c r="F2327" t="inlineStr">
        <is>
          <t>Övriga Aktiebolag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45345</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19164-2022</t>
        </is>
      </c>
      <c r="B2329" s="1" t="n">
        <v>44691</v>
      </c>
      <c r="C2329" s="1" t="n">
        <v>45345</v>
      </c>
      <c r="D2329" t="inlineStr">
        <is>
          <t>VÄSTMANLANDS LÄN</t>
        </is>
      </c>
      <c r="E2329" t="inlineStr">
        <is>
          <t>VÄSTERÅS</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19336-2022</t>
        </is>
      </c>
      <c r="B2330" s="1" t="n">
        <v>44692</v>
      </c>
      <c r="C2330" s="1" t="n">
        <v>45345</v>
      </c>
      <c r="D2330" t="inlineStr">
        <is>
          <t>VÄSTMANLANDS LÄN</t>
        </is>
      </c>
      <c r="E2330" t="inlineStr">
        <is>
          <t>VÄSTERÅS</t>
        </is>
      </c>
      <c r="F2330" t="inlineStr">
        <is>
          <t>Övriga Aktiebolag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19637-2022</t>
        </is>
      </c>
      <c r="B2331" s="1" t="n">
        <v>44694</v>
      </c>
      <c r="C2331" s="1" t="n">
        <v>45345</v>
      </c>
      <c r="D2331" t="inlineStr">
        <is>
          <t>VÄSTMANLANDS LÄN</t>
        </is>
      </c>
      <c r="E2331" t="inlineStr">
        <is>
          <t>SURAHAMMAR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19636-2022</t>
        </is>
      </c>
      <c r="B2332" s="1" t="n">
        <v>44694</v>
      </c>
      <c r="C2332" s="1" t="n">
        <v>45345</v>
      </c>
      <c r="D2332" t="inlineStr">
        <is>
          <t>VÄSTMANLANDS LÄN</t>
        </is>
      </c>
      <c r="E2332" t="inlineStr">
        <is>
          <t>NORBERG</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19751-2022</t>
        </is>
      </c>
      <c r="B2333" s="1" t="n">
        <v>44694</v>
      </c>
      <c r="C2333" s="1" t="n">
        <v>45345</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19760-2022</t>
        </is>
      </c>
      <c r="B2334" s="1" t="n">
        <v>44694</v>
      </c>
      <c r="C2334" s="1" t="n">
        <v>45345</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19844-2022</t>
        </is>
      </c>
      <c r="B2335" s="1" t="n">
        <v>44696</v>
      </c>
      <c r="C2335" s="1" t="n">
        <v>45345</v>
      </c>
      <c r="D2335" t="inlineStr">
        <is>
          <t>VÄSTMANLANDS LÄN</t>
        </is>
      </c>
      <c r="E2335" t="inlineStr">
        <is>
          <t>SURAHAMMAR</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19845-2022</t>
        </is>
      </c>
      <c r="B2336" s="1" t="n">
        <v>44696</v>
      </c>
      <c r="C2336" s="1" t="n">
        <v>45345</v>
      </c>
      <c r="D2336" t="inlineStr">
        <is>
          <t>VÄSTMANLANDS LÄN</t>
        </is>
      </c>
      <c r="E2336" t="inlineStr">
        <is>
          <t>SURAHAMMAR</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19846-2022</t>
        </is>
      </c>
      <c r="B2337" s="1" t="n">
        <v>44696</v>
      </c>
      <c r="C2337" s="1" t="n">
        <v>45345</v>
      </c>
      <c r="D2337" t="inlineStr">
        <is>
          <t>VÄSTMANLANDS LÄN</t>
        </is>
      </c>
      <c r="E2337" t="inlineStr">
        <is>
          <t>SURAHAMMAR</t>
        </is>
      </c>
      <c r="F2337" t="inlineStr">
        <is>
          <t>Kommuner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19992-2022</t>
        </is>
      </c>
      <c r="B2338" s="1" t="n">
        <v>44697</v>
      </c>
      <c r="C2338" s="1" t="n">
        <v>45345</v>
      </c>
      <c r="D2338" t="inlineStr">
        <is>
          <t>VÄSTMANLANDS LÄN</t>
        </is>
      </c>
      <c r="E2338" t="inlineStr">
        <is>
          <t>ARBOGA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19877-2022</t>
        </is>
      </c>
      <c r="B2339" s="1" t="n">
        <v>44697</v>
      </c>
      <c r="C2339" s="1" t="n">
        <v>45345</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20134-2022</t>
        </is>
      </c>
      <c r="B2340" s="1" t="n">
        <v>44698</v>
      </c>
      <c r="C2340" s="1" t="n">
        <v>45345</v>
      </c>
      <c r="D2340" t="inlineStr">
        <is>
          <t>VÄSTMANLANDS LÄN</t>
        </is>
      </c>
      <c r="E2340" t="inlineStr">
        <is>
          <t>VÄSTERÅS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20118-2022</t>
        </is>
      </c>
      <c r="B2341" s="1" t="n">
        <v>44698</v>
      </c>
      <c r="C2341" s="1" t="n">
        <v>45345</v>
      </c>
      <c r="D2341" t="inlineStr">
        <is>
          <t>VÄSTMANLANDS LÄN</t>
        </is>
      </c>
      <c r="E2341" t="inlineStr">
        <is>
          <t>NORBERG</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20271-2022</t>
        </is>
      </c>
      <c r="B2342" s="1" t="n">
        <v>44698</v>
      </c>
      <c r="C2342" s="1" t="n">
        <v>45345</v>
      </c>
      <c r="D2342" t="inlineStr">
        <is>
          <t>VÄSTMANLANDS LÄN</t>
        </is>
      </c>
      <c r="E2342" t="inlineStr">
        <is>
          <t>ARBOGA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20344-2022</t>
        </is>
      </c>
      <c r="B2343" s="1" t="n">
        <v>44699</v>
      </c>
      <c r="C2343" s="1" t="n">
        <v>45345</v>
      </c>
      <c r="D2343" t="inlineStr">
        <is>
          <t>VÄSTMANLANDS LÄN</t>
        </is>
      </c>
      <c r="E2343" t="inlineStr">
        <is>
          <t>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20352-2022</t>
        </is>
      </c>
      <c r="B2344" s="1" t="n">
        <v>44699</v>
      </c>
      <c r="C2344" s="1" t="n">
        <v>45345</v>
      </c>
      <c r="D2344" t="inlineStr">
        <is>
          <t>VÄSTMANLANDS LÄN</t>
        </is>
      </c>
      <c r="E2344" t="inlineStr">
        <is>
          <t>SALA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20433-2022</t>
        </is>
      </c>
      <c r="B2345" s="1" t="n">
        <v>44699</v>
      </c>
      <c r="C2345" s="1" t="n">
        <v>45345</v>
      </c>
      <c r="D2345" t="inlineStr">
        <is>
          <t>VÄSTMANLANDS LÄN</t>
        </is>
      </c>
      <c r="E2345" t="inlineStr">
        <is>
          <t>ARBOGA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20492-2022</t>
        </is>
      </c>
      <c r="B2346" s="1" t="n">
        <v>44699</v>
      </c>
      <c r="C2346" s="1" t="n">
        <v>45345</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20445-2022</t>
        </is>
      </c>
      <c r="B2347" s="1" t="n">
        <v>44699</v>
      </c>
      <c r="C2347" s="1" t="n">
        <v>45345</v>
      </c>
      <c r="D2347" t="inlineStr">
        <is>
          <t>VÄSTMANLANDS LÄN</t>
        </is>
      </c>
      <c r="E2347" t="inlineStr">
        <is>
          <t>ARBOGA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20552-2022</t>
        </is>
      </c>
      <c r="B2348" s="1" t="n">
        <v>44700</v>
      </c>
      <c r="C2348" s="1" t="n">
        <v>45345</v>
      </c>
      <c r="D2348" t="inlineStr">
        <is>
          <t>VÄSTMANLANDS LÄN</t>
        </is>
      </c>
      <c r="E2348" t="inlineStr">
        <is>
          <t>ARBOGA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20567-2022</t>
        </is>
      </c>
      <c r="B2349" s="1" t="n">
        <v>44700</v>
      </c>
      <c r="C2349" s="1" t="n">
        <v>45345</v>
      </c>
      <c r="D2349" t="inlineStr">
        <is>
          <t>VÄSTMANLANDS LÄN</t>
        </is>
      </c>
      <c r="E2349" t="inlineStr">
        <is>
          <t>NORBERG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20798-2022</t>
        </is>
      </c>
      <c r="B2350" s="1" t="n">
        <v>44701</v>
      </c>
      <c r="C2350" s="1" t="n">
        <v>45345</v>
      </c>
      <c r="D2350" t="inlineStr">
        <is>
          <t>VÄSTMANLANDS LÄN</t>
        </is>
      </c>
      <c r="E2350" t="inlineStr">
        <is>
          <t>KÖPING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20875-2022</t>
        </is>
      </c>
      <c r="B2351" s="1" t="n">
        <v>44701</v>
      </c>
      <c r="C2351" s="1" t="n">
        <v>45345</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20898-2022</t>
        </is>
      </c>
      <c r="B2352" s="1" t="n">
        <v>44701</v>
      </c>
      <c r="C2352" s="1" t="n">
        <v>45345</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21055-2022</t>
        </is>
      </c>
      <c r="B2353" s="1" t="n">
        <v>44704</v>
      </c>
      <c r="C2353" s="1" t="n">
        <v>45345</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21053-2022</t>
        </is>
      </c>
      <c r="B2354" s="1" t="n">
        <v>44704</v>
      </c>
      <c r="C2354" s="1" t="n">
        <v>45345</v>
      </c>
      <c r="D2354" t="inlineStr">
        <is>
          <t>VÄSTMANLANDS LÄN</t>
        </is>
      </c>
      <c r="E2354" t="inlineStr">
        <is>
          <t>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21159-2022</t>
        </is>
      </c>
      <c r="B2355" s="1" t="n">
        <v>44704</v>
      </c>
      <c r="C2355" s="1" t="n">
        <v>45345</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21264-2022</t>
        </is>
      </c>
      <c r="B2356" s="1" t="n">
        <v>44705</v>
      </c>
      <c r="C2356" s="1" t="n">
        <v>45345</v>
      </c>
      <c r="D2356" t="inlineStr">
        <is>
          <t>VÄSTMANLANDS LÄN</t>
        </is>
      </c>
      <c r="E2356" t="inlineStr">
        <is>
          <t>HALLSTAHAMMAR</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21761-2022</t>
        </is>
      </c>
      <c r="B2357" s="1" t="n">
        <v>44708</v>
      </c>
      <c r="C2357" s="1" t="n">
        <v>45345</v>
      </c>
      <c r="D2357" t="inlineStr">
        <is>
          <t>VÄSTMANLANDS LÄN</t>
        </is>
      </c>
      <c r="E2357" t="inlineStr">
        <is>
          <t>VÄSTERÅS</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21777-2022</t>
        </is>
      </c>
      <c r="B2358" s="1" t="n">
        <v>44708</v>
      </c>
      <c r="C2358" s="1" t="n">
        <v>45345</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21754-2022</t>
        </is>
      </c>
      <c r="B2359" s="1" t="n">
        <v>44708</v>
      </c>
      <c r="C2359" s="1" t="n">
        <v>45345</v>
      </c>
      <c r="D2359" t="inlineStr">
        <is>
          <t>VÄSTMANLANDS LÄN</t>
        </is>
      </c>
      <c r="E2359" t="inlineStr">
        <is>
          <t>SKINNSKATTEBERG</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21857-2022</t>
        </is>
      </c>
      <c r="B2360" s="1" t="n">
        <v>44711</v>
      </c>
      <c r="C2360" s="1" t="n">
        <v>45345</v>
      </c>
      <c r="D2360" t="inlineStr">
        <is>
          <t>VÄSTMANLANDS LÄN</t>
        </is>
      </c>
      <c r="E2360" t="inlineStr">
        <is>
          <t>VÄSTERÅS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22113-2022</t>
        </is>
      </c>
      <c r="B2361" s="1" t="n">
        <v>44712</v>
      </c>
      <c r="C2361" s="1" t="n">
        <v>45345</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22182-2022</t>
        </is>
      </c>
      <c r="B2362" s="1" t="n">
        <v>44712</v>
      </c>
      <c r="C2362" s="1" t="n">
        <v>45345</v>
      </c>
      <c r="D2362" t="inlineStr">
        <is>
          <t>VÄSTMANLANDS LÄN</t>
        </is>
      </c>
      <c r="E2362" t="inlineStr">
        <is>
          <t>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22279-2022</t>
        </is>
      </c>
      <c r="B2363" s="1" t="n">
        <v>44712</v>
      </c>
      <c r="C2363" s="1" t="n">
        <v>45345</v>
      </c>
      <c r="D2363" t="inlineStr">
        <is>
          <t>VÄSTMANLANDS LÄN</t>
        </is>
      </c>
      <c r="E2363" t="inlineStr">
        <is>
          <t>SKINNSKATTEBERG</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22397-2022</t>
        </is>
      </c>
      <c r="B2364" s="1" t="n">
        <v>44713</v>
      </c>
      <c r="C2364" s="1" t="n">
        <v>45345</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22394-2022</t>
        </is>
      </c>
      <c r="B2365" s="1" t="n">
        <v>44713</v>
      </c>
      <c r="C2365" s="1" t="n">
        <v>45345</v>
      </c>
      <c r="D2365" t="inlineStr">
        <is>
          <t>VÄSTMANLANDS LÄN</t>
        </is>
      </c>
      <c r="E2365" t="inlineStr">
        <is>
          <t>SKINNSKATTEBERG</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22575-2022</t>
        </is>
      </c>
      <c r="B2366" s="1" t="n">
        <v>44713</v>
      </c>
      <c r="C2366" s="1" t="n">
        <v>45345</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22562-2022</t>
        </is>
      </c>
      <c r="B2367" s="1" t="n">
        <v>44713</v>
      </c>
      <c r="C2367" s="1" t="n">
        <v>45345</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22602-2022</t>
        </is>
      </c>
      <c r="B2368" s="1" t="n">
        <v>44714</v>
      </c>
      <c r="C2368" s="1" t="n">
        <v>45345</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22811-2022</t>
        </is>
      </c>
      <c r="B2369" s="1" t="n">
        <v>44715</v>
      </c>
      <c r="C2369" s="1" t="n">
        <v>45345</v>
      </c>
      <c r="D2369" t="inlineStr">
        <is>
          <t>VÄSTMANLANDS LÄN</t>
        </is>
      </c>
      <c r="E2369" t="inlineStr">
        <is>
          <t>SALA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22866-2022</t>
        </is>
      </c>
      <c r="B2370" s="1" t="n">
        <v>44715</v>
      </c>
      <c r="C2370" s="1" t="n">
        <v>45345</v>
      </c>
      <c r="D2370" t="inlineStr">
        <is>
          <t>VÄSTMANLANDS LÄN</t>
        </is>
      </c>
      <c r="E2370" t="inlineStr">
        <is>
          <t>VÄSTERÅS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22978-2022</t>
        </is>
      </c>
      <c r="B2371" s="1" t="n">
        <v>44717</v>
      </c>
      <c r="C2371" s="1" t="n">
        <v>45345</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22979-2022</t>
        </is>
      </c>
      <c r="B2372" s="1" t="n">
        <v>44717</v>
      </c>
      <c r="C2372" s="1" t="n">
        <v>45345</v>
      </c>
      <c r="D2372" t="inlineStr">
        <is>
          <t>VÄSTMANLANDS LÄN</t>
        </is>
      </c>
      <c r="E2372" t="inlineStr">
        <is>
          <t>VÄSTERÅS</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23009-2022</t>
        </is>
      </c>
      <c r="B2373" s="1" t="n">
        <v>44719</v>
      </c>
      <c r="C2373" s="1" t="n">
        <v>45345</v>
      </c>
      <c r="D2373" t="inlineStr">
        <is>
          <t>VÄSTMANLANDS LÄN</t>
        </is>
      </c>
      <c r="E2373" t="inlineStr">
        <is>
          <t>NORBERG</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v>
      </c>
      <c r="C2374" s="1" t="n">
        <v>45345</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23181-2022</t>
        </is>
      </c>
      <c r="B2375" s="1" t="n">
        <v>44719</v>
      </c>
      <c r="C2375" s="1" t="n">
        <v>45345</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23180-2022</t>
        </is>
      </c>
      <c r="B2376" s="1" t="n">
        <v>44719</v>
      </c>
      <c r="C2376" s="1" t="n">
        <v>45345</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23182-2022</t>
        </is>
      </c>
      <c r="B2377" s="1" t="n">
        <v>44719</v>
      </c>
      <c r="C2377" s="1" t="n">
        <v>45345</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23043-2022</t>
        </is>
      </c>
      <c r="B2378" s="1" t="n">
        <v>44719</v>
      </c>
      <c r="C2378" s="1" t="n">
        <v>45345</v>
      </c>
      <c r="D2378" t="inlineStr">
        <is>
          <t>VÄSTMANLANDS LÄN</t>
        </is>
      </c>
      <c r="E2378" t="inlineStr">
        <is>
          <t>NORBERG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23624-2022</t>
        </is>
      </c>
      <c r="B2379" s="1" t="n">
        <v>44721</v>
      </c>
      <c r="C2379" s="1" t="n">
        <v>45345</v>
      </c>
      <c r="D2379" t="inlineStr">
        <is>
          <t>VÄSTMANLANDS LÄN</t>
        </is>
      </c>
      <c r="E2379" t="inlineStr">
        <is>
          <t>KÖPING</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23757-2022</t>
        </is>
      </c>
      <c r="B2380" s="1" t="n">
        <v>44722</v>
      </c>
      <c r="C2380" s="1" t="n">
        <v>45345</v>
      </c>
      <c r="D2380" t="inlineStr">
        <is>
          <t>VÄSTMANLANDS LÄN</t>
        </is>
      </c>
      <c r="E2380" t="inlineStr">
        <is>
          <t>SALA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23765-2022</t>
        </is>
      </c>
      <c r="B2381" s="1" t="n">
        <v>44722</v>
      </c>
      <c r="C2381" s="1" t="n">
        <v>45345</v>
      </c>
      <c r="D2381" t="inlineStr">
        <is>
          <t>VÄSTMANLANDS LÄN</t>
        </is>
      </c>
      <c r="E2381" t="inlineStr">
        <is>
          <t>VÄSTERÅS</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23781-2022</t>
        </is>
      </c>
      <c r="B2382" s="1" t="n">
        <v>44722</v>
      </c>
      <c r="C2382" s="1" t="n">
        <v>45345</v>
      </c>
      <c r="D2382" t="inlineStr">
        <is>
          <t>VÄSTMANLANDS LÄN</t>
        </is>
      </c>
      <c r="E2382" t="inlineStr">
        <is>
          <t>FAGERSTA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23847-2022</t>
        </is>
      </c>
      <c r="B2383" s="1" t="n">
        <v>44722</v>
      </c>
      <c r="C2383" s="1" t="n">
        <v>45345</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23763-2022</t>
        </is>
      </c>
      <c r="B2384" s="1" t="n">
        <v>44722</v>
      </c>
      <c r="C2384" s="1" t="n">
        <v>45345</v>
      </c>
      <c r="D2384" t="inlineStr">
        <is>
          <t>VÄSTMANLANDS LÄN</t>
        </is>
      </c>
      <c r="E2384" t="inlineStr">
        <is>
          <t>VÄSTERÅS</t>
        </is>
      </c>
      <c r="F2384" t="inlineStr">
        <is>
          <t>Sveaskog</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23791-2022</t>
        </is>
      </c>
      <c r="B2385" s="1" t="n">
        <v>44722</v>
      </c>
      <c r="C2385" s="1" t="n">
        <v>45345</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23766-2022</t>
        </is>
      </c>
      <c r="B2386" s="1" t="n">
        <v>44722</v>
      </c>
      <c r="C2386" s="1" t="n">
        <v>45345</v>
      </c>
      <c r="D2386" t="inlineStr">
        <is>
          <t>VÄSTMANLANDS LÄN</t>
        </is>
      </c>
      <c r="E2386" t="inlineStr">
        <is>
          <t>VÄSTERÅS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23907-2022</t>
        </is>
      </c>
      <c r="B2387" s="1" t="n">
        <v>44722</v>
      </c>
      <c r="C2387" s="1" t="n">
        <v>45345</v>
      </c>
      <c r="D2387" t="inlineStr">
        <is>
          <t>VÄSTMANLANDS LÄN</t>
        </is>
      </c>
      <c r="E2387" t="inlineStr">
        <is>
          <t>KÖPING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24039-2022</t>
        </is>
      </c>
      <c r="B2388" s="1" t="n">
        <v>44724</v>
      </c>
      <c r="C2388" s="1" t="n">
        <v>45345</v>
      </c>
      <c r="D2388" t="inlineStr">
        <is>
          <t>VÄSTMANLANDS LÄN</t>
        </is>
      </c>
      <c r="E2388" t="inlineStr">
        <is>
          <t>ARBOGA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24073-2022</t>
        </is>
      </c>
      <c r="B2389" s="1" t="n">
        <v>44725</v>
      </c>
      <c r="C2389" s="1" t="n">
        <v>45345</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24175-2022</t>
        </is>
      </c>
      <c r="B2390" s="1" t="n">
        <v>44725</v>
      </c>
      <c r="C2390" s="1" t="n">
        <v>45345</v>
      </c>
      <c r="D2390" t="inlineStr">
        <is>
          <t>VÄSTMANLANDS LÄN</t>
        </is>
      </c>
      <c r="E2390" t="inlineStr">
        <is>
          <t>KUNGSÖR</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24195-2022</t>
        </is>
      </c>
      <c r="B2391" s="1" t="n">
        <v>44725</v>
      </c>
      <c r="C2391" s="1" t="n">
        <v>45345</v>
      </c>
      <c r="D2391" t="inlineStr">
        <is>
          <t>VÄSTMANLANDS LÄN</t>
        </is>
      </c>
      <c r="E2391" t="inlineStr">
        <is>
          <t>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24540-2022</t>
        </is>
      </c>
      <c r="B2392" s="1" t="n">
        <v>44727</v>
      </c>
      <c r="C2392" s="1" t="n">
        <v>45345</v>
      </c>
      <c r="D2392" t="inlineStr">
        <is>
          <t>VÄSTMANLANDS LÄN</t>
        </is>
      </c>
      <c r="E2392" t="inlineStr">
        <is>
          <t>NORBERG</t>
        </is>
      </c>
      <c r="F2392" t="inlineStr">
        <is>
          <t>Bergvik skog väst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24818-2022</t>
        </is>
      </c>
      <c r="B2393" s="1" t="n">
        <v>44727</v>
      </c>
      <c r="C2393" s="1" t="n">
        <v>45345</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24835-2022</t>
        </is>
      </c>
      <c r="B2394" s="1" t="n">
        <v>44727</v>
      </c>
      <c r="C2394" s="1" t="n">
        <v>45345</v>
      </c>
      <c r="D2394" t="inlineStr">
        <is>
          <t>VÄSTMANLANDS LÄN</t>
        </is>
      </c>
      <c r="E2394" t="inlineStr">
        <is>
          <t>SALA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24777-2022</t>
        </is>
      </c>
      <c r="B2395" s="1" t="n">
        <v>44728</v>
      </c>
      <c r="C2395" s="1" t="n">
        <v>45345</v>
      </c>
      <c r="D2395" t="inlineStr">
        <is>
          <t>VÄSTMANLANDS LÄN</t>
        </is>
      </c>
      <c r="E2395" t="inlineStr">
        <is>
          <t>SKINNSKATTEBERG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24793-2022</t>
        </is>
      </c>
      <c r="B2396" s="1" t="n">
        <v>44728</v>
      </c>
      <c r="C2396" s="1" t="n">
        <v>45345</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24870-2022</t>
        </is>
      </c>
      <c r="B2397" s="1" t="n">
        <v>44728</v>
      </c>
      <c r="C2397" s="1" t="n">
        <v>45345</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24882-2022</t>
        </is>
      </c>
      <c r="B2398" s="1" t="n">
        <v>44728</v>
      </c>
      <c r="C2398" s="1" t="n">
        <v>45345</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25057-2022</t>
        </is>
      </c>
      <c r="B2399" s="1" t="n">
        <v>44729</v>
      </c>
      <c r="C2399" s="1" t="n">
        <v>45345</v>
      </c>
      <c r="D2399" t="inlineStr">
        <is>
          <t>VÄSTMANLANDS LÄN</t>
        </is>
      </c>
      <c r="E2399" t="inlineStr">
        <is>
          <t>FAGERSTA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25053-2022</t>
        </is>
      </c>
      <c r="B2400" s="1" t="n">
        <v>44729</v>
      </c>
      <c r="C2400" s="1" t="n">
        <v>45345</v>
      </c>
      <c r="D2400" t="inlineStr">
        <is>
          <t>VÄSTMANLANDS LÄN</t>
        </is>
      </c>
      <c r="E2400" t="inlineStr">
        <is>
          <t>FAGERSTA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25215-2022</t>
        </is>
      </c>
      <c r="B2401" s="1" t="n">
        <v>44729</v>
      </c>
      <c r="C2401" s="1" t="n">
        <v>45345</v>
      </c>
      <c r="D2401" t="inlineStr">
        <is>
          <t>VÄSTMANLANDS LÄN</t>
        </is>
      </c>
      <c r="E2401" t="inlineStr">
        <is>
          <t>VÄSTERÅS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25322-2022</t>
        </is>
      </c>
      <c r="B2402" s="1" t="n">
        <v>44731</v>
      </c>
      <c r="C2402" s="1" t="n">
        <v>45345</v>
      </c>
      <c r="D2402" t="inlineStr">
        <is>
          <t>VÄSTMANLANDS LÄN</t>
        </is>
      </c>
      <c r="E2402" t="inlineStr">
        <is>
          <t>KÖPING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25357-2022</t>
        </is>
      </c>
      <c r="B2403" s="1" t="n">
        <v>44732</v>
      </c>
      <c r="C2403" s="1" t="n">
        <v>45345</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25406-2022</t>
        </is>
      </c>
      <c r="B2404" s="1" t="n">
        <v>44732</v>
      </c>
      <c r="C2404" s="1" t="n">
        <v>45345</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25387-2022</t>
        </is>
      </c>
      <c r="B2405" s="1" t="n">
        <v>44732</v>
      </c>
      <c r="C2405" s="1" t="n">
        <v>45345</v>
      </c>
      <c r="D2405" t="inlineStr">
        <is>
          <t>VÄSTMANLANDS LÄN</t>
        </is>
      </c>
      <c r="E2405" t="inlineStr">
        <is>
          <t>SKINNSKATTEBERG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25410-2022</t>
        </is>
      </c>
      <c r="B2406" s="1" t="n">
        <v>44732</v>
      </c>
      <c r="C2406" s="1" t="n">
        <v>45345</v>
      </c>
      <c r="D2406" t="inlineStr">
        <is>
          <t>VÄSTMANLANDS LÄN</t>
        </is>
      </c>
      <c r="E2406" t="inlineStr">
        <is>
          <t>SKINNSKATTEBERG</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25603-2022</t>
        </is>
      </c>
      <c r="B2407" s="1" t="n">
        <v>44732</v>
      </c>
      <c r="C2407" s="1" t="n">
        <v>45345</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45345</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25804-2022</t>
        </is>
      </c>
      <c r="B2409" s="1" t="n">
        <v>44733</v>
      </c>
      <c r="C2409" s="1" t="n">
        <v>45345</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25789-2022</t>
        </is>
      </c>
      <c r="B2410" s="1" t="n">
        <v>44733</v>
      </c>
      <c r="C2410" s="1" t="n">
        <v>45345</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25878-2022</t>
        </is>
      </c>
      <c r="B2411" s="1" t="n">
        <v>44733</v>
      </c>
      <c r="C2411" s="1" t="n">
        <v>45345</v>
      </c>
      <c r="D2411" t="inlineStr">
        <is>
          <t>VÄSTMANLANDS LÄN</t>
        </is>
      </c>
      <c r="E2411" t="inlineStr">
        <is>
          <t>VÄSTERÅS</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25944-2022</t>
        </is>
      </c>
      <c r="B2412" s="1" t="n">
        <v>44734</v>
      </c>
      <c r="C2412" s="1" t="n">
        <v>45345</v>
      </c>
      <c r="D2412" t="inlineStr">
        <is>
          <t>VÄSTMANLANDS LÄN</t>
        </is>
      </c>
      <c r="E2412" t="inlineStr">
        <is>
          <t>KÖPING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25971-2022</t>
        </is>
      </c>
      <c r="B2413" s="1" t="n">
        <v>44734</v>
      </c>
      <c r="C2413" s="1" t="n">
        <v>45345</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45345</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26342-2022</t>
        </is>
      </c>
      <c r="B2415" s="1" t="n">
        <v>44735</v>
      </c>
      <c r="C2415" s="1" t="n">
        <v>45345</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26559-2022</t>
        </is>
      </c>
      <c r="B2416" s="1" t="n">
        <v>44739</v>
      </c>
      <c r="C2416" s="1" t="n">
        <v>45345</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26509-2022</t>
        </is>
      </c>
      <c r="B2417" s="1" t="n">
        <v>44739</v>
      </c>
      <c r="C2417" s="1" t="n">
        <v>45345</v>
      </c>
      <c r="D2417" t="inlineStr">
        <is>
          <t>VÄSTMANLANDS LÄN</t>
        </is>
      </c>
      <c r="E2417" t="inlineStr">
        <is>
          <t>FAGERSTA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26696-2022</t>
        </is>
      </c>
      <c r="B2418" s="1" t="n">
        <v>44739</v>
      </c>
      <c r="C2418" s="1" t="n">
        <v>45345</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26700-2022</t>
        </is>
      </c>
      <c r="B2419" s="1" t="n">
        <v>44739</v>
      </c>
      <c r="C2419" s="1" t="n">
        <v>45345</v>
      </c>
      <c r="D2419" t="inlineStr">
        <is>
          <t>VÄSTMANLANDS LÄN</t>
        </is>
      </c>
      <c r="E2419" t="inlineStr">
        <is>
          <t>SURAHAMMAR</t>
        </is>
      </c>
      <c r="F2419" t="inlineStr">
        <is>
          <t>Kommuner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26680-2022</t>
        </is>
      </c>
      <c r="B2420" s="1" t="n">
        <v>44739</v>
      </c>
      <c r="C2420" s="1" t="n">
        <v>45345</v>
      </c>
      <c r="D2420" t="inlineStr">
        <is>
          <t>VÄSTMANLANDS LÄN</t>
        </is>
      </c>
      <c r="E2420" t="inlineStr">
        <is>
          <t>VÄSTERÅS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26702-2022</t>
        </is>
      </c>
      <c r="B2421" s="1" t="n">
        <v>44739</v>
      </c>
      <c r="C2421" s="1" t="n">
        <v>45345</v>
      </c>
      <c r="D2421" t="inlineStr">
        <is>
          <t>VÄSTMANLANDS LÄN</t>
        </is>
      </c>
      <c r="E2421" t="inlineStr">
        <is>
          <t>HALLSTAHAMMAR</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26697-2022</t>
        </is>
      </c>
      <c r="B2422" s="1" t="n">
        <v>44739</v>
      </c>
      <c r="C2422" s="1" t="n">
        <v>45345</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26556-2022</t>
        </is>
      </c>
      <c r="B2423" s="1" t="n">
        <v>44739</v>
      </c>
      <c r="C2423" s="1" t="n">
        <v>45345</v>
      </c>
      <c r="D2423" t="inlineStr">
        <is>
          <t>VÄSTMANLANDS LÄN</t>
        </is>
      </c>
      <c r="E2423" t="inlineStr">
        <is>
          <t>VÄSTERÅS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26568-2022</t>
        </is>
      </c>
      <c r="B2424" s="1" t="n">
        <v>44739</v>
      </c>
      <c r="C2424" s="1" t="n">
        <v>45345</v>
      </c>
      <c r="D2424" t="inlineStr">
        <is>
          <t>VÄSTMANLANDS LÄN</t>
        </is>
      </c>
      <c r="E2424" t="inlineStr">
        <is>
          <t>VÄSTERÅS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26835-2022</t>
        </is>
      </c>
      <c r="B2425" s="1" t="n">
        <v>44740</v>
      </c>
      <c r="C2425" s="1" t="n">
        <v>45345</v>
      </c>
      <c r="D2425" t="inlineStr">
        <is>
          <t>VÄSTMANLANDS LÄN</t>
        </is>
      </c>
      <c r="E2425" t="inlineStr">
        <is>
          <t>VÄSTERÅS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27164-2022</t>
        </is>
      </c>
      <c r="B2426" s="1" t="n">
        <v>44741</v>
      </c>
      <c r="C2426" s="1" t="n">
        <v>45345</v>
      </c>
      <c r="D2426" t="inlineStr">
        <is>
          <t>VÄSTMANLANDS LÄN</t>
        </is>
      </c>
      <c r="E2426" t="inlineStr">
        <is>
          <t>SKINNSKATTEBERG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27229-2022</t>
        </is>
      </c>
      <c r="B2427" s="1" t="n">
        <v>44741</v>
      </c>
      <c r="C2427" s="1" t="n">
        <v>45345</v>
      </c>
      <c r="D2427" t="inlineStr">
        <is>
          <t>VÄSTMANLANDS LÄN</t>
        </is>
      </c>
      <c r="E2427" t="inlineStr">
        <is>
          <t>SALA</t>
        </is>
      </c>
      <c r="F2427" t="inlineStr">
        <is>
          <t>Kommuner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27240-2022</t>
        </is>
      </c>
      <c r="B2428" s="1" t="n">
        <v>44741</v>
      </c>
      <c r="C2428" s="1" t="n">
        <v>45345</v>
      </c>
      <c r="D2428" t="inlineStr">
        <is>
          <t>VÄSTMANLANDS LÄN</t>
        </is>
      </c>
      <c r="E2428" t="inlineStr">
        <is>
          <t>SALA</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27260-2022</t>
        </is>
      </c>
      <c r="B2429" s="1" t="n">
        <v>44741</v>
      </c>
      <c r="C2429" s="1" t="n">
        <v>45345</v>
      </c>
      <c r="D2429" t="inlineStr">
        <is>
          <t>VÄSTMANLANDS LÄN</t>
        </is>
      </c>
      <c r="E2429" t="inlineStr">
        <is>
          <t>KÖPING</t>
        </is>
      </c>
      <c r="F2429" t="inlineStr">
        <is>
          <t>Sveaskog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27261-2022</t>
        </is>
      </c>
      <c r="B2430" s="1" t="n">
        <v>44741</v>
      </c>
      <c r="C2430" s="1" t="n">
        <v>45345</v>
      </c>
      <c r="D2430" t="inlineStr">
        <is>
          <t>VÄSTMANLANDS LÄN</t>
        </is>
      </c>
      <c r="E2430" t="inlineStr">
        <is>
          <t>KÖPING</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27446-2022</t>
        </is>
      </c>
      <c r="B2431" s="1" t="n">
        <v>44742</v>
      </c>
      <c r="C2431" s="1" t="n">
        <v>45345</v>
      </c>
      <c r="D2431" t="inlineStr">
        <is>
          <t>VÄSTMANLANDS LÄN</t>
        </is>
      </c>
      <c r="E2431" t="inlineStr">
        <is>
          <t>SALA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27381-2022</t>
        </is>
      </c>
      <c r="B2432" s="1" t="n">
        <v>44742</v>
      </c>
      <c r="C2432" s="1" t="n">
        <v>45345</v>
      </c>
      <c r="D2432" t="inlineStr">
        <is>
          <t>VÄSTMANLANDS LÄN</t>
        </is>
      </c>
      <c r="E2432" t="inlineStr">
        <is>
          <t>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27528-2022</t>
        </is>
      </c>
      <c r="B2433" s="1" t="n">
        <v>44742</v>
      </c>
      <c r="C2433" s="1" t="n">
        <v>45345</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27486-2022</t>
        </is>
      </c>
      <c r="B2434" s="1" t="n">
        <v>44742</v>
      </c>
      <c r="C2434" s="1" t="n">
        <v>45345</v>
      </c>
      <c r="D2434" t="inlineStr">
        <is>
          <t>VÄSTMANLANDS LÄN</t>
        </is>
      </c>
      <c r="E2434" t="inlineStr">
        <is>
          <t>SALA</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27702-2022</t>
        </is>
      </c>
      <c r="B2435" s="1" t="n">
        <v>44743</v>
      </c>
      <c r="C2435" s="1" t="n">
        <v>45345</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27722-2022</t>
        </is>
      </c>
      <c r="B2436" s="1" t="n">
        <v>44743</v>
      </c>
      <c r="C2436" s="1" t="n">
        <v>45345</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27749-2022</t>
        </is>
      </c>
      <c r="B2437" s="1" t="n">
        <v>44743</v>
      </c>
      <c r="C2437" s="1" t="n">
        <v>45345</v>
      </c>
      <c r="D2437" t="inlineStr">
        <is>
          <t>VÄSTMANLANDS LÄN</t>
        </is>
      </c>
      <c r="E2437" t="inlineStr">
        <is>
          <t>KÖPING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27986-2022</t>
        </is>
      </c>
      <c r="B2438" s="1" t="n">
        <v>44745</v>
      </c>
      <c r="C2438" s="1" t="n">
        <v>45345</v>
      </c>
      <c r="D2438" t="inlineStr">
        <is>
          <t>VÄSTMANLANDS LÄN</t>
        </is>
      </c>
      <c r="E2438" t="inlineStr">
        <is>
          <t>ARBOGA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28069-2022</t>
        </is>
      </c>
      <c r="B2439" s="1" t="n">
        <v>44746</v>
      </c>
      <c r="C2439" s="1" t="n">
        <v>45345</v>
      </c>
      <c r="D2439" t="inlineStr">
        <is>
          <t>VÄSTMANLANDS LÄN</t>
        </is>
      </c>
      <c r="E2439" t="inlineStr">
        <is>
          <t>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28215-2022</t>
        </is>
      </c>
      <c r="B2440" s="1" t="n">
        <v>44746</v>
      </c>
      <c r="C2440" s="1" t="n">
        <v>45345</v>
      </c>
      <c r="D2440" t="inlineStr">
        <is>
          <t>VÄSTMANLANDS LÄN</t>
        </is>
      </c>
      <c r="E2440" t="inlineStr">
        <is>
          <t>SALA</t>
        </is>
      </c>
      <c r="F2440" t="inlineStr">
        <is>
          <t>Kyrkan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28249-2022</t>
        </is>
      </c>
      <c r="B2441" s="1" t="n">
        <v>44746</v>
      </c>
      <c r="C2441" s="1" t="n">
        <v>45345</v>
      </c>
      <c r="D2441" t="inlineStr">
        <is>
          <t>VÄSTMANLANDS LÄN</t>
        </is>
      </c>
      <c r="E2441" t="inlineStr">
        <is>
          <t>FAGERSTA</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28402-2022</t>
        </is>
      </c>
      <c r="B2442" s="1" t="n">
        <v>44747</v>
      </c>
      <c r="C2442" s="1" t="n">
        <v>45345</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28863-2022</t>
        </is>
      </c>
      <c r="B2443" s="1" t="n">
        <v>44749</v>
      </c>
      <c r="C2443" s="1" t="n">
        <v>45345</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28875-2022</t>
        </is>
      </c>
      <c r="B2444" s="1" t="n">
        <v>44749</v>
      </c>
      <c r="C2444" s="1" t="n">
        <v>45345</v>
      </c>
      <c r="D2444" t="inlineStr">
        <is>
          <t>VÄSTMANLANDS LÄN</t>
        </is>
      </c>
      <c r="E2444" t="inlineStr">
        <is>
          <t>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28999-2022</t>
        </is>
      </c>
      <c r="B2445" s="1" t="n">
        <v>44749</v>
      </c>
      <c r="C2445" s="1" t="n">
        <v>45345</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v>
      </c>
      <c r="C2446" s="1" t="n">
        <v>45345</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28873-2022</t>
        </is>
      </c>
      <c r="B2447" s="1" t="n">
        <v>44749</v>
      </c>
      <c r="C2447" s="1" t="n">
        <v>45345</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29002-2022</t>
        </is>
      </c>
      <c r="B2448" s="1" t="n">
        <v>44749</v>
      </c>
      <c r="C2448" s="1" t="n">
        <v>45345</v>
      </c>
      <c r="D2448" t="inlineStr">
        <is>
          <t>VÄSTMANLANDS LÄN</t>
        </is>
      </c>
      <c r="E2448" t="inlineStr">
        <is>
          <t>SALA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28868-2022</t>
        </is>
      </c>
      <c r="B2449" s="1" t="n">
        <v>44749</v>
      </c>
      <c r="C2449" s="1" t="n">
        <v>45345</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28874-2022</t>
        </is>
      </c>
      <c r="B2450" s="1" t="n">
        <v>44749</v>
      </c>
      <c r="C2450" s="1" t="n">
        <v>45345</v>
      </c>
      <c r="D2450" t="inlineStr">
        <is>
          <t>VÄSTMANLANDS LÄN</t>
        </is>
      </c>
      <c r="E2450" t="inlineStr">
        <is>
          <t>SALA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28879-2022</t>
        </is>
      </c>
      <c r="B2451" s="1" t="n">
        <v>44749</v>
      </c>
      <c r="C2451" s="1" t="n">
        <v>45345</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29059-2022</t>
        </is>
      </c>
      <c r="B2452" s="1" t="n">
        <v>44750</v>
      </c>
      <c r="C2452" s="1" t="n">
        <v>45345</v>
      </c>
      <c r="D2452" t="inlineStr">
        <is>
          <t>VÄSTMANLANDS LÄN</t>
        </is>
      </c>
      <c r="E2452" t="inlineStr">
        <is>
          <t>KUNGSÖR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29055-2022</t>
        </is>
      </c>
      <c r="B2453" s="1" t="n">
        <v>44750</v>
      </c>
      <c r="C2453" s="1" t="n">
        <v>45345</v>
      </c>
      <c r="D2453" t="inlineStr">
        <is>
          <t>VÄSTMANLANDS LÄN</t>
        </is>
      </c>
      <c r="E2453" t="inlineStr">
        <is>
          <t>KUNGSÖR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29235-2022</t>
        </is>
      </c>
      <c r="B2454" s="1" t="n">
        <v>44750</v>
      </c>
      <c r="C2454" s="1" t="n">
        <v>45345</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29228-2022</t>
        </is>
      </c>
      <c r="B2455" s="1" t="n">
        <v>44750</v>
      </c>
      <c r="C2455" s="1" t="n">
        <v>45345</v>
      </c>
      <c r="D2455" t="inlineStr">
        <is>
          <t>VÄSTMANLANDS LÄN</t>
        </is>
      </c>
      <c r="E2455" t="inlineStr">
        <is>
          <t>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29233-2022</t>
        </is>
      </c>
      <c r="B2456" s="1" t="n">
        <v>44750</v>
      </c>
      <c r="C2456" s="1" t="n">
        <v>45345</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29248-2022</t>
        </is>
      </c>
      <c r="B2457" s="1" t="n">
        <v>44750</v>
      </c>
      <c r="C2457" s="1" t="n">
        <v>45345</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29230-2022</t>
        </is>
      </c>
      <c r="B2458" s="1" t="n">
        <v>44750</v>
      </c>
      <c r="C2458" s="1" t="n">
        <v>45345</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29133-2022</t>
        </is>
      </c>
      <c r="B2459" s="1" t="n">
        <v>44750</v>
      </c>
      <c r="C2459" s="1" t="n">
        <v>45345</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29213-2022</t>
        </is>
      </c>
      <c r="B2460" s="1" t="n">
        <v>44750</v>
      </c>
      <c r="C2460" s="1" t="n">
        <v>45345</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29317-2022</t>
        </is>
      </c>
      <c r="B2461" s="1" t="n">
        <v>44751</v>
      </c>
      <c r="C2461" s="1" t="n">
        <v>45345</v>
      </c>
      <c r="D2461" t="inlineStr">
        <is>
          <t>VÄSTMANLANDS LÄN</t>
        </is>
      </c>
      <c r="E2461" t="inlineStr">
        <is>
          <t>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29448-2022</t>
        </is>
      </c>
      <c r="B2462" s="1" t="n">
        <v>44753</v>
      </c>
      <c r="C2462" s="1" t="n">
        <v>45345</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29446-2022</t>
        </is>
      </c>
      <c r="B2463" s="1" t="n">
        <v>44753</v>
      </c>
      <c r="C2463" s="1" t="n">
        <v>45345</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29445-2022</t>
        </is>
      </c>
      <c r="B2464" s="1" t="n">
        <v>44753</v>
      </c>
      <c r="C2464" s="1" t="n">
        <v>45345</v>
      </c>
      <c r="D2464" t="inlineStr">
        <is>
          <t>VÄSTMANLANDS LÄN</t>
        </is>
      </c>
      <c r="E2464" t="inlineStr">
        <is>
          <t>KÖPING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29513-2022</t>
        </is>
      </c>
      <c r="B2465" s="1" t="n">
        <v>44753</v>
      </c>
      <c r="C2465" s="1" t="n">
        <v>45345</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29510-2022</t>
        </is>
      </c>
      <c r="B2466" s="1" t="n">
        <v>44753</v>
      </c>
      <c r="C2466" s="1" t="n">
        <v>45345</v>
      </c>
      <c r="D2466" t="inlineStr">
        <is>
          <t>VÄSTMANLANDS LÄN</t>
        </is>
      </c>
      <c r="E2466" t="inlineStr">
        <is>
          <t>FAGERSTA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29573-2022</t>
        </is>
      </c>
      <c r="B2467" s="1" t="n">
        <v>44754</v>
      </c>
      <c r="C2467" s="1" t="n">
        <v>45345</v>
      </c>
      <c r="D2467" t="inlineStr">
        <is>
          <t>VÄSTMANLANDS LÄN</t>
        </is>
      </c>
      <c r="E2467" t="inlineStr">
        <is>
          <t>ARBOGA</t>
        </is>
      </c>
      <c r="F2467" t="inlineStr">
        <is>
          <t>Kyrkan</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29746-2022</t>
        </is>
      </c>
      <c r="B2468" s="1" t="n">
        <v>44755</v>
      </c>
      <c r="C2468" s="1" t="n">
        <v>45345</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29749-2022</t>
        </is>
      </c>
      <c r="B2469" s="1" t="n">
        <v>44755</v>
      </c>
      <c r="C2469" s="1" t="n">
        <v>45345</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29752-2022</t>
        </is>
      </c>
      <c r="B2470" s="1" t="n">
        <v>44755</v>
      </c>
      <c r="C2470" s="1" t="n">
        <v>45345</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29963-2022</t>
        </is>
      </c>
      <c r="B2471" s="1" t="n">
        <v>44756</v>
      </c>
      <c r="C2471" s="1" t="n">
        <v>45345</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29965-2022</t>
        </is>
      </c>
      <c r="B2472" s="1" t="n">
        <v>44756</v>
      </c>
      <c r="C2472" s="1" t="n">
        <v>45345</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29982-2022</t>
        </is>
      </c>
      <c r="B2473" s="1" t="n">
        <v>44756</v>
      </c>
      <c r="C2473" s="1" t="n">
        <v>45345</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29934-2022</t>
        </is>
      </c>
      <c r="B2474" s="1" t="n">
        <v>44757</v>
      </c>
      <c r="C2474" s="1" t="n">
        <v>45345</v>
      </c>
      <c r="D2474" t="inlineStr">
        <is>
          <t>VÄSTMANLANDS LÄN</t>
        </is>
      </c>
      <c r="E2474" t="inlineStr">
        <is>
          <t>KÖPING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30079-2022</t>
        </is>
      </c>
      <c r="B2475" s="1" t="n">
        <v>44757</v>
      </c>
      <c r="C2475" s="1" t="n">
        <v>45345</v>
      </c>
      <c r="D2475" t="inlineStr">
        <is>
          <t>VÄSTMANLANDS LÄN</t>
        </is>
      </c>
      <c r="E2475" t="inlineStr">
        <is>
          <t>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30141-2022</t>
        </is>
      </c>
      <c r="B2476" s="1" t="n">
        <v>44757</v>
      </c>
      <c r="C2476" s="1" t="n">
        <v>45345</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30147-2022</t>
        </is>
      </c>
      <c r="B2477" s="1" t="n">
        <v>44757</v>
      </c>
      <c r="C2477" s="1" t="n">
        <v>45345</v>
      </c>
      <c r="D2477" t="inlineStr">
        <is>
          <t>VÄSTMANLANDS LÄN</t>
        </is>
      </c>
      <c r="E2477" t="inlineStr">
        <is>
          <t>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30194-2022</t>
        </is>
      </c>
      <c r="B2478" s="1" t="n">
        <v>44757</v>
      </c>
      <c r="C2478" s="1" t="n">
        <v>45345</v>
      </c>
      <c r="D2478" t="inlineStr">
        <is>
          <t>VÄSTMANLANDS LÄN</t>
        </is>
      </c>
      <c r="E2478" t="inlineStr">
        <is>
          <t>VÄSTERÅS</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30360-2022</t>
        </is>
      </c>
      <c r="B2479" s="1" t="n">
        <v>44760</v>
      </c>
      <c r="C2479" s="1" t="n">
        <v>45345</v>
      </c>
      <c r="D2479" t="inlineStr">
        <is>
          <t>VÄSTMANLANDS LÄN</t>
        </is>
      </c>
      <c r="E2479" t="inlineStr">
        <is>
          <t>SALA</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30305-2022</t>
        </is>
      </c>
      <c r="B2480" s="1" t="n">
        <v>44760</v>
      </c>
      <c r="C2480" s="1" t="n">
        <v>45345</v>
      </c>
      <c r="D2480" t="inlineStr">
        <is>
          <t>VÄSTMANLANDS LÄN</t>
        </is>
      </c>
      <c r="E2480" t="inlineStr">
        <is>
          <t>ARBOGA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30468-2022</t>
        </is>
      </c>
      <c r="B2481" s="1" t="n">
        <v>44761</v>
      </c>
      <c r="C2481" s="1" t="n">
        <v>45345</v>
      </c>
      <c r="D2481" t="inlineStr">
        <is>
          <t>VÄSTMANLANDS LÄN</t>
        </is>
      </c>
      <c r="E2481" t="inlineStr">
        <is>
          <t>VÄSTERÅS</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30442-2022</t>
        </is>
      </c>
      <c r="B2482" s="1" t="n">
        <v>44761</v>
      </c>
      <c r="C2482" s="1" t="n">
        <v>45345</v>
      </c>
      <c r="D2482" t="inlineStr">
        <is>
          <t>VÄSTMANLANDS LÄN</t>
        </is>
      </c>
      <c r="E2482" t="inlineStr">
        <is>
          <t>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30433-2022</t>
        </is>
      </c>
      <c r="B2483" s="1" t="n">
        <v>44761</v>
      </c>
      <c r="C2483" s="1" t="n">
        <v>45345</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30465-2022</t>
        </is>
      </c>
      <c r="B2484" s="1" t="n">
        <v>44761</v>
      </c>
      <c r="C2484" s="1" t="n">
        <v>45345</v>
      </c>
      <c r="D2484" t="inlineStr">
        <is>
          <t>VÄSTMANLANDS LÄN</t>
        </is>
      </c>
      <c r="E2484" t="inlineStr">
        <is>
          <t>VÄSTERÅS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30569-2022</t>
        </is>
      </c>
      <c r="B2485" s="1" t="n">
        <v>44762</v>
      </c>
      <c r="C2485" s="1" t="n">
        <v>45345</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30570-2022</t>
        </is>
      </c>
      <c r="B2486" s="1" t="n">
        <v>44762</v>
      </c>
      <c r="C2486" s="1" t="n">
        <v>45345</v>
      </c>
      <c r="D2486" t="inlineStr">
        <is>
          <t>VÄSTMANLANDS LÄN</t>
        </is>
      </c>
      <c r="E2486" t="inlineStr">
        <is>
          <t>VÄSTERÅS</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30759-2022</t>
        </is>
      </c>
      <c r="B2487" s="1" t="n">
        <v>44764</v>
      </c>
      <c r="C2487" s="1" t="n">
        <v>45345</v>
      </c>
      <c r="D2487" t="inlineStr">
        <is>
          <t>VÄSTMANLANDS LÄN</t>
        </is>
      </c>
      <c r="E2487" t="inlineStr">
        <is>
          <t>VÄSTERÅS</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30761-2022</t>
        </is>
      </c>
      <c r="B2488" s="1" t="n">
        <v>44764</v>
      </c>
      <c r="C2488" s="1" t="n">
        <v>45345</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30766-2022</t>
        </is>
      </c>
      <c r="B2489" s="1" t="n">
        <v>44764</v>
      </c>
      <c r="C2489" s="1" t="n">
        <v>45345</v>
      </c>
      <c r="D2489" t="inlineStr">
        <is>
          <t>VÄSTMANLANDS LÄN</t>
        </is>
      </c>
      <c r="E2489" t="inlineStr">
        <is>
          <t>HALLSTAHAMMAR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30813-2022</t>
        </is>
      </c>
      <c r="B2490" s="1" t="n">
        <v>44765</v>
      </c>
      <c r="C2490" s="1" t="n">
        <v>45345</v>
      </c>
      <c r="D2490" t="inlineStr">
        <is>
          <t>VÄSTMANLANDS LÄN</t>
        </is>
      </c>
      <c r="E2490" t="inlineStr">
        <is>
          <t>FAGERSTA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30868-2022</t>
        </is>
      </c>
      <c r="B2491" s="1" t="n">
        <v>44767</v>
      </c>
      <c r="C2491" s="1" t="n">
        <v>45345</v>
      </c>
      <c r="D2491" t="inlineStr">
        <is>
          <t>VÄSTMANLANDS LÄN</t>
        </is>
      </c>
      <c r="E2491" t="inlineStr">
        <is>
          <t>FAGERSTA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30971-2022</t>
        </is>
      </c>
      <c r="B2492" s="1" t="n">
        <v>44768</v>
      </c>
      <c r="C2492" s="1" t="n">
        <v>45345</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31000-2022</t>
        </is>
      </c>
      <c r="B2493" s="1" t="n">
        <v>44768</v>
      </c>
      <c r="C2493" s="1" t="n">
        <v>45345</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31161-2022</t>
        </is>
      </c>
      <c r="B2494" s="1" t="n">
        <v>44770</v>
      </c>
      <c r="C2494" s="1" t="n">
        <v>45345</v>
      </c>
      <c r="D2494" t="inlineStr">
        <is>
          <t>VÄSTMANLANDS LÄN</t>
        </is>
      </c>
      <c r="E2494" t="inlineStr">
        <is>
          <t>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31128-2022</t>
        </is>
      </c>
      <c r="B2495" s="1" t="n">
        <v>44770</v>
      </c>
      <c r="C2495" s="1" t="n">
        <v>45345</v>
      </c>
      <c r="D2495" t="inlineStr">
        <is>
          <t>VÄSTMANLANDS LÄN</t>
        </is>
      </c>
      <c r="E2495" t="inlineStr">
        <is>
          <t>HALLSTAHAMMAR</t>
        </is>
      </c>
      <c r="F2495" t="inlineStr">
        <is>
          <t>Allmännings- och besparingsskogar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31193-2022</t>
        </is>
      </c>
      <c r="B2496" s="1" t="n">
        <v>44770</v>
      </c>
      <c r="C2496" s="1" t="n">
        <v>45345</v>
      </c>
      <c r="D2496" t="inlineStr">
        <is>
          <t>VÄSTMANLANDS LÄN</t>
        </is>
      </c>
      <c r="E2496" t="inlineStr">
        <is>
          <t>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31319-2022</t>
        </is>
      </c>
      <c r="B2497" s="1" t="n">
        <v>44774</v>
      </c>
      <c r="C2497" s="1" t="n">
        <v>45345</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31395-2022</t>
        </is>
      </c>
      <c r="B2498" s="1" t="n">
        <v>44774</v>
      </c>
      <c r="C2498" s="1" t="n">
        <v>45345</v>
      </c>
      <c r="D2498" t="inlineStr">
        <is>
          <t>VÄSTMANLANDS LÄN</t>
        </is>
      </c>
      <c r="E2498" t="inlineStr">
        <is>
          <t>SKINNSKATTEBERG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31373-2022</t>
        </is>
      </c>
      <c r="B2499" s="1" t="n">
        <v>44774</v>
      </c>
      <c r="C2499" s="1" t="n">
        <v>45345</v>
      </c>
      <c r="D2499" t="inlineStr">
        <is>
          <t>VÄSTMANLANDS LÄN</t>
        </is>
      </c>
      <c r="E2499" t="inlineStr">
        <is>
          <t>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31403-2022</t>
        </is>
      </c>
      <c r="B2500" s="1" t="n">
        <v>44774</v>
      </c>
      <c r="C2500" s="1" t="n">
        <v>45345</v>
      </c>
      <c r="D2500" t="inlineStr">
        <is>
          <t>VÄSTMANLANDS LÄN</t>
        </is>
      </c>
      <c r="E2500" t="inlineStr">
        <is>
          <t>SKINNSKATTEBERG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31380-2022</t>
        </is>
      </c>
      <c r="B2501" s="1" t="n">
        <v>44774</v>
      </c>
      <c r="C2501" s="1" t="n">
        <v>45345</v>
      </c>
      <c r="D2501" t="inlineStr">
        <is>
          <t>VÄSTMANLANDS LÄN</t>
        </is>
      </c>
      <c r="E2501" t="inlineStr">
        <is>
          <t>SALA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31387-2022</t>
        </is>
      </c>
      <c r="B2502" s="1" t="n">
        <v>44774</v>
      </c>
      <c r="C2502" s="1" t="n">
        <v>45345</v>
      </c>
      <c r="D2502" t="inlineStr">
        <is>
          <t>VÄSTMANLANDS LÄN</t>
        </is>
      </c>
      <c r="E2502" t="inlineStr">
        <is>
          <t>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31394-2022</t>
        </is>
      </c>
      <c r="B2503" s="1" t="n">
        <v>44774</v>
      </c>
      <c r="C2503" s="1" t="n">
        <v>45345</v>
      </c>
      <c r="D2503" t="inlineStr">
        <is>
          <t>VÄSTMANLANDS LÄN</t>
        </is>
      </c>
      <c r="E2503" t="inlineStr">
        <is>
          <t>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31578-2022</t>
        </is>
      </c>
      <c r="B2504" s="1" t="n">
        <v>44775</v>
      </c>
      <c r="C2504" s="1" t="n">
        <v>45345</v>
      </c>
      <c r="D2504" t="inlineStr">
        <is>
          <t>VÄSTMANLANDS LÄN</t>
        </is>
      </c>
      <c r="E2504" t="inlineStr">
        <is>
          <t>VÄSTERÅS</t>
        </is>
      </c>
      <c r="F2504" t="inlineStr">
        <is>
          <t>Kommuner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31831-2022</t>
        </is>
      </c>
      <c r="B2505" s="1" t="n">
        <v>44776</v>
      </c>
      <c r="C2505" s="1" t="n">
        <v>45345</v>
      </c>
      <c r="D2505" t="inlineStr">
        <is>
          <t>VÄSTMANLANDS LÄN</t>
        </is>
      </c>
      <c r="E2505" t="inlineStr">
        <is>
          <t>FAGERSTA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31883-2022</t>
        </is>
      </c>
      <c r="B2506" s="1" t="n">
        <v>44777</v>
      </c>
      <c r="C2506" s="1" t="n">
        <v>45345</v>
      </c>
      <c r="D2506" t="inlineStr">
        <is>
          <t>VÄSTMANLANDS LÄN</t>
        </is>
      </c>
      <c r="E2506" t="inlineStr">
        <is>
          <t>KUNGSÖR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32249-2022</t>
        </is>
      </c>
      <c r="B2507" s="1" t="n">
        <v>44781</v>
      </c>
      <c r="C2507" s="1" t="n">
        <v>45345</v>
      </c>
      <c r="D2507" t="inlineStr">
        <is>
          <t>VÄSTMANLANDS LÄN</t>
        </is>
      </c>
      <c r="E2507" t="inlineStr">
        <is>
          <t>FAGERSTA</t>
        </is>
      </c>
      <c r="F2507" t="inlineStr">
        <is>
          <t>Kommuner</t>
        </is>
      </c>
      <c r="G2507" t="n">
        <v>22.9</v>
      </c>
      <c r="H2507" t="n">
        <v>0</v>
      </c>
      <c r="I2507" t="n">
        <v>0</v>
      </c>
      <c r="J2507" t="n">
        <v>0</v>
      </c>
      <c r="K2507" t="n">
        <v>0</v>
      </c>
      <c r="L2507" t="n">
        <v>0</v>
      </c>
      <c r="M2507" t="n">
        <v>0</v>
      </c>
      <c r="N2507" t="n">
        <v>0</v>
      </c>
      <c r="O2507" t="n">
        <v>0</v>
      </c>
      <c r="P2507" t="n">
        <v>0</v>
      </c>
      <c r="Q2507" t="n">
        <v>0</v>
      </c>
      <c r="R2507" s="2" t="inlineStr"/>
    </row>
    <row r="2508" ht="15" customHeight="1">
      <c r="A2508" t="inlineStr">
        <is>
          <t>A 32224-2022</t>
        </is>
      </c>
      <c r="B2508" s="1" t="n">
        <v>44781</v>
      </c>
      <c r="C2508" s="1" t="n">
        <v>45345</v>
      </c>
      <c r="D2508" t="inlineStr">
        <is>
          <t>VÄSTMANLANDS LÄN</t>
        </is>
      </c>
      <c r="E2508" t="inlineStr">
        <is>
          <t>ARBOGA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32475-2022</t>
        </is>
      </c>
      <c r="B2509" s="1" t="n">
        <v>44782</v>
      </c>
      <c r="C2509" s="1" t="n">
        <v>45345</v>
      </c>
      <c r="D2509" t="inlineStr">
        <is>
          <t>VÄSTMANLANDS LÄN</t>
        </is>
      </c>
      <c r="E2509" t="inlineStr">
        <is>
          <t>SURAHAMMAR</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32491-2022</t>
        </is>
      </c>
      <c r="B2510" s="1" t="n">
        <v>44782</v>
      </c>
      <c r="C2510" s="1" t="n">
        <v>45345</v>
      </c>
      <c r="D2510" t="inlineStr">
        <is>
          <t>VÄSTMANLANDS LÄN</t>
        </is>
      </c>
      <c r="E2510" t="inlineStr">
        <is>
          <t>SURAHAMMAR</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32492-2022</t>
        </is>
      </c>
      <c r="B2511" s="1" t="n">
        <v>44782</v>
      </c>
      <c r="C2511" s="1" t="n">
        <v>45345</v>
      </c>
      <c r="D2511" t="inlineStr">
        <is>
          <t>VÄSTMANLANDS LÄN</t>
        </is>
      </c>
      <c r="E2511" t="inlineStr">
        <is>
          <t>SURAHAMMAR</t>
        </is>
      </c>
      <c r="F2511" t="inlineStr">
        <is>
          <t>Bergvik skog väst AB</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33156-2022</t>
        </is>
      </c>
      <c r="B2512" s="1" t="n">
        <v>44785</v>
      </c>
      <c r="C2512" s="1" t="n">
        <v>45345</v>
      </c>
      <c r="D2512" t="inlineStr">
        <is>
          <t>VÄSTMANLANDS LÄN</t>
        </is>
      </c>
      <c r="E2512" t="inlineStr">
        <is>
          <t>KÖPING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33176-2022</t>
        </is>
      </c>
      <c r="B2513" s="1" t="n">
        <v>44785</v>
      </c>
      <c r="C2513" s="1" t="n">
        <v>45345</v>
      </c>
      <c r="D2513" t="inlineStr">
        <is>
          <t>VÄSTMANLANDS LÄN</t>
        </is>
      </c>
      <c r="E2513" t="inlineStr">
        <is>
          <t>SKINNSKATTEBERG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33177-2022</t>
        </is>
      </c>
      <c r="B2514" s="1" t="n">
        <v>44785</v>
      </c>
      <c r="C2514" s="1" t="n">
        <v>45345</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33154-2022</t>
        </is>
      </c>
      <c r="B2515" s="1" t="n">
        <v>44785</v>
      </c>
      <c r="C2515" s="1" t="n">
        <v>45345</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33179-2022</t>
        </is>
      </c>
      <c r="B2516" s="1" t="n">
        <v>44785</v>
      </c>
      <c r="C2516" s="1" t="n">
        <v>45345</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33309-2022</t>
        </is>
      </c>
      <c r="B2517" s="1" t="n">
        <v>44788</v>
      </c>
      <c r="C2517" s="1" t="n">
        <v>45345</v>
      </c>
      <c r="D2517" t="inlineStr">
        <is>
          <t>VÄSTMANLANDS LÄN</t>
        </is>
      </c>
      <c r="E2517" t="inlineStr">
        <is>
          <t>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33433-2022</t>
        </is>
      </c>
      <c r="B2518" s="1" t="n">
        <v>44788</v>
      </c>
      <c r="C2518" s="1" t="n">
        <v>45345</v>
      </c>
      <c r="D2518" t="inlineStr">
        <is>
          <t>VÄSTMANLANDS LÄN</t>
        </is>
      </c>
      <c r="E2518" t="inlineStr">
        <is>
          <t>KÖPING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33600-2022</t>
        </is>
      </c>
      <c r="B2519" s="1" t="n">
        <v>44789</v>
      </c>
      <c r="C2519" s="1" t="n">
        <v>45345</v>
      </c>
      <c r="D2519" t="inlineStr">
        <is>
          <t>VÄSTMANLANDS LÄN</t>
        </is>
      </c>
      <c r="E2519" t="inlineStr">
        <is>
          <t>SKINNSKATTEBERG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33641-2022</t>
        </is>
      </c>
      <c r="B2520" s="1" t="n">
        <v>44789</v>
      </c>
      <c r="C2520" s="1" t="n">
        <v>45345</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45345</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33931-2022</t>
        </is>
      </c>
      <c r="B2522" s="1" t="n">
        <v>44790</v>
      </c>
      <c r="C2522" s="1" t="n">
        <v>45345</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33946-2022</t>
        </is>
      </c>
      <c r="B2523" s="1" t="n">
        <v>44790</v>
      </c>
      <c r="C2523" s="1" t="n">
        <v>45345</v>
      </c>
      <c r="D2523" t="inlineStr">
        <is>
          <t>VÄSTMANLANDS LÄN</t>
        </is>
      </c>
      <c r="E2523" t="inlineStr">
        <is>
          <t>SURAHAMMAR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33953-2022</t>
        </is>
      </c>
      <c r="B2524" s="1" t="n">
        <v>44790</v>
      </c>
      <c r="C2524" s="1" t="n">
        <v>45345</v>
      </c>
      <c r="D2524" t="inlineStr">
        <is>
          <t>VÄSTMANLANDS LÄN</t>
        </is>
      </c>
      <c r="E2524" t="inlineStr">
        <is>
          <t>SURAHAMMAR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34073-2022</t>
        </is>
      </c>
      <c r="B2525" s="1" t="n">
        <v>44791</v>
      </c>
      <c r="C2525" s="1" t="n">
        <v>45345</v>
      </c>
      <c r="D2525" t="inlineStr">
        <is>
          <t>VÄSTMANLANDS LÄN</t>
        </is>
      </c>
      <c r="E2525" t="inlineStr">
        <is>
          <t>VÄSTERÅS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34110-2022</t>
        </is>
      </c>
      <c r="B2526" s="1" t="n">
        <v>44791</v>
      </c>
      <c r="C2526" s="1" t="n">
        <v>45345</v>
      </c>
      <c r="D2526" t="inlineStr">
        <is>
          <t>VÄSTMANLANDS LÄN</t>
        </is>
      </c>
      <c r="E2526" t="inlineStr">
        <is>
          <t>SALA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34461-2022</t>
        </is>
      </c>
      <c r="B2527" s="1" t="n">
        <v>44792</v>
      </c>
      <c r="C2527" s="1" t="n">
        <v>45345</v>
      </c>
      <c r="D2527" t="inlineStr">
        <is>
          <t>VÄSTMANLANDS LÄN</t>
        </is>
      </c>
      <c r="E2527" t="inlineStr">
        <is>
          <t>VÄSTERÅS</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34468-2022</t>
        </is>
      </c>
      <c r="B2528" s="1" t="n">
        <v>44792</v>
      </c>
      <c r="C2528" s="1" t="n">
        <v>45345</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34733-2022</t>
        </is>
      </c>
      <c r="B2529" s="1" t="n">
        <v>44795</v>
      </c>
      <c r="C2529" s="1" t="n">
        <v>45345</v>
      </c>
      <c r="D2529" t="inlineStr">
        <is>
          <t>VÄSTMANLANDS LÄN</t>
        </is>
      </c>
      <c r="E2529" t="inlineStr">
        <is>
          <t>FAGERSTA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34737-2022</t>
        </is>
      </c>
      <c r="B2530" s="1" t="n">
        <v>44795</v>
      </c>
      <c r="C2530" s="1" t="n">
        <v>45345</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34957-2022</t>
        </is>
      </c>
      <c r="B2531" s="1" t="n">
        <v>44796</v>
      </c>
      <c r="C2531" s="1" t="n">
        <v>45345</v>
      </c>
      <c r="D2531" t="inlineStr">
        <is>
          <t>VÄSTMANLANDS LÄN</t>
        </is>
      </c>
      <c r="E2531" t="inlineStr">
        <is>
          <t>SURAHAMMAR</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34955-2022</t>
        </is>
      </c>
      <c r="B2532" s="1" t="n">
        <v>44796</v>
      </c>
      <c r="C2532" s="1" t="n">
        <v>45345</v>
      </c>
      <c r="D2532" t="inlineStr">
        <is>
          <t>VÄSTMANLANDS LÄN</t>
        </is>
      </c>
      <c r="E2532" t="inlineStr">
        <is>
          <t>SURAHAMMAR</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34956-2022</t>
        </is>
      </c>
      <c r="B2533" s="1" t="n">
        <v>44796</v>
      </c>
      <c r="C2533" s="1" t="n">
        <v>45345</v>
      </c>
      <c r="D2533" t="inlineStr">
        <is>
          <t>VÄSTMANLANDS LÄN</t>
        </is>
      </c>
      <c r="E2533" t="inlineStr">
        <is>
          <t>SURAHAMMAR</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35108-2022</t>
        </is>
      </c>
      <c r="B2534" s="1" t="n">
        <v>44797</v>
      </c>
      <c r="C2534" s="1" t="n">
        <v>45345</v>
      </c>
      <c r="D2534" t="inlineStr">
        <is>
          <t>VÄSTMANLANDS LÄN</t>
        </is>
      </c>
      <c r="E2534" t="inlineStr">
        <is>
          <t>KÖPING</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35144-2022</t>
        </is>
      </c>
      <c r="B2535" s="1" t="n">
        <v>44797</v>
      </c>
      <c r="C2535" s="1" t="n">
        <v>45345</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35410-2022</t>
        </is>
      </c>
      <c r="B2536" s="1" t="n">
        <v>44798</v>
      </c>
      <c r="C2536" s="1" t="n">
        <v>45345</v>
      </c>
      <c r="D2536" t="inlineStr">
        <is>
          <t>VÄSTMANLANDS LÄN</t>
        </is>
      </c>
      <c r="E2536" t="inlineStr">
        <is>
          <t>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35637-2022</t>
        </is>
      </c>
      <c r="B2537" s="1" t="n">
        <v>44799</v>
      </c>
      <c r="C2537" s="1" t="n">
        <v>45345</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35677-2022</t>
        </is>
      </c>
      <c r="B2538" s="1" t="n">
        <v>44799</v>
      </c>
      <c r="C2538" s="1" t="n">
        <v>45345</v>
      </c>
      <c r="D2538" t="inlineStr">
        <is>
          <t>VÄSTMANLANDS LÄN</t>
        </is>
      </c>
      <c r="E2538" t="inlineStr">
        <is>
          <t>SURAHAMMAR</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35682-2022</t>
        </is>
      </c>
      <c r="B2539" s="1" t="n">
        <v>44799</v>
      </c>
      <c r="C2539" s="1" t="n">
        <v>45345</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35679-2022</t>
        </is>
      </c>
      <c r="B2540" s="1" t="n">
        <v>44799</v>
      </c>
      <c r="C2540" s="1" t="n">
        <v>45345</v>
      </c>
      <c r="D2540" t="inlineStr">
        <is>
          <t>VÄSTMANLANDS LÄN</t>
        </is>
      </c>
      <c r="E2540" t="inlineStr">
        <is>
          <t>SURAHAMMAR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35684-2022</t>
        </is>
      </c>
      <c r="B2541" s="1" t="n">
        <v>44799</v>
      </c>
      <c r="C2541" s="1" t="n">
        <v>45345</v>
      </c>
      <c r="D2541" t="inlineStr">
        <is>
          <t>VÄSTMANLANDS LÄN</t>
        </is>
      </c>
      <c r="E2541" t="inlineStr">
        <is>
          <t>NORBERG</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35983-2022</t>
        </is>
      </c>
      <c r="B2542" s="1" t="n">
        <v>44802</v>
      </c>
      <c r="C2542" s="1" t="n">
        <v>45345</v>
      </c>
      <c r="D2542" t="inlineStr">
        <is>
          <t>VÄSTMANLANDS LÄN</t>
        </is>
      </c>
      <c r="E2542" t="inlineStr">
        <is>
          <t>VÄSTERÅS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36270-2022</t>
        </is>
      </c>
      <c r="B2543" s="1" t="n">
        <v>44803</v>
      </c>
      <c r="C2543" s="1" t="n">
        <v>45345</v>
      </c>
      <c r="D2543" t="inlineStr">
        <is>
          <t>VÄSTMANLANDS LÄN</t>
        </is>
      </c>
      <c r="E2543" t="inlineStr">
        <is>
          <t>SKINNSKATTEBERG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36288-2022</t>
        </is>
      </c>
      <c r="B2544" s="1" t="n">
        <v>44803</v>
      </c>
      <c r="C2544" s="1" t="n">
        <v>45345</v>
      </c>
      <c r="D2544" t="inlineStr">
        <is>
          <t>VÄSTMANLANDS LÄN</t>
        </is>
      </c>
      <c r="E2544" t="inlineStr">
        <is>
          <t>SKINNSKATTEBERG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36419-2022</t>
        </is>
      </c>
      <c r="B2545" s="1" t="n">
        <v>44803</v>
      </c>
      <c r="C2545" s="1" t="n">
        <v>45345</v>
      </c>
      <c r="D2545" t="inlineStr">
        <is>
          <t>VÄSTMANLANDS LÄN</t>
        </is>
      </c>
      <c r="E2545" t="inlineStr">
        <is>
          <t>KUNGSÖR</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36504-2022</t>
        </is>
      </c>
      <c r="B2546" s="1" t="n">
        <v>44804</v>
      </c>
      <c r="C2546" s="1" t="n">
        <v>45345</v>
      </c>
      <c r="D2546" t="inlineStr">
        <is>
          <t>VÄSTMANLANDS LÄN</t>
        </is>
      </c>
      <c r="E2546" t="inlineStr">
        <is>
          <t>KÖPING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36838-2022</t>
        </is>
      </c>
      <c r="B2547" s="1" t="n">
        <v>44805</v>
      </c>
      <c r="C2547" s="1" t="n">
        <v>45345</v>
      </c>
      <c r="D2547" t="inlineStr">
        <is>
          <t>VÄSTMANLANDS LÄN</t>
        </is>
      </c>
      <c r="E2547" t="inlineStr">
        <is>
          <t>NORBERG</t>
        </is>
      </c>
      <c r="F2547" t="inlineStr">
        <is>
          <t>Sveaskog</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36836-2022</t>
        </is>
      </c>
      <c r="B2548" s="1" t="n">
        <v>44805</v>
      </c>
      <c r="C2548" s="1" t="n">
        <v>45345</v>
      </c>
      <c r="D2548" t="inlineStr">
        <is>
          <t>VÄSTMANLANDS LÄN</t>
        </is>
      </c>
      <c r="E2548" t="inlineStr">
        <is>
          <t>NORBERG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36839-2022</t>
        </is>
      </c>
      <c r="B2549" s="1" t="n">
        <v>44805</v>
      </c>
      <c r="C2549" s="1" t="n">
        <v>45345</v>
      </c>
      <c r="D2549" t="inlineStr">
        <is>
          <t>VÄSTMANLANDS LÄN</t>
        </is>
      </c>
      <c r="E2549" t="inlineStr">
        <is>
          <t>NORBERG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v>
      </c>
      <c r="C2550" s="1" t="n">
        <v>45345</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37447-2022</t>
        </is>
      </c>
      <c r="B2551" s="1" t="n">
        <v>44809</v>
      </c>
      <c r="C2551" s="1" t="n">
        <v>45345</v>
      </c>
      <c r="D2551" t="inlineStr">
        <is>
          <t>VÄSTMANLANDS LÄN</t>
        </is>
      </c>
      <c r="E2551" t="inlineStr">
        <is>
          <t>KÖPING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37686-2022</t>
        </is>
      </c>
      <c r="B2552" s="1" t="n">
        <v>44810</v>
      </c>
      <c r="C2552" s="1" t="n">
        <v>45345</v>
      </c>
      <c r="D2552" t="inlineStr">
        <is>
          <t>VÄSTMANLANDS LÄN</t>
        </is>
      </c>
      <c r="E2552" t="inlineStr">
        <is>
          <t>HALLSTAHAMMAR</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37660-2022</t>
        </is>
      </c>
      <c r="B2553" s="1" t="n">
        <v>44810</v>
      </c>
      <c r="C2553" s="1" t="n">
        <v>45345</v>
      </c>
      <c r="D2553" t="inlineStr">
        <is>
          <t>VÄSTMANLANDS LÄN</t>
        </is>
      </c>
      <c r="E2553" t="inlineStr">
        <is>
          <t>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37730-2022</t>
        </is>
      </c>
      <c r="B2554" s="1" t="n">
        <v>44810</v>
      </c>
      <c r="C2554" s="1" t="n">
        <v>45345</v>
      </c>
      <c r="D2554" t="inlineStr">
        <is>
          <t>VÄSTMANLANDS LÄN</t>
        </is>
      </c>
      <c r="E2554" t="inlineStr">
        <is>
          <t>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37751-2022</t>
        </is>
      </c>
      <c r="B2555" s="1" t="n">
        <v>44810</v>
      </c>
      <c r="C2555" s="1" t="n">
        <v>45345</v>
      </c>
      <c r="D2555" t="inlineStr">
        <is>
          <t>VÄSTMANLANDS LÄN</t>
        </is>
      </c>
      <c r="E2555" t="inlineStr">
        <is>
          <t>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37776-2022</t>
        </is>
      </c>
      <c r="B2556" s="1" t="n">
        <v>44810</v>
      </c>
      <c r="C2556" s="1" t="n">
        <v>45345</v>
      </c>
      <c r="D2556" t="inlineStr">
        <is>
          <t>VÄSTMANLANDS LÄN</t>
        </is>
      </c>
      <c r="E2556" t="inlineStr">
        <is>
          <t>KÖPING</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38081-2022</t>
        </is>
      </c>
      <c r="B2557" s="1" t="n">
        <v>44811</v>
      </c>
      <c r="C2557" s="1" t="n">
        <v>45345</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38161-2022</t>
        </is>
      </c>
      <c r="B2558" s="1" t="n">
        <v>44812</v>
      </c>
      <c r="C2558" s="1" t="n">
        <v>45345</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38381-2022</t>
        </is>
      </c>
      <c r="B2559" s="1" t="n">
        <v>44812</v>
      </c>
      <c r="C2559" s="1" t="n">
        <v>45345</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38555-2022</t>
        </is>
      </c>
      <c r="B2560" s="1" t="n">
        <v>44813</v>
      </c>
      <c r="C2560" s="1" t="n">
        <v>45345</v>
      </c>
      <c r="D2560" t="inlineStr">
        <is>
          <t>VÄSTMANLANDS LÄN</t>
        </is>
      </c>
      <c r="E2560" t="inlineStr">
        <is>
          <t>HALLSTAHAMMAR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38725-2022</t>
        </is>
      </c>
      <c r="B2561" s="1" t="n">
        <v>44815</v>
      </c>
      <c r="C2561" s="1" t="n">
        <v>45345</v>
      </c>
      <c r="D2561" t="inlineStr">
        <is>
          <t>VÄSTMANLANDS LÄN</t>
        </is>
      </c>
      <c r="E2561" t="inlineStr">
        <is>
          <t>NORBERG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38905-2022</t>
        </is>
      </c>
      <c r="B2562" s="1" t="n">
        <v>44816</v>
      </c>
      <c r="C2562" s="1" t="n">
        <v>45345</v>
      </c>
      <c r="D2562" t="inlineStr">
        <is>
          <t>VÄSTMANLANDS LÄN</t>
        </is>
      </c>
      <c r="E2562" t="inlineStr">
        <is>
          <t>NORBERG</t>
        </is>
      </c>
      <c r="F2562" t="inlineStr">
        <is>
          <t>Sveaskog</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38906-2022</t>
        </is>
      </c>
      <c r="B2563" s="1" t="n">
        <v>44816</v>
      </c>
      <c r="C2563" s="1" t="n">
        <v>45345</v>
      </c>
      <c r="D2563" t="inlineStr">
        <is>
          <t>VÄSTMANLANDS LÄN</t>
        </is>
      </c>
      <c r="E2563" t="inlineStr">
        <is>
          <t>NORBERG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38903-2022</t>
        </is>
      </c>
      <c r="B2564" s="1" t="n">
        <v>44816</v>
      </c>
      <c r="C2564" s="1" t="n">
        <v>45345</v>
      </c>
      <c r="D2564" t="inlineStr">
        <is>
          <t>VÄSTMANLANDS LÄN</t>
        </is>
      </c>
      <c r="E2564" t="inlineStr">
        <is>
          <t>NORBERG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45345</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39214-2022</t>
        </is>
      </c>
      <c r="B2566" s="1" t="n">
        <v>44817</v>
      </c>
      <c r="C2566" s="1" t="n">
        <v>45345</v>
      </c>
      <c r="D2566" t="inlineStr">
        <is>
          <t>VÄSTMANLANDS LÄN</t>
        </is>
      </c>
      <c r="E2566" t="inlineStr">
        <is>
          <t>FAGERSTA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39432-2022</t>
        </is>
      </c>
      <c r="B2567" s="1" t="n">
        <v>44818</v>
      </c>
      <c r="C2567" s="1" t="n">
        <v>45345</v>
      </c>
      <c r="D2567" t="inlineStr">
        <is>
          <t>VÄSTMANLANDS LÄN</t>
        </is>
      </c>
      <c r="E2567" t="inlineStr">
        <is>
          <t>SKINNSKATTEBERG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39451-2022</t>
        </is>
      </c>
      <c r="B2568" s="1" t="n">
        <v>44818</v>
      </c>
      <c r="C2568" s="1" t="n">
        <v>45345</v>
      </c>
      <c r="D2568" t="inlineStr">
        <is>
          <t>VÄSTMANLANDS LÄN</t>
        </is>
      </c>
      <c r="E2568" t="inlineStr">
        <is>
          <t>SALA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39600-2022</t>
        </is>
      </c>
      <c r="B2569" s="1" t="n">
        <v>44818</v>
      </c>
      <c r="C2569" s="1" t="n">
        <v>45345</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39597-2022</t>
        </is>
      </c>
      <c r="B2570" s="1" t="n">
        <v>44818</v>
      </c>
      <c r="C2570" s="1" t="n">
        <v>45345</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40094-2022</t>
        </is>
      </c>
      <c r="B2571" s="1" t="n">
        <v>44819</v>
      </c>
      <c r="C2571" s="1" t="n">
        <v>45345</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40113-2022</t>
        </is>
      </c>
      <c r="B2572" s="1" t="n">
        <v>44819</v>
      </c>
      <c r="C2572" s="1" t="n">
        <v>45345</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40405-2022</t>
        </is>
      </c>
      <c r="B2573" s="1" t="n">
        <v>44823</v>
      </c>
      <c r="C2573" s="1" t="n">
        <v>45345</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40499-2022</t>
        </is>
      </c>
      <c r="B2574" s="1" t="n">
        <v>44823</v>
      </c>
      <c r="C2574" s="1" t="n">
        <v>45345</v>
      </c>
      <c r="D2574" t="inlineStr">
        <is>
          <t>VÄSTMANLANDS LÄN</t>
        </is>
      </c>
      <c r="E2574" t="inlineStr">
        <is>
          <t>SKINNSKATTEBERG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40597-2022</t>
        </is>
      </c>
      <c r="B2575" s="1" t="n">
        <v>44823</v>
      </c>
      <c r="C2575" s="1" t="n">
        <v>45345</v>
      </c>
      <c r="D2575" t="inlineStr">
        <is>
          <t>VÄSTMANLANDS LÄN</t>
        </is>
      </c>
      <c r="E2575" t="inlineStr">
        <is>
          <t>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40782-2022</t>
        </is>
      </c>
      <c r="B2576" s="1" t="n">
        <v>44824</v>
      </c>
      <c r="C2576" s="1" t="n">
        <v>45345</v>
      </c>
      <c r="D2576" t="inlineStr">
        <is>
          <t>VÄSTMANLANDS LÄN</t>
        </is>
      </c>
      <c r="E2576" t="inlineStr">
        <is>
          <t>VÄSTERÅS</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40815-2022</t>
        </is>
      </c>
      <c r="B2577" s="1" t="n">
        <v>44824</v>
      </c>
      <c r="C2577" s="1" t="n">
        <v>45345</v>
      </c>
      <c r="D2577" t="inlineStr">
        <is>
          <t>VÄSTMANLANDS LÄN</t>
        </is>
      </c>
      <c r="E2577" t="inlineStr">
        <is>
          <t>KUNGSÖR</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40864-2022</t>
        </is>
      </c>
      <c r="B2578" s="1" t="n">
        <v>44825</v>
      </c>
      <c r="C2578" s="1" t="n">
        <v>45345</v>
      </c>
      <c r="D2578" t="inlineStr">
        <is>
          <t>VÄSTMANLANDS LÄN</t>
        </is>
      </c>
      <c r="E2578" t="inlineStr">
        <is>
          <t>FAGERSTA</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41059-2022</t>
        </is>
      </c>
      <c r="B2579" s="1" t="n">
        <v>44825</v>
      </c>
      <c r="C2579" s="1" t="n">
        <v>45345</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41032-2022</t>
        </is>
      </c>
      <c r="B2580" s="1" t="n">
        <v>44825</v>
      </c>
      <c r="C2580" s="1" t="n">
        <v>45345</v>
      </c>
      <c r="D2580" t="inlineStr">
        <is>
          <t>VÄSTMANLANDS LÄN</t>
        </is>
      </c>
      <c r="E2580" t="inlineStr">
        <is>
          <t>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41052-2022</t>
        </is>
      </c>
      <c r="B2581" s="1" t="n">
        <v>44825</v>
      </c>
      <c r="C2581" s="1" t="n">
        <v>45345</v>
      </c>
      <c r="D2581" t="inlineStr">
        <is>
          <t>VÄSTMANLANDS LÄN</t>
        </is>
      </c>
      <c r="E2581" t="inlineStr">
        <is>
          <t>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41064-2022</t>
        </is>
      </c>
      <c r="B2582" s="1" t="n">
        <v>44825</v>
      </c>
      <c r="C2582" s="1" t="n">
        <v>45345</v>
      </c>
      <c r="D2582" t="inlineStr">
        <is>
          <t>VÄSTMANLANDS LÄN</t>
        </is>
      </c>
      <c r="E2582" t="inlineStr">
        <is>
          <t>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41114-2022</t>
        </is>
      </c>
      <c r="B2583" s="1" t="n">
        <v>44825</v>
      </c>
      <c r="C2583" s="1" t="n">
        <v>45345</v>
      </c>
      <c r="D2583" t="inlineStr">
        <is>
          <t>VÄSTMANLANDS LÄN</t>
        </is>
      </c>
      <c r="E2583" t="inlineStr">
        <is>
          <t>VÄSTERÅS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41160-2022</t>
        </is>
      </c>
      <c r="B2584" s="1" t="n">
        <v>44825</v>
      </c>
      <c r="C2584" s="1" t="n">
        <v>45345</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41219-2022</t>
        </is>
      </c>
      <c r="B2585" s="1" t="n">
        <v>44826</v>
      </c>
      <c r="C2585" s="1" t="n">
        <v>45345</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41220-2022</t>
        </is>
      </c>
      <c r="B2586" s="1" t="n">
        <v>44826</v>
      </c>
      <c r="C2586" s="1" t="n">
        <v>45345</v>
      </c>
      <c r="D2586" t="inlineStr">
        <is>
          <t>VÄSTMANLANDS LÄN</t>
        </is>
      </c>
      <c r="E2586" t="inlineStr">
        <is>
          <t>VÄSTERÅS</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41576-2022</t>
        </is>
      </c>
      <c r="B2587" s="1" t="n">
        <v>44826</v>
      </c>
      <c r="C2587" s="1" t="n">
        <v>45345</v>
      </c>
      <c r="D2587" t="inlineStr">
        <is>
          <t>VÄSTMANLANDS LÄN</t>
        </is>
      </c>
      <c r="E2587" t="inlineStr">
        <is>
          <t>SURAHAMMAR</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41555-2022</t>
        </is>
      </c>
      <c r="B2588" s="1" t="n">
        <v>44826</v>
      </c>
      <c r="C2588" s="1" t="n">
        <v>45345</v>
      </c>
      <c r="D2588" t="inlineStr">
        <is>
          <t>VÄSTMANLANDS LÄN</t>
        </is>
      </c>
      <c r="E2588" t="inlineStr">
        <is>
          <t>SURAHAMMAR</t>
        </is>
      </c>
      <c r="F2588" t="inlineStr">
        <is>
          <t>Bergvik skog väst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41567-2022</t>
        </is>
      </c>
      <c r="B2589" s="1" t="n">
        <v>44827</v>
      </c>
      <c r="C2589" s="1" t="n">
        <v>45345</v>
      </c>
      <c r="D2589" t="inlineStr">
        <is>
          <t>VÄSTMANLANDS LÄN</t>
        </is>
      </c>
      <c r="E2589" t="inlineStr">
        <is>
          <t>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41587-2022</t>
        </is>
      </c>
      <c r="B2590" s="1" t="n">
        <v>44827</v>
      </c>
      <c r="C2590" s="1" t="n">
        <v>45345</v>
      </c>
      <c r="D2590" t="inlineStr">
        <is>
          <t>VÄSTMANLANDS LÄN</t>
        </is>
      </c>
      <c r="E2590" t="inlineStr">
        <is>
          <t>ARBOGA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41583-2022</t>
        </is>
      </c>
      <c r="B2591" s="1" t="n">
        <v>44827</v>
      </c>
      <c r="C2591" s="1" t="n">
        <v>45345</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41720-2022</t>
        </is>
      </c>
      <c r="B2592" s="1" t="n">
        <v>44827</v>
      </c>
      <c r="C2592" s="1" t="n">
        <v>45345</v>
      </c>
      <c r="D2592" t="inlineStr">
        <is>
          <t>VÄSTMANLANDS LÄN</t>
        </is>
      </c>
      <c r="E2592" t="inlineStr">
        <is>
          <t>SKINNSKATTEBERG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41739-2022</t>
        </is>
      </c>
      <c r="B2593" s="1" t="n">
        <v>44827</v>
      </c>
      <c r="C2593" s="1" t="n">
        <v>45345</v>
      </c>
      <c r="D2593" t="inlineStr">
        <is>
          <t>VÄSTMANLANDS LÄN</t>
        </is>
      </c>
      <c r="E2593" t="inlineStr">
        <is>
          <t>NORBERG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41717-2022</t>
        </is>
      </c>
      <c r="B2594" s="1" t="n">
        <v>44827</v>
      </c>
      <c r="C2594" s="1" t="n">
        <v>45345</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41744-2022</t>
        </is>
      </c>
      <c r="B2595" s="1" t="n">
        <v>44827</v>
      </c>
      <c r="C2595" s="1" t="n">
        <v>45345</v>
      </c>
      <c r="D2595" t="inlineStr">
        <is>
          <t>VÄSTMANLANDS LÄN</t>
        </is>
      </c>
      <c r="E2595" t="inlineStr">
        <is>
          <t>NORBERG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41750-2022</t>
        </is>
      </c>
      <c r="B2596" s="1" t="n">
        <v>44827</v>
      </c>
      <c r="C2596" s="1" t="n">
        <v>45345</v>
      </c>
      <c r="D2596" t="inlineStr">
        <is>
          <t>VÄSTMANLANDS LÄN</t>
        </is>
      </c>
      <c r="E2596" t="inlineStr">
        <is>
          <t>NORBERG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41716-2022</t>
        </is>
      </c>
      <c r="B2597" s="1" t="n">
        <v>44827</v>
      </c>
      <c r="C2597" s="1" t="n">
        <v>45345</v>
      </c>
      <c r="D2597" t="inlineStr">
        <is>
          <t>VÄSTMANLANDS LÄN</t>
        </is>
      </c>
      <c r="E2597" t="inlineStr">
        <is>
          <t>SKINNSKATTEBERG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41732-2022</t>
        </is>
      </c>
      <c r="B2598" s="1" t="n">
        <v>44827</v>
      </c>
      <c r="C2598" s="1" t="n">
        <v>45345</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41742-2022</t>
        </is>
      </c>
      <c r="B2599" s="1" t="n">
        <v>44827</v>
      </c>
      <c r="C2599" s="1" t="n">
        <v>45345</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41748-2022</t>
        </is>
      </c>
      <c r="B2600" s="1" t="n">
        <v>44827</v>
      </c>
      <c r="C2600" s="1" t="n">
        <v>45345</v>
      </c>
      <c r="D2600" t="inlineStr">
        <is>
          <t>VÄSTMANLANDS LÄN</t>
        </is>
      </c>
      <c r="E2600" t="inlineStr">
        <is>
          <t>NORBERG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41866-2022</t>
        </is>
      </c>
      <c r="B2601" s="1" t="n">
        <v>44829</v>
      </c>
      <c r="C2601" s="1" t="n">
        <v>45345</v>
      </c>
      <c r="D2601" t="inlineStr">
        <is>
          <t>VÄSTMANLANDS LÄN</t>
        </is>
      </c>
      <c r="E2601" t="inlineStr">
        <is>
          <t>SKINNSKATTEBERG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41868-2022</t>
        </is>
      </c>
      <c r="B2602" s="1" t="n">
        <v>44829</v>
      </c>
      <c r="C2602" s="1" t="n">
        <v>45345</v>
      </c>
      <c r="D2602" t="inlineStr">
        <is>
          <t>VÄSTMANLANDS LÄN</t>
        </is>
      </c>
      <c r="E2602" t="inlineStr">
        <is>
          <t>SKINNSKATTEBERG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41876-2022</t>
        </is>
      </c>
      <c r="B2603" s="1" t="n">
        <v>44830</v>
      </c>
      <c r="C2603" s="1" t="n">
        <v>45345</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42036-2022</t>
        </is>
      </c>
      <c r="B2604" s="1" t="n">
        <v>44830</v>
      </c>
      <c r="C2604" s="1" t="n">
        <v>45345</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42045-2022</t>
        </is>
      </c>
      <c r="B2605" s="1" t="n">
        <v>44830</v>
      </c>
      <c r="C2605" s="1" t="n">
        <v>45345</v>
      </c>
      <c r="D2605" t="inlineStr">
        <is>
          <t>VÄSTMANLANDS LÄN</t>
        </is>
      </c>
      <c r="E2605" t="inlineStr">
        <is>
          <t>ARBOGA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42416-2022</t>
        </is>
      </c>
      <c r="B2606" s="1" t="n">
        <v>44831</v>
      </c>
      <c r="C2606" s="1" t="n">
        <v>45345</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42447-2022</t>
        </is>
      </c>
      <c r="B2607" s="1" t="n">
        <v>44831</v>
      </c>
      <c r="C2607" s="1" t="n">
        <v>45345</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42414-2022</t>
        </is>
      </c>
      <c r="B2608" s="1" t="n">
        <v>44831</v>
      </c>
      <c r="C2608" s="1" t="n">
        <v>45345</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42491-2022</t>
        </is>
      </c>
      <c r="B2609" s="1" t="n">
        <v>44831</v>
      </c>
      <c r="C2609" s="1" t="n">
        <v>45345</v>
      </c>
      <c r="D2609" t="inlineStr">
        <is>
          <t>VÄSTMANLANDS LÄN</t>
        </is>
      </c>
      <c r="E2609" t="inlineStr">
        <is>
          <t>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42505-2022</t>
        </is>
      </c>
      <c r="B2610" s="1" t="n">
        <v>44831</v>
      </c>
      <c r="C2610" s="1" t="n">
        <v>45345</v>
      </c>
      <c r="D2610" t="inlineStr">
        <is>
          <t>VÄSTMANLANDS LÄN</t>
        </is>
      </c>
      <c r="E2610" t="inlineStr">
        <is>
          <t>NORBERG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42504-2022</t>
        </is>
      </c>
      <c r="B2611" s="1" t="n">
        <v>44831</v>
      </c>
      <c r="C2611" s="1" t="n">
        <v>45345</v>
      </c>
      <c r="D2611" t="inlineStr">
        <is>
          <t>VÄSTMANLANDS LÄN</t>
        </is>
      </c>
      <c r="E2611" t="inlineStr">
        <is>
          <t>NORBERG</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42714-2022</t>
        </is>
      </c>
      <c r="B2612" s="1" t="n">
        <v>44832</v>
      </c>
      <c r="C2612" s="1" t="n">
        <v>45345</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42832-2022</t>
        </is>
      </c>
      <c r="B2613" s="1" t="n">
        <v>44832</v>
      </c>
      <c r="C2613" s="1" t="n">
        <v>45345</v>
      </c>
      <c r="D2613" t="inlineStr">
        <is>
          <t>VÄSTMANLANDS LÄN</t>
        </is>
      </c>
      <c r="E2613" t="inlineStr">
        <is>
          <t>SURAHAMMAR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42841-2022</t>
        </is>
      </c>
      <c r="B2614" s="1" t="n">
        <v>44832</v>
      </c>
      <c r="C2614" s="1" t="n">
        <v>45345</v>
      </c>
      <c r="D2614" t="inlineStr">
        <is>
          <t>VÄSTMANLANDS LÄN</t>
        </is>
      </c>
      <c r="E2614" t="inlineStr">
        <is>
          <t>SURAHAMMAR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42829-2022</t>
        </is>
      </c>
      <c r="B2615" s="1" t="n">
        <v>44832</v>
      </c>
      <c r="C2615" s="1" t="n">
        <v>45345</v>
      </c>
      <c r="D2615" t="inlineStr">
        <is>
          <t>VÄSTMANLANDS LÄN</t>
        </is>
      </c>
      <c r="E2615" t="inlineStr">
        <is>
          <t>SURAHAMMAR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42910-2022</t>
        </is>
      </c>
      <c r="B2616" s="1" t="n">
        <v>44833</v>
      </c>
      <c r="C2616" s="1" t="n">
        <v>45345</v>
      </c>
      <c r="D2616" t="inlineStr">
        <is>
          <t>VÄSTMANLANDS LÄN</t>
        </is>
      </c>
      <c r="E2616" t="inlineStr">
        <is>
          <t>VÄSTERÅS</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43073-2022</t>
        </is>
      </c>
      <c r="B2617" s="1" t="n">
        <v>44833</v>
      </c>
      <c r="C2617" s="1" t="n">
        <v>45345</v>
      </c>
      <c r="D2617" t="inlineStr">
        <is>
          <t>VÄSTMANLANDS LÄN</t>
        </is>
      </c>
      <c r="E2617" t="inlineStr">
        <is>
          <t>NORBERG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43103-2022</t>
        </is>
      </c>
      <c r="B2618" s="1" t="n">
        <v>44833</v>
      </c>
      <c r="C2618" s="1" t="n">
        <v>45345</v>
      </c>
      <c r="D2618" t="inlineStr">
        <is>
          <t>VÄSTMANLANDS LÄN</t>
        </is>
      </c>
      <c r="E2618" t="inlineStr">
        <is>
          <t>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43075-2022</t>
        </is>
      </c>
      <c r="B2619" s="1" t="n">
        <v>44833</v>
      </c>
      <c r="C2619" s="1" t="n">
        <v>45345</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43072-2022</t>
        </is>
      </c>
      <c r="B2620" s="1" t="n">
        <v>44833</v>
      </c>
      <c r="C2620" s="1" t="n">
        <v>45345</v>
      </c>
      <c r="D2620" t="inlineStr">
        <is>
          <t>VÄSTMANLANDS LÄN</t>
        </is>
      </c>
      <c r="E2620" t="inlineStr">
        <is>
          <t>NORBERG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43076-2022</t>
        </is>
      </c>
      <c r="B2621" s="1" t="n">
        <v>44833</v>
      </c>
      <c r="C2621" s="1" t="n">
        <v>45345</v>
      </c>
      <c r="D2621" t="inlineStr">
        <is>
          <t>VÄSTMANLANDS LÄN</t>
        </is>
      </c>
      <c r="E2621" t="inlineStr">
        <is>
          <t>NORBERG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43101-2022</t>
        </is>
      </c>
      <c r="B2622" s="1" t="n">
        <v>44833</v>
      </c>
      <c r="C2622" s="1" t="n">
        <v>45345</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43303-2022</t>
        </is>
      </c>
      <c r="B2623" s="1" t="n">
        <v>44834</v>
      </c>
      <c r="C2623" s="1" t="n">
        <v>45345</v>
      </c>
      <c r="D2623" t="inlineStr">
        <is>
          <t>VÄSTMANLANDS LÄN</t>
        </is>
      </c>
      <c r="E2623" t="inlineStr">
        <is>
          <t>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43384-2022</t>
        </is>
      </c>
      <c r="B2624" s="1" t="n">
        <v>44834</v>
      </c>
      <c r="C2624" s="1" t="n">
        <v>45345</v>
      </c>
      <c r="D2624" t="inlineStr">
        <is>
          <t>VÄSTMANLANDS LÄN</t>
        </is>
      </c>
      <c r="E2624" t="inlineStr">
        <is>
          <t>SKINNSKATTEBERG</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43349-2022</t>
        </is>
      </c>
      <c r="B2625" s="1" t="n">
        <v>44834</v>
      </c>
      <c r="C2625" s="1" t="n">
        <v>45345</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43347-2022</t>
        </is>
      </c>
      <c r="B2626" s="1" t="n">
        <v>44834</v>
      </c>
      <c r="C2626" s="1" t="n">
        <v>45345</v>
      </c>
      <c r="D2626" t="inlineStr">
        <is>
          <t>VÄSTMANLANDS LÄN</t>
        </is>
      </c>
      <c r="E2626" t="inlineStr">
        <is>
          <t>SKINNSKATTEBERG</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43567-2022</t>
        </is>
      </c>
      <c r="B2627" s="1" t="n">
        <v>44837</v>
      </c>
      <c r="C2627" s="1" t="n">
        <v>45345</v>
      </c>
      <c r="D2627" t="inlineStr">
        <is>
          <t>VÄSTMANLANDS LÄN</t>
        </is>
      </c>
      <c r="E2627" t="inlineStr">
        <is>
          <t>KÖPING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43587-2022</t>
        </is>
      </c>
      <c r="B2628" s="1" t="n">
        <v>44837</v>
      </c>
      <c r="C2628" s="1" t="n">
        <v>45345</v>
      </c>
      <c r="D2628" t="inlineStr">
        <is>
          <t>VÄSTMANLANDS LÄN</t>
        </is>
      </c>
      <c r="E2628" t="inlineStr">
        <is>
          <t>ARBOGA</t>
        </is>
      </c>
      <c r="F2628" t="inlineStr">
        <is>
          <t>Sveaskog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44016-2022</t>
        </is>
      </c>
      <c r="B2629" s="1" t="n">
        <v>44838</v>
      </c>
      <c r="C2629" s="1" t="n">
        <v>45345</v>
      </c>
      <c r="D2629" t="inlineStr">
        <is>
          <t>VÄSTMANLANDS LÄN</t>
        </is>
      </c>
      <c r="E2629" t="inlineStr">
        <is>
          <t>NORBERG</t>
        </is>
      </c>
      <c r="F2629" t="inlineStr">
        <is>
          <t>Sveaskog</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44015-2022</t>
        </is>
      </c>
      <c r="B2630" s="1" t="n">
        <v>44838</v>
      </c>
      <c r="C2630" s="1" t="n">
        <v>45345</v>
      </c>
      <c r="D2630" t="inlineStr">
        <is>
          <t>VÄSTMANLANDS LÄN</t>
        </is>
      </c>
      <c r="E2630" t="inlineStr">
        <is>
          <t>NORBERG</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44217-2022</t>
        </is>
      </c>
      <c r="B2631" s="1" t="n">
        <v>44839</v>
      </c>
      <c r="C2631" s="1" t="n">
        <v>45345</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44318-2022</t>
        </is>
      </c>
      <c r="B2632" s="1" t="n">
        <v>44839</v>
      </c>
      <c r="C2632" s="1" t="n">
        <v>45345</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44224-2022</t>
        </is>
      </c>
      <c r="B2633" s="1" t="n">
        <v>44839</v>
      </c>
      <c r="C2633" s="1" t="n">
        <v>45345</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44408-2022</t>
        </is>
      </c>
      <c r="B2634" s="1" t="n">
        <v>44839</v>
      </c>
      <c r="C2634" s="1" t="n">
        <v>45345</v>
      </c>
      <c r="D2634" t="inlineStr">
        <is>
          <t>VÄSTMANLANDS LÄN</t>
        </is>
      </c>
      <c r="E2634" t="inlineStr">
        <is>
          <t>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44370-2022</t>
        </is>
      </c>
      <c r="B2635" s="1" t="n">
        <v>44839</v>
      </c>
      <c r="C2635" s="1" t="n">
        <v>45345</v>
      </c>
      <c r="D2635" t="inlineStr">
        <is>
          <t>VÄSTMANLANDS LÄN</t>
        </is>
      </c>
      <c r="E2635" t="inlineStr">
        <is>
          <t>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44711-2022</t>
        </is>
      </c>
      <c r="B2636" s="1" t="n">
        <v>44840</v>
      </c>
      <c r="C2636" s="1" t="n">
        <v>45345</v>
      </c>
      <c r="D2636" t="inlineStr">
        <is>
          <t>VÄSTMANLANDS LÄN</t>
        </is>
      </c>
      <c r="E2636" t="inlineStr">
        <is>
          <t>FAGERSTA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44906-2022</t>
        </is>
      </c>
      <c r="B2637" s="1" t="n">
        <v>44840</v>
      </c>
      <c r="C2637" s="1" t="n">
        <v>45345</v>
      </c>
      <c r="D2637" t="inlineStr">
        <is>
          <t>VÄSTMANLANDS LÄN</t>
        </is>
      </c>
      <c r="E2637" t="inlineStr">
        <is>
          <t>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44695-2022</t>
        </is>
      </c>
      <c r="B2638" s="1" t="n">
        <v>44840</v>
      </c>
      <c r="C2638" s="1" t="n">
        <v>45345</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44710-2022</t>
        </is>
      </c>
      <c r="B2639" s="1" t="n">
        <v>44840</v>
      </c>
      <c r="C2639" s="1" t="n">
        <v>45345</v>
      </c>
      <c r="D2639" t="inlineStr">
        <is>
          <t>VÄSTMANLANDS LÄN</t>
        </is>
      </c>
      <c r="E2639" t="inlineStr">
        <is>
          <t>FAGERSTA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44892-2022</t>
        </is>
      </c>
      <c r="B2640" s="1" t="n">
        <v>44841</v>
      </c>
      <c r="C2640" s="1" t="n">
        <v>45345</v>
      </c>
      <c r="D2640" t="inlineStr">
        <is>
          <t>VÄSTMANLANDS LÄN</t>
        </is>
      </c>
      <c r="E2640" t="inlineStr">
        <is>
          <t>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45015-2022</t>
        </is>
      </c>
      <c r="B2641" s="1" t="n">
        <v>44841</v>
      </c>
      <c r="C2641" s="1" t="n">
        <v>45345</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45008-2022</t>
        </is>
      </c>
      <c r="B2642" s="1" t="n">
        <v>44841</v>
      </c>
      <c r="C2642" s="1" t="n">
        <v>45345</v>
      </c>
      <c r="D2642" t="inlineStr">
        <is>
          <t>VÄSTMANLANDS LÄN</t>
        </is>
      </c>
      <c r="E2642" t="inlineStr">
        <is>
          <t>SKINNSKATTEBERG</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45010-2022</t>
        </is>
      </c>
      <c r="B2643" s="1" t="n">
        <v>44841</v>
      </c>
      <c r="C2643" s="1" t="n">
        <v>45345</v>
      </c>
      <c r="D2643" t="inlineStr">
        <is>
          <t>VÄSTMANLANDS LÄN</t>
        </is>
      </c>
      <c r="E2643" t="inlineStr">
        <is>
          <t>SKINNSKATTEBERG</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44935-2022</t>
        </is>
      </c>
      <c r="B2644" s="1" t="n">
        <v>44841</v>
      </c>
      <c r="C2644" s="1" t="n">
        <v>45345</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45213-2022</t>
        </is>
      </c>
      <c r="B2645" s="1" t="n">
        <v>44844</v>
      </c>
      <c r="C2645" s="1" t="n">
        <v>45345</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45309-2022</t>
        </is>
      </c>
      <c r="B2646" s="1" t="n">
        <v>44844</v>
      </c>
      <c r="C2646" s="1" t="n">
        <v>45345</v>
      </c>
      <c r="D2646" t="inlineStr">
        <is>
          <t>VÄSTMANLANDS LÄN</t>
        </is>
      </c>
      <c r="E2646" t="inlineStr">
        <is>
          <t>SALA</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45338-2022</t>
        </is>
      </c>
      <c r="B2647" s="1" t="n">
        <v>44844</v>
      </c>
      <c r="C2647" s="1" t="n">
        <v>45345</v>
      </c>
      <c r="D2647" t="inlineStr">
        <is>
          <t>VÄSTMANLANDS LÄN</t>
        </is>
      </c>
      <c r="E2647" t="inlineStr">
        <is>
          <t>ARBOGA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45517-2022</t>
        </is>
      </c>
      <c r="B2648" s="1" t="n">
        <v>44845</v>
      </c>
      <c r="C2648" s="1" t="n">
        <v>45345</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45615-2022</t>
        </is>
      </c>
      <c r="B2649" s="1" t="n">
        <v>44845</v>
      </c>
      <c r="C2649" s="1" t="n">
        <v>45345</v>
      </c>
      <c r="D2649" t="inlineStr">
        <is>
          <t>VÄSTMANLANDS LÄN</t>
        </is>
      </c>
      <c r="E2649" t="inlineStr">
        <is>
          <t>SALA</t>
        </is>
      </c>
      <c r="F2649" t="inlineStr">
        <is>
          <t>Bergvik skog öst AB</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45738-2022</t>
        </is>
      </c>
      <c r="B2650" s="1" t="n">
        <v>44846</v>
      </c>
      <c r="C2650" s="1" t="n">
        <v>45345</v>
      </c>
      <c r="D2650" t="inlineStr">
        <is>
          <t>VÄSTMANLANDS LÄN</t>
        </is>
      </c>
      <c r="E2650" t="inlineStr">
        <is>
          <t>NORBERG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45740-2022</t>
        </is>
      </c>
      <c r="B2651" s="1" t="n">
        <v>44846</v>
      </c>
      <c r="C2651" s="1" t="n">
        <v>45345</v>
      </c>
      <c r="D2651" t="inlineStr">
        <is>
          <t>VÄSTMANLANDS LÄN</t>
        </is>
      </c>
      <c r="E2651" t="inlineStr">
        <is>
          <t>NORBERG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45737-2022</t>
        </is>
      </c>
      <c r="B2652" s="1" t="n">
        <v>44846</v>
      </c>
      <c r="C2652" s="1" t="n">
        <v>45345</v>
      </c>
      <c r="D2652" t="inlineStr">
        <is>
          <t>VÄSTMANLANDS LÄN</t>
        </is>
      </c>
      <c r="E2652" t="inlineStr">
        <is>
          <t>NORBERG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46123-2022</t>
        </is>
      </c>
      <c r="B2653" s="1" t="n">
        <v>44847</v>
      </c>
      <c r="C2653" s="1" t="n">
        <v>45345</v>
      </c>
      <c r="D2653" t="inlineStr">
        <is>
          <t>VÄSTMANLANDS LÄN</t>
        </is>
      </c>
      <c r="E2653" t="inlineStr">
        <is>
          <t>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46192-2022</t>
        </is>
      </c>
      <c r="B2654" s="1" t="n">
        <v>44847</v>
      </c>
      <c r="C2654" s="1" t="n">
        <v>45345</v>
      </c>
      <c r="D2654" t="inlineStr">
        <is>
          <t>VÄSTMANLANDS LÄN</t>
        </is>
      </c>
      <c r="E2654" t="inlineStr">
        <is>
          <t>ARBOGA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46114-2022</t>
        </is>
      </c>
      <c r="B2655" s="1" t="n">
        <v>44847</v>
      </c>
      <c r="C2655" s="1" t="n">
        <v>45345</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46116-2022</t>
        </is>
      </c>
      <c r="B2656" s="1" t="n">
        <v>44847</v>
      </c>
      <c r="C2656" s="1" t="n">
        <v>45345</v>
      </c>
      <c r="D2656" t="inlineStr">
        <is>
          <t>VÄSTMANLANDS LÄN</t>
        </is>
      </c>
      <c r="E2656" t="inlineStr">
        <is>
          <t>VÄSTERÅS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46156-2022</t>
        </is>
      </c>
      <c r="B2657" s="1" t="n">
        <v>44847</v>
      </c>
      <c r="C2657" s="1" t="n">
        <v>45345</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46124-2022</t>
        </is>
      </c>
      <c r="B2658" s="1" t="n">
        <v>44847</v>
      </c>
      <c r="C2658" s="1" t="n">
        <v>45345</v>
      </c>
      <c r="D2658" t="inlineStr">
        <is>
          <t>VÄSTMANLANDS LÄN</t>
        </is>
      </c>
      <c r="E2658" t="inlineStr">
        <is>
          <t>KÖPING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46264-2022</t>
        </is>
      </c>
      <c r="B2659" s="1" t="n">
        <v>44847</v>
      </c>
      <c r="C2659" s="1" t="n">
        <v>45345</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46126-2022</t>
        </is>
      </c>
      <c r="B2660" s="1" t="n">
        <v>44847</v>
      </c>
      <c r="C2660" s="1" t="n">
        <v>45345</v>
      </c>
      <c r="D2660" t="inlineStr">
        <is>
          <t>VÄSTMANLANDS LÄN</t>
        </is>
      </c>
      <c r="E2660" t="inlineStr">
        <is>
          <t>KÖPING</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46369-2022</t>
        </is>
      </c>
      <c r="B2661" s="1" t="n">
        <v>44848</v>
      </c>
      <c r="C2661" s="1" t="n">
        <v>45345</v>
      </c>
      <c r="D2661" t="inlineStr">
        <is>
          <t>VÄSTMANLANDS LÄN</t>
        </is>
      </c>
      <c r="E2661" t="inlineStr">
        <is>
          <t>NORBERG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46460-2022</t>
        </is>
      </c>
      <c r="B2662" s="1" t="n">
        <v>44848</v>
      </c>
      <c r="C2662" s="1" t="n">
        <v>45345</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46641-2022</t>
        </is>
      </c>
      <c r="B2663" s="1" t="n">
        <v>44849</v>
      </c>
      <c r="C2663" s="1" t="n">
        <v>45345</v>
      </c>
      <c r="D2663" t="inlineStr">
        <is>
          <t>VÄSTMANLANDS LÄN</t>
        </is>
      </c>
      <c r="E2663" t="inlineStr">
        <is>
          <t>NORBERG</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46909-2022</t>
        </is>
      </c>
      <c r="B2664" s="1" t="n">
        <v>44851</v>
      </c>
      <c r="C2664" s="1" t="n">
        <v>45345</v>
      </c>
      <c r="D2664" t="inlineStr">
        <is>
          <t>VÄSTMANLANDS LÄN</t>
        </is>
      </c>
      <c r="E2664" t="inlineStr">
        <is>
          <t>SKINNSKATTEBERG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47607-2022</t>
        </is>
      </c>
      <c r="B2665" s="1" t="n">
        <v>44852</v>
      </c>
      <c r="C2665" s="1" t="n">
        <v>45345</v>
      </c>
      <c r="D2665" t="inlineStr">
        <is>
          <t>VÄSTMANLANDS LÄN</t>
        </is>
      </c>
      <c r="E2665" t="inlineStr">
        <is>
          <t>NORBERG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47610-2022</t>
        </is>
      </c>
      <c r="B2666" s="1" t="n">
        <v>44852</v>
      </c>
      <c r="C2666" s="1" t="n">
        <v>45345</v>
      </c>
      <c r="D2666" t="inlineStr">
        <is>
          <t>VÄSTMANLANDS LÄN</t>
        </is>
      </c>
      <c r="E2666" t="inlineStr">
        <is>
          <t>NORBERG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47658-2022</t>
        </is>
      </c>
      <c r="B2667" s="1" t="n">
        <v>44852</v>
      </c>
      <c r="C2667" s="1" t="n">
        <v>45345</v>
      </c>
      <c r="D2667" t="inlineStr">
        <is>
          <t>VÄSTMANLANDS LÄN</t>
        </is>
      </c>
      <c r="E2667" t="inlineStr">
        <is>
          <t>SKINNSKATTEBERG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47599-2022</t>
        </is>
      </c>
      <c r="B2668" s="1" t="n">
        <v>44852</v>
      </c>
      <c r="C2668" s="1" t="n">
        <v>45345</v>
      </c>
      <c r="D2668" t="inlineStr">
        <is>
          <t>VÄSTMANLANDS LÄN</t>
        </is>
      </c>
      <c r="E2668" t="inlineStr">
        <is>
          <t>NORBERG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47653-2022</t>
        </is>
      </c>
      <c r="B2669" s="1" t="n">
        <v>44852</v>
      </c>
      <c r="C2669" s="1" t="n">
        <v>45345</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47086-2022</t>
        </is>
      </c>
      <c r="B2670" s="1" t="n">
        <v>44852</v>
      </c>
      <c r="C2670" s="1" t="n">
        <v>45345</v>
      </c>
      <c r="D2670" t="inlineStr">
        <is>
          <t>VÄSTMANLANDS LÄN</t>
        </is>
      </c>
      <c r="E2670" t="inlineStr">
        <is>
          <t>SALA</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47713-2022</t>
        </is>
      </c>
      <c r="B2671" s="1" t="n">
        <v>44854</v>
      </c>
      <c r="C2671" s="1" t="n">
        <v>45345</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47715-2022</t>
        </is>
      </c>
      <c r="B2672" s="1" t="n">
        <v>44854</v>
      </c>
      <c r="C2672" s="1" t="n">
        <v>45345</v>
      </c>
      <c r="D2672" t="inlineStr">
        <is>
          <t>VÄSTMANLANDS LÄN</t>
        </is>
      </c>
      <c r="E2672" t="inlineStr">
        <is>
          <t>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47923-2022</t>
        </is>
      </c>
      <c r="B2673" s="1" t="n">
        <v>44855</v>
      </c>
      <c r="C2673" s="1" t="n">
        <v>45345</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47909-2022</t>
        </is>
      </c>
      <c r="B2674" s="1" t="n">
        <v>44855</v>
      </c>
      <c r="C2674" s="1" t="n">
        <v>45345</v>
      </c>
      <c r="D2674" t="inlineStr">
        <is>
          <t>VÄSTMANLANDS LÄN</t>
        </is>
      </c>
      <c r="E2674" t="inlineStr">
        <is>
          <t>SALA</t>
        </is>
      </c>
      <c r="F2674" t="inlineStr">
        <is>
          <t>Bergvik skog öst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48235-2022</t>
        </is>
      </c>
      <c r="B2675" s="1" t="n">
        <v>44858</v>
      </c>
      <c r="C2675" s="1" t="n">
        <v>45345</v>
      </c>
      <c r="D2675" t="inlineStr">
        <is>
          <t>VÄSTMANLANDS LÄN</t>
        </is>
      </c>
      <c r="E2675" t="inlineStr">
        <is>
          <t>ARBOGA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48272-2022</t>
        </is>
      </c>
      <c r="B2676" s="1" t="n">
        <v>44858</v>
      </c>
      <c r="C2676" s="1" t="n">
        <v>45345</v>
      </c>
      <c r="D2676" t="inlineStr">
        <is>
          <t>VÄSTMANLANDS LÄN</t>
        </is>
      </c>
      <c r="E2676" t="inlineStr">
        <is>
          <t>ARBOGA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48219-2022</t>
        </is>
      </c>
      <c r="B2677" s="1" t="n">
        <v>44858</v>
      </c>
      <c r="C2677" s="1" t="n">
        <v>45345</v>
      </c>
      <c r="D2677" t="inlineStr">
        <is>
          <t>VÄSTMANLANDS LÄN</t>
        </is>
      </c>
      <c r="E2677" t="inlineStr">
        <is>
          <t>SALA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48261-2022</t>
        </is>
      </c>
      <c r="B2678" s="1" t="n">
        <v>44858</v>
      </c>
      <c r="C2678" s="1" t="n">
        <v>45345</v>
      </c>
      <c r="D2678" t="inlineStr">
        <is>
          <t>VÄSTMANLANDS LÄN</t>
        </is>
      </c>
      <c r="E2678" t="inlineStr">
        <is>
          <t>FAGERSTA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45345</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48581-2022</t>
        </is>
      </c>
      <c r="B2680" s="1" t="n">
        <v>44859</v>
      </c>
      <c r="C2680" s="1" t="n">
        <v>45345</v>
      </c>
      <c r="D2680" t="inlineStr">
        <is>
          <t>VÄSTMANLANDS LÄN</t>
        </is>
      </c>
      <c r="E2680" t="inlineStr">
        <is>
          <t>SURAHAMMAR</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48754-2022</t>
        </is>
      </c>
      <c r="B2681" s="1" t="n">
        <v>44859</v>
      </c>
      <c r="C2681" s="1" t="n">
        <v>45345</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48828-2022</t>
        </is>
      </c>
      <c r="B2682" s="1" t="n">
        <v>44859</v>
      </c>
      <c r="C2682" s="1" t="n">
        <v>45345</v>
      </c>
      <c r="D2682" t="inlineStr">
        <is>
          <t>VÄSTMANLANDS LÄN</t>
        </is>
      </c>
      <c r="E2682" t="inlineStr">
        <is>
          <t>SKINNSKATTEBERG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48859-2022</t>
        </is>
      </c>
      <c r="B2683" s="1" t="n">
        <v>44859</v>
      </c>
      <c r="C2683" s="1" t="n">
        <v>45345</v>
      </c>
      <c r="D2683" t="inlineStr">
        <is>
          <t>VÄSTMANLANDS LÄN</t>
        </is>
      </c>
      <c r="E2683" t="inlineStr">
        <is>
          <t>NORBERG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49086-2022</t>
        </is>
      </c>
      <c r="B2684" s="1" t="n">
        <v>44860</v>
      </c>
      <c r="C2684" s="1" t="n">
        <v>45345</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49143-2022</t>
        </is>
      </c>
      <c r="B2685" s="1" t="n">
        <v>44860</v>
      </c>
      <c r="C2685" s="1" t="n">
        <v>45345</v>
      </c>
      <c r="D2685" t="inlineStr">
        <is>
          <t>VÄSTMANLANDS LÄN</t>
        </is>
      </c>
      <c r="E2685" t="inlineStr">
        <is>
          <t>NORBERG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50124-2022</t>
        </is>
      </c>
      <c r="B2686" s="1" t="n">
        <v>44860</v>
      </c>
      <c r="C2686" s="1" t="n">
        <v>45345</v>
      </c>
      <c r="D2686" t="inlineStr">
        <is>
          <t>VÄSTMANLANDS LÄN</t>
        </is>
      </c>
      <c r="E2686" t="inlineStr">
        <is>
          <t>NORBERG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49163-2022</t>
        </is>
      </c>
      <c r="B2687" s="1" t="n">
        <v>44860</v>
      </c>
      <c r="C2687" s="1" t="n">
        <v>45345</v>
      </c>
      <c r="D2687" t="inlineStr">
        <is>
          <t>VÄSTMANLANDS LÄN</t>
        </is>
      </c>
      <c r="E2687" t="inlineStr">
        <is>
          <t>NORBERG</t>
        </is>
      </c>
      <c r="F2687" t="inlineStr">
        <is>
          <t>Sveaskog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49311-2022</t>
        </is>
      </c>
      <c r="B2688" s="1" t="n">
        <v>44861</v>
      </c>
      <c r="C2688" s="1" t="n">
        <v>45345</v>
      </c>
      <c r="D2688" t="inlineStr">
        <is>
          <t>VÄSTMANLANDS LÄN</t>
        </is>
      </c>
      <c r="E2688" t="inlineStr">
        <is>
          <t>FAGERSTA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49254-2022</t>
        </is>
      </c>
      <c r="B2689" s="1" t="n">
        <v>44861</v>
      </c>
      <c r="C2689" s="1" t="n">
        <v>45345</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50461-2022</t>
        </is>
      </c>
      <c r="B2690" s="1" t="n">
        <v>44861</v>
      </c>
      <c r="C2690" s="1" t="n">
        <v>45345</v>
      </c>
      <c r="D2690" t="inlineStr">
        <is>
          <t>VÄSTMANLANDS LÄN</t>
        </is>
      </c>
      <c r="E2690" t="inlineStr">
        <is>
          <t>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50479-2022</t>
        </is>
      </c>
      <c r="B2691" s="1" t="n">
        <v>44861</v>
      </c>
      <c r="C2691" s="1" t="n">
        <v>45345</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49686-2022</t>
        </is>
      </c>
      <c r="B2692" s="1" t="n">
        <v>44862</v>
      </c>
      <c r="C2692" s="1" t="n">
        <v>45345</v>
      </c>
      <c r="D2692" t="inlineStr">
        <is>
          <t>VÄSTMANLANDS LÄN</t>
        </is>
      </c>
      <c r="E2692" t="inlineStr">
        <is>
          <t>SURAHAMMAR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49687-2022</t>
        </is>
      </c>
      <c r="B2693" s="1" t="n">
        <v>44862</v>
      </c>
      <c r="C2693" s="1" t="n">
        <v>45345</v>
      </c>
      <c r="D2693" t="inlineStr">
        <is>
          <t>VÄSTMANLANDS LÄN</t>
        </is>
      </c>
      <c r="E2693" t="inlineStr">
        <is>
          <t>SKINNSKATTEBERG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50180-2022</t>
        </is>
      </c>
      <c r="B2694" s="1" t="n">
        <v>44865</v>
      </c>
      <c r="C2694" s="1" t="n">
        <v>45345</v>
      </c>
      <c r="D2694" t="inlineStr">
        <is>
          <t>VÄSTMANLANDS LÄN</t>
        </is>
      </c>
      <c r="E2694" t="inlineStr">
        <is>
          <t>VÄSTERÅS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50193-2022</t>
        </is>
      </c>
      <c r="B2695" s="1" t="n">
        <v>44865</v>
      </c>
      <c r="C2695" s="1" t="n">
        <v>45345</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50399-2022</t>
        </is>
      </c>
      <c r="B2696" s="1" t="n">
        <v>44866</v>
      </c>
      <c r="C2696" s="1" t="n">
        <v>45345</v>
      </c>
      <c r="D2696" t="inlineStr">
        <is>
          <t>VÄSTMANLANDS LÄN</t>
        </is>
      </c>
      <c r="E2696" t="inlineStr">
        <is>
          <t>KUNGSÖR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50394-2022</t>
        </is>
      </c>
      <c r="B2697" s="1" t="n">
        <v>44866</v>
      </c>
      <c r="C2697" s="1" t="n">
        <v>45345</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51279-2022</t>
        </is>
      </c>
      <c r="B2698" s="1" t="n">
        <v>44866</v>
      </c>
      <c r="C2698" s="1" t="n">
        <v>45345</v>
      </c>
      <c r="D2698" t="inlineStr">
        <is>
          <t>VÄSTMANLANDS LÄN</t>
        </is>
      </c>
      <c r="E2698" t="inlineStr">
        <is>
          <t>SALA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51377-2022</t>
        </is>
      </c>
      <c r="B2699" s="1" t="n">
        <v>44866</v>
      </c>
      <c r="C2699" s="1" t="n">
        <v>45345</v>
      </c>
      <c r="D2699" t="inlineStr">
        <is>
          <t>VÄSTMANLANDS LÄN</t>
        </is>
      </c>
      <c r="E2699" t="inlineStr">
        <is>
          <t>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51339-2022</t>
        </is>
      </c>
      <c r="B2700" s="1" t="n">
        <v>44866</v>
      </c>
      <c r="C2700" s="1" t="n">
        <v>45345</v>
      </c>
      <c r="D2700" t="inlineStr">
        <is>
          <t>VÄSTMANLANDS LÄN</t>
        </is>
      </c>
      <c r="E2700" t="inlineStr">
        <is>
          <t>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51273-2022</t>
        </is>
      </c>
      <c r="B2701" s="1" t="n">
        <v>44866</v>
      </c>
      <c r="C2701" s="1" t="n">
        <v>45345</v>
      </c>
      <c r="D2701" t="inlineStr">
        <is>
          <t>VÄSTMANLANDS LÄN</t>
        </is>
      </c>
      <c r="E2701" t="inlineStr">
        <is>
          <t>VÄSTERÅS</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50974-2022</t>
        </is>
      </c>
      <c r="B2702" s="1" t="n">
        <v>44867</v>
      </c>
      <c r="C2702" s="1" t="n">
        <v>45345</v>
      </c>
      <c r="D2702" t="inlineStr">
        <is>
          <t>VÄSTMANLANDS LÄN</t>
        </is>
      </c>
      <c r="E2702" t="inlineStr">
        <is>
          <t>SKINNSKATTEBERG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50980-2022</t>
        </is>
      </c>
      <c r="B2703" s="1" t="n">
        <v>44867</v>
      </c>
      <c r="C2703" s="1" t="n">
        <v>45345</v>
      </c>
      <c r="D2703" t="inlineStr">
        <is>
          <t>VÄSTMANLANDS LÄN</t>
        </is>
      </c>
      <c r="E2703" t="inlineStr">
        <is>
          <t>SKINNSKATTEBERG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50795-2022</t>
        </is>
      </c>
      <c r="B2704" s="1" t="n">
        <v>44867</v>
      </c>
      <c r="C2704" s="1" t="n">
        <v>45345</v>
      </c>
      <c r="D2704" t="inlineStr">
        <is>
          <t>VÄSTMANLANDS LÄN</t>
        </is>
      </c>
      <c r="E2704" t="inlineStr">
        <is>
          <t>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51203-2022</t>
        </is>
      </c>
      <c r="B2705" s="1" t="n">
        <v>44868</v>
      </c>
      <c r="C2705" s="1" t="n">
        <v>45345</v>
      </c>
      <c r="D2705" t="inlineStr">
        <is>
          <t>VÄSTMANLANDS LÄN</t>
        </is>
      </c>
      <c r="E2705" t="inlineStr">
        <is>
          <t>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51415-2022</t>
        </is>
      </c>
      <c r="B2706" s="1" t="n">
        <v>44869</v>
      </c>
      <c r="C2706" s="1" t="n">
        <v>45345</v>
      </c>
      <c r="D2706" t="inlineStr">
        <is>
          <t>VÄSTMANLANDS LÄN</t>
        </is>
      </c>
      <c r="E2706" t="inlineStr">
        <is>
          <t>NORBERG</t>
        </is>
      </c>
      <c r="F2706" t="inlineStr">
        <is>
          <t>Övriga Aktiebolag</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51600-2022</t>
        </is>
      </c>
      <c r="B2707" s="1" t="n">
        <v>44871</v>
      </c>
      <c r="C2707" s="1" t="n">
        <v>45345</v>
      </c>
      <c r="D2707" t="inlineStr">
        <is>
          <t>VÄSTMANLANDS LÄN</t>
        </is>
      </c>
      <c r="E2707" t="inlineStr">
        <is>
          <t>SALA</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51596-2022</t>
        </is>
      </c>
      <c r="B2708" s="1" t="n">
        <v>44871</v>
      </c>
      <c r="C2708" s="1" t="n">
        <v>45345</v>
      </c>
      <c r="D2708" t="inlineStr">
        <is>
          <t>VÄSTMANLANDS LÄN</t>
        </is>
      </c>
      <c r="E2708" t="inlineStr">
        <is>
          <t>SALA</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51662-2022</t>
        </is>
      </c>
      <c r="B2709" s="1" t="n">
        <v>44872</v>
      </c>
      <c r="C2709" s="1" t="n">
        <v>45345</v>
      </c>
      <c r="D2709" t="inlineStr">
        <is>
          <t>VÄSTMANLANDS LÄN</t>
        </is>
      </c>
      <c r="E2709" t="inlineStr">
        <is>
          <t>SKINNSKATTEBERG</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51936-2022</t>
        </is>
      </c>
      <c r="B2710" s="1" t="n">
        <v>44872</v>
      </c>
      <c r="C2710" s="1" t="n">
        <v>45345</v>
      </c>
      <c r="D2710" t="inlineStr">
        <is>
          <t>VÄSTMANLANDS LÄN</t>
        </is>
      </c>
      <c r="E2710" t="inlineStr">
        <is>
          <t>FAGERSTA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52063-2022</t>
        </is>
      </c>
      <c r="B2711" s="1" t="n">
        <v>44873</v>
      </c>
      <c r="C2711" s="1" t="n">
        <v>45345</v>
      </c>
      <c r="D2711" t="inlineStr">
        <is>
          <t>VÄSTMANLANDS LÄN</t>
        </is>
      </c>
      <c r="E2711" t="inlineStr">
        <is>
          <t>NORBERG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52068-2022</t>
        </is>
      </c>
      <c r="B2712" s="1" t="n">
        <v>44873</v>
      </c>
      <c r="C2712" s="1" t="n">
        <v>45345</v>
      </c>
      <c r="D2712" t="inlineStr">
        <is>
          <t>VÄSTMANLANDS LÄN</t>
        </is>
      </c>
      <c r="E2712" t="inlineStr">
        <is>
          <t>NORBERG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52076-2022</t>
        </is>
      </c>
      <c r="B2713" s="1" t="n">
        <v>44873</v>
      </c>
      <c r="C2713" s="1" t="n">
        <v>45345</v>
      </c>
      <c r="D2713" t="inlineStr">
        <is>
          <t>VÄSTMANLANDS LÄN</t>
        </is>
      </c>
      <c r="E2713" t="inlineStr">
        <is>
          <t>NORBERG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52199-2022</t>
        </is>
      </c>
      <c r="B2714" s="1" t="n">
        <v>44873</v>
      </c>
      <c r="C2714" s="1" t="n">
        <v>45345</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52504-2022</t>
        </is>
      </c>
      <c r="B2715" s="1" t="n">
        <v>44874</v>
      </c>
      <c r="C2715" s="1" t="n">
        <v>45345</v>
      </c>
      <c r="D2715" t="inlineStr">
        <is>
          <t>VÄSTMANLANDS LÄN</t>
        </is>
      </c>
      <c r="E2715" t="inlineStr">
        <is>
          <t>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52498-2022</t>
        </is>
      </c>
      <c r="B2716" s="1" t="n">
        <v>44874</v>
      </c>
      <c r="C2716" s="1" t="n">
        <v>45345</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52396-2022</t>
        </is>
      </c>
      <c r="B2717" s="1" t="n">
        <v>44874</v>
      </c>
      <c r="C2717" s="1" t="n">
        <v>45345</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52569-2022</t>
        </is>
      </c>
      <c r="B2718" s="1" t="n">
        <v>44874</v>
      </c>
      <c r="C2718" s="1" t="n">
        <v>45345</v>
      </c>
      <c r="D2718" t="inlineStr">
        <is>
          <t>VÄSTMANLANDS LÄN</t>
        </is>
      </c>
      <c r="E2718" t="inlineStr">
        <is>
          <t>VÄSTERÅS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52630-2022</t>
        </is>
      </c>
      <c r="B2719" s="1" t="n">
        <v>44874</v>
      </c>
      <c r="C2719" s="1" t="n">
        <v>45345</v>
      </c>
      <c r="D2719" t="inlineStr">
        <is>
          <t>VÄSTMANLANDS LÄN</t>
        </is>
      </c>
      <c r="E2719" t="inlineStr">
        <is>
          <t>SALA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52809-2022</t>
        </is>
      </c>
      <c r="B2720" s="1" t="n">
        <v>44875</v>
      </c>
      <c r="C2720" s="1" t="n">
        <v>45345</v>
      </c>
      <c r="D2720" t="inlineStr">
        <is>
          <t>VÄSTMANLANDS LÄN</t>
        </is>
      </c>
      <c r="E2720" t="inlineStr">
        <is>
          <t>KUNGSÖR</t>
        </is>
      </c>
      <c r="F2720" t="inlineStr">
        <is>
          <t>Allmännings- och besparingsskogar</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52764-2022</t>
        </is>
      </c>
      <c r="B2721" s="1" t="n">
        <v>44875</v>
      </c>
      <c r="C2721" s="1" t="n">
        <v>45345</v>
      </c>
      <c r="D2721" t="inlineStr">
        <is>
          <t>VÄSTMANLANDS LÄN</t>
        </is>
      </c>
      <c r="E2721" t="inlineStr">
        <is>
          <t>VÄSTERÅS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52802-2022</t>
        </is>
      </c>
      <c r="B2722" s="1" t="n">
        <v>44875</v>
      </c>
      <c r="C2722" s="1" t="n">
        <v>45345</v>
      </c>
      <c r="D2722" t="inlineStr">
        <is>
          <t>VÄSTMANLANDS LÄN</t>
        </is>
      </c>
      <c r="E2722" t="inlineStr">
        <is>
          <t>KUNGSÖR</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53454-2022</t>
        </is>
      </c>
      <c r="B2723" s="1" t="n">
        <v>44879</v>
      </c>
      <c r="C2723" s="1" t="n">
        <v>45345</v>
      </c>
      <c r="D2723" t="inlineStr">
        <is>
          <t>VÄSTMANLANDS LÄN</t>
        </is>
      </c>
      <c r="E2723" t="inlineStr">
        <is>
          <t>SKINNSKATTEBERG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53425-2022</t>
        </is>
      </c>
      <c r="B2724" s="1" t="n">
        <v>44879</v>
      </c>
      <c r="C2724" s="1" t="n">
        <v>45345</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53432-2022</t>
        </is>
      </c>
      <c r="B2725" s="1" t="n">
        <v>44879</v>
      </c>
      <c r="C2725" s="1" t="n">
        <v>45345</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53628-2022</t>
        </is>
      </c>
      <c r="B2726" s="1" t="n">
        <v>44879</v>
      </c>
      <c r="C2726" s="1" t="n">
        <v>45345</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53630-2022</t>
        </is>
      </c>
      <c r="B2727" s="1" t="n">
        <v>44879</v>
      </c>
      <c r="C2727" s="1" t="n">
        <v>45345</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53836-2022</t>
        </is>
      </c>
      <c r="B2728" s="1" t="n">
        <v>44880</v>
      </c>
      <c r="C2728" s="1" t="n">
        <v>45345</v>
      </c>
      <c r="D2728" t="inlineStr">
        <is>
          <t>VÄSTMANLANDS LÄN</t>
        </is>
      </c>
      <c r="E2728" t="inlineStr">
        <is>
          <t>VÄSTERÅS</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53864-2022</t>
        </is>
      </c>
      <c r="B2729" s="1" t="n">
        <v>44880</v>
      </c>
      <c r="C2729" s="1" t="n">
        <v>45345</v>
      </c>
      <c r="D2729" t="inlineStr">
        <is>
          <t>VÄSTMANLANDS LÄN</t>
        </is>
      </c>
      <c r="E2729" t="inlineStr">
        <is>
          <t>SALA</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53735-2022</t>
        </is>
      </c>
      <c r="B2730" s="1" t="n">
        <v>44880</v>
      </c>
      <c r="C2730" s="1" t="n">
        <v>45345</v>
      </c>
      <c r="D2730" t="inlineStr">
        <is>
          <t>VÄSTMANLANDS LÄN</t>
        </is>
      </c>
      <c r="E2730" t="inlineStr">
        <is>
          <t>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53838-2022</t>
        </is>
      </c>
      <c r="B2731" s="1" t="n">
        <v>44880</v>
      </c>
      <c r="C2731" s="1" t="n">
        <v>45345</v>
      </c>
      <c r="D2731" t="inlineStr">
        <is>
          <t>VÄSTMANLANDS LÄN</t>
        </is>
      </c>
      <c r="E2731" t="inlineStr">
        <is>
          <t>SALA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53858-2022</t>
        </is>
      </c>
      <c r="B2732" s="1" t="n">
        <v>44880</v>
      </c>
      <c r="C2732" s="1" t="n">
        <v>45345</v>
      </c>
      <c r="D2732" t="inlineStr">
        <is>
          <t>VÄSTMANLANDS LÄN</t>
        </is>
      </c>
      <c r="E2732" t="inlineStr">
        <is>
          <t>VÄSTERÅS</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53833-2022</t>
        </is>
      </c>
      <c r="B2733" s="1" t="n">
        <v>44880</v>
      </c>
      <c r="C2733" s="1" t="n">
        <v>45345</v>
      </c>
      <c r="D2733" t="inlineStr">
        <is>
          <t>VÄSTMANLANDS LÄN</t>
        </is>
      </c>
      <c r="E2733" t="inlineStr">
        <is>
          <t>VÄSTERÅS</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53997-2022</t>
        </is>
      </c>
      <c r="B2734" s="1" t="n">
        <v>44881</v>
      </c>
      <c r="C2734" s="1" t="n">
        <v>45345</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54657-2022</t>
        </is>
      </c>
      <c r="B2735" s="1" t="n">
        <v>44883</v>
      </c>
      <c r="C2735" s="1" t="n">
        <v>45345</v>
      </c>
      <c r="D2735" t="inlineStr">
        <is>
          <t>VÄSTMANLANDS LÄN</t>
        </is>
      </c>
      <c r="E2735" t="inlineStr">
        <is>
          <t>SKINNSKATTEBERG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54868-2022</t>
        </is>
      </c>
      <c r="B2736" s="1" t="n">
        <v>44885</v>
      </c>
      <c r="C2736" s="1" t="n">
        <v>45345</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54968-2022</t>
        </is>
      </c>
      <c r="B2737" s="1" t="n">
        <v>44886</v>
      </c>
      <c r="C2737" s="1" t="n">
        <v>45345</v>
      </c>
      <c r="D2737" t="inlineStr">
        <is>
          <t>VÄSTMANLANDS LÄN</t>
        </is>
      </c>
      <c r="E2737" t="inlineStr">
        <is>
          <t>KUNGSÖR</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55003-2022</t>
        </is>
      </c>
      <c r="B2738" s="1" t="n">
        <v>44886</v>
      </c>
      <c r="C2738" s="1" t="n">
        <v>45345</v>
      </c>
      <c r="D2738" t="inlineStr">
        <is>
          <t>VÄSTMANLANDS LÄN</t>
        </is>
      </c>
      <c r="E2738" t="inlineStr">
        <is>
          <t>KUNGSÖR</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55187-2022</t>
        </is>
      </c>
      <c r="B2739" s="1" t="n">
        <v>44886</v>
      </c>
      <c r="C2739" s="1" t="n">
        <v>45345</v>
      </c>
      <c r="D2739" t="inlineStr">
        <is>
          <t>VÄSTMANLANDS LÄN</t>
        </is>
      </c>
      <c r="E2739" t="inlineStr">
        <is>
          <t>ARBOGA</t>
        </is>
      </c>
      <c r="F2739" t="inlineStr">
        <is>
          <t>Allmännings- och besparingsskogar</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55188-2022</t>
        </is>
      </c>
      <c r="B2740" s="1" t="n">
        <v>44886</v>
      </c>
      <c r="C2740" s="1" t="n">
        <v>45345</v>
      </c>
      <c r="D2740" t="inlineStr">
        <is>
          <t>VÄSTMANLANDS LÄN</t>
        </is>
      </c>
      <c r="E2740" t="inlineStr">
        <is>
          <t>ARBOGA</t>
        </is>
      </c>
      <c r="F2740" t="inlineStr">
        <is>
          <t>Allmännings- och besparingsskogar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55348-2022</t>
        </is>
      </c>
      <c r="B2741" s="1" t="n">
        <v>44887</v>
      </c>
      <c r="C2741" s="1" t="n">
        <v>45345</v>
      </c>
      <c r="D2741" t="inlineStr">
        <is>
          <t>VÄSTMANLANDS LÄN</t>
        </is>
      </c>
      <c r="E2741" t="inlineStr">
        <is>
          <t>HALLSTAHAMMAR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55389-2022</t>
        </is>
      </c>
      <c r="B2742" s="1" t="n">
        <v>44887</v>
      </c>
      <c r="C2742" s="1" t="n">
        <v>45345</v>
      </c>
      <c r="D2742" t="inlineStr">
        <is>
          <t>VÄSTMANLANDS LÄN</t>
        </is>
      </c>
      <c r="E2742" t="inlineStr">
        <is>
          <t>KÖPING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56537-2022</t>
        </is>
      </c>
      <c r="B2743" s="1" t="n">
        <v>44887</v>
      </c>
      <c r="C2743" s="1" t="n">
        <v>45345</v>
      </c>
      <c r="D2743" t="inlineStr">
        <is>
          <t>VÄSTMANLANDS LÄN</t>
        </is>
      </c>
      <c r="E2743" t="inlineStr">
        <is>
          <t>SKINNSKATTEBERG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55457-2022</t>
        </is>
      </c>
      <c r="B2744" s="1" t="n">
        <v>44887</v>
      </c>
      <c r="C2744" s="1" t="n">
        <v>45345</v>
      </c>
      <c r="D2744" t="inlineStr">
        <is>
          <t>VÄSTMANLANDS LÄN</t>
        </is>
      </c>
      <c r="E2744" t="inlineStr">
        <is>
          <t>ARBOGA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55627-2022</t>
        </is>
      </c>
      <c r="B2745" s="1" t="n">
        <v>44888</v>
      </c>
      <c r="C2745" s="1" t="n">
        <v>45345</v>
      </c>
      <c r="D2745" t="inlineStr">
        <is>
          <t>VÄSTMANLANDS LÄN</t>
        </is>
      </c>
      <c r="E2745" t="inlineStr">
        <is>
          <t>ARBOGA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55720-2022</t>
        </is>
      </c>
      <c r="B2746" s="1" t="n">
        <v>44888</v>
      </c>
      <c r="C2746" s="1" t="n">
        <v>45345</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55562-2022</t>
        </is>
      </c>
      <c r="B2747" s="1" t="n">
        <v>44888</v>
      </c>
      <c r="C2747" s="1" t="n">
        <v>45345</v>
      </c>
      <c r="D2747" t="inlineStr">
        <is>
          <t>VÄSTMANLANDS LÄN</t>
        </is>
      </c>
      <c r="E2747" t="inlineStr">
        <is>
          <t>HALLSTAHAMMAR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55574-2022</t>
        </is>
      </c>
      <c r="B2748" s="1" t="n">
        <v>44888</v>
      </c>
      <c r="C2748" s="1" t="n">
        <v>45345</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55733-2022</t>
        </is>
      </c>
      <c r="B2749" s="1" t="n">
        <v>44888</v>
      </c>
      <c r="C2749" s="1" t="n">
        <v>45345</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56847-2022</t>
        </is>
      </c>
      <c r="B2750" s="1" t="n">
        <v>44888</v>
      </c>
      <c r="C2750" s="1" t="n">
        <v>45345</v>
      </c>
      <c r="D2750" t="inlineStr">
        <is>
          <t>VÄSTMANLANDS LÄN</t>
        </is>
      </c>
      <c r="E2750" t="inlineStr">
        <is>
          <t>VÄSTERÅS</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56089-2022</t>
        </is>
      </c>
      <c r="B2751" s="1" t="n">
        <v>44889</v>
      </c>
      <c r="C2751" s="1" t="n">
        <v>45345</v>
      </c>
      <c r="D2751" t="inlineStr">
        <is>
          <t>VÄSTMANLANDS LÄN</t>
        </is>
      </c>
      <c r="E2751" t="inlineStr">
        <is>
          <t>SALA</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56088-2022</t>
        </is>
      </c>
      <c r="B2752" s="1" t="n">
        <v>44889</v>
      </c>
      <c r="C2752" s="1" t="n">
        <v>45345</v>
      </c>
      <c r="D2752" t="inlineStr">
        <is>
          <t>VÄSTMANLANDS LÄN</t>
        </is>
      </c>
      <c r="E2752" t="inlineStr">
        <is>
          <t>SALA</t>
        </is>
      </c>
      <c r="F2752" t="inlineStr">
        <is>
          <t>Sveaskog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56146-2022</t>
        </is>
      </c>
      <c r="B2753" s="1" t="n">
        <v>44889</v>
      </c>
      <c r="C2753" s="1" t="n">
        <v>45345</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56234-2022</t>
        </is>
      </c>
      <c r="B2754" s="1" t="n">
        <v>44890</v>
      </c>
      <c r="C2754" s="1" t="n">
        <v>45345</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56292-2022</t>
        </is>
      </c>
      <c r="B2755" s="1" t="n">
        <v>44890</v>
      </c>
      <c r="C2755" s="1" t="n">
        <v>45345</v>
      </c>
      <c r="D2755" t="inlineStr">
        <is>
          <t>VÄSTMANLANDS LÄN</t>
        </is>
      </c>
      <c r="E2755" t="inlineStr">
        <is>
          <t>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56242-2022</t>
        </is>
      </c>
      <c r="B2756" s="1" t="n">
        <v>44890</v>
      </c>
      <c r="C2756" s="1" t="n">
        <v>45345</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56259-2022</t>
        </is>
      </c>
      <c r="B2757" s="1" t="n">
        <v>44890</v>
      </c>
      <c r="C2757" s="1" t="n">
        <v>45345</v>
      </c>
      <c r="D2757" t="inlineStr">
        <is>
          <t>VÄSTMANLANDS LÄN</t>
        </is>
      </c>
      <c r="E2757" t="inlineStr">
        <is>
          <t>SKINNSKATTEBERG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56279-2022</t>
        </is>
      </c>
      <c r="B2758" s="1" t="n">
        <v>44890</v>
      </c>
      <c r="C2758" s="1" t="n">
        <v>45345</v>
      </c>
      <c r="D2758" t="inlineStr">
        <is>
          <t>VÄSTMANLANDS LÄN</t>
        </is>
      </c>
      <c r="E2758" t="inlineStr">
        <is>
          <t>NORBERG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56285-2022</t>
        </is>
      </c>
      <c r="B2759" s="1" t="n">
        <v>44890</v>
      </c>
      <c r="C2759" s="1" t="n">
        <v>45345</v>
      </c>
      <c r="D2759" t="inlineStr">
        <is>
          <t>VÄSTMANLANDS LÄN</t>
        </is>
      </c>
      <c r="E2759" t="inlineStr">
        <is>
          <t>VÄSTERÅS</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56283-2022</t>
        </is>
      </c>
      <c r="B2760" s="1" t="n">
        <v>44890</v>
      </c>
      <c r="C2760" s="1" t="n">
        <v>45345</v>
      </c>
      <c r="D2760" t="inlineStr">
        <is>
          <t>VÄSTMANLANDS LÄN</t>
        </is>
      </c>
      <c r="E2760" t="inlineStr">
        <is>
          <t>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56290-2022</t>
        </is>
      </c>
      <c r="B2761" s="1" t="n">
        <v>44890</v>
      </c>
      <c r="C2761" s="1" t="n">
        <v>45345</v>
      </c>
      <c r="D2761" t="inlineStr">
        <is>
          <t>VÄSTMANLANDS LÄN</t>
        </is>
      </c>
      <c r="E2761" t="inlineStr">
        <is>
          <t>SKINNSKATTEBERG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56535-2022</t>
        </is>
      </c>
      <c r="B2762" s="1" t="n">
        <v>44893</v>
      </c>
      <c r="C2762" s="1" t="n">
        <v>45345</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56559-2022</t>
        </is>
      </c>
      <c r="B2763" s="1" t="n">
        <v>44893</v>
      </c>
      <c r="C2763" s="1" t="n">
        <v>45345</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56532-2022</t>
        </is>
      </c>
      <c r="B2764" s="1" t="n">
        <v>44893</v>
      </c>
      <c r="C2764" s="1" t="n">
        <v>45345</v>
      </c>
      <c r="D2764" t="inlineStr">
        <is>
          <t>VÄSTMANLANDS LÄN</t>
        </is>
      </c>
      <c r="E2764" t="inlineStr">
        <is>
          <t>VÄSTERÅS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56706-2022</t>
        </is>
      </c>
      <c r="B2765" s="1" t="n">
        <v>44893</v>
      </c>
      <c r="C2765" s="1" t="n">
        <v>45345</v>
      </c>
      <c r="D2765" t="inlineStr">
        <is>
          <t>VÄSTMANLANDS LÄN</t>
        </is>
      </c>
      <c r="E2765" t="inlineStr">
        <is>
          <t>SALA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56547-2022</t>
        </is>
      </c>
      <c r="B2766" s="1" t="n">
        <v>44893</v>
      </c>
      <c r="C2766" s="1" t="n">
        <v>45345</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56707-2022</t>
        </is>
      </c>
      <c r="B2767" s="1" t="n">
        <v>44893</v>
      </c>
      <c r="C2767" s="1" t="n">
        <v>45345</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56553-2022</t>
        </is>
      </c>
      <c r="B2768" s="1" t="n">
        <v>44893</v>
      </c>
      <c r="C2768" s="1" t="n">
        <v>45345</v>
      </c>
      <c r="D2768" t="inlineStr">
        <is>
          <t>VÄSTMANLANDS LÄN</t>
        </is>
      </c>
      <c r="E2768" t="inlineStr">
        <is>
          <t>VÄSTERÅS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56823-2022</t>
        </is>
      </c>
      <c r="B2769" s="1" t="n">
        <v>44894</v>
      </c>
      <c r="C2769" s="1" t="n">
        <v>45345</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56809-2022</t>
        </is>
      </c>
      <c r="B2770" s="1" t="n">
        <v>44894</v>
      </c>
      <c r="C2770" s="1" t="n">
        <v>45345</v>
      </c>
      <c r="D2770" t="inlineStr">
        <is>
          <t>VÄSTMANLANDS LÄN</t>
        </is>
      </c>
      <c r="E2770" t="inlineStr">
        <is>
          <t>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56929-2022</t>
        </is>
      </c>
      <c r="B2771" s="1" t="n">
        <v>44894</v>
      </c>
      <c r="C2771" s="1" t="n">
        <v>45345</v>
      </c>
      <c r="D2771" t="inlineStr">
        <is>
          <t>VÄSTMANLANDS LÄN</t>
        </is>
      </c>
      <c r="E2771" t="inlineStr">
        <is>
          <t>SKINNSKATTEBERG</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56979-2022</t>
        </is>
      </c>
      <c r="B2772" s="1" t="n">
        <v>44894</v>
      </c>
      <c r="C2772" s="1" t="n">
        <v>45345</v>
      </c>
      <c r="D2772" t="inlineStr">
        <is>
          <t>VÄSTMANLANDS LÄN</t>
        </is>
      </c>
      <c r="E2772" t="inlineStr">
        <is>
          <t>KÖPING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56846-2022</t>
        </is>
      </c>
      <c r="B2773" s="1" t="n">
        <v>44894</v>
      </c>
      <c r="C2773" s="1" t="n">
        <v>45345</v>
      </c>
      <c r="D2773" t="inlineStr">
        <is>
          <t>VÄSTMANLANDS LÄN</t>
        </is>
      </c>
      <c r="E2773" t="inlineStr">
        <is>
          <t>KÖPING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56977-2022</t>
        </is>
      </c>
      <c r="B2774" s="1" t="n">
        <v>44894</v>
      </c>
      <c r="C2774" s="1" t="n">
        <v>45345</v>
      </c>
      <c r="D2774" t="inlineStr">
        <is>
          <t>VÄSTMANLANDS LÄN</t>
        </is>
      </c>
      <c r="E2774" t="inlineStr">
        <is>
          <t>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57248-2022</t>
        </is>
      </c>
      <c r="B2775" s="1" t="n">
        <v>44895</v>
      </c>
      <c r="C2775" s="1" t="n">
        <v>45345</v>
      </c>
      <c r="D2775" t="inlineStr">
        <is>
          <t>VÄSTMANLANDS LÄN</t>
        </is>
      </c>
      <c r="E2775" t="inlineStr">
        <is>
          <t>FAGERSTA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57371-2022</t>
        </is>
      </c>
      <c r="B2776" s="1" t="n">
        <v>44896</v>
      </c>
      <c r="C2776" s="1" t="n">
        <v>45345</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57514-2022</t>
        </is>
      </c>
      <c r="B2777" s="1" t="n">
        <v>44896</v>
      </c>
      <c r="C2777" s="1" t="n">
        <v>45345</v>
      </c>
      <c r="D2777" t="inlineStr">
        <is>
          <t>VÄSTMANLANDS LÄN</t>
        </is>
      </c>
      <c r="E2777" t="inlineStr">
        <is>
          <t>KÖPING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57760-2022</t>
        </is>
      </c>
      <c r="B2778" s="1" t="n">
        <v>44897</v>
      </c>
      <c r="C2778" s="1" t="n">
        <v>45345</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57641-2022</t>
        </is>
      </c>
      <c r="B2779" s="1" t="n">
        <v>44897</v>
      </c>
      <c r="C2779" s="1" t="n">
        <v>45345</v>
      </c>
      <c r="D2779" t="inlineStr">
        <is>
          <t>VÄSTMANLANDS LÄN</t>
        </is>
      </c>
      <c r="E2779" t="inlineStr">
        <is>
          <t>KÖPING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57873-2022</t>
        </is>
      </c>
      <c r="B2780" s="1" t="n">
        <v>44899</v>
      </c>
      <c r="C2780" s="1" t="n">
        <v>45345</v>
      </c>
      <c r="D2780" t="inlineStr">
        <is>
          <t>VÄSTMANLANDS LÄN</t>
        </is>
      </c>
      <c r="E2780" t="inlineStr">
        <is>
          <t>VÄSTERÅS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58105-2022</t>
        </is>
      </c>
      <c r="B2781" s="1" t="n">
        <v>44900</v>
      </c>
      <c r="C2781" s="1" t="n">
        <v>45345</v>
      </c>
      <c r="D2781" t="inlineStr">
        <is>
          <t>VÄSTMANLANDS LÄN</t>
        </is>
      </c>
      <c r="E2781" t="inlineStr">
        <is>
          <t>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58076-2022</t>
        </is>
      </c>
      <c r="B2782" s="1" t="n">
        <v>44900</v>
      </c>
      <c r="C2782" s="1" t="n">
        <v>45345</v>
      </c>
      <c r="D2782" t="inlineStr">
        <is>
          <t>VÄSTMANLANDS LÄN</t>
        </is>
      </c>
      <c r="E2782" t="inlineStr">
        <is>
          <t>SALA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58085-2022</t>
        </is>
      </c>
      <c r="B2783" s="1" t="n">
        <v>44900</v>
      </c>
      <c r="C2783" s="1" t="n">
        <v>45345</v>
      </c>
      <c r="D2783" t="inlineStr">
        <is>
          <t>VÄSTMANLANDS LÄN</t>
        </is>
      </c>
      <c r="E2783" t="inlineStr">
        <is>
          <t>VÄSTERÅS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58106-2022</t>
        </is>
      </c>
      <c r="B2784" s="1" t="n">
        <v>44900</v>
      </c>
      <c r="C2784" s="1" t="n">
        <v>45345</v>
      </c>
      <c r="D2784" t="inlineStr">
        <is>
          <t>VÄSTMANLANDS LÄN</t>
        </is>
      </c>
      <c r="E2784" t="inlineStr">
        <is>
          <t>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58215-2022</t>
        </is>
      </c>
      <c r="B2785" s="1" t="n">
        <v>44901</v>
      </c>
      <c r="C2785" s="1" t="n">
        <v>45345</v>
      </c>
      <c r="D2785" t="inlineStr">
        <is>
          <t>VÄSTMANLANDS LÄN</t>
        </is>
      </c>
      <c r="E2785" t="inlineStr">
        <is>
          <t>VÄSTERÅS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58231-2022</t>
        </is>
      </c>
      <c r="B2786" s="1" t="n">
        <v>44901</v>
      </c>
      <c r="C2786" s="1" t="n">
        <v>45345</v>
      </c>
      <c r="D2786" t="inlineStr">
        <is>
          <t>VÄSTMANLANDS LÄN</t>
        </is>
      </c>
      <c r="E2786" t="inlineStr">
        <is>
          <t>VÄSTERÅS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58364-2022</t>
        </is>
      </c>
      <c r="B2787" s="1" t="n">
        <v>44901</v>
      </c>
      <c r="C2787" s="1" t="n">
        <v>45345</v>
      </c>
      <c r="D2787" t="inlineStr">
        <is>
          <t>VÄSTMANLANDS LÄN</t>
        </is>
      </c>
      <c r="E2787" t="inlineStr">
        <is>
          <t>VÄSTERÅS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58395-2022</t>
        </is>
      </c>
      <c r="B2788" s="1" t="n">
        <v>44901</v>
      </c>
      <c r="C2788" s="1" t="n">
        <v>45345</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58348-2022</t>
        </is>
      </c>
      <c r="B2789" s="1" t="n">
        <v>44901</v>
      </c>
      <c r="C2789" s="1" t="n">
        <v>45345</v>
      </c>
      <c r="D2789" t="inlineStr">
        <is>
          <t>VÄSTMANLANDS LÄN</t>
        </is>
      </c>
      <c r="E2789" t="inlineStr">
        <is>
          <t>HALLSTAHAMMAR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58496-2022</t>
        </is>
      </c>
      <c r="B2790" s="1" t="n">
        <v>44902</v>
      </c>
      <c r="C2790" s="1" t="n">
        <v>45345</v>
      </c>
      <c r="D2790" t="inlineStr">
        <is>
          <t>VÄSTMANLANDS LÄN</t>
        </is>
      </c>
      <c r="E2790" t="inlineStr">
        <is>
          <t>SALA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58502-2022</t>
        </is>
      </c>
      <c r="B2791" s="1" t="n">
        <v>44902</v>
      </c>
      <c r="C2791" s="1" t="n">
        <v>45345</v>
      </c>
      <c r="D2791" t="inlineStr">
        <is>
          <t>VÄSTMANLANDS LÄN</t>
        </is>
      </c>
      <c r="E2791" t="inlineStr">
        <is>
          <t>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58622-2022</t>
        </is>
      </c>
      <c r="B2792" s="1" t="n">
        <v>44902</v>
      </c>
      <c r="C2792" s="1" t="n">
        <v>45345</v>
      </c>
      <c r="D2792" t="inlineStr">
        <is>
          <t>VÄSTMANLANDS LÄN</t>
        </is>
      </c>
      <c r="E2792" t="inlineStr">
        <is>
          <t>KUNGSÖR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58657-2022</t>
        </is>
      </c>
      <c r="B2793" s="1" t="n">
        <v>44902</v>
      </c>
      <c r="C2793" s="1" t="n">
        <v>45345</v>
      </c>
      <c r="D2793" t="inlineStr">
        <is>
          <t>VÄSTMANLANDS LÄN</t>
        </is>
      </c>
      <c r="E2793" t="inlineStr">
        <is>
          <t>KUNGSÖR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58637-2022</t>
        </is>
      </c>
      <c r="B2794" s="1" t="n">
        <v>44902</v>
      </c>
      <c r="C2794" s="1" t="n">
        <v>45345</v>
      </c>
      <c r="D2794" t="inlineStr">
        <is>
          <t>VÄSTMANLANDS LÄN</t>
        </is>
      </c>
      <c r="E2794" t="inlineStr">
        <is>
          <t>VÄSTERÅS</t>
        </is>
      </c>
      <c r="F2794" t="inlineStr">
        <is>
          <t>Kyrkan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58642-2022</t>
        </is>
      </c>
      <c r="B2795" s="1" t="n">
        <v>44902</v>
      </c>
      <c r="C2795" s="1" t="n">
        <v>45345</v>
      </c>
      <c r="D2795" t="inlineStr">
        <is>
          <t>VÄSTMANLANDS LÄN</t>
        </is>
      </c>
      <c r="E2795" t="inlineStr">
        <is>
          <t>KUNGSÖR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58834-2022</t>
        </is>
      </c>
      <c r="B2796" s="1" t="n">
        <v>44903</v>
      </c>
      <c r="C2796" s="1" t="n">
        <v>45345</v>
      </c>
      <c r="D2796" t="inlineStr">
        <is>
          <t>VÄSTMANLANDS LÄN</t>
        </is>
      </c>
      <c r="E2796" t="inlineStr">
        <is>
          <t>SKINNSKATTEBERG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58960-2022</t>
        </is>
      </c>
      <c r="B2797" s="1" t="n">
        <v>44903</v>
      </c>
      <c r="C2797" s="1" t="n">
        <v>45345</v>
      </c>
      <c r="D2797" t="inlineStr">
        <is>
          <t>VÄSTMANLANDS LÄN</t>
        </is>
      </c>
      <c r="E2797" t="inlineStr">
        <is>
          <t>VÄSTERÅS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59019-2022</t>
        </is>
      </c>
      <c r="B2798" s="1" t="n">
        <v>44903</v>
      </c>
      <c r="C2798" s="1" t="n">
        <v>45345</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60325-2022</t>
        </is>
      </c>
      <c r="B2799" s="1" t="n">
        <v>44903</v>
      </c>
      <c r="C2799" s="1" t="n">
        <v>45345</v>
      </c>
      <c r="D2799" t="inlineStr">
        <is>
          <t>VÄSTMANLANDS LÄN</t>
        </is>
      </c>
      <c r="E2799" t="inlineStr">
        <is>
          <t>VÄSTERÅS</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59175-2022</t>
        </is>
      </c>
      <c r="B2800" s="1" t="n">
        <v>44904</v>
      </c>
      <c r="C2800" s="1" t="n">
        <v>45345</v>
      </c>
      <c r="D2800" t="inlineStr">
        <is>
          <t>VÄSTMANLANDS LÄN</t>
        </is>
      </c>
      <c r="E2800" t="inlineStr">
        <is>
          <t>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59143-2022</t>
        </is>
      </c>
      <c r="B2801" s="1" t="n">
        <v>44904</v>
      </c>
      <c r="C2801" s="1" t="n">
        <v>45345</v>
      </c>
      <c r="D2801" t="inlineStr">
        <is>
          <t>VÄSTMANLANDS LÄN</t>
        </is>
      </c>
      <c r="E2801" t="inlineStr">
        <is>
          <t>VÄSTERÅS</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59483-2022</t>
        </is>
      </c>
      <c r="B2802" s="1" t="n">
        <v>44907</v>
      </c>
      <c r="C2802" s="1" t="n">
        <v>45345</v>
      </c>
      <c r="D2802" t="inlineStr">
        <is>
          <t>VÄSTMANLANDS LÄN</t>
        </is>
      </c>
      <c r="E2802" t="inlineStr">
        <is>
          <t>SALA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59500-2022</t>
        </is>
      </c>
      <c r="B2803" s="1" t="n">
        <v>44907</v>
      </c>
      <c r="C2803" s="1" t="n">
        <v>45345</v>
      </c>
      <c r="D2803" t="inlineStr">
        <is>
          <t>VÄSTMANLANDS LÄN</t>
        </is>
      </c>
      <c r="E2803" t="inlineStr">
        <is>
          <t>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59735-2022</t>
        </is>
      </c>
      <c r="B2804" s="1" t="n">
        <v>44908</v>
      </c>
      <c r="C2804" s="1" t="n">
        <v>45345</v>
      </c>
      <c r="D2804" t="inlineStr">
        <is>
          <t>VÄSTMANLANDS LÄN</t>
        </is>
      </c>
      <c r="E2804" t="inlineStr">
        <is>
          <t>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60949-2022</t>
        </is>
      </c>
      <c r="B2805" s="1" t="n">
        <v>44908</v>
      </c>
      <c r="C2805" s="1" t="n">
        <v>45345</v>
      </c>
      <c r="D2805" t="inlineStr">
        <is>
          <t>VÄSTMANLANDS LÄN</t>
        </is>
      </c>
      <c r="E2805" t="inlineStr">
        <is>
          <t>VÄSTERÅS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61069-2022</t>
        </is>
      </c>
      <c r="B2806" s="1" t="n">
        <v>44908</v>
      </c>
      <c r="C2806" s="1" t="n">
        <v>45345</v>
      </c>
      <c r="D2806" t="inlineStr">
        <is>
          <t>VÄSTMANLANDS LÄN</t>
        </is>
      </c>
      <c r="E2806" t="inlineStr">
        <is>
          <t>VÄSTERÅS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59853-2022</t>
        </is>
      </c>
      <c r="B2807" s="1" t="n">
        <v>44908</v>
      </c>
      <c r="C2807" s="1" t="n">
        <v>45345</v>
      </c>
      <c r="D2807" t="inlineStr">
        <is>
          <t>VÄSTMANLANDS LÄN</t>
        </is>
      </c>
      <c r="E2807" t="inlineStr">
        <is>
          <t>KUNGSÖR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60046-2022</t>
        </is>
      </c>
      <c r="B2808" s="1" t="n">
        <v>44909</v>
      </c>
      <c r="C2808" s="1" t="n">
        <v>45345</v>
      </c>
      <c r="D2808" t="inlineStr">
        <is>
          <t>VÄSTMANLANDS LÄN</t>
        </is>
      </c>
      <c r="E2808" t="inlineStr">
        <is>
          <t>ARBOGA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60156-2022</t>
        </is>
      </c>
      <c r="B2809" s="1" t="n">
        <v>44909</v>
      </c>
      <c r="C2809" s="1" t="n">
        <v>45345</v>
      </c>
      <c r="D2809" t="inlineStr">
        <is>
          <t>VÄSTMANLANDS LÄN</t>
        </is>
      </c>
      <c r="E2809" t="inlineStr">
        <is>
          <t>SALA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59969-2022</t>
        </is>
      </c>
      <c r="B2810" s="1" t="n">
        <v>44909</v>
      </c>
      <c r="C2810" s="1" t="n">
        <v>45345</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59980-2022</t>
        </is>
      </c>
      <c r="B2811" s="1" t="n">
        <v>44909</v>
      </c>
      <c r="C2811" s="1" t="n">
        <v>45345</v>
      </c>
      <c r="D2811" t="inlineStr">
        <is>
          <t>VÄSTMANLANDS LÄN</t>
        </is>
      </c>
      <c r="E2811" t="inlineStr">
        <is>
          <t>ARBOGA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59970-2022</t>
        </is>
      </c>
      <c r="B2812" s="1" t="n">
        <v>44909</v>
      </c>
      <c r="C2812" s="1" t="n">
        <v>45345</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59977-2022</t>
        </is>
      </c>
      <c r="B2813" s="1" t="n">
        <v>44909</v>
      </c>
      <c r="C2813" s="1" t="n">
        <v>45345</v>
      </c>
      <c r="D2813" t="inlineStr">
        <is>
          <t>VÄSTMANLANDS LÄN</t>
        </is>
      </c>
      <c r="E2813" t="inlineStr">
        <is>
          <t>ARBOGA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60185-2022</t>
        </is>
      </c>
      <c r="B2814" s="1" t="n">
        <v>44910</v>
      </c>
      <c r="C2814" s="1" t="n">
        <v>45345</v>
      </c>
      <c r="D2814" t="inlineStr">
        <is>
          <t>VÄSTMANLANDS LÄN</t>
        </is>
      </c>
      <c r="E2814" t="inlineStr">
        <is>
          <t>SKINNSKATTEBERG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60379-2022</t>
        </is>
      </c>
      <c r="B2815" s="1" t="n">
        <v>44910</v>
      </c>
      <c r="C2815" s="1" t="n">
        <v>45345</v>
      </c>
      <c r="D2815" t="inlineStr">
        <is>
          <t>VÄSTMANLANDS LÄN</t>
        </is>
      </c>
      <c r="E2815" t="inlineStr">
        <is>
          <t>SALA</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60481-2022</t>
        </is>
      </c>
      <c r="B2816" s="1" t="n">
        <v>44911</v>
      </c>
      <c r="C2816" s="1" t="n">
        <v>45345</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60485-2022</t>
        </is>
      </c>
      <c r="B2817" s="1" t="n">
        <v>44911</v>
      </c>
      <c r="C2817" s="1" t="n">
        <v>45345</v>
      </c>
      <c r="D2817" t="inlineStr">
        <is>
          <t>VÄSTMANLANDS LÄN</t>
        </is>
      </c>
      <c r="E2817" t="inlineStr">
        <is>
          <t>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60479-2022</t>
        </is>
      </c>
      <c r="B2818" s="1" t="n">
        <v>44911</v>
      </c>
      <c r="C2818" s="1" t="n">
        <v>45345</v>
      </c>
      <c r="D2818" t="inlineStr">
        <is>
          <t>VÄSTMANLANDS LÄN</t>
        </is>
      </c>
      <c r="E2818" t="inlineStr">
        <is>
          <t>KÖPING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61745-2022</t>
        </is>
      </c>
      <c r="B2819" s="1" t="n">
        <v>44911</v>
      </c>
      <c r="C2819" s="1" t="n">
        <v>45345</v>
      </c>
      <c r="D2819" t="inlineStr">
        <is>
          <t>VÄSTMANLANDS LÄN</t>
        </is>
      </c>
      <c r="E2819" t="inlineStr">
        <is>
          <t>NORBERG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60703-2022</t>
        </is>
      </c>
      <c r="B2820" s="1" t="n">
        <v>44912</v>
      </c>
      <c r="C2820" s="1" t="n">
        <v>45345</v>
      </c>
      <c r="D2820" t="inlineStr">
        <is>
          <t>VÄSTMANLANDS LÄN</t>
        </is>
      </c>
      <c r="E2820" t="inlineStr">
        <is>
          <t>SALA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60705-2022</t>
        </is>
      </c>
      <c r="B2821" s="1" t="n">
        <v>44912</v>
      </c>
      <c r="C2821" s="1" t="n">
        <v>45345</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60794-2022</t>
        </is>
      </c>
      <c r="B2822" s="1" t="n">
        <v>44914</v>
      </c>
      <c r="C2822" s="1" t="n">
        <v>45345</v>
      </c>
      <c r="D2822" t="inlineStr">
        <is>
          <t>VÄSTMANLANDS LÄN</t>
        </is>
      </c>
      <c r="E2822" t="inlineStr">
        <is>
          <t>VÄSTERÅS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60790-2022</t>
        </is>
      </c>
      <c r="B2823" s="1" t="n">
        <v>44914</v>
      </c>
      <c r="C2823" s="1" t="n">
        <v>45345</v>
      </c>
      <c r="D2823" t="inlineStr">
        <is>
          <t>VÄSTMANLANDS LÄN</t>
        </is>
      </c>
      <c r="E2823" t="inlineStr">
        <is>
          <t>VÄSTERÅS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60894-2022</t>
        </is>
      </c>
      <c r="B2824" s="1" t="n">
        <v>44914</v>
      </c>
      <c r="C2824" s="1" t="n">
        <v>45345</v>
      </c>
      <c r="D2824" t="inlineStr">
        <is>
          <t>VÄSTMANLANDS LÄN</t>
        </is>
      </c>
      <c r="E2824" t="inlineStr">
        <is>
          <t>KÖPING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60974-2022</t>
        </is>
      </c>
      <c r="B2825" s="1" t="n">
        <v>44914</v>
      </c>
      <c r="C2825" s="1" t="n">
        <v>45345</v>
      </c>
      <c r="D2825" t="inlineStr">
        <is>
          <t>VÄSTMANLANDS LÄN</t>
        </is>
      </c>
      <c r="E2825" t="inlineStr">
        <is>
          <t>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61000-2022</t>
        </is>
      </c>
      <c r="B2826" s="1" t="n">
        <v>44914</v>
      </c>
      <c r="C2826" s="1" t="n">
        <v>45345</v>
      </c>
      <c r="D2826" t="inlineStr">
        <is>
          <t>VÄSTMANLANDS LÄN</t>
        </is>
      </c>
      <c r="E2826" t="inlineStr">
        <is>
          <t>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60797-2022</t>
        </is>
      </c>
      <c r="B2827" s="1" t="n">
        <v>44914</v>
      </c>
      <c r="C2827" s="1" t="n">
        <v>45345</v>
      </c>
      <c r="D2827" t="inlineStr">
        <is>
          <t>VÄSTMANLANDS LÄN</t>
        </is>
      </c>
      <c r="E2827" t="inlineStr">
        <is>
          <t>VÄSTERÅS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60924-2022</t>
        </is>
      </c>
      <c r="B2828" s="1" t="n">
        <v>44914</v>
      </c>
      <c r="C2828" s="1" t="n">
        <v>45345</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61119-2022</t>
        </is>
      </c>
      <c r="B2829" s="1" t="n">
        <v>44915</v>
      </c>
      <c r="C2829" s="1" t="n">
        <v>45345</v>
      </c>
      <c r="D2829" t="inlineStr">
        <is>
          <t>VÄSTMANLANDS LÄN</t>
        </is>
      </c>
      <c r="E2829" t="inlineStr">
        <is>
          <t>VÄSTERÅS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61308-2022</t>
        </is>
      </c>
      <c r="B2830" s="1" t="n">
        <v>44915</v>
      </c>
      <c r="C2830" s="1" t="n">
        <v>45345</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61083-2022</t>
        </is>
      </c>
      <c r="B2831" s="1" t="n">
        <v>44915</v>
      </c>
      <c r="C2831" s="1" t="n">
        <v>45345</v>
      </c>
      <c r="D2831" t="inlineStr">
        <is>
          <t>VÄSTMANLANDS LÄN</t>
        </is>
      </c>
      <c r="E2831" t="inlineStr">
        <is>
          <t>KÖPING</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61059-2022</t>
        </is>
      </c>
      <c r="B2832" s="1" t="n">
        <v>44915</v>
      </c>
      <c r="C2832" s="1" t="n">
        <v>45345</v>
      </c>
      <c r="D2832" t="inlineStr">
        <is>
          <t>VÄSTMANLANDS LÄN</t>
        </is>
      </c>
      <c r="E2832" t="inlineStr">
        <is>
          <t>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61070-2022</t>
        </is>
      </c>
      <c r="B2833" s="1" t="n">
        <v>44915</v>
      </c>
      <c r="C2833" s="1" t="n">
        <v>45345</v>
      </c>
      <c r="D2833" t="inlineStr">
        <is>
          <t>VÄSTMANLANDS LÄN</t>
        </is>
      </c>
      <c r="E2833" t="inlineStr">
        <is>
          <t>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61072-2022</t>
        </is>
      </c>
      <c r="B2834" s="1" t="n">
        <v>44915</v>
      </c>
      <c r="C2834" s="1" t="n">
        <v>45345</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61403-2022</t>
        </is>
      </c>
      <c r="B2835" s="1" t="n">
        <v>44916</v>
      </c>
      <c r="C2835" s="1" t="n">
        <v>45345</v>
      </c>
      <c r="D2835" t="inlineStr">
        <is>
          <t>VÄSTMANLANDS LÄN</t>
        </is>
      </c>
      <c r="E2835" t="inlineStr">
        <is>
          <t>ARBOGA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62635-2022</t>
        </is>
      </c>
      <c r="B2836" s="1" t="n">
        <v>44917</v>
      </c>
      <c r="C2836" s="1" t="n">
        <v>45345</v>
      </c>
      <c r="D2836" t="inlineStr">
        <is>
          <t>VÄSTMANLANDS LÄN</t>
        </is>
      </c>
      <c r="E2836" t="inlineStr">
        <is>
          <t>SALA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62654-2022</t>
        </is>
      </c>
      <c r="B2837" s="1" t="n">
        <v>44917</v>
      </c>
      <c r="C2837" s="1" t="n">
        <v>45345</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62651-2022</t>
        </is>
      </c>
      <c r="B2838" s="1" t="n">
        <v>44917</v>
      </c>
      <c r="C2838" s="1" t="n">
        <v>45345</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61892-2022</t>
        </is>
      </c>
      <c r="B2839" s="1" t="n">
        <v>44917</v>
      </c>
      <c r="C2839" s="1" t="n">
        <v>45345</v>
      </c>
      <c r="D2839" t="inlineStr">
        <is>
          <t>VÄSTMANLANDS LÄN</t>
        </is>
      </c>
      <c r="E2839" t="inlineStr">
        <is>
          <t>ARBOGA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61897-2022</t>
        </is>
      </c>
      <c r="B2840" s="1" t="n">
        <v>44917</v>
      </c>
      <c r="C2840" s="1" t="n">
        <v>45345</v>
      </c>
      <c r="D2840" t="inlineStr">
        <is>
          <t>VÄSTMANLANDS LÄN</t>
        </is>
      </c>
      <c r="E2840" t="inlineStr">
        <is>
          <t>KÖPING</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62648-2022</t>
        </is>
      </c>
      <c r="B2841" s="1" t="n">
        <v>44917</v>
      </c>
      <c r="C2841" s="1" t="n">
        <v>45345</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61985-2022</t>
        </is>
      </c>
      <c r="B2842" s="1" t="n">
        <v>44918</v>
      </c>
      <c r="C2842" s="1" t="n">
        <v>45345</v>
      </c>
      <c r="D2842" t="inlineStr">
        <is>
          <t>VÄSTMANLANDS LÄN</t>
        </is>
      </c>
      <c r="E2842" t="inlineStr">
        <is>
          <t>SALA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62095-2022</t>
        </is>
      </c>
      <c r="B2843" s="1" t="n">
        <v>44919</v>
      </c>
      <c r="C2843" s="1" t="n">
        <v>45345</v>
      </c>
      <c r="D2843" t="inlineStr">
        <is>
          <t>VÄSTMANLANDS LÄN</t>
        </is>
      </c>
      <c r="E2843" t="inlineStr">
        <is>
          <t>FAGERSTA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62292-2022</t>
        </is>
      </c>
      <c r="B2844" s="1" t="n">
        <v>44923</v>
      </c>
      <c r="C2844" s="1" t="n">
        <v>45345</v>
      </c>
      <c r="D2844" t="inlineStr">
        <is>
          <t>VÄSTMANLANDS LÄN</t>
        </is>
      </c>
      <c r="E2844" t="inlineStr">
        <is>
          <t>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62300-2022</t>
        </is>
      </c>
      <c r="B2845" s="1" t="n">
        <v>44923</v>
      </c>
      <c r="C2845" s="1" t="n">
        <v>45345</v>
      </c>
      <c r="D2845" t="inlineStr">
        <is>
          <t>VÄSTMANLANDS LÄN</t>
        </is>
      </c>
      <c r="E2845" t="inlineStr">
        <is>
          <t>SALA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552-2023</t>
        </is>
      </c>
      <c r="B2846" s="1" t="n">
        <v>44925</v>
      </c>
      <c r="C2846" s="1" t="n">
        <v>45345</v>
      </c>
      <c r="D2846" t="inlineStr">
        <is>
          <t>VÄSTMANLANDS LÄN</t>
        </is>
      </c>
      <c r="E2846" t="inlineStr">
        <is>
          <t>NORBERG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559-2023</t>
        </is>
      </c>
      <c r="B2847" s="1" t="n">
        <v>44925</v>
      </c>
      <c r="C2847" s="1" t="n">
        <v>45345</v>
      </c>
      <c r="D2847" t="inlineStr">
        <is>
          <t>VÄSTMANLANDS LÄN</t>
        </is>
      </c>
      <c r="E2847" t="inlineStr">
        <is>
          <t>NORBERG</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71-2023</t>
        </is>
      </c>
      <c r="B2848" s="1" t="n">
        <v>44928</v>
      </c>
      <c r="C2848" s="1" t="n">
        <v>45345</v>
      </c>
      <c r="D2848" t="inlineStr">
        <is>
          <t>VÄSTMANLANDS LÄN</t>
        </is>
      </c>
      <c r="E2848" t="inlineStr">
        <is>
          <t>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198-2023</t>
        </is>
      </c>
      <c r="B2849" s="1" t="n">
        <v>44928</v>
      </c>
      <c r="C2849" s="1" t="n">
        <v>45345</v>
      </c>
      <c r="D2849" t="inlineStr">
        <is>
          <t>VÄSTMANLANDS LÄN</t>
        </is>
      </c>
      <c r="E2849" t="inlineStr">
        <is>
          <t>VÄSTERÅS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202-2023</t>
        </is>
      </c>
      <c r="B2850" s="1" t="n">
        <v>44928</v>
      </c>
      <c r="C2850" s="1" t="n">
        <v>45345</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1034-2023</t>
        </is>
      </c>
      <c r="B2851" s="1" t="n">
        <v>44935</v>
      </c>
      <c r="C2851" s="1" t="n">
        <v>45345</v>
      </c>
      <c r="D2851" t="inlineStr">
        <is>
          <t>VÄSTMANLANDS LÄN</t>
        </is>
      </c>
      <c r="E2851" t="inlineStr">
        <is>
          <t>KÖPING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1069-2023</t>
        </is>
      </c>
      <c r="B2852" s="1" t="n">
        <v>44935</v>
      </c>
      <c r="C2852" s="1" t="n">
        <v>45345</v>
      </c>
      <c r="D2852" t="inlineStr">
        <is>
          <t>VÄSTMANLANDS LÄN</t>
        </is>
      </c>
      <c r="E2852" t="inlineStr">
        <is>
          <t>SKINNSKATTEBERG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1196-2023</t>
        </is>
      </c>
      <c r="B2853" s="1" t="n">
        <v>44935</v>
      </c>
      <c r="C2853" s="1" t="n">
        <v>45345</v>
      </c>
      <c r="D2853" t="inlineStr">
        <is>
          <t>VÄSTMANLANDS LÄN</t>
        </is>
      </c>
      <c r="E2853" t="inlineStr">
        <is>
          <t>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1594-2023</t>
        </is>
      </c>
      <c r="B2854" s="1" t="n">
        <v>44935</v>
      </c>
      <c r="C2854" s="1" t="n">
        <v>45345</v>
      </c>
      <c r="D2854" t="inlineStr">
        <is>
          <t>VÄSTMANLANDS LÄN</t>
        </is>
      </c>
      <c r="E2854" t="inlineStr">
        <is>
          <t>VÄSTERÅS</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1290-2023</t>
        </is>
      </c>
      <c r="B2855" s="1" t="n">
        <v>44936</v>
      </c>
      <c r="C2855" s="1" t="n">
        <v>45345</v>
      </c>
      <c r="D2855" t="inlineStr">
        <is>
          <t>VÄSTMANLANDS LÄN</t>
        </is>
      </c>
      <c r="E2855" t="inlineStr">
        <is>
          <t>KÖPING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1282-2023</t>
        </is>
      </c>
      <c r="B2856" s="1" t="n">
        <v>44936</v>
      </c>
      <c r="C2856" s="1" t="n">
        <v>45345</v>
      </c>
      <c r="D2856" t="inlineStr">
        <is>
          <t>VÄSTMANLANDS LÄN</t>
        </is>
      </c>
      <c r="E2856" t="inlineStr">
        <is>
          <t>SKINNSKATTEBERG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1701-2023</t>
        </is>
      </c>
      <c r="B2857" s="1" t="n">
        <v>44936</v>
      </c>
      <c r="C2857" s="1" t="n">
        <v>45345</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1700-2023</t>
        </is>
      </c>
      <c r="B2858" s="1" t="n">
        <v>44936</v>
      </c>
      <c r="C2858" s="1" t="n">
        <v>45345</v>
      </c>
      <c r="D2858" t="inlineStr">
        <is>
          <t>VÄSTMANLANDS LÄN</t>
        </is>
      </c>
      <c r="E2858" t="inlineStr">
        <is>
          <t>VÄSTERÅS</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1761-2023</t>
        </is>
      </c>
      <c r="B2859" s="1" t="n">
        <v>44936</v>
      </c>
      <c r="C2859" s="1" t="n">
        <v>45345</v>
      </c>
      <c r="D2859" t="inlineStr">
        <is>
          <t>VÄSTMANLANDS LÄN</t>
        </is>
      </c>
      <c r="E2859" t="inlineStr">
        <is>
          <t>VÄSTERÅS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1773-2023</t>
        </is>
      </c>
      <c r="B2860" s="1" t="n">
        <v>44936</v>
      </c>
      <c r="C2860" s="1" t="n">
        <v>45345</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1617-2023</t>
        </is>
      </c>
      <c r="B2861" s="1" t="n">
        <v>44937</v>
      </c>
      <c r="C2861" s="1" t="n">
        <v>45345</v>
      </c>
      <c r="D2861" t="inlineStr">
        <is>
          <t>VÄSTMANLANDS LÄN</t>
        </is>
      </c>
      <c r="E2861" t="inlineStr">
        <is>
          <t>SKINNSKATTEBERG</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1638-2023</t>
        </is>
      </c>
      <c r="B2862" s="1" t="n">
        <v>44937</v>
      </c>
      <c r="C2862" s="1" t="n">
        <v>45345</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1793-2023</t>
        </is>
      </c>
      <c r="B2863" s="1" t="n">
        <v>44937</v>
      </c>
      <c r="C2863" s="1" t="n">
        <v>45345</v>
      </c>
      <c r="D2863" t="inlineStr">
        <is>
          <t>VÄSTMANLANDS LÄN</t>
        </is>
      </c>
      <c r="E2863" t="inlineStr">
        <is>
          <t>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1814-2023</t>
        </is>
      </c>
      <c r="B2864" s="1" t="n">
        <v>44938</v>
      </c>
      <c r="C2864" s="1" t="n">
        <v>45345</v>
      </c>
      <c r="D2864" t="inlineStr">
        <is>
          <t>VÄSTMANLANDS LÄN</t>
        </is>
      </c>
      <c r="E2864" t="inlineStr">
        <is>
          <t>NORBERG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1934-2023</t>
        </is>
      </c>
      <c r="B2865" s="1" t="n">
        <v>44939</v>
      </c>
      <c r="C2865" s="1" t="n">
        <v>45345</v>
      </c>
      <c r="D2865" t="inlineStr">
        <is>
          <t>VÄSTMANLANDS LÄN</t>
        </is>
      </c>
      <c r="E2865" t="inlineStr">
        <is>
          <t>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1967-2023</t>
        </is>
      </c>
      <c r="B2866" s="1" t="n">
        <v>44939</v>
      </c>
      <c r="C2866" s="1" t="n">
        <v>45345</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2329-2023</t>
        </is>
      </c>
      <c r="B2867" s="1" t="n">
        <v>44942</v>
      </c>
      <c r="C2867" s="1" t="n">
        <v>45345</v>
      </c>
      <c r="D2867" t="inlineStr">
        <is>
          <t>VÄSTMANLANDS LÄN</t>
        </is>
      </c>
      <c r="E2867" t="inlineStr">
        <is>
          <t>ARBOGA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2521-2023</t>
        </is>
      </c>
      <c r="B2868" s="1" t="n">
        <v>44943</v>
      </c>
      <c r="C2868" s="1" t="n">
        <v>45345</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2900-2023</t>
        </is>
      </c>
      <c r="B2869" s="1" t="n">
        <v>44943</v>
      </c>
      <c r="C2869" s="1" t="n">
        <v>45345</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2868-2023</t>
        </is>
      </c>
      <c r="B2870" s="1" t="n">
        <v>44945</v>
      </c>
      <c r="C2870" s="1" t="n">
        <v>45345</v>
      </c>
      <c r="D2870" t="inlineStr">
        <is>
          <t>VÄSTMANLANDS LÄN</t>
        </is>
      </c>
      <c r="E2870" t="inlineStr">
        <is>
          <t>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2848-2023</t>
        </is>
      </c>
      <c r="B2871" s="1" t="n">
        <v>44945</v>
      </c>
      <c r="C2871" s="1" t="n">
        <v>45345</v>
      </c>
      <c r="D2871" t="inlineStr">
        <is>
          <t>VÄSTMANLANDS LÄN</t>
        </is>
      </c>
      <c r="E2871" t="inlineStr">
        <is>
          <t>VÄSTERÅS</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3085-2023</t>
        </is>
      </c>
      <c r="B2872" s="1" t="n">
        <v>44946</v>
      </c>
      <c r="C2872" s="1" t="n">
        <v>45345</v>
      </c>
      <c r="D2872" t="inlineStr">
        <is>
          <t>VÄSTMANLANDS LÄN</t>
        </is>
      </c>
      <c r="E2872" t="inlineStr">
        <is>
          <t>SURAHAMMAR</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3399-2023</t>
        </is>
      </c>
      <c r="B2873" s="1" t="n">
        <v>44949</v>
      </c>
      <c r="C2873" s="1" t="n">
        <v>45345</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3683-2023</t>
        </is>
      </c>
      <c r="B2874" s="1" t="n">
        <v>44950</v>
      </c>
      <c r="C2874" s="1" t="n">
        <v>45345</v>
      </c>
      <c r="D2874" t="inlineStr">
        <is>
          <t>VÄSTMANLANDS LÄN</t>
        </is>
      </c>
      <c r="E2874" t="inlineStr">
        <is>
          <t>KUNGSÖR</t>
        </is>
      </c>
      <c r="F2874" t="inlineStr">
        <is>
          <t>Allmännings- och besparingsskogar</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3733-2023</t>
        </is>
      </c>
      <c r="B2875" s="1" t="n">
        <v>44951</v>
      </c>
      <c r="C2875" s="1" t="n">
        <v>45345</v>
      </c>
      <c r="D2875" t="inlineStr">
        <is>
          <t>VÄSTMANLANDS LÄN</t>
        </is>
      </c>
      <c r="E2875" t="inlineStr">
        <is>
          <t>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3810-2023</t>
        </is>
      </c>
      <c r="B2876" s="1" t="n">
        <v>44951</v>
      </c>
      <c r="C2876" s="1" t="n">
        <v>45345</v>
      </c>
      <c r="D2876" t="inlineStr">
        <is>
          <t>VÄSTMANLANDS LÄN</t>
        </is>
      </c>
      <c r="E2876" t="inlineStr">
        <is>
          <t>SALA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3866-2023</t>
        </is>
      </c>
      <c r="B2877" s="1" t="n">
        <v>44951</v>
      </c>
      <c r="C2877" s="1" t="n">
        <v>45345</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4264-2023</t>
        </is>
      </c>
      <c r="B2878" s="1" t="n">
        <v>44953</v>
      </c>
      <c r="C2878" s="1" t="n">
        <v>45345</v>
      </c>
      <c r="D2878" t="inlineStr">
        <is>
          <t>VÄSTMANLANDS LÄN</t>
        </is>
      </c>
      <c r="E2878" t="inlineStr">
        <is>
          <t>FAGERSTA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4386-2023</t>
        </is>
      </c>
      <c r="B2879" s="1" t="n">
        <v>44955</v>
      </c>
      <c r="C2879" s="1" t="n">
        <v>45345</v>
      </c>
      <c r="D2879" t="inlineStr">
        <is>
          <t>VÄSTMANLANDS LÄN</t>
        </is>
      </c>
      <c r="E2879" t="inlineStr">
        <is>
          <t>SKINNSKATTEBERG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4853-2023</t>
        </is>
      </c>
      <c r="B2880" s="1" t="n">
        <v>44957</v>
      </c>
      <c r="C2880" s="1" t="n">
        <v>45345</v>
      </c>
      <c r="D2880" t="inlineStr">
        <is>
          <t>VÄSTMANLANDS LÄN</t>
        </is>
      </c>
      <c r="E2880" t="inlineStr">
        <is>
          <t>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4637-2023</t>
        </is>
      </c>
      <c r="B2881" s="1" t="n">
        <v>44957</v>
      </c>
      <c r="C2881" s="1" t="n">
        <v>45345</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4687-2023</t>
        </is>
      </c>
      <c r="B2882" s="1" t="n">
        <v>44957</v>
      </c>
      <c r="C2882" s="1" t="n">
        <v>45345</v>
      </c>
      <c r="D2882" t="inlineStr">
        <is>
          <t>VÄSTMANLANDS LÄN</t>
        </is>
      </c>
      <c r="E2882" t="inlineStr">
        <is>
          <t>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4791-2023</t>
        </is>
      </c>
      <c r="B2883" s="1" t="n">
        <v>44957</v>
      </c>
      <c r="C2883" s="1" t="n">
        <v>45345</v>
      </c>
      <c r="D2883" t="inlineStr">
        <is>
          <t>VÄSTMANLANDS LÄN</t>
        </is>
      </c>
      <c r="E2883" t="inlineStr">
        <is>
          <t>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4797-2023</t>
        </is>
      </c>
      <c r="B2884" s="1" t="n">
        <v>44957</v>
      </c>
      <c r="C2884" s="1" t="n">
        <v>45345</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4852-2023</t>
        </is>
      </c>
      <c r="B2885" s="1" t="n">
        <v>44957</v>
      </c>
      <c r="C2885" s="1" t="n">
        <v>45345</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5123-2023</t>
        </is>
      </c>
      <c r="B2886" s="1" t="n">
        <v>44958</v>
      </c>
      <c r="C2886" s="1" t="n">
        <v>45345</v>
      </c>
      <c r="D2886" t="inlineStr">
        <is>
          <t>VÄSTMANLANDS LÄN</t>
        </is>
      </c>
      <c r="E2886" t="inlineStr">
        <is>
          <t>VÄSTERÅS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5459-2023</t>
        </is>
      </c>
      <c r="B2887" s="1" t="n">
        <v>44960</v>
      </c>
      <c r="C2887" s="1" t="n">
        <v>45345</v>
      </c>
      <c r="D2887" t="inlineStr">
        <is>
          <t>VÄSTMANLANDS LÄN</t>
        </is>
      </c>
      <c r="E2887" t="inlineStr">
        <is>
          <t>ARBOGA</t>
        </is>
      </c>
      <c r="F2887" t="inlineStr">
        <is>
          <t>Allmännings- och besparingsskogar</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5724-2023</t>
        </is>
      </c>
      <c r="B2888" s="1" t="n">
        <v>44961</v>
      </c>
      <c r="C2888" s="1" t="n">
        <v>45345</v>
      </c>
      <c r="D2888" t="inlineStr">
        <is>
          <t>VÄSTMANLANDS LÄN</t>
        </is>
      </c>
      <c r="E2888" t="inlineStr">
        <is>
          <t>VÄSTERÅS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5782-2023</t>
        </is>
      </c>
      <c r="B2889" s="1" t="n">
        <v>44963</v>
      </c>
      <c r="C2889" s="1" t="n">
        <v>45345</v>
      </c>
      <c r="D2889" t="inlineStr">
        <is>
          <t>VÄSTMANLANDS LÄN</t>
        </is>
      </c>
      <c r="E2889" t="inlineStr">
        <is>
          <t>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6111-2023</t>
        </is>
      </c>
      <c r="B2890" s="1" t="n">
        <v>44964</v>
      </c>
      <c r="C2890" s="1" t="n">
        <v>45345</v>
      </c>
      <c r="D2890" t="inlineStr">
        <is>
          <t>VÄSTMANLANDS LÄN</t>
        </is>
      </c>
      <c r="E2890" t="inlineStr">
        <is>
          <t>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6135-2023</t>
        </is>
      </c>
      <c r="B2891" s="1" t="n">
        <v>44964</v>
      </c>
      <c r="C2891" s="1" t="n">
        <v>45345</v>
      </c>
      <c r="D2891" t="inlineStr">
        <is>
          <t>VÄSTMANLANDS LÄN</t>
        </is>
      </c>
      <c r="E2891" t="inlineStr">
        <is>
          <t>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6167-2023</t>
        </is>
      </c>
      <c r="B2892" s="1" t="n">
        <v>44964</v>
      </c>
      <c r="C2892" s="1" t="n">
        <v>45345</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6130-2023</t>
        </is>
      </c>
      <c r="B2893" s="1" t="n">
        <v>44964</v>
      </c>
      <c r="C2893" s="1" t="n">
        <v>45345</v>
      </c>
      <c r="D2893" t="inlineStr">
        <is>
          <t>VÄSTMANLANDS LÄN</t>
        </is>
      </c>
      <c r="E2893" t="inlineStr">
        <is>
          <t>SALA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6051-2023</t>
        </is>
      </c>
      <c r="B2894" s="1" t="n">
        <v>44964</v>
      </c>
      <c r="C2894" s="1" t="n">
        <v>45345</v>
      </c>
      <c r="D2894" t="inlineStr">
        <is>
          <t>VÄSTMANLANDS LÄN</t>
        </is>
      </c>
      <c r="E2894" t="inlineStr">
        <is>
          <t>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6116-2023</t>
        </is>
      </c>
      <c r="B2895" s="1" t="n">
        <v>44964</v>
      </c>
      <c r="C2895" s="1" t="n">
        <v>45345</v>
      </c>
      <c r="D2895" t="inlineStr">
        <is>
          <t>VÄSTMANLANDS LÄN</t>
        </is>
      </c>
      <c r="E2895" t="inlineStr">
        <is>
          <t>SALA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6139-2023</t>
        </is>
      </c>
      <c r="B2896" s="1" t="n">
        <v>44964</v>
      </c>
      <c r="C2896" s="1" t="n">
        <v>45345</v>
      </c>
      <c r="D2896" t="inlineStr">
        <is>
          <t>VÄSTMANLANDS LÄN</t>
        </is>
      </c>
      <c r="E2896" t="inlineStr">
        <is>
          <t>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6183-2023</t>
        </is>
      </c>
      <c r="B2897" s="1" t="n">
        <v>44964</v>
      </c>
      <c r="C2897" s="1" t="n">
        <v>45345</v>
      </c>
      <c r="D2897" t="inlineStr">
        <is>
          <t>VÄSTMANLANDS LÄN</t>
        </is>
      </c>
      <c r="E2897" t="inlineStr">
        <is>
          <t>SKINNSKATTEBERG</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6869-2023</t>
        </is>
      </c>
      <c r="B2898" s="1" t="n">
        <v>44964</v>
      </c>
      <c r="C2898" s="1" t="n">
        <v>45345</v>
      </c>
      <c r="D2898" t="inlineStr">
        <is>
          <t>VÄSTMANLANDS LÄN</t>
        </is>
      </c>
      <c r="E2898" t="inlineStr">
        <is>
          <t>SALA</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6298-2023</t>
        </is>
      </c>
      <c r="B2899" s="1" t="n">
        <v>44965</v>
      </c>
      <c r="C2899" s="1" t="n">
        <v>45345</v>
      </c>
      <c r="D2899" t="inlineStr">
        <is>
          <t>VÄSTMANLANDS LÄN</t>
        </is>
      </c>
      <c r="E2899" t="inlineStr">
        <is>
          <t>SKINNSKATTEBERG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6351-2023</t>
        </is>
      </c>
      <c r="B2900" s="1" t="n">
        <v>44965</v>
      </c>
      <c r="C2900" s="1" t="n">
        <v>45345</v>
      </c>
      <c r="D2900" t="inlineStr">
        <is>
          <t>VÄSTMANLANDS LÄN</t>
        </is>
      </c>
      <c r="E2900" t="inlineStr">
        <is>
          <t>SALA</t>
        </is>
      </c>
      <c r="F2900" t="inlineStr">
        <is>
          <t>Kommuner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6667-2023</t>
        </is>
      </c>
      <c r="B2901" s="1" t="n">
        <v>44966</v>
      </c>
      <c r="C2901" s="1" t="n">
        <v>45345</v>
      </c>
      <c r="D2901" t="inlineStr">
        <is>
          <t>VÄSTMANLANDS LÄN</t>
        </is>
      </c>
      <c r="E2901" t="inlineStr">
        <is>
          <t>KÖPING</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6680-2023</t>
        </is>
      </c>
      <c r="B2902" s="1" t="n">
        <v>44966</v>
      </c>
      <c r="C2902" s="1" t="n">
        <v>45345</v>
      </c>
      <c r="D2902" t="inlineStr">
        <is>
          <t>VÄSTMANLANDS LÄN</t>
        </is>
      </c>
      <c r="E2902" t="inlineStr">
        <is>
          <t>ARBOGA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6851-2023</t>
        </is>
      </c>
      <c r="B2903" s="1" t="n">
        <v>44967</v>
      </c>
      <c r="C2903" s="1" t="n">
        <v>45345</v>
      </c>
      <c r="D2903" t="inlineStr">
        <is>
          <t>VÄSTMANLANDS LÄN</t>
        </is>
      </c>
      <c r="E2903" t="inlineStr">
        <is>
          <t>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6946-2023</t>
        </is>
      </c>
      <c r="B2904" s="1" t="n">
        <v>44967</v>
      </c>
      <c r="C2904" s="1" t="n">
        <v>45345</v>
      </c>
      <c r="D2904" t="inlineStr">
        <is>
          <t>VÄSTMANLANDS LÄN</t>
        </is>
      </c>
      <c r="E2904" t="inlineStr">
        <is>
          <t>KÖPING</t>
        </is>
      </c>
      <c r="F2904" t="inlineStr">
        <is>
          <t>Sveaskog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6943-2023</t>
        </is>
      </c>
      <c r="B2905" s="1" t="n">
        <v>44967</v>
      </c>
      <c r="C2905" s="1" t="n">
        <v>45345</v>
      </c>
      <c r="D2905" t="inlineStr">
        <is>
          <t>VÄSTMANLANDS LÄN</t>
        </is>
      </c>
      <c r="E2905" t="inlineStr">
        <is>
          <t>SKINNSKATTEBERG</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6948-2023</t>
        </is>
      </c>
      <c r="B2906" s="1" t="n">
        <v>44967</v>
      </c>
      <c r="C2906" s="1" t="n">
        <v>45345</v>
      </c>
      <c r="D2906" t="inlineStr">
        <is>
          <t>VÄSTMANLANDS LÄN</t>
        </is>
      </c>
      <c r="E2906" t="inlineStr">
        <is>
          <t>KÖPING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6949-2023</t>
        </is>
      </c>
      <c r="B2907" s="1" t="n">
        <v>44967</v>
      </c>
      <c r="C2907" s="1" t="n">
        <v>45345</v>
      </c>
      <c r="D2907" t="inlineStr">
        <is>
          <t>VÄSTMANLANDS LÄN</t>
        </is>
      </c>
      <c r="E2907" t="inlineStr">
        <is>
          <t>KÖPING</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7176-2023</t>
        </is>
      </c>
      <c r="B2908" s="1" t="n">
        <v>44970</v>
      </c>
      <c r="C2908" s="1" t="n">
        <v>45345</v>
      </c>
      <c r="D2908" t="inlineStr">
        <is>
          <t>VÄSTMANLANDS LÄN</t>
        </is>
      </c>
      <c r="E2908" t="inlineStr">
        <is>
          <t>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7193-2023</t>
        </is>
      </c>
      <c r="B2909" s="1" t="n">
        <v>44970</v>
      </c>
      <c r="C2909" s="1" t="n">
        <v>45345</v>
      </c>
      <c r="D2909" t="inlineStr">
        <is>
          <t>VÄSTMANLANDS LÄN</t>
        </is>
      </c>
      <c r="E2909" t="inlineStr">
        <is>
          <t>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7965-2023</t>
        </is>
      </c>
      <c r="B2910" s="1" t="n">
        <v>44970</v>
      </c>
      <c r="C2910" s="1" t="n">
        <v>45345</v>
      </c>
      <c r="D2910" t="inlineStr">
        <is>
          <t>VÄSTMANLANDS LÄN</t>
        </is>
      </c>
      <c r="E2910" t="inlineStr">
        <is>
          <t>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7954-2023</t>
        </is>
      </c>
      <c r="B2911" s="1" t="n">
        <v>44970</v>
      </c>
      <c r="C2911" s="1" t="n">
        <v>45345</v>
      </c>
      <c r="D2911" t="inlineStr">
        <is>
          <t>VÄSTMANLANDS LÄN</t>
        </is>
      </c>
      <c r="E2911" t="inlineStr">
        <is>
          <t>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7377-2023</t>
        </is>
      </c>
      <c r="B2912" s="1" t="n">
        <v>44971</v>
      </c>
      <c r="C2912" s="1" t="n">
        <v>45345</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7351-2023</t>
        </is>
      </c>
      <c r="B2913" s="1" t="n">
        <v>44971</v>
      </c>
      <c r="C2913" s="1" t="n">
        <v>45345</v>
      </c>
      <c r="D2913" t="inlineStr">
        <is>
          <t>VÄSTMANLANDS LÄN</t>
        </is>
      </c>
      <c r="E2913" t="inlineStr">
        <is>
          <t>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7385-2023</t>
        </is>
      </c>
      <c r="B2914" s="1" t="n">
        <v>44971</v>
      </c>
      <c r="C2914" s="1" t="n">
        <v>45345</v>
      </c>
      <c r="D2914" t="inlineStr">
        <is>
          <t>VÄSTMANLANDS LÄN</t>
        </is>
      </c>
      <c r="E2914" t="inlineStr">
        <is>
          <t>FAGERSTA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7396-2023</t>
        </is>
      </c>
      <c r="B2915" s="1" t="n">
        <v>44971</v>
      </c>
      <c r="C2915" s="1" t="n">
        <v>45345</v>
      </c>
      <c r="D2915" t="inlineStr">
        <is>
          <t>VÄSTMANLANDS LÄN</t>
        </is>
      </c>
      <c r="E2915" t="inlineStr">
        <is>
          <t>FAGERSTA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7502-2023</t>
        </is>
      </c>
      <c r="B2916" s="1" t="n">
        <v>44971</v>
      </c>
      <c r="C2916" s="1" t="n">
        <v>45345</v>
      </c>
      <c r="D2916" t="inlineStr">
        <is>
          <t>VÄSTMANLANDS LÄN</t>
        </is>
      </c>
      <c r="E2916" t="inlineStr">
        <is>
          <t>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7616-2023</t>
        </is>
      </c>
      <c r="B2917" s="1" t="n">
        <v>44972</v>
      </c>
      <c r="C2917" s="1" t="n">
        <v>45345</v>
      </c>
      <c r="D2917" t="inlineStr">
        <is>
          <t>VÄSTMANLANDS LÄN</t>
        </is>
      </c>
      <c r="E2917" t="inlineStr">
        <is>
          <t>KUNGSÖR</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7664-2023</t>
        </is>
      </c>
      <c r="B2918" s="1" t="n">
        <v>44972</v>
      </c>
      <c r="C2918" s="1" t="n">
        <v>45345</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7635-2023</t>
        </is>
      </c>
      <c r="B2919" s="1" t="n">
        <v>44972</v>
      </c>
      <c r="C2919" s="1" t="n">
        <v>45345</v>
      </c>
      <c r="D2919" t="inlineStr">
        <is>
          <t>VÄSTMANLANDS LÄN</t>
        </is>
      </c>
      <c r="E2919" t="inlineStr">
        <is>
          <t>SALA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7744-2023</t>
        </is>
      </c>
      <c r="B2920" s="1" t="n">
        <v>44973</v>
      </c>
      <c r="C2920" s="1" t="n">
        <v>45345</v>
      </c>
      <c r="D2920" t="inlineStr">
        <is>
          <t>VÄSTMANLANDS LÄN</t>
        </is>
      </c>
      <c r="E2920" t="inlineStr">
        <is>
          <t>NORBERG</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7772-2023</t>
        </is>
      </c>
      <c r="B2921" s="1" t="n">
        <v>44973</v>
      </c>
      <c r="C2921" s="1" t="n">
        <v>45345</v>
      </c>
      <c r="D2921" t="inlineStr">
        <is>
          <t>VÄSTMANLANDS LÄN</t>
        </is>
      </c>
      <c r="E2921" t="inlineStr">
        <is>
          <t>SALA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7813-2023</t>
        </is>
      </c>
      <c r="B2922" s="1" t="n">
        <v>44973</v>
      </c>
      <c r="C2922" s="1" t="n">
        <v>45345</v>
      </c>
      <c r="D2922" t="inlineStr">
        <is>
          <t>VÄSTMANLANDS LÄN</t>
        </is>
      </c>
      <c r="E2922" t="inlineStr">
        <is>
          <t>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7747-2023</t>
        </is>
      </c>
      <c r="B2923" s="1" t="n">
        <v>44973</v>
      </c>
      <c r="C2923" s="1" t="n">
        <v>45345</v>
      </c>
      <c r="D2923" t="inlineStr">
        <is>
          <t>VÄSTMANLANDS LÄN</t>
        </is>
      </c>
      <c r="E2923" t="inlineStr">
        <is>
          <t>SALA</t>
        </is>
      </c>
      <c r="F2923" t="inlineStr">
        <is>
          <t>Övriga Aktiebolag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8746-2023</t>
        </is>
      </c>
      <c r="B2924" s="1" t="n">
        <v>44973</v>
      </c>
      <c r="C2924" s="1" t="n">
        <v>45345</v>
      </c>
      <c r="D2924" t="inlineStr">
        <is>
          <t>VÄSTMANLANDS LÄN</t>
        </is>
      </c>
      <c r="E2924" t="inlineStr">
        <is>
          <t>NORBERG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8744-2023</t>
        </is>
      </c>
      <c r="B2925" s="1" t="n">
        <v>44973</v>
      </c>
      <c r="C2925" s="1" t="n">
        <v>45345</v>
      </c>
      <c r="D2925" t="inlineStr">
        <is>
          <t>VÄSTMANLANDS LÄN</t>
        </is>
      </c>
      <c r="E2925" t="inlineStr">
        <is>
          <t>NORBERG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8047-2023</t>
        </is>
      </c>
      <c r="B2926" s="1" t="n">
        <v>44974</v>
      </c>
      <c r="C2926" s="1" t="n">
        <v>45345</v>
      </c>
      <c r="D2926" t="inlineStr">
        <is>
          <t>VÄSTMANLANDS LÄN</t>
        </is>
      </c>
      <c r="E2926" t="inlineStr">
        <is>
          <t>SALA</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8198-2023</t>
        </is>
      </c>
      <c r="B2927" s="1" t="n">
        <v>44974</v>
      </c>
      <c r="C2927" s="1" t="n">
        <v>45345</v>
      </c>
      <c r="D2927" t="inlineStr">
        <is>
          <t>VÄSTMANLANDS LÄN</t>
        </is>
      </c>
      <c r="E2927" t="inlineStr">
        <is>
          <t>SKINNSKATTEBERG</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8125-2023</t>
        </is>
      </c>
      <c r="B2928" s="1" t="n">
        <v>44974</v>
      </c>
      <c r="C2928" s="1" t="n">
        <v>45345</v>
      </c>
      <c r="D2928" t="inlineStr">
        <is>
          <t>VÄSTMANLANDS LÄN</t>
        </is>
      </c>
      <c r="E2928" t="inlineStr">
        <is>
          <t>ARBOGA</t>
        </is>
      </c>
      <c r="F2928" t="inlineStr">
        <is>
          <t>Allmännings- och besparingsskogar</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8264-2023</t>
        </is>
      </c>
      <c r="B2929" s="1" t="n">
        <v>44974</v>
      </c>
      <c r="C2929" s="1" t="n">
        <v>45345</v>
      </c>
      <c r="D2929" t="inlineStr">
        <is>
          <t>VÄSTMANLANDS LÄN</t>
        </is>
      </c>
      <c r="E2929" t="inlineStr">
        <is>
          <t>FAGERSTA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8193-2023</t>
        </is>
      </c>
      <c r="B2930" s="1" t="n">
        <v>44974</v>
      </c>
      <c r="C2930" s="1" t="n">
        <v>45345</v>
      </c>
      <c r="D2930" t="inlineStr">
        <is>
          <t>VÄSTMANLANDS LÄN</t>
        </is>
      </c>
      <c r="E2930" t="inlineStr">
        <is>
          <t>KUNGSÖR</t>
        </is>
      </c>
      <c r="F2930" t="inlineStr">
        <is>
          <t>Allmännings- och besparingsskogar</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8202-2023</t>
        </is>
      </c>
      <c r="B2931" s="1" t="n">
        <v>44974</v>
      </c>
      <c r="C2931" s="1" t="n">
        <v>45345</v>
      </c>
      <c r="D2931" t="inlineStr">
        <is>
          <t>VÄSTMANLANDS LÄN</t>
        </is>
      </c>
      <c r="E2931" t="inlineStr">
        <is>
          <t>SKINNSKATTEBERG</t>
        </is>
      </c>
      <c r="F2931" t="inlineStr">
        <is>
          <t>Kyrkan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8218-2023</t>
        </is>
      </c>
      <c r="B2932" s="1" t="n">
        <v>44974</v>
      </c>
      <c r="C2932" s="1" t="n">
        <v>45345</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8331-2023</t>
        </is>
      </c>
      <c r="B2933" s="1" t="n">
        <v>44974</v>
      </c>
      <c r="C2933" s="1" t="n">
        <v>45345</v>
      </c>
      <c r="D2933" t="inlineStr">
        <is>
          <t>VÄSTMANLANDS LÄN</t>
        </is>
      </c>
      <c r="E2933" t="inlineStr">
        <is>
          <t>KUNGSÖR</t>
        </is>
      </c>
      <c r="F2933" t="inlineStr">
        <is>
          <t>Allmännings- och besparingsskogar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8199-2023</t>
        </is>
      </c>
      <c r="B2934" s="1" t="n">
        <v>44974</v>
      </c>
      <c r="C2934" s="1" t="n">
        <v>45345</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8228-2023</t>
        </is>
      </c>
      <c r="B2935" s="1" t="n">
        <v>44974</v>
      </c>
      <c r="C2935" s="1" t="n">
        <v>45345</v>
      </c>
      <c r="D2935" t="inlineStr">
        <is>
          <t>VÄSTMANLANDS LÄN</t>
        </is>
      </c>
      <c r="E2935" t="inlineStr">
        <is>
          <t>KUNGSÖR</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8275-2023</t>
        </is>
      </c>
      <c r="B2936" s="1" t="n">
        <v>44974</v>
      </c>
      <c r="C2936" s="1" t="n">
        <v>45345</v>
      </c>
      <c r="D2936" t="inlineStr">
        <is>
          <t>VÄSTMANLANDS LÄN</t>
        </is>
      </c>
      <c r="E2936" t="inlineStr">
        <is>
          <t>KUNGSÖR</t>
        </is>
      </c>
      <c r="F2936" t="inlineStr">
        <is>
          <t>Allmännings- och besparingsskogar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8436-2023</t>
        </is>
      </c>
      <c r="B2937" s="1" t="n">
        <v>44977</v>
      </c>
      <c r="C2937" s="1" t="n">
        <v>45345</v>
      </c>
      <c r="D2937" t="inlineStr">
        <is>
          <t>VÄSTMANLANDS LÄN</t>
        </is>
      </c>
      <c r="E2937" t="inlineStr">
        <is>
          <t>HALLSTAHAMMAR</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8461-2023</t>
        </is>
      </c>
      <c r="B2938" s="1" t="n">
        <v>44977</v>
      </c>
      <c r="C2938" s="1" t="n">
        <v>45345</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8543-2023</t>
        </is>
      </c>
      <c r="B2939" s="1" t="n">
        <v>44977</v>
      </c>
      <c r="C2939" s="1" t="n">
        <v>45345</v>
      </c>
      <c r="D2939" t="inlineStr">
        <is>
          <t>VÄSTMANLANDS LÄN</t>
        </is>
      </c>
      <c r="E2939" t="inlineStr">
        <is>
          <t>VÄSTERÅS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8578-2023</t>
        </is>
      </c>
      <c r="B2940" s="1" t="n">
        <v>44977</v>
      </c>
      <c r="C2940" s="1" t="n">
        <v>45345</v>
      </c>
      <c r="D2940" t="inlineStr">
        <is>
          <t>VÄSTMANLANDS LÄN</t>
        </is>
      </c>
      <c r="E2940" t="inlineStr">
        <is>
          <t>SKINNSKATTEBERG</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8541-2023</t>
        </is>
      </c>
      <c r="B2941" s="1" t="n">
        <v>44977</v>
      </c>
      <c r="C2941" s="1" t="n">
        <v>45345</v>
      </c>
      <c r="D2941" t="inlineStr">
        <is>
          <t>VÄSTMANLANDS LÄN</t>
        </is>
      </c>
      <c r="E2941" t="inlineStr">
        <is>
          <t>VÄSTERÅS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8476-2023</t>
        </is>
      </c>
      <c r="B2942" s="1" t="n">
        <v>44977</v>
      </c>
      <c r="C2942" s="1" t="n">
        <v>45345</v>
      </c>
      <c r="D2942" t="inlineStr">
        <is>
          <t>VÄSTMANLANDS LÄN</t>
        </is>
      </c>
      <c r="E2942" t="inlineStr">
        <is>
          <t>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8542-2023</t>
        </is>
      </c>
      <c r="B2943" s="1" t="n">
        <v>44977</v>
      </c>
      <c r="C2943" s="1" t="n">
        <v>45345</v>
      </c>
      <c r="D2943" t="inlineStr">
        <is>
          <t>VÄSTMANLANDS LÄN</t>
        </is>
      </c>
      <c r="E2943" t="inlineStr">
        <is>
          <t>VÄSTERÅS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8553-2023</t>
        </is>
      </c>
      <c r="B2944" s="1" t="n">
        <v>44977</v>
      </c>
      <c r="C2944" s="1" t="n">
        <v>45345</v>
      </c>
      <c r="D2944" t="inlineStr">
        <is>
          <t>VÄSTMANLANDS LÄN</t>
        </is>
      </c>
      <c r="E2944" t="inlineStr">
        <is>
          <t>SURAHAMMAR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8727-2023</t>
        </is>
      </c>
      <c r="B2945" s="1" t="n">
        <v>44978</v>
      </c>
      <c r="C2945" s="1" t="n">
        <v>45345</v>
      </c>
      <c r="D2945" t="inlineStr">
        <is>
          <t>VÄSTMANLANDS LÄN</t>
        </is>
      </c>
      <c r="E2945" t="inlineStr">
        <is>
          <t>VÄSTERÅS</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8800-2023</t>
        </is>
      </c>
      <c r="B2946" s="1" t="n">
        <v>44978</v>
      </c>
      <c r="C2946" s="1" t="n">
        <v>45345</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8833-2023</t>
        </is>
      </c>
      <c r="B2947" s="1" t="n">
        <v>44978</v>
      </c>
      <c r="C2947" s="1" t="n">
        <v>45345</v>
      </c>
      <c r="D2947" t="inlineStr">
        <is>
          <t>VÄSTMANLANDS LÄN</t>
        </is>
      </c>
      <c r="E2947" t="inlineStr">
        <is>
          <t>HALLSTAHAMMAR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8766-2023</t>
        </is>
      </c>
      <c r="B2948" s="1" t="n">
        <v>44978</v>
      </c>
      <c r="C2948" s="1" t="n">
        <v>45345</v>
      </c>
      <c r="D2948" t="inlineStr">
        <is>
          <t>VÄSTMANLANDS LÄN</t>
        </is>
      </c>
      <c r="E2948" t="inlineStr">
        <is>
          <t>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8818-2023</t>
        </is>
      </c>
      <c r="B2949" s="1" t="n">
        <v>44978</v>
      </c>
      <c r="C2949" s="1" t="n">
        <v>45345</v>
      </c>
      <c r="D2949" t="inlineStr">
        <is>
          <t>VÄSTMANLANDS LÄN</t>
        </is>
      </c>
      <c r="E2949" t="inlineStr">
        <is>
          <t>ARBOGA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8797-2023</t>
        </is>
      </c>
      <c r="B2950" s="1" t="n">
        <v>44978</v>
      </c>
      <c r="C2950" s="1" t="n">
        <v>45345</v>
      </c>
      <c r="D2950" t="inlineStr">
        <is>
          <t>VÄSTMANLANDS LÄN</t>
        </is>
      </c>
      <c r="E2950" t="inlineStr">
        <is>
          <t>VÄSTERÅS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9051-2023</t>
        </is>
      </c>
      <c r="B2951" s="1" t="n">
        <v>44979</v>
      </c>
      <c r="C2951" s="1" t="n">
        <v>45345</v>
      </c>
      <c r="D2951" t="inlineStr">
        <is>
          <t>VÄSTMANLANDS LÄN</t>
        </is>
      </c>
      <c r="E2951" t="inlineStr">
        <is>
          <t>SALA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10749-2023</t>
        </is>
      </c>
      <c r="B2952" s="1" t="n">
        <v>44985</v>
      </c>
      <c r="C2952" s="1" t="n">
        <v>45345</v>
      </c>
      <c r="D2952" t="inlineStr">
        <is>
          <t>VÄSTMANLANDS LÄN</t>
        </is>
      </c>
      <c r="E2952" t="inlineStr">
        <is>
          <t>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10750-2023</t>
        </is>
      </c>
      <c r="B2953" s="1" t="n">
        <v>44985</v>
      </c>
      <c r="C2953" s="1" t="n">
        <v>45345</v>
      </c>
      <c r="D2953" t="inlineStr">
        <is>
          <t>VÄSTMANLANDS LÄN</t>
        </is>
      </c>
      <c r="E2953" t="inlineStr">
        <is>
          <t>KÖPING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10132-2023</t>
        </is>
      </c>
      <c r="B2954" s="1" t="n">
        <v>44986</v>
      </c>
      <c r="C2954" s="1" t="n">
        <v>45345</v>
      </c>
      <c r="D2954" t="inlineStr">
        <is>
          <t>VÄSTMANLANDS LÄN</t>
        </is>
      </c>
      <c r="E2954" t="inlineStr">
        <is>
          <t>ARBOGA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10225-2023</t>
        </is>
      </c>
      <c r="B2955" s="1" t="n">
        <v>44986</v>
      </c>
      <c r="C2955" s="1" t="n">
        <v>45345</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10378-2023</t>
        </is>
      </c>
      <c r="B2956" s="1" t="n">
        <v>44987</v>
      </c>
      <c r="C2956" s="1" t="n">
        <v>45345</v>
      </c>
      <c r="D2956" t="inlineStr">
        <is>
          <t>VÄSTMANLANDS LÄN</t>
        </is>
      </c>
      <c r="E2956" t="inlineStr">
        <is>
          <t>NORBERG</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10380-2023</t>
        </is>
      </c>
      <c r="B2957" s="1" t="n">
        <v>44987</v>
      </c>
      <c r="C2957" s="1" t="n">
        <v>45345</v>
      </c>
      <c r="D2957" t="inlineStr">
        <is>
          <t>VÄSTMANLANDS LÄN</t>
        </is>
      </c>
      <c r="E2957" t="inlineStr">
        <is>
          <t>FAGERSTA</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11137-2023</t>
        </is>
      </c>
      <c r="B2958" s="1" t="n">
        <v>44987</v>
      </c>
      <c r="C2958" s="1" t="n">
        <v>45345</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10617-2023</t>
        </is>
      </c>
      <c r="B2959" s="1" t="n">
        <v>44988</v>
      </c>
      <c r="C2959" s="1" t="n">
        <v>45345</v>
      </c>
      <c r="D2959" t="inlineStr">
        <is>
          <t>VÄSTMANLANDS LÄN</t>
        </is>
      </c>
      <c r="E2959" t="inlineStr">
        <is>
          <t>ARBOGA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11220-2023</t>
        </is>
      </c>
      <c r="B2960" s="1" t="n">
        <v>44988</v>
      </c>
      <c r="C2960" s="1" t="n">
        <v>45345</v>
      </c>
      <c r="D2960" t="inlineStr">
        <is>
          <t>VÄSTMANLANDS LÄN</t>
        </is>
      </c>
      <c r="E2960" t="inlineStr">
        <is>
          <t>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11336-2023</t>
        </is>
      </c>
      <c r="B2961" s="1" t="n">
        <v>44988</v>
      </c>
      <c r="C2961" s="1" t="n">
        <v>45345</v>
      </c>
      <c r="D2961" t="inlineStr">
        <is>
          <t>VÄSTMANLANDS LÄN</t>
        </is>
      </c>
      <c r="E2961" t="inlineStr">
        <is>
          <t>VÄSTERÅS</t>
        </is>
      </c>
      <c r="F2961" t="inlineStr">
        <is>
          <t>Övriga Aktiebolag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11384-2023</t>
        </is>
      </c>
      <c r="B2962" s="1" t="n">
        <v>44988</v>
      </c>
      <c r="C2962" s="1" t="n">
        <v>45345</v>
      </c>
      <c r="D2962" t="inlineStr">
        <is>
          <t>VÄSTMANLANDS LÄN</t>
        </is>
      </c>
      <c r="E2962" t="inlineStr">
        <is>
          <t>KÖPING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10877-2023</t>
        </is>
      </c>
      <c r="B2963" s="1" t="n">
        <v>44991</v>
      </c>
      <c r="C2963" s="1" t="n">
        <v>45345</v>
      </c>
      <c r="D2963" t="inlineStr">
        <is>
          <t>VÄSTMANLANDS LÄN</t>
        </is>
      </c>
      <c r="E2963" t="inlineStr">
        <is>
          <t>SURAHAMMAR</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10883-2023</t>
        </is>
      </c>
      <c r="B2964" s="1" t="n">
        <v>44991</v>
      </c>
      <c r="C2964" s="1" t="n">
        <v>45345</v>
      </c>
      <c r="D2964" t="inlineStr">
        <is>
          <t>VÄSTMANLANDS LÄN</t>
        </is>
      </c>
      <c r="E2964" t="inlineStr">
        <is>
          <t>SURAHAMMAR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10851-2023</t>
        </is>
      </c>
      <c r="B2965" s="1" t="n">
        <v>44991</v>
      </c>
      <c r="C2965" s="1" t="n">
        <v>45345</v>
      </c>
      <c r="D2965" t="inlineStr">
        <is>
          <t>VÄSTMANLANDS LÄN</t>
        </is>
      </c>
      <c r="E2965" t="inlineStr">
        <is>
          <t>FAGERSTA</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11259-2023</t>
        </is>
      </c>
      <c r="B2966" s="1" t="n">
        <v>44991</v>
      </c>
      <c r="C2966" s="1" t="n">
        <v>45345</v>
      </c>
      <c r="D2966" t="inlineStr">
        <is>
          <t>VÄSTMANLANDS LÄN</t>
        </is>
      </c>
      <c r="E2966" t="inlineStr">
        <is>
          <t>SURAHAMMAR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11463-2023</t>
        </is>
      </c>
      <c r="B2967" s="1" t="n">
        <v>44991</v>
      </c>
      <c r="C2967" s="1" t="n">
        <v>45345</v>
      </c>
      <c r="D2967" t="inlineStr">
        <is>
          <t>VÄSTMANLANDS LÄN</t>
        </is>
      </c>
      <c r="E2967" t="inlineStr">
        <is>
          <t>VÄSTERÅS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11501-2023</t>
        </is>
      </c>
      <c r="B2968" s="1" t="n">
        <v>44991</v>
      </c>
      <c r="C2968" s="1" t="n">
        <v>45345</v>
      </c>
      <c r="D2968" t="inlineStr">
        <is>
          <t>VÄSTMANLANDS LÄN</t>
        </is>
      </c>
      <c r="E2968" t="inlineStr">
        <is>
          <t>SURAHAMMAR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11099-2023</t>
        </is>
      </c>
      <c r="B2969" s="1" t="n">
        <v>44992</v>
      </c>
      <c r="C2969" s="1" t="n">
        <v>45345</v>
      </c>
      <c r="D2969" t="inlineStr">
        <is>
          <t>VÄSTMANLANDS LÄN</t>
        </is>
      </c>
      <c r="E2969" t="inlineStr">
        <is>
          <t>NORBERG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11190-2023</t>
        </is>
      </c>
      <c r="B2970" s="1" t="n">
        <v>44992</v>
      </c>
      <c r="C2970" s="1" t="n">
        <v>45345</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11166-2023</t>
        </is>
      </c>
      <c r="B2971" s="1" t="n">
        <v>44992</v>
      </c>
      <c r="C2971" s="1" t="n">
        <v>45345</v>
      </c>
      <c r="D2971" t="inlineStr">
        <is>
          <t>VÄSTMANLANDS LÄN</t>
        </is>
      </c>
      <c r="E2971" t="inlineStr">
        <is>
          <t>SALA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11183-2023</t>
        </is>
      </c>
      <c r="B2972" s="1" t="n">
        <v>44992</v>
      </c>
      <c r="C2972" s="1" t="n">
        <v>45345</v>
      </c>
      <c r="D2972" t="inlineStr">
        <is>
          <t>VÄSTMANLANDS LÄN</t>
        </is>
      </c>
      <c r="E2972" t="inlineStr">
        <is>
          <t>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11664-2023</t>
        </is>
      </c>
      <c r="B2973" s="1" t="n">
        <v>44992</v>
      </c>
      <c r="C2973" s="1" t="n">
        <v>45345</v>
      </c>
      <c r="D2973" t="inlineStr">
        <is>
          <t>VÄSTMANLANDS LÄN</t>
        </is>
      </c>
      <c r="E2973" t="inlineStr">
        <is>
          <t>NORBERG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11494-2023</t>
        </is>
      </c>
      <c r="B2974" s="1" t="n">
        <v>44993</v>
      </c>
      <c r="C2974" s="1" t="n">
        <v>45345</v>
      </c>
      <c r="D2974" t="inlineStr">
        <is>
          <t>VÄSTMANLANDS LÄN</t>
        </is>
      </c>
      <c r="E2974" t="inlineStr">
        <is>
          <t>SKINNSKATTEBERG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11728-2023</t>
        </is>
      </c>
      <c r="B2975" s="1" t="n">
        <v>44993</v>
      </c>
      <c r="C2975" s="1" t="n">
        <v>45345</v>
      </c>
      <c r="D2975" t="inlineStr">
        <is>
          <t>VÄSTMANLANDS LÄN</t>
        </is>
      </c>
      <c r="E2975" t="inlineStr">
        <is>
          <t>SURAHAMMAR</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11631-2023</t>
        </is>
      </c>
      <c r="B2976" s="1" t="n">
        <v>44994</v>
      </c>
      <c r="C2976" s="1" t="n">
        <v>45345</v>
      </c>
      <c r="D2976" t="inlineStr">
        <is>
          <t>VÄSTMANLANDS LÄN</t>
        </is>
      </c>
      <c r="E2976" t="inlineStr">
        <is>
          <t>SALA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11694-2023</t>
        </is>
      </c>
      <c r="B2977" s="1" t="n">
        <v>44994</v>
      </c>
      <c r="C2977" s="1" t="n">
        <v>45345</v>
      </c>
      <c r="D2977" t="inlineStr">
        <is>
          <t>VÄSTMANLANDS LÄN</t>
        </is>
      </c>
      <c r="E2977" t="inlineStr">
        <is>
          <t>ARBOGA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11691-2023</t>
        </is>
      </c>
      <c r="B2978" s="1" t="n">
        <v>44994</v>
      </c>
      <c r="C2978" s="1" t="n">
        <v>45345</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11748-2023</t>
        </is>
      </c>
      <c r="B2979" s="1" t="n">
        <v>44994</v>
      </c>
      <c r="C2979" s="1" t="n">
        <v>45345</v>
      </c>
      <c r="D2979" t="inlineStr">
        <is>
          <t>VÄSTMANLANDS LÄN</t>
        </is>
      </c>
      <c r="E2979" t="inlineStr">
        <is>
          <t>FAGERSTA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11660-2023</t>
        </is>
      </c>
      <c r="B2980" s="1" t="n">
        <v>44994</v>
      </c>
      <c r="C2980" s="1" t="n">
        <v>45345</v>
      </c>
      <c r="D2980" t="inlineStr">
        <is>
          <t>VÄSTMANLANDS LÄN</t>
        </is>
      </c>
      <c r="E2980" t="inlineStr">
        <is>
          <t>FAGERSTA</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11696-2023</t>
        </is>
      </c>
      <c r="B2981" s="1" t="n">
        <v>44994</v>
      </c>
      <c r="C2981" s="1" t="n">
        <v>45345</v>
      </c>
      <c r="D2981" t="inlineStr">
        <is>
          <t>VÄSTMANLANDS LÄN</t>
        </is>
      </c>
      <c r="E2981" t="inlineStr">
        <is>
          <t>ARBOGA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11757-2023</t>
        </is>
      </c>
      <c r="B2982" s="1" t="n">
        <v>44994</v>
      </c>
      <c r="C2982" s="1" t="n">
        <v>45345</v>
      </c>
      <c r="D2982" t="inlineStr">
        <is>
          <t>VÄSTMANLANDS LÄN</t>
        </is>
      </c>
      <c r="E2982" t="inlineStr">
        <is>
          <t>FAGERSTA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12025-2023</t>
        </is>
      </c>
      <c r="B2983" s="1" t="n">
        <v>44995</v>
      </c>
      <c r="C2983" s="1" t="n">
        <v>45345</v>
      </c>
      <c r="D2983" t="inlineStr">
        <is>
          <t>VÄSTMANLANDS LÄN</t>
        </is>
      </c>
      <c r="E2983" t="inlineStr">
        <is>
          <t>SKINNSKATTEBERG</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12231-2023</t>
        </is>
      </c>
      <c r="B2984" s="1" t="n">
        <v>44995</v>
      </c>
      <c r="C2984" s="1" t="n">
        <v>45345</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12246-2023</t>
        </is>
      </c>
      <c r="B2985" s="1" t="n">
        <v>44995</v>
      </c>
      <c r="C2985" s="1" t="n">
        <v>45345</v>
      </c>
      <c r="D2985" t="inlineStr">
        <is>
          <t>VÄSTMANLANDS LÄN</t>
        </is>
      </c>
      <c r="E2985" t="inlineStr">
        <is>
          <t>SALA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12272-2023</t>
        </is>
      </c>
      <c r="B2986" s="1" t="n">
        <v>44995</v>
      </c>
      <c r="C2986" s="1" t="n">
        <v>45345</v>
      </c>
      <c r="D2986" t="inlineStr">
        <is>
          <t>VÄSTMANLANDS LÄN</t>
        </is>
      </c>
      <c r="E2986" t="inlineStr">
        <is>
          <t>SALA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11992-2023</t>
        </is>
      </c>
      <c r="B2987" s="1" t="n">
        <v>44995</v>
      </c>
      <c r="C2987" s="1" t="n">
        <v>45345</v>
      </c>
      <c r="D2987" t="inlineStr">
        <is>
          <t>VÄSTMANLANDS LÄN</t>
        </is>
      </c>
      <c r="E2987" t="inlineStr">
        <is>
          <t>SKINNSKATTEBERG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12024-2023</t>
        </is>
      </c>
      <c r="B2988" s="1" t="n">
        <v>44995</v>
      </c>
      <c r="C2988" s="1" t="n">
        <v>45345</v>
      </c>
      <c r="D2988" t="inlineStr">
        <is>
          <t>VÄSTMANLANDS LÄN</t>
        </is>
      </c>
      <c r="E2988" t="inlineStr">
        <is>
          <t>SKINNSKATTEBERG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12242-2023</t>
        </is>
      </c>
      <c r="B2989" s="1" t="n">
        <v>44995</v>
      </c>
      <c r="C2989" s="1" t="n">
        <v>45345</v>
      </c>
      <c r="D2989" t="inlineStr">
        <is>
          <t>VÄSTMANLANDS LÄN</t>
        </is>
      </c>
      <c r="E2989" t="inlineStr">
        <is>
          <t>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12252-2023</t>
        </is>
      </c>
      <c r="B2990" s="1" t="n">
        <v>44995</v>
      </c>
      <c r="C2990" s="1" t="n">
        <v>45345</v>
      </c>
      <c r="D2990" t="inlineStr">
        <is>
          <t>VÄSTMANLANDS LÄN</t>
        </is>
      </c>
      <c r="E2990" t="inlineStr">
        <is>
          <t>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12225-2023</t>
        </is>
      </c>
      <c r="B2991" s="1" t="n">
        <v>44995</v>
      </c>
      <c r="C2991" s="1" t="n">
        <v>45345</v>
      </c>
      <c r="D2991" t="inlineStr">
        <is>
          <t>VÄSTMANLANDS LÄN</t>
        </is>
      </c>
      <c r="E2991" t="inlineStr">
        <is>
          <t>SALA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12170-2023</t>
        </is>
      </c>
      <c r="B2992" s="1" t="n">
        <v>44998</v>
      </c>
      <c r="C2992" s="1" t="n">
        <v>45345</v>
      </c>
      <c r="D2992" t="inlineStr">
        <is>
          <t>VÄSTMANLANDS LÄN</t>
        </is>
      </c>
      <c r="E2992" t="inlineStr">
        <is>
          <t>NORBERG</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12130-2023</t>
        </is>
      </c>
      <c r="B2993" s="1" t="n">
        <v>44998</v>
      </c>
      <c r="C2993" s="1" t="n">
        <v>45345</v>
      </c>
      <c r="D2993" t="inlineStr">
        <is>
          <t>VÄSTMANLANDS LÄN</t>
        </is>
      </c>
      <c r="E2993" t="inlineStr">
        <is>
          <t>NORBERG</t>
        </is>
      </c>
      <c r="F2993" t="inlineStr">
        <is>
          <t>Övriga Aktiebolag</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12121-2023</t>
        </is>
      </c>
      <c r="B2994" s="1" t="n">
        <v>44998</v>
      </c>
      <c r="C2994" s="1" t="n">
        <v>45345</v>
      </c>
      <c r="D2994" t="inlineStr">
        <is>
          <t>VÄSTMANLANDS LÄN</t>
        </is>
      </c>
      <c r="E2994" t="inlineStr">
        <is>
          <t>FAGERSTA</t>
        </is>
      </c>
      <c r="F2994" t="inlineStr">
        <is>
          <t>Övriga Aktiebolag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12125-2023</t>
        </is>
      </c>
      <c r="B2995" s="1" t="n">
        <v>44998</v>
      </c>
      <c r="C2995" s="1" t="n">
        <v>45345</v>
      </c>
      <c r="D2995" t="inlineStr">
        <is>
          <t>VÄSTMANLANDS LÄN</t>
        </is>
      </c>
      <c r="E2995" t="inlineStr">
        <is>
          <t>FAGERSTA</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12171-2023</t>
        </is>
      </c>
      <c r="B2996" s="1" t="n">
        <v>44998</v>
      </c>
      <c r="C2996" s="1" t="n">
        <v>45345</v>
      </c>
      <c r="D2996" t="inlineStr">
        <is>
          <t>VÄSTMANLANDS LÄN</t>
        </is>
      </c>
      <c r="E2996" t="inlineStr">
        <is>
          <t>NORBERG</t>
        </is>
      </c>
      <c r="F2996" t="inlineStr">
        <is>
          <t>Övriga Aktiebolag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12480-2023</t>
        </is>
      </c>
      <c r="B2997" s="1" t="n">
        <v>44999</v>
      </c>
      <c r="C2997" s="1" t="n">
        <v>45345</v>
      </c>
      <c r="D2997" t="inlineStr">
        <is>
          <t>VÄSTMANLANDS LÄN</t>
        </is>
      </c>
      <c r="E2997" t="inlineStr">
        <is>
          <t>VÄSTERÅS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12503-2023</t>
        </is>
      </c>
      <c r="B2998" s="1" t="n">
        <v>44999</v>
      </c>
      <c r="C2998" s="1" t="n">
        <v>45345</v>
      </c>
      <c r="D2998" t="inlineStr">
        <is>
          <t>VÄSTMANLANDS LÄN</t>
        </is>
      </c>
      <c r="E2998" t="inlineStr">
        <is>
          <t>KÖPING</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12509-2023</t>
        </is>
      </c>
      <c r="B2999" s="1" t="n">
        <v>45000</v>
      </c>
      <c r="C2999" s="1" t="n">
        <v>45345</v>
      </c>
      <c r="D2999" t="inlineStr">
        <is>
          <t>VÄSTMANLANDS LÄN</t>
        </is>
      </c>
      <c r="E2999" t="inlineStr">
        <is>
          <t>SALA</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12618-2023</t>
        </is>
      </c>
      <c r="B3000" s="1" t="n">
        <v>44999</v>
      </c>
      <c r="C3000" s="1" t="n">
        <v>45345</v>
      </c>
      <c r="D3000" t="inlineStr">
        <is>
          <t>VÄSTMANLANDS LÄN</t>
        </is>
      </c>
      <c r="E3000" t="inlineStr">
        <is>
          <t>VÄSTERÅS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12510-2023</t>
        </is>
      </c>
      <c r="B3001" s="1" t="n">
        <v>45000</v>
      </c>
      <c r="C3001" s="1" t="n">
        <v>45345</v>
      </c>
      <c r="D3001" t="inlineStr">
        <is>
          <t>VÄSTMANLANDS LÄN</t>
        </is>
      </c>
      <c r="E3001" t="inlineStr">
        <is>
          <t>SALA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12612-2023</t>
        </is>
      </c>
      <c r="B3002" s="1" t="n">
        <v>44999</v>
      </c>
      <c r="C3002" s="1" t="n">
        <v>45345</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12649-2023</t>
        </is>
      </c>
      <c r="B3003" s="1" t="n">
        <v>44999</v>
      </c>
      <c r="C3003" s="1" t="n">
        <v>45345</v>
      </c>
      <c r="D3003" t="inlineStr">
        <is>
          <t>VÄSTMANLANDS LÄN</t>
        </is>
      </c>
      <c r="E3003" t="inlineStr">
        <is>
          <t>VÄSTERÅS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12650-2023</t>
        </is>
      </c>
      <c r="B3004" s="1" t="n">
        <v>45000</v>
      </c>
      <c r="C3004" s="1" t="n">
        <v>45345</v>
      </c>
      <c r="D3004" t="inlineStr">
        <is>
          <t>VÄSTMANLANDS LÄN</t>
        </is>
      </c>
      <c r="E3004" t="inlineStr">
        <is>
          <t>ARBOGA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12796-2023</t>
        </is>
      </c>
      <c r="B3005" s="1" t="n">
        <v>45001</v>
      </c>
      <c r="C3005" s="1" t="n">
        <v>45345</v>
      </c>
      <c r="D3005" t="inlineStr">
        <is>
          <t>VÄSTMANLANDS LÄN</t>
        </is>
      </c>
      <c r="E3005" t="inlineStr">
        <is>
          <t>NORBERG</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12950-2023</t>
        </is>
      </c>
      <c r="B3006" s="1" t="n">
        <v>45001</v>
      </c>
      <c r="C3006" s="1" t="n">
        <v>45345</v>
      </c>
      <c r="D3006" t="inlineStr">
        <is>
          <t>VÄSTMANLANDS LÄN</t>
        </is>
      </c>
      <c r="E3006" t="inlineStr">
        <is>
          <t>VÄSTERÅS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13146-2023</t>
        </is>
      </c>
      <c r="B3007" s="1" t="n">
        <v>45002</v>
      </c>
      <c r="C3007" s="1" t="n">
        <v>45345</v>
      </c>
      <c r="D3007" t="inlineStr">
        <is>
          <t>VÄSTMANLANDS LÄN</t>
        </is>
      </c>
      <c r="E3007" t="inlineStr">
        <is>
          <t>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13022-2023</t>
        </is>
      </c>
      <c r="B3008" s="1" t="n">
        <v>45002</v>
      </c>
      <c r="C3008" s="1" t="n">
        <v>45345</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13151-2023</t>
        </is>
      </c>
      <c r="B3009" s="1" t="n">
        <v>45002</v>
      </c>
      <c r="C3009" s="1" t="n">
        <v>45345</v>
      </c>
      <c r="D3009" t="inlineStr">
        <is>
          <t>VÄSTMANLANDS LÄN</t>
        </is>
      </c>
      <c r="E3009" t="inlineStr">
        <is>
          <t>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13128-2023</t>
        </is>
      </c>
      <c r="B3010" s="1" t="n">
        <v>45002</v>
      </c>
      <c r="C3010" s="1" t="n">
        <v>45345</v>
      </c>
      <c r="D3010" t="inlineStr">
        <is>
          <t>VÄSTMANLANDS LÄN</t>
        </is>
      </c>
      <c r="E3010" t="inlineStr">
        <is>
          <t>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13153-2023</t>
        </is>
      </c>
      <c r="B3011" s="1" t="n">
        <v>45002</v>
      </c>
      <c r="C3011" s="1" t="n">
        <v>45345</v>
      </c>
      <c r="D3011" t="inlineStr">
        <is>
          <t>VÄSTMANLANDS LÄN</t>
        </is>
      </c>
      <c r="E3011" t="inlineStr">
        <is>
          <t>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13059-2023</t>
        </is>
      </c>
      <c r="B3012" s="1" t="n">
        <v>45002</v>
      </c>
      <c r="C3012" s="1" t="n">
        <v>45345</v>
      </c>
      <c r="D3012" t="inlineStr">
        <is>
          <t>VÄSTMANLANDS LÄN</t>
        </is>
      </c>
      <c r="E3012" t="inlineStr">
        <is>
          <t>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13136-2023</t>
        </is>
      </c>
      <c r="B3013" s="1" t="n">
        <v>45002</v>
      </c>
      <c r="C3013" s="1" t="n">
        <v>45345</v>
      </c>
      <c r="D3013" t="inlineStr">
        <is>
          <t>VÄSTMANLANDS LÄN</t>
        </is>
      </c>
      <c r="E3013" t="inlineStr">
        <is>
          <t>ARBOGA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13414-2023</t>
        </is>
      </c>
      <c r="B3014" s="1" t="n">
        <v>45005</v>
      </c>
      <c r="C3014" s="1" t="n">
        <v>45345</v>
      </c>
      <c r="D3014" t="inlineStr">
        <is>
          <t>VÄSTMANLANDS LÄN</t>
        </is>
      </c>
      <c r="E3014" t="inlineStr">
        <is>
          <t>KÖPING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13454-2023</t>
        </is>
      </c>
      <c r="B3015" s="1" t="n">
        <v>45005</v>
      </c>
      <c r="C3015" s="1" t="n">
        <v>45345</v>
      </c>
      <c r="D3015" t="inlineStr">
        <is>
          <t>VÄSTMANLANDS LÄN</t>
        </is>
      </c>
      <c r="E3015" t="inlineStr">
        <is>
          <t>NORBERG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13453-2023</t>
        </is>
      </c>
      <c r="B3016" s="1" t="n">
        <v>45005</v>
      </c>
      <c r="C3016" s="1" t="n">
        <v>45345</v>
      </c>
      <c r="D3016" t="inlineStr">
        <is>
          <t>VÄSTMANLANDS LÄN</t>
        </is>
      </c>
      <c r="E3016" t="inlineStr">
        <is>
          <t>NORBERG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13479-2023</t>
        </is>
      </c>
      <c r="B3017" s="1" t="n">
        <v>45005</v>
      </c>
      <c r="C3017" s="1" t="n">
        <v>45345</v>
      </c>
      <c r="D3017" t="inlineStr">
        <is>
          <t>VÄSTMANLANDS LÄN</t>
        </is>
      </c>
      <c r="E3017" t="inlineStr">
        <is>
          <t>SURAHAMMAR</t>
        </is>
      </c>
      <c r="F3017" t="inlineStr">
        <is>
          <t>Bergvik skog väst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13405-2023</t>
        </is>
      </c>
      <c r="B3018" s="1" t="n">
        <v>45005</v>
      </c>
      <c r="C3018" s="1" t="n">
        <v>45345</v>
      </c>
      <c r="D3018" t="inlineStr">
        <is>
          <t>VÄSTMANLANDS LÄN</t>
        </is>
      </c>
      <c r="E3018" t="inlineStr">
        <is>
          <t>VÄSTERÅS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13553-2023</t>
        </is>
      </c>
      <c r="B3019" s="1" t="n">
        <v>45006</v>
      </c>
      <c r="C3019" s="1" t="n">
        <v>45345</v>
      </c>
      <c r="D3019" t="inlineStr">
        <is>
          <t>VÄSTMANLANDS LÄN</t>
        </is>
      </c>
      <c r="E3019" t="inlineStr">
        <is>
          <t>SKINNSKATTEBERG</t>
        </is>
      </c>
      <c r="F3019" t="inlineStr">
        <is>
          <t>Allmännings- och besparingsskogar</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13544-2023</t>
        </is>
      </c>
      <c r="B3020" s="1" t="n">
        <v>45006</v>
      </c>
      <c r="C3020" s="1" t="n">
        <v>45345</v>
      </c>
      <c r="D3020" t="inlineStr">
        <is>
          <t>VÄSTMANLANDS LÄN</t>
        </is>
      </c>
      <c r="E3020" t="inlineStr">
        <is>
          <t>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13595-2023</t>
        </is>
      </c>
      <c r="B3021" s="1" t="n">
        <v>45006</v>
      </c>
      <c r="C3021" s="1" t="n">
        <v>45345</v>
      </c>
      <c r="D3021" t="inlineStr">
        <is>
          <t>VÄSTMANLANDS LÄN</t>
        </is>
      </c>
      <c r="E3021" t="inlineStr">
        <is>
          <t>ARBOGA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13607-2023</t>
        </is>
      </c>
      <c r="B3022" s="1" t="n">
        <v>45006</v>
      </c>
      <c r="C3022" s="1" t="n">
        <v>45345</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13737-2023</t>
        </is>
      </c>
      <c r="B3023" s="1" t="n">
        <v>45007</v>
      </c>
      <c r="C3023" s="1" t="n">
        <v>45345</v>
      </c>
      <c r="D3023" t="inlineStr">
        <is>
          <t>VÄSTMANLANDS LÄN</t>
        </is>
      </c>
      <c r="E3023" t="inlineStr">
        <is>
          <t>ARBOGA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13857-2023</t>
        </is>
      </c>
      <c r="B3024" s="1" t="n">
        <v>45007</v>
      </c>
      <c r="C3024" s="1" t="n">
        <v>45345</v>
      </c>
      <c r="D3024" t="inlineStr">
        <is>
          <t>VÄSTMANLANDS LÄN</t>
        </is>
      </c>
      <c r="E3024" t="inlineStr">
        <is>
          <t>SALA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13833-2023</t>
        </is>
      </c>
      <c r="B3025" s="1" t="n">
        <v>45007</v>
      </c>
      <c r="C3025" s="1" t="n">
        <v>45345</v>
      </c>
      <c r="D3025" t="inlineStr">
        <is>
          <t>VÄSTMANLANDS LÄN</t>
        </is>
      </c>
      <c r="E3025" t="inlineStr">
        <is>
          <t>SALA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13855-2023</t>
        </is>
      </c>
      <c r="B3026" s="1" t="n">
        <v>45007</v>
      </c>
      <c r="C3026" s="1" t="n">
        <v>45345</v>
      </c>
      <c r="D3026" t="inlineStr">
        <is>
          <t>VÄSTMANLANDS LÄN</t>
        </is>
      </c>
      <c r="E3026" t="inlineStr">
        <is>
          <t>SALA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14033-2023</t>
        </is>
      </c>
      <c r="B3027" s="1" t="n">
        <v>45007</v>
      </c>
      <c r="C3027" s="1" t="n">
        <v>45345</v>
      </c>
      <c r="D3027" t="inlineStr">
        <is>
          <t>VÄSTMANLANDS LÄN</t>
        </is>
      </c>
      <c r="E3027" t="inlineStr">
        <is>
          <t>NORBERG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13990-2023</t>
        </is>
      </c>
      <c r="B3028" s="1" t="n">
        <v>45007</v>
      </c>
      <c r="C3028" s="1" t="n">
        <v>45345</v>
      </c>
      <c r="D3028" t="inlineStr">
        <is>
          <t>VÄSTMANLANDS LÄN</t>
        </is>
      </c>
      <c r="E3028" t="inlineStr">
        <is>
          <t>SALA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13987-2023</t>
        </is>
      </c>
      <c r="B3029" s="1" t="n">
        <v>45007</v>
      </c>
      <c r="C3029" s="1" t="n">
        <v>45345</v>
      </c>
      <c r="D3029" t="inlineStr">
        <is>
          <t>VÄSTMANLANDS LÄN</t>
        </is>
      </c>
      <c r="E3029" t="inlineStr">
        <is>
          <t>SALA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13904-2023</t>
        </is>
      </c>
      <c r="B3030" s="1" t="n">
        <v>45008</v>
      </c>
      <c r="C3030" s="1" t="n">
        <v>45345</v>
      </c>
      <c r="D3030" t="inlineStr">
        <is>
          <t>VÄSTMANLANDS LÄN</t>
        </is>
      </c>
      <c r="E3030" t="inlineStr">
        <is>
          <t>NORBERG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13935-2023</t>
        </is>
      </c>
      <c r="B3031" s="1" t="n">
        <v>45008</v>
      </c>
      <c r="C3031" s="1" t="n">
        <v>45345</v>
      </c>
      <c r="D3031" t="inlineStr">
        <is>
          <t>VÄSTMANLANDS LÄN</t>
        </is>
      </c>
      <c r="E3031" t="inlineStr">
        <is>
          <t>SALA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14034-2023</t>
        </is>
      </c>
      <c r="B3032" s="1" t="n">
        <v>45008</v>
      </c>
      <c r="C3032" s="1" t="n">
        <v>45345</v>
      </c>
      <c r="D3032" t="inlineStr">
        <is>
          <t>VÄSTMANLANDS LÄN</t>
        </is>
      </c>
      <c r="E3032" t="inlineStr">
        <is>
          <t>VÄSTERÅS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14172-2023</t>
        </is>
      </c>
      <c r="B3033" s="1" t="n">
        <v>45009</v>
      </c>
      <c r="C3033" s="1" t="n">
        <v>45345</v>
      </c>
      <c r="D3033" t="inlineStr">
        <is>
          <t>VÄSTMANLANDS LÄN</t>
        </is>
      </c>
      <c r="E3033" t="inlineStr">
        <is>
          <t>SKINNSKATTEBERG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14230-2023</t>
        </is>
      </c>
      <c r="B3034" s="1" t="n">
        <v>45009</v>
      </c>
      <c r="C3034" s="1" t="n">
        <v>45345</v>
      </c>
      <c r="D3034" t="inlineStr">
        <is>
          <t>VÄSTMANLANDS LÄN</t>
        </is>
      </c>
      <c r="E3034" t="inlineStr">
        <is>
          <t>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14414-2023</t>
        </is>
      </c>
      <c r="B3035" s="1" t="n">
        <v>45012</v>
      </c>
      <c r="C3035" s="1" t="n">
        <v>45345</v>
      </c>
      <c r="D3035" t="inlineStr">
        <is>
          <t>VÄSTMANLANDS LÄN</t>
        </is>
      </c>
      <c r="E3035" t="inlineStr">
        <is>
          <t>ARBOGA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14413-2023</t>
        </is>
      </c>
      <c r="B3036" s="1" t="n">
        <v>45012</v>
      </c>
      <c r="C3036" s="1" t="n">
        <v>45345</v>
      </c>
      <c r="D3036" t="inlineStr">
        <is>
          <t>VÄSTMANLANDS LÄN</t>
        </is>
      </c>
      <c r="E3036" t="inlineStr">
        <is>
          <t>ARBOGA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14420-2023</t>
        </is>
      </c>
      <c r="B3037" s="1" t="n">
        <v>45012</v>
      </c>
      <c r="C3037" s="1" t="n">
        <v>45345</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14626-2023</t>
        </is>
      </c>
      <c r="B3038" s="1" t="n">
        <v>45012</v>
      </c>
      <c r="C3038" s="1" t="n">
        <v>45345</v>
      </c>
      <c r="D3038" t="inlineStr">
        <is>
          <t>VÄSTMANLANDS LÄN</t>
        </is>
      </c>
      <c r="E3038" t="inlineStr">
        <is>
          <t>SURAHAMMAR</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14578-2023</t>
        </is>
      </c>
      <c r="B3039" s="1" t="n">
        <v>45013</v>
      </c>
      <c r="C3039" s="1" t="n">
        <v>45345</v>
      </c>
      <c r="D3039" t="inlineStr">
        <is>
          <t>VÄSTMANLANDS LÄN</t>
        </is>
      </c>
      <c r="E3039" t="inlineStr">
        <is>
          <t>SALA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14583-2023</t>
        </is>
      </c>
      <c r="B3040" s="1" t="n">
        <v>45013</v>
      </c>
      <c r="C3040" s="1" t="n">
        <v>45345</v>
      </c>
      <c r="D3040" t="inlineStr">
        <is>
          <t>VÄSTMANLANDS LÄN</t>
        </is>
      </c>
      <c r="E3040" t="inlineStr">
        <is>
          <t>SURAHAMMAR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14617-2023</t>
        </is>
      </c>
      <c r="B3041" s="1" t="n">
        <v>45013</v>
      </c>
      <c r="C3041" s="1" t="n">
        <v>45345</v>
      </c>
      <c r="D3041" t="inlineStr">
        <is>
          <t>VÄSTMANLANDS LÄN</t>
        </is>
      </c>
      <c r="E3041" t="inlineStr">
        <is>
          <t>NORBERG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14566-2023</t>
        </is>
      </c>
      <c r="B3042" s="1" t="n">
        <v>45013</v>
      </c>
      <c r="C3042" s="1" t="n">
        <v>45345</v>
      </c>
      <c r="D3042" t="inlineStr">
        <is>
          <t>VÄSTMANLANDS LÄN</t>
        </is>
      </c>
      <c r="E3042" t="inlineStr">
        <is>
          <t>SKINNSKATTEBERG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14616-2023</t>
        </is>
      </c>
      <c r="B3043" s="1" t="n">
        <v>45013</v>
      </c>
      <c r="C3043" s="1" t="n">
        <v>45345</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14827-2023</t>
        </is>
      </c>
      <c r="B3044" s="1" t="n">
        <v>45013</v>
      </c>
      <c r="C3044" s="1" t="n">
        <v>45345</v>
      </c>
      <c r="D3044" t="inlineStr">
        <is>
          <t>VÄSTMANLANDS LÄN</t>
        </is>
      </c>
      <c r="E3044" t="inlineStr">
        <is>
          <t>NORBERG</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14711-2023</t>
        </is>
      </c>
      <c r="B3045" s="1" t="n">
        <v>45014</v>
      </c>
      <c r="C3045" s="1" t="n">
        <v>45345</v>
      </c>
      <c r="D3045" t="inlineStr">
        <is>
          <t>VÄSTMANLANDS LÄN</t>
        </is>
      </c>
      <c r="E3045" t="inlineStr">
        <is>
          <t>SKINNSKATTEBERG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14717-2023</t>
        </is>
      </c>
      <c r="B3046" s="1" t="n">
        <v>45014</v>
      </c>
      <c r="C3046" s="1" t="n">
        <v>45345</v>
      </c>
      <c r="D3046" t="inlineStr">
        <is>
          <t>VÄSTMANLANDS LÄN</t>
        </is>
      </c>
      <c r="E3046" t="inlineStr">
        <is>
          <t>SKINNSKATTEBERG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14733-2023</t>
        </is>
      </c>
      <c r="B3047" s="1" t="n">
        <v>45014</v>
      </c>
      <c r="C3047" s="1" t="n">
        <v>45345</v>
      </c>
      <c r="D3047" t="inlineStr">
        <is>
          <t>VÄSTMANLANDS LÄN</t>
        </is>
      </c>
      <c r="E3047" t="inlineStr">
        <is>
          <t>SKINNSKATTEBERG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14719-2023</t>
        </is>
      </c>
      <c r="B3048" s="1" t="n">
        <v>45014</v>
      </c>
      <c r="C3048" s="1" t="n">
        <v>45345</v>
      </c>
      <c r="D3048" t="inlineStr">
        <is>
          <t>VÄSTMANLANDS LÄN</t>
        </is>
      </c>
      <c r="E3048" t="inlineStr">
        <is>
          <t>SKINNSKATTEBERG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14736-2023</t>
        </is>
      </c>
      <c r="B3049" s="1" t="n">
        <v>45014</v>
      </c>
      <c r="C3049" s="1" t="n">
        <v>45345</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14823-2023</t>
        </is>
      </c>
      <c r="B3050" s="1" t="n">
        <v>45014</v>
      </c>
      <c r="C3050" s="1" t="n">
        <v>45345</v>
      </c>
      <c r="D3050" t="inlineStr">
        <is>
          <t>VÄSTMANLANDS LÄN</t>
        </is>
      </c>
      <c r="E3050" t="inlineStr">
        <is>
          <t>SALA</t>
        </is>
      </c>
      <c r="F3050" t="inlineStr">
        <is>
          <t>Kyrkan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14790-2023</t>
        </is>
      </c>
      <c r="B3051" s="1" t="n">
        <v>45014</v>
      </c>
      <c r="C3051" s="1" t="n">
        <v>45345</v>
      </c>
      <c r="D3051" t="inlineStr">
        <is>
          <t>VÄSTMANLANDS LÄN</t>
        </is>
      </c>
      <c r="E3051" t="inlineStr">
        <is>
          <t>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14903-2023</t>
        </is>
      </c>
      <c r="B3052" s="1" t="n">
        <v>45014</v>
      </c>
      <c r="C3052" s="1" t="n">
        <v>45345</v>
      </c>
      <c r="D3052" t="inlineStr">
        <is>
          <t>VÄSTMANLANDS LÄN</t>
        </is>
      </c>
      <c r="E3052" t="inlineStr">
        <is>
          <t>NORBERG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14904-2023</t>
        </is>
      </c>
      <c r="B3053" s="1" t="n">
        <v>45014</v>
      </c>
      <c r="C3053" s="1" t="n">
        <v>45345</v>
      </c>
      <c r="D3053" t="inlineStr">
        <is>
          <t>VÄSTMANLANDS LÄN</t>
        </is>
      </c>
      <c r="E3053" t="inlineStr">
        <is>
          <t>NORBERG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15042-2023</t>
        </is>
      </c>
      <c r="B3054" s="1" t="n">
        <v>45015</v>
      </c>
      <c r="C3054" s="1" t="n">
        <v>45345</v>
      </c>
      <c r="D3054" t="inlineStr">
        <is>
          <t>VÄSTMANLANDS LÄN</t>
        </is>
      </c>
      <c r="E3054" t="inlineStr">
        <is>
          <t>VÄSTERÅS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15083-2023</t>
        </is>
      </c>
      <c r="B3055" s="1" t="n">
        <v>45016</v>
      </c>
      <c r="C3055" s="1" t="n">
        <v>45345</v>
      </c>
      <c r="D3055" t="inlineStr">
        <is>
          <t>VÄSTMANLANDS LÄN</t>
        </is>
      </c>
      <c r="E3055" t="inlineStr">
        <is>
          <t>NORBERG</t>
        </is>
      </c>
      <c r="F3055" t="inlineStr">
        <is>
          <t>Bergvik skog väst AB</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15084-2023</t>
        </is>
      </c>
      <c r="B3056" s="1" t="n">
        <v>45016</v>
      </c>
      <c r="C3056" s="1" t="n">
        <v>45345</v>
      </c>
      <c r="D3056" t="inlineStr">
        <is>
          <t>VÄSTMANLANDS LÄN</t>
        </is>
      </c>
      <c r="E3056" t="inlineStr">
        <is>
          <t>NORBERG</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15098-2023</t>
        </is>
      </c>
      <c r="B3057" s="1" t="n">
        <v>45016</v>
      </c>
      <c r="C3057" s="1" t="n">
        <v>45345</v>
      </c>
      <c r="D3057" t="inlineStr">
        <is>
          <t>VÄSTMANLANDS LÄN</t>
        </is>
      </c>
      <c r="E3057" t="inlineStr">
        <is>
          <t>NORBERG</t>
        </is>
      </c>
      <c r="F3057" t="inlineStr">
        <is>
          <t>Övriga Aktiebolag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15350-2023</t>
        </is>
      </c>
      <c r="B3058" s="1" t="n">
        <v>45019</v>
      </c>
      <c r="C3058" s="1" t="n">
        <v>45345</v>
      </c>
      <c r="D3058" t="inlineStr">
        <is>
          <t>VÄSTMANLANDS LÄN</t>
        </is>
      </c>
      <c r="E3058" t="inlineStr">
        <is>
          <t>VÄSTERÅS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15329-2023</t>
        </is>
      </c>
      <c r="B3059" s="1" t="n">
        <v>45019</v>
      </c>
      <c r="C3059" s="1" t="n">
        <v>45345</v>
      </c>
      <c r="D3059" t="inlineStr">
        <is>
          <t>VÄSTMANLANDS LÄN</t>
        </is>
      </c>
      <c r="E3059" t="inlineStr">
        <is>
          <t>VÄSTERÅS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15348-2023</t>
        </is>
      </c>
      <c r="B3060" s="1" t="n">
        <v>45019</v>
      </c>
      <c r="C3060" s="1" t="n">
        <v>45345</v>
      </c>
      <c r="D3060" t="inlineStr">
        <is>
          <t>VÄSTMANLANDS LÄN</t>
        </is>
      </c>
      <c r="E3060" t="inlineStr">
        <is>
          <t>VÄSTERÅS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15297-2023</t>
        </is>
      </c>
      <c r="B3061" s="1" t="n">
        <v>45019</v>
      </c>
      <c r="C3061" s="1" t="n">
        <v>45345</v>
      </c>
      <c r="D3061" t="inlineStr">
        <is>
          <t>VÄSTMANLANDS LÄN</t>
        </is>
      </c>
      <c r="E3061" t="inlineStr">
        <is>
          <t>FAGERSTA</t>
        </is>
      </c>
      <c r="F3061" t="inlineStr">
        <is>
          <t>Övriga Aktiebolag</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15330-2023</t>
        </is>
      </c>
      <c r="B3062" s="1" t="n">
        <v>45019</v>
      </c>
      <c r="C3062" s="1" t="n">
        <v>45345</v>
      </c>
      <c r="D3062" t="inlineStr">
        <is>
          <t>VÄSTMANLANDS LÄN</t>
        </is>
      </c>
      <c r="E3062" t="inlineStr">
        <is>
          <t>VÄSTERÅS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15355-2023</t>
        </is>
      </c>
      <c r="B3063" s="1" t="n">
        <v>45019</v>
      </c>
      <c r="C3063" s="1" t="n">
        <v>45345</v>
      </c>
      <c r="D3063" t="inlineStr">
        <is>
          <t>VÄSTMANLANDS LÄN</t>
        </is>
      </c>
      <c r="E3063" t="inlineStr">
        <is>
          <t>VÄSTERÅS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15431-2023</t>
        </is>
      </c>
      <c r="B3064" s="1" t="n">
        <v>45020</v>
      </c>
      <c r="C3064" s="1" t="n">
        <v>45345</v>
      </c>
      <c r="D3064" t="inlineStr">
        <is>
          <t>VÄSTMANLANDS LÄN</t>
        </is>
      </c>
      <c r="E3064" t="inlineStr">
        <is>
          <t>NORBERG</t>
        </is>
      </c>
      <c r="F3064" t="inlineStr">
        <is>
          <t>Övriga Aktiebolag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15589-2023</t>
        </is>
      </c>
      <c r="B3065" s="1" t="n">
        <v>45020</v>
      </c>
      <c r="C3065" s="1" t="n">
        <v>45345</v>
      </c>
      <c r="D3065" t="inlineStr">
        <is>
          <t>VÄSTMANLANDS LÄN</t>
        </is>
      </c>
      <c r="E3065" t="inlineStr">
        <is>
          <t>SALA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15429-2023</t>
        </is>
      </c>
      <c r="B3066" s="1" t="n">
        <v>45020</v>
      </c>
      <c r="C3066" s="1" t="n">
        <v>45345</v>
      </c>
      <c r="D3066" t="inlineStr">
        <is>
          <t>VÄSTMANLANDS LÄN</t>
        </is>
      </c>
      <c r="E3066" t="inlineStr">
        <is>
          <t>NORBERG</t>
        </is>
      </c>
      <c r="F3066" t="inlineStr">
        <is>
          <t>Övriga Aktiebolag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15584-2023</t>
        </is>
      </c>
      <c r="B3067" s="1" t="n">
        <v>45020</v>
      </c>
      <c r="C3067" s="1" t="n">
        <v>45345</v>
      </c>
      <c r="D3067" t="inlineStr">
        <is>
          <t>VÄSTMANLANDS LÄN</t>
        </is>
      </c>
      <c r="E3067" t="inlineStr">
        <is>
          <t>SALA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15743-2023</t>
        </is>
      </c>
      <c r="B3068" s="1" t="n">
        <v>45021</v>
      </c>
      <c r="C3068" s="1" t="n">
        <v>45345</v>
      </c>
      <c r="D3068" t="inlineStr">
        <is>
          <t>VÄSTMANLANDS LÄN</t>
        </is>
      </c>
      <c r="E3068" t="inlineStr">
        <is>
          <t>SURAHAMMAR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15739-2023</t>
        </is>
      </c>
      <c r="B3069" s="1" t="n">
        <v>45021</v>
      </c>
      <c r="C3069" s="1" t="n">
        <v>45345</v>
      </c>
      <c r="D3069" t="inlineStr">
        <is>
          <t>VÄSTMANLANDS LÄN</t>
        </is>
      </c>
      <c r="E3069" t="inlineStr">
        <is>
          <t>SURAHAMMAR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15772-2023</t>
        </is>
      </c>
      <c r="B3070" s="1" t="n">
        <v>45021</v>
      </c>
      <c r="C3070" s="1" t="n">
        <v>45345</v>
      </c>
      <c r="D3070" t="inlineStr">
        <is>
          <t>VÄSTMANLANDS LÄN</t>
        </is>
      </c>
      <c r="E3070" t="inlineStr">
        <is>
          <t>VÄSTERÅS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15768-2023</t>
        </is>
      </c>
      <c r="B3071" s="1" t="n">
        <v>45021</v>
      </c>
      <c r="C3071" s="1" t="n">
        <v>45345</v>
      </c>
      <c r="D3071" t="inlineStr">
        <is>
          <t>VÄSTMANLANDS LÄN</t>
        </is>
      </c>
      <c r="E3071" t="inlineStr">
        <is>
          <t>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15811-2023</t>
        </is>
      </c>
      <c r="B3072" s="1" t="n">
        <v>45021</v>
      </c>
      <c r="C3072" s="1" t="n">
        <v>45345</v>
      </c>
      <c r="D3072" t="inlineStr">
        <is>
          <t>VÄSTMANLANDS LÄN</t>
        </is>
      </c>
      <c r="E3072" t="inlineStr">
        <is>
          <t>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15657-2023</t>
        </is>
      </c>
      <c r="B3073" s="1" t="n">
        <v>45021</v>
      </c>
      <c r="C3073" s="1" t="n">
        <v>45345</v>
      </c>
      <c r="D3073" t="inlineStr">
        <is>
          <t>VÄSTMANLANDS LÄN</t>
        </is>
      </c>
      <c r="E3073" t="inlineStr">
        <is>
          <t>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15766-2023</t>
        </is>
      </c>
      <c r="B3074" s="1" t="n">
        <v>45021</v>
      </c>
      <c r="C3074" s="1" t="n">
        <v>45345</v>
      </c>
      <c r="D3074" t="inlineStr">
        <is>
          <t>VÄSTMANLANDS LÄN</t>
        </is>
      </c>
      <c r="E3074" t="inlineStr">
        <is>
          <t>VÄSTERÅS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16103-2023</t>
        </is>
      </c>
      <c r="B3075" s="1" t="n">
        <v>45021</v>
      </c>
      <c r="C3075" s="1" t="n">
        <v>45345</v>
      </c>
      <c r="D3075" t="inlineStr">
        <is>
          <t>VÄSTMANLANDS LÄN</t>
        </is>
      </c>
      <c r="E3075" t="inlineStr">
        <is>
          <t>NORBERG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16105-2023</t>
        </is>
      </c>
      <c r="B3076" s="1" t="n">
        <v>45021</v>
      </c>
      <c r="C3076" s="1" t="n">
        <v>45345</v>
      </c>
      <c r="D3076" t="inlineStr">
        <is>
          <t>VÄSTMANLANDS LÄN</t>
        </is>
      </c>
      <c r="E3076" t="inlineStr">
        <is>
          <t>NORBERG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15945-2023</t>
        </is>
      </c>
      <c r="B3077" s="1" t="n">
        <v>45022</v>
      </c>
      <c r="C3077" s="1" t="n">
        <v>45345</v>
      </c>
      <c r="D3077" t="inlineStr">
        <is>
          <t>VÄSTMANLANDS LÄN</t>
        </is>
      </c>
      <c r="E3077" t="inlineStr">
        <is>
          <t>SKINNSKATTEBERG</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16003-2023</t>
        </is>
      </c>
      <c r="B3078" s="1" t="n">
        <v>45024</v>
      </c>
      <c r="C3078" s="1" t="n">
        <v>45345</v>
      </c>
      <c r="D3078" t="inlineStr">
        <is>
          <t>VÄSTMANLANDS LÄN</t>
        </is>
      </c>
      <c r="E3078" t="inlineStr">
        <is>
          <t>SALA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16002-2023</t>
        </is>
      </c>
      <c r="B3079" s="1" t="n">
        <v>45024</v>
      </c>
      <c r="C3079" s="1" t="n">
        <v>45345</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16013-2023</t>
        </is>
      </c>
      <c r="B3080" s="1" t="n">
        <v>45026</v>
      </c>
      <c r="C3080" s="1" t="n">
        <v>45345</v>
      </c>
      <c r="D3080" t="inlineStr">
        <is>
          <t>VÄSTMANLANDS LÄN</t>
        </is>
      </c>
      <c r="E3080" t="inlineStr">
        <is>
          <t>SURAHAMMAR</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16039-2023</t>
        </is>
      </c>
      <c r="B3081" s="1" t="n">
        <v>45027</v>
      </c>
      <c r="C3081" s="1" t="n">
        <v>45345</v>
      </c>
      <c r="D3081" t="inlineStr">
        <is>
          <t>VÄSTMANLANDS LÄN</t>
        </is>
      </c>
      <c r="E3081" t="inlineStr">
        <is>
          <t>VÄSTERÅS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16035-2023</t>
        </is>
      </c>
      <c r="B3082" s="1" t="n">
        <v>45027</v>
      </c>
      <c r="C3082" s="1" t="n">
        <v>45345</v>
      </c>
      <c r="D3082" t="inlineStr">
        <is>
          <t>VÄSTMANLANDS LÄN</t>
        </is>
      </c>
      <c r="E3082" t="inlineStr">
        <is>
          <t>VÄSTERÅS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16037-2023</t>
        </is>
      </c>
      <c r="B3083" s="1" t="n">
        <v>45027</v>
      </c>
      <c r="C3083" s="1" t="n">
        <v>45345</v>
      </c>
      <c r="D3083" t="inlineStr">
        <is>
          <t>VÄSTMANLANDS LÄN</t>
        </is>
      </c>
      <c r="E3083" t="inlineStr">
        <is>
          <t>VÄSTERÅS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16041-2023</t>
        </is>
      </c>
      <c r="B3084" s="1" t="n">
        <v>45027</v>
      </c>
      <c r="C3084" s="1" t="n">
        <v>45345</v>
      </c>
      <c r="D3084" t="inlineStr">
        <is>
          <t>VÄSTMANLANDS LÄN</t>
        </is>
      </c>
      <c r="E3084" t="inlineStr">
        <is>
          <t>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16033-2023</t>
        </is>
      </c>
      <c r="B3085" s="1" t="n">
        <v>45027</v>
      </c>
      <c r="C3085" s="1" t="n">
        <v>45345</v>
      </c>
      <c r="D3085" t="inlineStr">
        <is>
          <t>VÄSTMANLANDS LÄN</t>
        </is>
      </c>
      <c r="E3085" t="inlineStr">
        <is>
          <t>VÄSTERÅS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16142-2023</t>
        </is>
      </c>
      <c r="B3086" s="1" t="n">
        <v>45027</v>
      </c>
      <c r="C3086" s="1" t="n">
        <v>45345</v>
      </c>
      <c r="D3086" t="inlineStr">
        <is>
          <t>VÄSTMANLANDS LÄN</t>
        </is>
      </c>
      <c r="E3086" t="inlineStr">
        <is>
          <t>SALA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16083-2023</t>
        </is>
      </c>
      <c r="B3087" s="1" t="n">
        <v>45027</v>
      </c>
      <c r="C3087" s="1" t="n">
        <v>45345</v>
      </c>
      <c r="D3087" t="inlineStr">
        <is>
          <t>VÄSTMANLANDS LÄN</t>
        </is>
      </c>
      <c r="E3087" t="inlineStr">
        <is>
          <t>SALA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16172-2023</t>
        </is>
      </c>
      <c r="B3088" s="1" t="n">
        <v>45027</v>
      </c>
      <c r="C3088" s="1" t="n">
        <v>45345</v>
      </c>
      <c r="D3088" t="inlineStr">
        <is>
          <t>VÄSTMANLANDS LÄN</t>
        </is>
      </c>
      <c r="E3088" t="inlineStr">
        <is>
          <t>VÄSTERÅS</t>
        </is>
      </c>
      <c r="F3088" t="inlineStr">
        <is>
          <t>Kommuner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16638-2023</t>
        </is>
      </c>
      <c r="B3089" s="1" t="n">
        <v>45027</v>
      </c>
      <c r="C3089" s="1" t="n">
        <v>45345</v>
      </c>
      <c r="D3089" t="inlineStr">
        <is>
          <t>VÄSTMANLANDS LÄN</t>
        </is>
      </c>
      <c r="E3089" t="inlineStr">
        <is>
          <t>SALA</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16355-2023</t>
        </is>
      </c>
      <c r="B3090" s="1" t="n">
        <v>45028</v>
      </c>
      <c r="C3090" s="1" t="n">
        <v>45345</v>
      </c>
      <c r="D3090" t="inlineStr">
        <is>
          <t>VÄSTMANLANDS LÄN</t>
        </is>
      </c>
      <c r="E3090" t="inlineStr">
        <is>
          <t>VÄSTERÅS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16225-2023</t>
        </is>
      </c>
      <c r="B3091" s="1" t="n">
        <v>45028</v>
      </c>
      <c r="C3091" s="1" t="n">
        <v>45345</v>
      </c>
      <c r="D3091" t="inlineStr">
        <is>
          <t>VÄSTMANLANDS LÄN</t>
        </is>
      </c>
      <c r="E3091" t="inlineStr">
        <is>
          <t>NORBERG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16214-2023</t>
        </is>
      </c>
      <c r="B3092" s="1" t="n">
        <v>45028</v>
      </c>
      <c r="C3092" s="1" t="n">
        <v>45345</v>
      </c>
      <c r="D3092" t="inlineStr">
        <is>
          <t>VÄSTMANLANDS LÄN</t>
        </is>
      </c>
      <c r="E3092" t="inlineStr">
        <is>
          <t>VÄSTERÅS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16262-2023</t>
        </is>
      </c>
      <c r="B3093" s="1" t="n">
        <v>45028</v>
      </c>
      <c r="C3093" s="1" t="n">
        <v>45345</v>
      </c>
      <c r="D3093" t="inlineStr">
        <is>
          <t>VÄSTMANLANDS LÄN</t>
        </is>
      </c>
      <c r="E3093" t="inlineStr">
        <is>
          <t>VÄSTERÅS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16351-2023</t>
        </is>
      </c>
      <c r="B3094" s="1" t="n">
        <v>45028</v>
      </c>
      <c r="C3094" s="1" t="n">
        <v>45345</v>
      </c>
      <c r="D3094" t="inlineStr">
        <is>
          <t>VÄSTMANLANDS LÄN</t>
        </is>
      </c>
      <c r="E3094" t="inlineStr">
        <is>
          <t>KUNGSÖR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16356-2023</t>
        </is>
      </c>
      <c r="B3095" s="1" t="n">
        <v>45028</v>
      </c>
      <c r="C3095" s="1" t="n">
        <v>45345</v>
      </c>
      <c r="D3095" t="inlineStr">
        <is>
          <t>VÄSTMANLANDS LÄN</t>
        </is>
      </c>
      <c r="E3095" t="inlineStr">
        <is>
          <t>VÄSTERÅS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16693-2023</t>
        </is>
      </c>
      <c r="B3096" s="1" t="n">
        <v>45028</v>
      </c>
      <c r="C3096" s="1" t="n">
        <v>45345</v>
      </c>
      <c r="D3096" t="inlineStr">
        <is>
          <t>VÄSTMANLANDS LÄN</t>
        </is>
      </c>
      <c r="E3096" t="inlineStr">
        <is>
          <t>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16396-2023</t>
        </is>
      </c>
      <c r="B3097" s="1" t="n">
        <v>45029</v>
      </c>
      <c r="C3097" s="1" t="n">
        <v>45345</v>
      </c>
      <c r="D3097" t="inlineStr">
        <is>
          <t>VÄSTMANLANDS LÄN</t>
        </is>
      </c>
      <c r="E3097" t="inlineStr">
        <is>
          <t>NORBERG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16546-2023</t>
        </is>
      </c>
      <c r="B3098" s="1" t="n">
        <v>45029</v>
      </c>
      <c r="C3098" s="1" t="n">
        <v>45345</v>
      </c>
      <c r="D3098" t="inlineStr">
        <is>
          <t>VÄSTMANLANDS LÄN</t>
        </is>
      </c>
      <c r="E3098" t="inlineStr">
        <is>
          <t>SALA</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16543-2023</t>
        </is>
      </c>
      <c r="B3099" s="1" t="n">
        <v>45029</v>
      </c>
      <c r="C3099" s="1" t="n">
        <v>45345</v>
      </c>
      <c r="D3099" t="inlineStr">
        <is>
          <t>VÄSTMANLANDS LÄN</t>
        </is>
      </c>
      <c r="E3099" t="inlineStr">
        <is>
          <t>SALA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16953-2023</t>
        </is>
      </c>
      <c r="B3100" s="1" t="n">
        <v>45029</v>
      </c>
      <c r="C3100" s="1" t="n">
        <v>45345</v>
      </c>
      <c r="D3100" t="inlineStr">
        <is>
          <t>VÄSTMANLANDS LÄN</t>
        </is>
      </c>
      <c r="E3100" t="inlineStr">
        <is>
          <t>NORBERG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16544-2023</t>
        </is>
      </c>
      <c r="B3101" s="1" t="n">
        <v>45029</v>
      </c>
      <c r="C3101" s="1" t="n">
        <v>45345</v>
      </c>
      <c r="D3101" t="inlineStr">
        <is>
          <t>VÄSTMANLANDS LÄN</t>
        </is>
      </c>
      <c r="E3101" t="inlineStr">
        <is>
          <t>SALA</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16547-2023</t>
        </is>
      </c>
      <c r="B3102" s="1" t="n">
        <v>45029</v>
      </c>
      <c r="C3102" s="1" t="n">
        <v>45345</v>
      </c>
      <c r="D3102" t="inlineStr">
        <is>
          <t>VÄSTMANLANDS LÄN</t>
        </is>
      </c>
      <c r="E3102" t="inlineStr">
        <is>
          <t>SALA</t>
        </is>
      </c>
      <c r="F3102" t="inlineStr">
        <is>
          <t>Sveaskog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16955-2023</t>
        </is>
      </c>
      <c r="B3103" s="1" t="n">
        <v>45029</v>
      </c>
      <c r="C3103" s="1" t="n">
        <v>45345</v>
      </c>
      <c r="D3103" t="inlineStr">
        <is>
          <t>VÄSTMANLANDS LÄN</t>
        </is>
      </c>
      <c r="E3103" t="inlineStr">
        <is>
          <t>NORBERG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16545-2023</t>
        </is>
      </c>
      <c r="B3104" s="1" t="n">
        <v>45029</v>
      </c>
      <c r="C3104" s="1" t="n">
        <v>45345</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16735-2023</t>
        </is>
      </c>
      <c r="B3105" s="1" t="n">
        <v>45030</v>
      </c>
      <c r="C3105" s="1" t="n">
        <v>45345</v>
      </c>
      <c r="D3105" t="inlineStr">
        <is>
          <t>VÄSTMANLANDS LÄN</t>
        </is>
      </c>
      <c r="E3105" t="inlineStr">
        <is>
          <t>KUNGSÖR</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16603-2023</t>
        </is>
      </c>
      <c r="B3106" s="1" t="n">
        <v>45030</v>
      </c>
      <c r="C3106" s="1" t="n">
        <v>45345</v>
      </c>
      <c r="D3106" t="inlineStr">
        <is>
          <t>VÄSTMANLANDS LÄN</t>
        </is>
      </c>
      <c r="E3106" t="inlineStr">
        <is>
          <t>ARBOGA</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16801-2023</t>
        </is>
      </c>
      <c r="B3107" s="1" t="n">
        <v>45033</v>
      </c>
      <c r="C3107" s="1" t="n">
        <v>45345</v>
      </c>
      <c r="D3107" t="inlineStr">
        <is>
          <t>VÄSTMANLANDS LÄN</t>
        </is>
      </c>
      <c r="E3107" t="inlineStr">
        <is>
          <t>SKINNSKATTEBERG</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16844-2023</t>
        </is>
      </c>
      <c r="B3108" s="1" t="n">
        <v>45033</v>
      </c>
      <c r="C3108" s="1" t="n">
        <v>45345</v>
      </c>
      <c r="D3108" t="inlineStr">
        <is>
          <t>VÄSTMANLANDS LÄN</t>
        </is>
      </c>
      <c r="E3108" t="inlineStr">
        <is>
          <t>VÄSTERÅS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16794-2023</t>
        </is>
      </c>
      <c r="B3109" s="1" t="n">
        <v>45033</v>
      </c>
      <c r="C3109" s="1" t="n">
        <v>45345</v>
      </c>
      <c r="D3109" t="inlineStr">
        <is>
          <t>VÄSTMANLANDS LÄN</t>
        </is>
      </c>
      <c r="E3109" t="inlineStr">
        <is>
          <t>SKINNSKATTEBERG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16798-2023</t>
        </is>
      </c>
      <c r="B3110" s="1" t="n">
        <v>45033</v>
      </c>
      <c r="C3110" s="1" t="n">
        <v>45345</v>
      </c>
      <c r="D3110" t="inlineStr">
        <is>
          <t>VÄSTMANLANDS LÄN</t>
        </is>
      </c>
      <c r="E3110" t="inlineStr">
        <is>
          <t>SKINNSKATTEBERG</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16894-2023</t>
        </is>
      </c>
      <c r="B3111" s="1" t="n">
        <v>45033</v>
      </c>
      <c r="C3111" s="1" t="n">
        <v>45345</v>
      </c>
      <c r="D3111" t="inlineStr">
        <is>
          <t>VÄSTMANLANDS LÄN</t>
        </is>
      </c>
      <c r="E3111" t="inlineStr">
        <is>
          <t>VÄSTERÅS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16795-2023</t>
        </is>
      </c>
      <c r="B3112" s="1" t="n">
        <v>45033</v>
      </c>
      <c r="C3112" s="1" t="n">
        <v>45345</v>
      </c>
      <c r="D3112" t="inlineStr">
        <is>
          <t>VÄSTMANLANDS LÄN</t>
        </is>
      </c>
      <c r="E3112" t="inlineStr">
        <is>
          <t>SKINNSKATTEBERG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16800-2023</t>
        </is>
      </c>
      <c r="B3113" s="1" t="n">
        <v>45033</v>
      </c>
      <c r="C3113" s="1" t="n">
        <v>45345</v>
      </c>
      <c r="D3113" t="inlineStr">
        <is>
          <t>VÄSTMANLANDS LÄN</t>
        </is>
      </c>
      <c r="E3113" t="inlineStr">
        <is>
          <t>SKINNSKATTEBERG</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16806-2023</t>
        </is>
      </c>
      <c r="B3114" s="1" t="n">
        <v>45033</v>
      </c>
      <c r="C3114" s="1" t="n">
        <v>45345</v>
      </c>
      <c r="D3114" t="inlineStr">
        <is>
          <t>VÄSTMANLANDS LÄN</t>
        </is>
      </c>
      <c r="E3114" t="inlineStr">
        <is>
          <t>SKINNSKATTEBERG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16984-2023</t>
        </is>
      </c>
      <c r="B3115" s="1" t="n">
        <v>45033</v>
      </c>
      <c r="C3115" s="1" t="n">
        <v>45345</v>
      </c>
      <c r="D3115" t="inlineStr">
        <is>
          <t>VÄSTMANLANDS LÄN</t>
        </is>
      </c>
      <c r="E3115" t="inlineStr">
        <is>
          <t>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16855-2023</t>
        </is>
      </c>
      <c r="B3116" s="1" t="n">
        <v>45033</v>
      </c>
      <c r="C3116" s="1" t="n">
        <v>45345</v>
      </c>
      <c r="D3116" t="inlineStr">
        <is>
          <t>VÄSTMANLANDS LÄN</t>
        </is>
      </c>
      <c r="E3116" t="inlineStr">
        <is>
          <t>VÄSTERÅS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16859-2023</t>
        </is>
      </c>
      <c r="B3117" s="1" t="n">
        <v>45033</v>
      </c>
      <c r="C3117" s="1" t="n">
        <v>45345</v>
      </c>
      <c r="D3117" t="inlineStr">
        <is>
          <t>VÄSTMANLANDS LÄN</t>
        </is>
      </c>
      <c r="E3117" t="inlineStr">
        <is>
          <t>VÄSTERÅS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17038-2023</t>
        </is>
      </c>
      <c r="B3118" s="1" t="n">
        <v>45034</v>
      </c>
      <c r="C3118" s="1" t="n">
        <v>45345</v>
      </c>
      <c r="D3118" t="inlineStr">
        <is>
          <t>VÄSTMANLANDS LÄN</t>
        </is>
      </c>
      <c r="E3118" t="inlineStr">
        <is>
          <t>NORBERG</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17075-2023</t>
        </is>
      </c>
      <c r="B3119" s="1" t="n">
        <v>45034</v>
      </c>
      <c r="C3119" s="1" t="n">
        <v>45345</v>
      </c>
      <c r="D3119" t="inlineStr">
        <is>
          <t>VÄSTMANLANDS LÄN</t>
        </is>
      </c>
      <c r="E3119" t="inlineStr">
        <is>
          <t>NORBERG</t>
        </is>
      </c>
      <c r="F3119" t="inlineStr">
        <is>
          <t>Bergvik skog väst AB</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17079-2023</t>
        </is>
      </c>
      <c r="B3120" s="1" t="n">
        <v>45034</v>
      </c>
      <c r="C3120" s="1" t="n">
        <v>45345</v>
      </c>
      <c r="D3120" t="inlineStr">
        <is>
          <t>VÄSTMANLANDS LÄN</t>
        </is>
      </c>
      <c r="E3120" t="inlineStr">
        <is>
          <t>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17117-2023</t>
        </is>
      </c>
      <c r="B3121" s="1" t="n">
        <v>45034</v>
      </c>
      <c r="C3121" s="1" t="n">
        <v>45345</v>
      </c>
      <c r="D3121" t="inlineStr">
        <is>
          <t>VÄSTMANLANDS LÄN</t>
        </is>
      </c>
      <c r="E3121" t="inlineStr">
        <is>
          <t>SALA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17011-2023</t>
        </is>
      </c>
      <c r="B3122" s="1" t="n">
        <v>45034</v>
      </c>
      <c r="C3122" s="1" t="n">
        <v>45345</v>
      </c>
      <c r="D3122" t="inlineStr">
        <is>
          <t>VÄSTMANLANDS LÄN</t>
        </is>
      </c>
      <c r="E3122" t="inlineStr">
        <is>
          <t>ARBOGA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17109-2023</t>
        </is>
      </c>
      <c r="B3123" s="1" t="n">
        <v>45034</v>
      </c>
      <c r="C3123" s="1" t="n">
        <v>45345</v>
      </c>
      <c r="D3123" t="inlineStr">
        <is>
          <t>VÄSTMANLANDS LÄN</t>
        </is>
      </c>
      <c r="E3123" t="inlineStr">
        <is>
          <t>SALA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17120-2023</t>
        </is>
      </c>
      <c r="B3124" s="1" t="n">
        <v>45034</v>
      </c>
      <c r="C3124" s="1" t="n">
        <v>45345</v>
      </c>
      <c r="D3124" t="inlineStr">
        <is>
          <t>VÄSTMANLANDS LÄN</t>
        </is>
      </c>
      <c r="E3124" t="inlineStr">
        <is>
          <t>SALA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17204-2023</t>
        </is>
      </c>
      <c r="B3125" s="1" t="n">
        <v>45034</v>
      </c>
      <c r="C3125" s="1" t="n">
        <v>45345</v>
      </c>
      <c r="D3125" t="inlineStr">
        <is>
          <t>VÄSTMANLANDS LÄN</t>
        </is>
      </c>
      <c r="E3125" t="inlineStr">
        <is>
          <t>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17189-2023</t>
        </is>
      </c>
      <c r="B3126" s="1" t="n">
        <v>45034</v>
      </c>
      <c r="C3126" s="1" t="n">
        <v>45345</v>
      </c>
      <c r="D3126" t="inlineStr">
        <is>
          <t>VÄSTMANLANDS LÄN</t>
        </is>
      </c>
      <c r="E3126" t="inlineStr">
        <is>
          <t>VÄSTERÅS</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17302-2023</t>
        </is>
      </c>
      <c r="B3127" s="1" t="n">
        <v>45035</v>
      </c>
      <c r="C3127" s="1" t="n">
        <v>45345</v>
      </c>
      <c r="D3127" t="inlineStr">
        <is>
          <t>VÄSTMANLANDS LÄN</t>
        </is>
      </c>
      <c r="E3127" t="inlineStr">
        <is>
          <t>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17264-2023</t>
        </is>
      </c>
      <c r="B3128" s="1" t="n">
        <v>45035</v>
      </c>
      <c r="C3128" s="1" t="n">
        <v>45345</v>
      </c>
      <c r="D3128" t="inlineStr">
        <is>
          <t>VÄSTMANLANDS LÄN</t>
        </is>
      </c>
      <c r="E3128" t="inlineStr">
        <is>
          <t>SKINNSKATTEBERG</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17295-2023</t>
        </is>
      </c>
      <c r="B3129" s="1" t="n">
        <v>45035</v>
      </c>
      <c r="C3129" s="1" t="n">
        <v>45345</v>
      </c>
      <c r="D3129" t="inlineStr">
        <is>
          <t>VÄSTMANLANDS LÄN</t>
        </is>
      </c>
      <c r="E3129" t="inlineStr">
        <is>
          <t>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17402-2023</t>
        </is>
      </c>
      <c r="B3130" s="1" t="n">
        <v>45035</v>
      </c>
      <c r="C3130" s="1" t="n">
        <v>45345</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17239-2023</t>
        </is>
      </c>
      <c r="B3131" s="1" t="n">
        <v>45035</v>
      </c>
      <c r="C3131" s="1" t="n">
        <v>45345</v>
      </c>
      <c r="D3131" t="inlineStr">
        <is>
          <t>VÄSTMANLANDS LÄN</t>
        </is>
      </c>
      <c r="E3131" t="inlineStr">
        <is>
          <t>SKINNSKATTEBERG</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17263-2023</t>
        </is>
      </c>
      <c r="B3132" s="1" t="n">
        <v>45035</v>
      </c>
      <c r="C3132" s="1" t="n">
        <v>45345</v>
      </c>
      <c r="D3132" t="inlineStr">
        <is>
          <t>VÄSTMANLANDS LÄN</t>
        </is>
      </c>
      <c r="E3132" t="inlineStr">
        <is>
          <t>SKINNSKATTEBERG</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17265-2023</t>
        </is>
      </c>
      <c r="B3133" s="1" t="n">
        <v>45035</v>
      </c>
      <c r="C3133" s="1" t="n">
        <v>45345</v>
      </c>
      <c r="D3133" t="inlineStr">
        <is>
          <t>VÄSTMANLANDS LÄN</t>
        </is>
      </c>
      <c r="E3133" t="inlineStr">
        <is>
          <t>SKINNSKATTEBERG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17380-2023</t>
        </is>
      </c>
      <c r="B3134" s="1" t="n">
        <v>45035</v>
      </c>
      <c r="C3134" s="1" t="n">
        <v>45345</v>
      </c>
      <c r="D3134" t="inlineStr">
        <is>
          <t>VÄSTMANLANDS LÄN</t>
        </is>
      </c>
      <c r="E3134" t="inlineStr">
        <is>
          <t>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17738-2023</t>
        </is>
      </c>
      <c r="B3135" s="1" t="n">
        <v>45037</v>
      </c>
      <c r="C3135" s="1" t="n">
        <v>45345</v>
      </c>
      <c r="D3135" t="inlineStr">
        <is>
          <t>VÄSTMANLANDS LÄN</t>
        </is>
      </c>
      <c r="E3135" t="inlineStr">
        <is>
          <t>SKINNSKATTEBERG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17752-2023</t>
        </is>
      </c>
      <c r="B3136" s="1" t="n">
        <v>45037</v>
      </c>
      <c r="C3136" s="1" t="n">
        <v>45345</v>
      </c>
      <c r="D3136" t="inlineStr">
        <is>
          <t>VÄSTMANLANDS LÄN</t>
        </is>
      </c>
      <c r="E3136" t="inlineStr">
        <is>
          <t>SKINNSKATTEBERG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17808-2023</t>
        </is>
      </c>
      <c r="B3137" s="1" t="n">
        <v>45037</v>
      </c>
      <c r="C3137" s="1" t="n">
        <v>45345</v>
      </c>
      <c r="D3137" t="inlineStr">
        <is>
          <t>VÄSTMANLANDS LÄN</t>
        </is>
      </c>
      <c r="E3137" t="inlineStr">
        <is>
          <t>VÄSTERÅS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17809-2023</t>
        </is>
      </c>
      <c r="B3138" s="1" t="n">
        <v>45037</v>
      </c>
      <c r="C3138" s="1" t="n">
        <v>45345</v>
      </c>
      <c r="D3138" t="inlineStr">
        <is>
          <t>VÄSTMANLANDS LÄN</t>
        </is>
      </c>
      <c r="E3138" t="inlineStr">
        <is>
          <t>VÄSTERÅS</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18077-2023</t>
        </is>
      </c>
      <c r="B3139" s="1" t="n">
        <v>45040</v>
      </c>
      <c r="C3139" s="1" t="n">
        <v>45345</v>
      </c>
      <c r="D3139" t="inlineStr">
        <is>
          <t>VÄSTMANLANDS LÄN</t>
        </is>
      </c>
      <c r="E3139" t="inlineStr">
        <is>
          <t>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18100-2023</t>
        </is>
      </c>
      <c r="B3140" s="1" t="n">
        <v>45040</v>
      </c>
      <c r="C3140" s="1" t="n">
        <v>45345</v>
      </c>
      <c r="D3140" t="inlineStr">
        <is>
          <t>VÄSTMANLANDS LÄN</t>
        </is>
      </c>
      <c r="E3140" t="inlineStr">
        <is>
          <t>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18109-2023</t>
        </is>
      </c>
      <c r="B3141" s="1" t="n">
        <v>45040</v>
      </c>
      <c r="C3141" s="1" t="n">
        <v>45345</v>
      </c>
      <c r="D3141" t="inlineStr">
        <is>
          <t>VÄSTMANLANDS LÄN</t>
        </is>
      </c>
      <c r="E3141" t="inlineStr">
        <is>
          <t>SKINNSKATTEBERG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17990-2023</t>
        </is>
      </c>
      <c r="B3142" s="1" t="n">
        <v>45040</v>
      </c>
      <c r="C3142" s="1" t="n">
        <v>45345</v>
      </c>
      <c r="D3142" t="inlineStr">
        <is>
          <t>VÄSTMANLANDS LÄN</t>
        </is>
      </c>
      <c r="E3142" t="inlineStr">
        <is>
          <t>NORBERG</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18065-2023</t>
        </is>
      </c>
      <c r="B3143" s="1" t="n">
        <v>45040</v>
      </c>
      <c r="C3143" s="1" t="n">
        <v>45345</v>
      </c>
      <c r="D3143" t="inlineStr">
        <is>
          <t>VÄSTMANLANDS LÄN</t>
        </is>
      </c>
      <c r="E3143" t="inlineStr">
        <is>
          <t>VÄSTERÅS</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18187-2023</t>
        </is>
      </c>
      <c r="B3144" s="1" t="n">
        <v>45041</v>
      </c>
      <c r="C3144" s="1" t="n">
        <v>45345</v>
      </c>
      <c r="D3144" t="inlineStr">
        <is>
          <t>VÄSTMANLANDS LÄN</t>
        </is>
      </c>
      <c r="E3144" t="inlineStr">
        <is>
          <t>FAGERSTA</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18223-2023</t>
        </is>
      </c>
      <c r="B3145" s="1" t="n">
        <v>45041</v>
      </c>
      <c r="C3145" s="1" t="n">
        <v>45345</v>
      </c>
      <c r="D3145" t="inlineStr">
        <is>
          <t>VÄSTMANLANDS LÄN</t>
        </is>
      </c>
      <c r="E3145" t="inlineStr">
        <is>
          <t>SURAHAMMAR</t>
        </is>
      </c>
      <c r="F3145" t="inlineStr">
        <is>
          <t>Övriga Aktiebolag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18186-2023</t>
        </is>
      </c>
      <c r="B3146" s="1" t="n">
        <v>45041</v>
      </c>
      <c r="C3146" s="1" t="n">
        <v>45345</v>
      </c>
      <c r="D3146" t="inlineStr">
        <is>
          <t>VÄSTMANLANDS LÄN</t>
        </is>
      </c>
      <c r="E3146" t="inlineStr">
        <is>
          <t>FAGERSTA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18194-2023</t>
        </is>
      </c>
      <c r="B3147" s="1" t="n">
        <v>45041</v>
      </c>
      <c r="C3147" s="1" t="n">
        <v>45345</v>
      </c>
      <c r="D3147" t="inlineStr">
        <is>
          <t>VÄSTMANLANDS LÄN</t>
        </is>
      </c>
      <c r="E3147" t="inlineStr">
        <is>
          <t>NORBERG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18184-2023</t>
        </is>
      </c>
      <c r="B3148" s="1" t="n">
        <v>45041</v>
      </c>
      <c r="C3148" s="1" t="n">
        <v>45345</v>
      </c>
      <c r="D3148" t="inlineStr">
        <is>
          <t>VÄSTMANLANDS LÄN</t>
        </is>
      </c>
      <c r="E3148" t="inlineStr">
        <is>
          <t>FAGERSTA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18188-2023</t>
        </is>
      </c>
      <c r="B3149" s="1" t="n">
        <v>45041</v>
      </c>
      <c r="C3149" s="1" t="n">
        <v>45345</v>
      </c>
      <c r="D3149" t="inlineStr">
        <is>
          <t>VÄSTMANLANDS LÄN</t>
        </is>
      </c>
      <c r="E3149" t="inlineStr">
        <is>
          <t>FAGERSTA</t>
        </is>
      </c>
      <c r="F3149" t="inlineStr">
        <is>
          <t>Sveaskog</t>
        </is>
      </c>
      <c r="G3149" t="n">
        <v>13.2</v>
      </c>
      <c r="H3149" t="n">
        <v>0</v>
      </c>
      <c r="I3149" t="n">
        <v>0</v>
      </c>
      <c r="J3149" t="n">
        <v>0</v>
      </c>
      <c r="K3149" t="n">
        <v>0</v>
      </c>
      <c r="L3149" t="n">
        <v>0</v>
      </c>
      <c r="M3149" t="n">
        <v>0</v>
      </c>
      <c r="N3149" t="n">
        <v>0</v>
      </c>
      <c r="O3149" t="n">
        <v>0</v>
      </c>
      <c r="P3149" t="n">
        <v>0</v>
      </c>
      <c r="Q3149" t="n">
        <v>0</v>
      </c>
      <c r="R3149" s="2" t="inlineStr"/>
    </row>
    <row r="3150" ht="15" customHeight="1">
      <c r="A3150" t="inlineStr">
        <is>
          <t>A 18454-2023</t>
        </is>
      </c>
      <c r="B3150" s="1" t="n">
        <v>45042</v>
      </c>
      <c r="C3150" s="1" t="n">
        <v>45345</v>
      </c>
      <c r="D3150" t="inlineStr">
        <is>
          <t>VÄSTMANLANDS LÄN</t>
        </is>
      </c>
      <c r="E3150" t="inlineStr">
        <is>
          <t>VÄSTERÅS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18467-2023</t>
        </is>
      </c>
      <c r="B3151" s="1" t="n">
        <v>45042</v>
      </c>
      <c r="C3151" s="1" t="n">
        <v>45345</v>
      </c>
      <c r="D3151" t="inlineStr">
        <is>
          <t>VÄSTMANLANDS LÄN</t>
        </is>
      </c>
      <c r="E3151" t="inlineStr">
        <is>
          <t>VÄSTERÅS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18431-2023</t>
        </is>
      </c>
      <c r="B3152" s="1" t="n">
        <v>45042</v>
      </c>
      <c r="C3152" s="1" t="n">
        <v>45345</v>
      </c>
      <c r="D3152" t="inlineStr">
        <is>
          <t>VÄSTMANLANDS LÄN</t>
        </is>
      </c>
      <c r="E3152" t="inlineStr">
        <is>
          <t>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18452-2023</t>
        </is>
      </c>
      <c r="B3153" s="1" t="n">
        <v>45042</v>
      </c>
      <c r="C3153" s="1" t="n">
        <v>45345</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18465-2023</t>
        </is>
      </c>
      <c r="B3154" s="1" t="n">
        <v>45042</v>
      </c>
      <c r="C3154" s="1" t="n">
        <v>45345</v>
      </c>
      <c r="D3154" t="inlineStr">
        <is>
          <t>VÄSTMANLANDS LÄN</t>
        </is>
      </c>
      <c r="E3154" t="inlineStr">
        <is>
          <t>VÄSTERÅS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18483-2023</t>
        </is>
      </c>
      <c r="B3155" s="1" t="n">
        <v>45042</v>
      </c>
      <c r="C3155" s="1" t="n">
        <v>45345</v>
      </c>
      <c r="D3155" t="inlineStr">
        <is>
          <t>VÄSTMANLANDS LÄN</t>
        </is>
      </c>
      <c r="E3155" t="inlineStr">
        <is>
          <t>VÄSTERÅS</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18384-2023</t>
        </is>
      </c>
      <c r="B3156" s="1" t="n">
        <v>45042</v>
      </c>
      <c r="C3156" s="1" t="n">
        <v>45345</v>
      </c>
      <c r="D3156" t="inlineStr">
        <is>
          <t>VÄSTMANLANDS LÄN</t>
        </is>
      </c>
      <c r="E3156" t="inlineStr">
        <is>
          <t>NORBERG</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18451-2023</t>
        </is>
      </c>
      <c r="B3157" s="1" t="n">
        <v>45042</v>
      </c>
      <c r="C3157" s="1" t="n">
        <v>45345</v>
      </c>
      <c r="D3157" t="inlineStr">
        <is>
          <t>VÄSTMANLANDS LÄN</t>
        </is>
      </c>
      <c r="E3157" t="inlineStr">
        <is>
          <t>VÄSTERÅS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18482-2023</t>
        </is>
      </c>
      <c r="B3158" s="1" t="n">
        <v>45042</v>
      </c>
      <c r="C3158" s="1" t="n">
        <v>45345</v>
      </c>
      <c r="D3158" t="inlineStr">
        <is>
          <t>VÄSTMANLANDS LÄN</t>
        </is>
      </c>
      <c r="E3158" t="inlineStr">
        <is>
          <t>VÄSTERÅS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18457-2023</t>
        </is>
      </c>
      <c r="B3159" s="1" t="n">
        <v>45042</v>
      </c>
      <c r="C3159" s="1" t="n">
        <v>45345</v>
      </c>
      <c r="D3159" t="inlineStr">
        <is>
          <t>VÄSTMANLANDS LÄN</t>
        </is>
      </c>
      <c r="E3159" t="inlineStr">
        <is>
          <t>VÄSTERÅS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18468-2023</t>
        </is>
      </c>
      <c r="B3160" s="1" t="n">
        <v>45042</v>
      </c>
      <c r="C3160" s="1" t="n">
        <v>45345</v>
      </c>
      <c r="D3160" t="inlineStr">
        <is>
          <t>VÄSTMANLANDS LÄN</t>
        </is>
      </c>
      <c r="E3160" t="inlineStr">
        <is>
          <t>VÄSTERÅS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18721-2023</t>
        </is>
      </c>
      <c r="B3161" s="1" t="n">
        <v>45043</v>
      </c>
      <c r="C3161" s="1" t="n">
        <v>45345</v>
      </c>
      <c r="D3161" t="inlineStr">
        <is>
          <t>VÄSTMANLANDS LÄN</t>
        </is>
      </c>
      <c r="E3161" t="inlineStr">
        <is>
          <t>KUNGSÖR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18745-2023</t>
        </is>
      </c>
      <c r="B3162" s="1" t="n">
        <v>45043</v>
      </c>
      <c r="C3162" s="1" t="n">
        <v>45345</v>
      </c>
      <c r="D3162" t="inlineStr">
        <is>
          <t>VÄSTMANLANDS LÄN</t>
        </is>
      </c>
      <c r="E3162" t="inlineStr">
        <is>
          <t>NORBERG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18744-2023</t>
        </is>
      </c>
      <c r="B3163" s="1" t="n">
        <v>45043</v>
      </c>
      <c r="C3163" s="1" t="n">
        <v>45345</v>
      </c>
      <c r="D3163" t="inlineStr">
        <is>
          <t>VÄSTMANLANDS LÄN</t>
        </is>
      </c>
      <c r="E3163" t="inlineStr">
        <is>
          <t>NORBERG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18649-2023</t>
        </is>
      </c>
      <c r="B3164" s="1" t="n">
        <v>45043</v>
      </c>
      <c r="C3164" s="1" t="n">
        <v>45345</v>
      </c>
      <c r="D3164" t="inlineStr">
        <is>
          <t>VÄSTMANLANDS LÄN</t>
        </is>
      </c>
      <c r="E3164" t="inlineStr">
        <is>
          <t>SKINNSKATTEBERG</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18877-2023</t>
        </is>
      </c>
      <c r="B3165" s="1" t="n">
        <v>45044</v>
      </c>
      <c r="C3165" s="1" t="n">
        <v>45345</v>
      </c>
      <c r="D3165" t="inlineStr">
        <is>
          <t>VÄSTMANLANDS LÄN</t>
        </is>
      </c>
      <c r="E3165" t="inlineStr">
        <is>
          <t>SALA</t>
        </is>
      </c>
      <c r="F3165" t="inlineStr">
        <is>
          <t>Kommuner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19019-2023</t>
        </is>
      </c>
      <c r="B3166" s="1" t="n">
        <v>45047</v>
      </c>
      <c r="C3166" s="1" t="n">
        <v>45345</v>
      </c>
      <c r="D3166" t="inlineStr">
        <is>
          <t>VÄSTMANLANDS LÄN</t>
        </is>
      </c>
      <c r="E3166" t="inlineStr">
        <is>
          <t>NORBERG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19020-2023</t>
        </is>
      </c>
      <c r="B3167" s="1" t="n">
        <v>45047</v>
      </c>
      <c r="C3167" s="1" t="n">
        <v>45345</v>
      </c>
      <c r="D3167" t="inlineStr">
        <is>
          <t>VÄSTMANLANDS LÄN</t>
        </is>
      </c>
      <c r="E3167" t="inlineStr">
        <is>
          <t>NORBERG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19081-2023</t>
        </is>
      </c>
      <c r="B3168" s="1" t="n">
        <v>45048</v>
      </c>
      <c r="C3168" s="1" t="n">
        <v>45345</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19086-2023</t>
        </is>
      </c>
      <c r="B3169" s="1" t="n">
        <v>45048</v>
      </c>
      <c r="C3169" s="1" t="n">
        <v>45345</v>
      </c>
      <c r="D3169" t="inlineStr">
        <is>
          <t>VÄSTMANLANDS LÄN</t>
        </is>
      </c>
      <c r="E3169" t="inlineStr">
        <is>
          <t>SKINNSKATTEBERG</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19082-2023</t>
        </is>
      </c>
      <c r="B3170" s="1" t="n">
        <v>45048</v>
      </c>
      <c r="C3170" s="1" t="n">
        <v>45345</v>
      </c>
      <c r="D3170" t="inlineStr">
        <is>
          <t>VÄSTMANLANDS LÄN</t>
        </is>
      </c>
      <c r="E3170" t="inlineStr">
        <is>
          <t>KUNGSÖR</t>
        </is>
      </c>
      <c r="F3170" t="inlineStr">
        <is>
          <t>Allmännings- och besparingsskogar</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19093-2023</t>
        </is>
      </c>
      <c r="B3171" s="1" t="n">
        <v>45048</v>
      </c>
      <c r="C3171" s="1" t="n">
        <v>45345</v>
      </c>
      <c r="D3171" t="inlineStr">
        <is>
          <t>VÄSTMANLANDS LÄN</t>
        </is>
      </c>
      <c r="E3171" t="inlineStr">
        <is>
          <t>SKINNSKATTEBERG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19218-2023</t>
        </is>
      </c>
      <c r="B3172" s="1" t="n">
        <v>45048</v>
      </c>
      <c r="C3172" s="1" t="n">
        <v>45345</v>
      </c>
      <c r="D3172" t="inlineStr">
        <is>
          <t>VÄSTMANLANDS LÄN</t>
        </is>
      </c>
      <c r="E3172" t="inlineStr">
        <is>
          <t>FAGERSTA</t>
        </is>
      </c>
      <c r="F3172" t="inlineStr">
        <is>
          <t>Sveaskog</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19254-2023</t>
        </is>
      </c>
      <c r="B3173" s="1" t="n">
        <v>45049</v>
      </c>
      <c r="C3173" s="1" t="n">
        <v>45345</v>
      </c>
      <c r="D3173" t="inlineStr">
        <is>
          <t>VÄSTMANLANDS LÄN</t>
        </is>
      </c>
      <c r="E3173" t="inlineStr">
        <is>
          <t>NORBERG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19253-2023</t>
        </is>
      </c>
      <c r="B3174" s="1" t="n">
        <v>45049</v>
      </c>
      <c r="C3174" s="1" t="n">
        <v>45345</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19576-2023</t>
        </is>
      </c>
      <c r="B3175" s="1" t="n">
        <v>45050</v>
      </c>
      <c r="C3175" s="1" t="n">
        <v>45345</v>
      </c>
      <c r="D3175" t="inlineStr">
        <is>
          <t>VÄSTMANLANDS LÄN</t>
        </is>
      </c>
      <c r="E3175" t="inlineStr">
        <is>
          <t>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19543-2023</t>
        </is>
      </c>
      <c r="B3176" s="1" t="n">
        <v>45050</v>
      </c>
      <c r="C3176" s="1" t="n">
        <v>45345</v>
      </c>
      <c r="D3176" t="inlineStr">
        <is>
          <t>VÄSTMANLANDS LÄN</t>
        </is>
      </c>
      <c r="E3176" t="inlineStr">
        <is>
          <t>ARBOGA</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19563-2023</t>
        </is>
      </c>
      <c r="B3177" s="1" t="n">
        <v>45050</v>
      </c>
      <c r="C3177" s="1" t="n">
        <v>45345</v>
      </c>
      <c r="D3177" t="inlineStr">
        <is>
          <t>VÄSTMANLANDS LÄN</t>
        </is>
      </c>
      <c r="E3177" t="inlineStr">
        <is>
          <t>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19568-2023</t>
        </is>
      </c>
      <c r="B3178" s="1" t="n">
        <v>45050</v>
      </c>
      <c r="C3178" s="1" t="n">
        <v>45345</v>
      </c>
      <c r="D3178" t="inlineStr">
        <is>
          <t>VÄSTMANLANDS LÄN</t>
        </is>
      </c>
      <c r="E3178" t="inlineStr">
        <is>
          <t>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19575-2023</t>
        </is>
      </c>
      <c r="B3179" s="1" t="n">
        <v>45050</v>
      </c>
      <c r="C3179" s="1" t="n">
        <v>45345</v>
      </c>
      <c r="D3179" t="inlineStr">
        <is>
          <t>VÄSTMANLANDS LÄN</t>
        </is>
      </c>
      <c r="E3179" t="inlineStr">
        <is>
          <t>KÖPING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19477-2023</t>
        </is>
      </c>
      <c r="B3180" s="1" t="n">
        <v>45050</v>
      </c>
      <c r="C3180" s="1" t="n">
        <v>45345</v>
      </c>
      <c r="D3180" t="inlineStr">
        <is>
          <t>VÄSTMANLANDS LÄN</t>
        </is>
      </c>
      <c r="E3180" t="inlineStr">
        <is>
          <t>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19778-2023</t>
        </is>
      </c>
      <c r="B3181" s="1" t="n">
        <v>45050</v>
      </c>
      <c r="C3181" s="1" t="n">
        <v>45345</v>
      </c>
      <c r="D3181" t="inlineStr">
        <is>
          <t>VÄSTMANLANDS LÄN</t>
        </is>
      </c>
      <c r="E3181" t="inlineStr">
        <is>
          <t>SURAHAMMAR</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19779-2023</t>
        </is>
      </c>
      <c r="B3182" s="1" t="n">
        <v>45050</v>
      </c>
      <c r="C3182" s="1" t="n">
        <v>45345</v>
      </c>
      <c r="D3182" t="inlineStr">
        <is>
          <t>VÄSTMANLANDS LÄN</t>
        </is>
      </c>
      <c r="E3182" t="inlineStr">
        <is>
          <t>SURAHAMMAR</t>
        </is>
      </c>
      <c r="F3182" t="inlineStr">
        <is>
          <t>Bergvik skog väst AB</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19786-2023</t>
        </is>
      </c>
      <c r="B3183" s="1" t="n">
        <v>45050</v>
      </c>
      <c r="C3183" s="1" t="n">
        <v>45345</v>
      </c>
      <c r="D3183" t="inlineStr">
        <is>
          <t>VÄSTMANLANDS LÄN</t>
        </is>
      </c>
      <c r="E3183" t="inlineStr">
        <is>
          <t>SURAHAMMAR</t>
        </is>
      </c>
      <c r="F3183" t="inlineStr">
        <is>
          <t>Bergvik skog väst AB</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19782-2023</t>
        </is>
      </c>
      <c r="B3184" s="1" t="n">
        <v>45050</v>
      </c>
      <c r="C3184" s="1" t="n">
        <v>45345</v>
      </c>
      <c r="D3184" t="inlineStr">
        <is>
          <t>VÄSTMANLANDS LÄN</t>
        </is>
      </c>
      <c r="E3184" t="inlineStr">
        <is>
          <t>SURAHAMMAR</t>
        </is>
      </c>
      <c r="F3184" t="inlineStr">
        <is>
          <t>Bergvik skog väst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19740-2023</t>
        </is>
      </c>
      <c r="B3185" s="1" t="n">
        <v>45051</v>
      </c>
      <c r="C3185" s="1" t="n">
        <v>45345</v>
      </c>
      <c r="D3185" t="inlineStr">
        <is>
          <t>VÄSTMANLANDS LÄN</t>
        </is>
      </c>
      <c r="E3185" t="inlineStr">
        <is>
          <t>VÄSTERÅS</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20148-2023</t>
        </is>
      </c>
      <c r="B3186" s="1" t="n">
        <v>45051</v>
      </c>
      <c r="C3186" s="1" t="n">
        <v>45345</v>
      </c>
      <c r="D3186" t="inlineStr">
        <is>
          <t>VÄSTMANLANDS LÄN</t>
        </is>
      </c>
      <c r="E3186" t="inlineStr">
        <is>
          <t>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20158-2023</t>
        </is>
      </c>
      <c r="B3187" s="1" t="n">
        <v>45051</v>
      </c>
      <c r="C3187" s="1" t="n">
        <v>45345</v>
      </c>
      <c r="D3187" t="inlineStr">
        <is>
          <t>VÄSTMANLANDS LÄN</t>
        </is>
      </c>
      <c r="E3187" t="inlineStr">
        <is>
          <t>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20151-2023</t>
        </is>
      </c>
      <c r="B3188" s="1" t="n">
        <v>45051</v>
      </c>
      <c r="C3188" s="1" t="n">
        <v>45345</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20155-2023</t>
        </is>
      </c>
      <c r="B3189" s="1" t="n">
        <v>45051</v>
      </c>
      <c r="C3189" s="1" t="n">
        <v>45345</v>
      </c>
      <c r="D3189" t="inlineStr">
        <is>
          <t>VÄSTMANLANDS LÄN</t>
        </is>
      </c>
      <c r="E3189" t="inlineStr">
        <is>
          <t>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19916-2023</t>
        </is>
      </c>
      <c r="B3190" s="1" t="n">
        <v>45054</v>
      </c>
      <c r="C3190" s="1" t="n">
        <v>45345</v>
      </c>
      <c r="D3190" t="inlineStr">
        <is>
          <t>VÄSTMANLANDS LÄN</t>
        </is>
      </c>
      <c r="E3190" t="inlineStr">
        <is>
          <t>SALA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19991-2023</t>
        </is>
      </c>
      <c r="B3191" s="1" t="n">
        <v>45054</v>
      </c>
      <c r="C3191" s="1" t="n">
        <v>45345</v>
      </c>
      <c r="D3191" t="inlineStr">
        <is>
          <t>VÄSTMANLANDS LÄN</t>
        </is>
      </c>
      <c r="E3191" t="inlineStr">
        <is>
          <t>FAGERSTA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20020-2023</t>
        </is>
      </c>
      <c r="B3192" s="1" t="n">
        <v>45054</v>
      </c>
      <c r="C3192" s="1" t="n">
        <v>45345</v>
      </c>
      <c r="D3192" t="inlineStr">
        <is>
          <t>VÄSTMANLANDS LÄN</t>
        </is>
      </c>
      <c r="E3192" t="inlineStr">
        <is>
          <t>SURAHAMMAR</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20018-2023</t>
        </is>
      </c>
      <c r="B3193" s="1" t="n">
        <v>45054</v>
      </c>
      <c r="C3193" s="1" t="n">
        <v>45345</v>
      </c>
      <c r="D3193" t="inlineStr">
        <is>
          <t>VÄSTMANLANDS LÄN</t>
        </is>
      </c>
      <c r="E3193" t="inlineStr">
        <is>
          <t>SURAHAMMAR</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20073-2023</t>
        </is>
      </c>
      <c r="B3194" s="1" t="n">
        <v>45054</v>
      </c>
      <c r="C3194" s="1" t="n">
        <v>45345</v>
      </c>
      <c r="D3194" t="inlineStr">
        <is>
          <t>VÄSTMANLANDS LÄN</t>
        </is>
      </c>
      <c r="E3194" t="inlineStr">
        <is>
          <t>SKINNSKATTEBERG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20071-2023</t>
        </is>
      </c>
      <c r="B3195" s="1" t="n">
        <v>45054</v>
      </c>
      <c r="C3195" s="1" t="n">
        <v>45345</v>
      </c>
      <c r="D3195" t="inlineStr">
        <is>
          <t>VÄSTMANLANDS LÄN</t>
        </is>
      </c>
      <c r="E3195" t="inlineStr">
        <is>
          <t>FAGERSTA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20072-2023</t>
        </is>
      </c>
      <c r="B3196" s="1" t="n">
        <v>45054</v>
      </c>
      <c r="C3196" s="1" t="n">
        <v>45345</v>
      </c>
      <c r="D3196" t="inlineStr">
        <is>
          <t>VÄSTMANLANDS LÄN</t>
        </is>
      </c>
      <c r="E3196" t="inlineStr">
        <is>
          <t>SKINNSKATTEBERG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20019-2023</t>
        </is>
      </c>
      <c r="B3197" s="1" t="n">
        <v>45054</v>
      </c>
      <c r="C3197" s="1" t="n">
        <v>45345</v>
      </c>
      <c r="D3197" t="inlineStr">
        <is>
          <t>VÄSTMANLANDS LÄN</t>
        </is>
      </c>
      <c r="E3197" t="inlineStr">
        <is>
          <t>SURAHAMMAR</t>
        </is>
      </c>
      <c r="F3197" t="inlineStr">
        <is>
          <t>Sveaskog</t>
        </is>
      </c>
      <c r="G3197" t="n">
        <v>18.5</v>
      </c>
      <c r="H3197" t="n">
        <v>0</v>
      </c>
      <c r="I3197" t="n">
        <v>0</v>
      </c>
      <c r="J3197" t="n">
        <v>0</v>
      </c>
      <c r="K3197" t="n">
        <v>0</v>
      </c>
      <c r="L3197" t="n">
        <v>0</v>
      </c>
      <c r="M3197" t="n">
        <v>0</v>
      </c>
      <c r="N3197" t="n">
        <v>0</v>
      </c>
      <c r="O3197" t="n">
        <v>0</v>
      </c>
      <c r="P3197" t="n">
        <v>0</v>
      </c>
      <c r="Q3197" t="n">
        <v>0</v>
      </c>
      <c r="R3197" s="2" t="inlineStr"/>
    </row>
    <row r="3198" ht="15" customHeight="1">
      <c r="A3198" t="inlineStr">
        <is>
          <t>A 20023-2023</t>
        </is>
      </c>
      <c r="B3198" s="1" t="n">
        <v>45054</v>
      </c>
      <c r="C3198" s="1" t="n">
        <v>45345</v>
      </c>
      <c r="D3198" t="inlineStr">
        <is>
          <t>VÄSTMANLANDS LÄN</t>
        </is>
      </c>
      <c r="E3198" t="inlineStr">
        <is>
          <t>SURAHAMMAR</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20074-2023</t>
        </is>
      </c>
      <c r="B3199" s="1" t="n">
        <v>45054</v>
      </c>
      <c r="C3199" s="1" t="n">
        <v>45345</v>
      </c>
      <c r="D3199" t="inlineStr">
        <is>
          <t>VÄSTMANLANDS LÄN</t>
        </is>
      </c>
      <c r="E3199" t="inlineStr">
        <is>
          <t>SKINNSKATTEBERG</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20197-2023</t>
        </is>
      </c>
      <c r="B3200" s="1" t="n">
        <v>45055</v>
      </c>
      <c r="C3200" s="1" t="n">
        <v>45345</v>
      </c>
      <c r="D3200" t="inlineStr">
        <is>
          <t>VÄSTMANLANDS LÄN</t>
        </is>
      </c>
      <c r="E3200" t="inlineStr">
        <is>
          <t>KUNGSÖR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20568-2023</t>
        </is>
      </c>
      <c r="B3201" s="1" t="n">
        <v>45055</v>
      </c>
      <c r="C3201" s="1" t="n">
        <v>45345</v>
      </c>
      <c r="D3201" t="inlineStr">
        <is>
          <t>VÄSTMANLANDS LÄN</t>
        </is>
      </c>
      <c r="E3201" t="inlineStr">
        <is>
          <t>SALA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20567-2023</t>
        </is>
      </c>
      <c r="B3202" s="1" t="n">
        <v>45055</v>
      </c>
      <c r="C3202" s="1" t="n">
        <v>45345</v>
      </c>
      <c r="D3202" t="inlineStr">
        <is>
          <t>VÄSTMANLANDS LÄN</t>
        </is>
      </c>
      <c r="E3202" t="inlineStr">
        <is>
          <t>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20381-2023</t>
        </is>
      </c>
      <c r="B3203" s="1" t="n">
        <v>45056</v>
      </c>
      <c r="C3203" s="1" t="n">
        <v>45345</v>
      </c>
      <c r="D3203" t="inlineStr">
        <is>
          <t>VÄSTMANLANDS LÄN</t>
        </is>
      </c>
      <c r="E3203" t="inlineStr">
        <is>
          <t>NORBERG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20405-2023</t>
        </is>
      </c>
      <c r="B3204" s="1" t="n">
        <v>45056</v>
      </c>
      <c r="C3204" s="1" t="n">
        <v>45345</v>
      </c>
      <c r="D3204" t="inlineStr">
        <is>
          <t>VÄSTMANLANDS LÄN</t>
        </is>
      </c>
      <c r="E3204" t="inlineStr">
        <is>
          <t>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20429-2023</t>
        </is>
      </c>
      <c r="B3205" s="1" t="n">
        <v>45056</v>
      </c>
      <c r="C3205" s="1" t="n">
        <v>45345</v>
      </c>
      <c r="D3205" t="inlineStr">
        <is>
          <t>VÄSTMANLANDS LÄN</t>
        </is>
      </c>
      <c r="E3205" t="inlineStr">
        <is>
          <t>SURAHAMMAR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20378-2023</t>
        </is>
      </c>
      <c r="B3206" s="1" t="n">
        <v>45056</v>
      </c>
      <c r="C3206" s="1" t="n">
        <v>45345</v>
      </c>
      <c r="D3206" t="inlineStr">
        <is>
          <t>VÄSTMANLANDS LÄN</t>
        </is>
      </c>
      <c r="E3206" t="inlineStr">
        <is>
          <t>NORBERG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20430-2023</t>
        </is>
      </c>
      <c r="B3207" s="1" t="n">
        <v>45056</v>
      </c>
      <c r="C3207" s="1" t="n">
        <v>45345</v>
      </c>
      <c r="D3207" t="inlineStr">
        <is>
          <t>VÄSTMANLANDS LÄN</t>
        </is>
      </c>
      <c r="E3207" t="inlineStr">
        <is>
          <t>SKINNSKATTEBERG</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20587-2023</t>
        </is>
      </c>
      <c r="B3208" s="1" t="n">
        <v>45057</v>
      </c>
      <c r="C3208" s="1" t="n">
        <v>45345</v>
      </c>
      <c r="D3208" t="inlineStr">
        <is>
          <t>VÄSTMANLANDS LÄN</t>
        </is>
      </c>
      <c r="E3208" t="inlineStr">
        <is>
          <t>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20816-2023</t>
        </is>
      </c>
      <c r="B3209" s="1" t="n">
        <v>45058</v>
      </c>
      <c r="C3209" s="1" t="n">
        <v>45345</v>
      </c>
      <c r="D3209" t="inlineStr">
        <is>
          <t>VÄSTMANLANDS LÄN</t>
        </is>
      </c>
      <c r="E3209" t="inlineStr">
        <is>
          <t>SKINNSKATTEBERG</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20833-2023</t>
        </is>
      </c>
      <c r="B3210" s="1" t="n">
        <v>45058</v>
      </c>
      <c r="C3210" s="1" t="n">
        <v>45345</v>
      </c>
      <c r="D3210" t="inlineStr">
        <is>
          <t>VÄSTMANLANDS LÄN</t>
        </is>
      </c>
      <c r="E3210" t="inlineStr">
        <is>
          <t>SKINNSKATTEBERG</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20789-2023</t>
        </is>
      </c>
      <c r="B3211" s="1" t="n">
        <v>45058</v>
      </c>
      <c r="C3211" s="1" t="n">
        <v>45345</v>
      </c>
      <c r="D3211" t="inlineStr">
        <is>
          <t>VÄSTMANLANDS LÄN</t>
        </is>
      </c>
      <c r="E3211" t="inlineStr">
        <is>
          <t>ARBOGA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20812-2023</t>
        </is>
      </c>
      <c r="B3212" s="1" t="n">
        <v>45058</v>
      </c>
      <c r="C3212" s="1" t="n">
        <v>45345</v>
      </c>
      <c r="D3212" t="inlineStr">
        <is>
          <t>VÄSTMANLANDS LÄN</t>
        </is>
      </c>
      <c r="E3212" t="inlineStr">
        <is>
          <t>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21455-2023</t>
        </is>
      </c>
      <c r="B3213" s="1" t="n">
        <v>45058</v>
      </c>
      <c r="C3213" s="1" t="n">
        <v>45345</v>
      </c>
      <c r="D3213" t="inlineStr">
        <is>
          <t>VÄSTMANLANDS LÄN</t>
        </is>
      </c>
      <c r="E3213" t="inlineStr">
        <is>
          <t>SALA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20904-2023</t>
        </is>
      </c>
      <c r="B3214" s="1" t="n">
        <v>45060</v>
      </c>
      <c r="C3214" s="1" t="n">
        <v>45345</v>
      </c>
      <c r="D3214" t="inlineStr">
        <is>
          <t>VÄSTMANLANDS LÄN</t>
        </is>
      </c>
      <c r="E3214" t="inlineStr">
        <is>
          <t>SURAHAMMAR</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21497-2023</t>
        </is>
      </c>
      <c r="B3215" s="1" t="n">
        <v>45063</v>
      </c>
      <c r="C3215" s="1" t="n">
        <v>45345</v>
      </c>
      <c r="D3215" t="inlineStr">
        <is>
          <t>VÄSTMANLANDS LÄN</t>
        </is>
      </c>
      <c r="E3215" t="inlineStr">
        <is>
          <t>SKINNSKATTEBERG</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21558-2023</t>
        </is>
      </c>
      <c r="B3216" s="1" t="n">
        <v>45063</v>
      </c>
      <c r="C3216" s="1" t="n">
        <v>45345</v>
      </c>
      <c r="D3216" t="inlineStr">
        <is>
          <t>VÄSTMANLANDS LÄN</t>
        </is>
      </c>
      <c r="E3216" t="inlineStr">
        <is>
          <t>SKINNSKATTEBERG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21528-2023</t>
        </is>
      </c>
      <c r="B3217" s="1" t="n">
        <v>45063</v>
      </c>
      <c r="C3217" s="1" t="n">
        <v>45345</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21543-2023</t>
        </is>
      </c>
      <c r="B3218" s="1" t="n">
        <v>45063</v>
      </c>
      <c r="C3218" s="1" t="n">
        <v>45345</v>
      </c>
      <c r="D3218" t="inlineStr">
        <is>
          <t>VÄSTMANLANDS LÄN</t>
        </is>
      </c>
      <c r="E3218" t="inlineStr">
        <is>
          <t>NORBERG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21566-2023</t>
        </is>
      </c>
      <c r="B3219" s="1" t="n">
        <v>45063</v>
      </c>
      <c r="C3219" s="1" t="n">
        <v>45345</v>
      </c>
      <c r="D3219" t="inlineStr">
        <is>
          <t>VÄSTMANLANDS LÄN</t>
        </is>
      </c>
      <c r="E3219" t="inlineStr">
        <is>
          <t>SKINNSKATTEBERG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21571-2023</t>
        </is>
      </c>
      <c r="B3220" s="1" t="n">
        <v>45063</v>
      </c>
      <c r="C3220" s="1" t="n">
        <v>45345</v>
      </c>
      <c r="D3220" t="inlineStr">
        <is>
          <t>VÄSTMANLANDS LÄN</t>
        </is>
      </c>
      <c r="E3220" t="inlineStr">
        <is>
          <t>SKINNSKATTEBERG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21579-2023</t>
        </is>
      </c>
      <c r="B3221" s="1" t="n">
        <v>45063</v>
      </c>
      <c r="C3221" s="1" t="n">
        <v>45345</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21576-2023</t>
        </is>
      </c>
      <c r="B3222" s="1" t="n">
        <v>45063</v>
      </c>
      <c r="C3222" s="1" t="n">
        <v>45345</v>
      </c>
      <c r="D3222" t="inlineStr">
        <is>
          <t>VÄSTMANLANDS LÄN</t>
        </is>
      </c>
      <c r="E3222" t="inlineStr">
        <is>
          <t>SKINNSKATTEBERG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22097-2023</t>
        </is>
      </c>
      <c r="B3223" s="1" t="n">
        <v>45065</v>
      </c>
      <c r="C3223" s="1" t="n">
        <v>45345</v>
      </c>
      <c r="D3223" t="inlineStr">
        <is>
          <t>VÄSTMANLANDS LÄN</t>
        </is>
      </c>
      <c r="E3223" t="inlineStr">
        <is>
          <t>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21902-2023</t>
        </is>
      </c>
      <c r="B3224" s="1" t="n">
        <v>45068</v>
      </c>
      <c r="C3224" s="1" t="n">
        <v>45345</v>
      </c>
      <c r="D3224" t="inlineStr">
        <is>
          <t>VÄSTMANLANDS LÄN</t>
        </is>
      </c>
      <c r="E3224" t="inlineStr">
        <is>
          <t>SKINNSKATTEBERG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21906-2023</t>
        </is>
      </c>
      <c r="B3225" s="1" t="n">
        <v>45068</v>
      </c>
      <c r="C3225" s="1" t="n">
        <v>45345</v>
      </c>
      <c r="D3225" t="inlineStr">
        <is>
          <t>VÄSTMANLANDS LÄN</t>
        </is>
      </c>
      <c r="E3225" t="inlineStr">
        <is>
          <t>SURAHAMMAR</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21972-2023</t>
        </is>
      </c>
      <c r="B3226" s="1" t="n">
        <v>45068</v>
      </c>
      <c r="C3226" s="1" t="n">
        <v>45345</v>
      </c>
      <c r="D3226" t="inlineStr">
        <is>
          <t>VÄSTMANLANDS LÄN</t>
        </is>
      </c>
      <c r="E3226" t="inlineStr">
        <is>
          <t>HALLSTAHAMMAR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21905-2023</t>
        </is>
      </c>
      <c r="B3227" s="1" t="n">
        <v>45068</v>
      </c>
      <c r="C3227" s="1" t="n">
        <v>45345</v>
      </c>
      <c r="D3227" t="inlineStr">
        <is>
          <t>VÄSTMANLANDS LÄN</t>
        </is>
      </c>
      <c r="E3227" t="inlineStr">
        <is>
          <t>SURAHAMMAR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21971-2023</t>
        </is>
      </c>
      <c r="B3228" s="1" t="n">
        <v>45068</v>
      </c>
      <c r="C3228" s="1" t="n">
        <v>45345</v>
      </c>
      <c r="D3228" t="inlineStr">
        <is>
          <t>VÄSTMANLANDS LÄN</t>
        </is>
      </c>
      <c r="E3228" t="inlineStr">
        <is>
          <t>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21984-2023</t>
        </is>
      </c>
      <c r="B3229" s="1" t="n">
        <v>45068</v>
      </c>
      <c r="C3229" s="1" t="n">
        <v>45345</v>
      </c>
      <c r="D3229" t="inlineStr">
        <is>
          <t>VÄSTMANLANDS LÄN</t>
        </is>
      </c>
      <c r="E3229" t="inlineStr">
        <is>
          <t>ARBOGA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21904-2023</t>
        </is>
      </c>
      <c r="B3230" s="1" t="n">
        <v>45068</v>
      </c>
      <c r="C3230" s="1" t="n">
        <v>45345</v>
      </c>
      <c r="D3230" t="inlineStr">
        <is>
          <t>VÄSTMANLANDS LÄN</t>
        </is>
      </c>
      <c r="E3230" t="inlineStr">
        <is>
          <t>SURAHAMMAR</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21908-2023</t>
        </is>
      </c>
      <c r="B3231" s="1" t="n">
        <v>45068</v>
      </c>
      <c r="C3231" s="1" t="n">
        <v>45345</v>
      </c>
      <c r="D3231" t="inlineStr">
        <is>
          <t>VÄSTMANLANDS LÄN</t>
        </is>
      </c>
      <c r="E3231" t="inlineStr">
        <is>
          <t>SKINNSKATTEBERG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21903-2023</t>
        </is>
      </c>
      <c r="B3232" s="1" t="n">
        <v>45068</v>
      </c>
      <c r="C3232" s="1" t="n">
        <v>45345</v>
      </c>
      <c r="D3232" t="inlineStr">
        <is>
          <t>VÄSTMANLANDS LÄN</t>
        </is>
      </c>
      <c r="E3232" t="inlineStr">
        <is>
          <t>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22076-2023</t>
        </is>
      </c>
      <c r="B3233" s="1" t="n">
        <v>45069</v>
      </c>
      <c r="C3233" s="1" t="n">
        <v>45345</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22115-2023</t>
        </is>
      </c>
      <c r="B3234" s="1" t="n">
        <v>45069</v>
      </c>
      <c r="C3234" s="1" t="n">
        <v>45345</v>
      </c>
      <c r="D3234" t="inlineStr">
        <is>
          <t>VÄSTMANLANDS LÄN</t>
        </is>
      </c>
      <c r="E3234" t="inlineStr">
        <is>
          <t>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22146-2023</t>
        </is>
      </c>
      <c r="B3235" s="1" t="n">
        <v>45069</v>
      </c>
      <c r="C3235" s="1" t="n">
        <v>45345</v>
      </c>
      <c r="D3235" t="inlineStr">
        <is>
          <t>VÄSTMANLANDS LÄN</t>
        </is>
      </c>
      <c r="E3235" t="inlineStr">
        <is>
          <t>SALA</t>
        </is>
      </c>
      <c r="F3235" t="inlineStr">
        <is>
          <t>Kommuner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22091-2023</t>
        </is>
      </c>
      <c r="B3236" s="1" t="n">
        <v>45069</v>
      </c>
      <c r="C3236" s="1" t="n">
        <v>45345</v>
      </c>
      <c r="D3236" t="inlineStr">
        <is>
          <t>VÄSTMANLANDS LÄN</t>
        </is>
      </c>
      <c r="E3236" t="inlineStr">
        <is>
          <t>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22118-2023</t>
        </is>
      </c>
      <c r="B3237" s="1" t="n">
        <v>45069</v>
      </c>
      <c r="C3237" s="1" t="n">
        <v>45345</v>
      </c>
      <c r="D3237" t="inlineStr">
        <is>
          <t>VÄSTMANLANDS LÄN</t>
        </is>
      </c>
      <c r="E3237" t="inlineStr">
        <is>
          <t>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22072-2023</t>
        </is>
      </c>
      <c r="B3238" s="1" t="n">
        <v>45069</v>
      </c>
      <c r="C3238" s="1" t="n">
        <v>45345</v>
      </c>
      <c r="D3238" t="inlineStr">
        <is>
          <t>VÄSTMANLANDS LÄN</t>
        </is>
      </c>
      <c r="E3238" t="inlineStr">
        <is>
          <t>HALLSTAHAMMAR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22082-2023</t>
        </is>
      </c>
      <c r="B3239" s="1" t="n">
        <v>45069</v>
      </c>
      <c r="C3239" s="1" t="n">
        <v>45345</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22391-2023</t>
        </is>
      </c>
      <c r="B3240" s="1" t="n">
        <v>45069</v>
      </c>
      <c r="C3240" s="1" t="n">
        <v>45345</v>
      </c>
      <c r="D3240" t="inlineStr">
        <is>
          <t>VÄSTMANLANDS LÄN</t>
        </is>
      </c>
      <c r="E3240" t="inlineStr">
        <is>
          <t>FAGERSTA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22523-2023</t>
        </is>
      </c>
      <c r="B3241" s="1" t="n">
        <v>45069</v>
      </c>
      <c r="C3241" s="1" t="n">
        <v>45345</v>
      </c>
      <c r="D3241" t="inlineStr">
        <is>
          <t>VÄSTMANLANDS LÄN</t>
        </is>
      </c>
      <c r="E3241" t="inlineStr">
        <is>
          <t>SALA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22921-2023</t>
        </is>
      </c>
      <c r="B3242" s="1" t="n">
        <v>45070</v>
      </c>
      <c r="C3242" s="1" t="n">
        <v>45345</v>
      </c>
      <c r="D3242" t="inlineStr">
        <is>
          <t>VÄSTMANLANDS LÄN</t>
        </is>
      </c>
      <c r="E3242" t="inlineStr">
        <is>
          <t>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22915-2023</t>
        </is>
      </c>
      <c r="B3243" s="1" t="n">
        <v>45070</v>
      </c>
      <c r="C3243" s="1" t="n">
        <v>45345</v>
      </c>
      <c r="D3243" t="inlineStr">
        <is>
          <t>VÄSTMANLANDS LÄN</t>
        </is>
      </c>
      <c r="E3243" t="inlineStr">
        <is>
          <t>SURAHAMMAR</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22482-2023</t>
        </is>
      </c>
      <c r="B3244" s="1" t="n">
        <v>45071</v>
      </c>
      <c r="C3244" s="1" t="n">
        <v>45345</v>
      </c>
      <c r="D3244" t="inlineStr">
        <is>
          <t>VÄSTMANLANDS LÄN</t>
        </is>
      </c>
      <c r="E3244" t="inlineStr">
        <is>
          <t>FAGERSTA</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22484-2023</t>
        </is>
      </c>
      <c r="B3245" s="1" t="n">
        <v>45071</v>
      </c>
      <c r="C3245" s="1" t="n">
        <v>45345</v>
      </c>
      <c r="D3245" t="inlineStr">
        <is>
          <t>VÄSTMANLANDS LÄN</t>
        </is>
      </c>
      <c r="E3245" t="inlineStr">
        <is>
          <t>FAGERSTA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22660-2023</t>
        </is>
      </c>
      <c r="B3246" s="1" t="n">
        <v>45071</v>
      </c>
      <c r="C3246" s="1" t="n">
        <v>45345</v>
      </c>
      <c r="D3246" t="inlineStr">
        <is>
          <t>VÄSTMANLANDS LÄN</t>
        </is>
      </c>
      <c r="E3246" t="inlineStr">
        <is>
          <t>SURAHAMMAR</t>
        </is>
      </c>
      <c r="F3246" t="inlineStr">
        <is>
          <t>Sveaskog</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22485-2023</t>
        </is>
      </c>
      <c r="B3247" s="1" t="n">
        <v>45071</v>
      </c>
      <c r="C3247" s="1" t="n">
        <v>45345</v>
      </c>
      <c r="D3247" t="inlineStr">
        <is>
          <t>VÄSTMANLANDS LÄN</t>
        </is>
      </c>
      <c r="E3247" t="inlineStr">
        <is>
          <t>FAGERSTA</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22483-2023</t>
        </is>
      </c>
      <c r="B3248" s="1" t="n">
        <v>45071</v>
      </c>
      <c r="C3248" s="1" t="n">
        <v>45345</v>
      </c>
      <c r="D3248" t="inlineStr">
        <is>
          <t>VÄSTMANLANDS LÄN</t>
        </is>
      </c>
      <c r="E3248" t="inlineStr">
        <is>
          <t>FAGERSTA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22662-2023</t>
        </is>
      </c>
      <c r="B3249" s="1" t="n">
        <v>45071</v>
      </c>
      <c r="C3249" s="1" t="n">
        <v>45345</v>
      </c>
      <c r="D3249" t="inlineStr">
        <is>
          <t>VÄSTMANLANDS LÄN</t>
        </is>
      </c>
      <c r="E3249" t="inlineStr">
        <is>
          <t>SURAHAMMAR</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22661-2023</t>
        </is>
      </c>
      <c r="B3250" s="1" t="n">
        <v>45071</v>
      </c>
      <c r="C3250" s="1" t="n">
        <v>45345</v>
      </c>
      <c r="D3250" t="inlineStr">
        <is>
          <t>VÄSTMANLANDS LÄN</t>
        </is>
      </c>
      <c r="E3250" t="inlineStr">
        <is>
          <t>SURAHAMMAR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22659-2023</t>
        </is>
      </c>
      <c r="B3251" s="1" t="n">
        <v>45071</v>
      </c>
      <c r="C3251" s="1" t="n">
        <v>45345</v>
      </c>
      <c r="D3251" t="inlineStr">
        <is>
          <t>VÄSTMANLANDS LÄN</t>
        </is>
      </c>
      <c r="E3251" t="inlineStr">
        <is>
          <t>SURAHAMMAR</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22817-2023</t>
        </is>
      </c>
      <c r="B3252" s="1" t="n">
        <v>45072</v>
      </c>
      <c r="C3252" s="1" t="n">
        <v>45345</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22832-2023</t>
        </is>
      </c>
      <c r="B3253" s="1" t="n">
        <v>45072</v>
      </c>
      <c r="C3253" s="1" t="n">
        <v>45345</v>
      </c>
      <c r="D3253" t="inlineStr">
        <is>
          <t>VÄSTMANLANDS LÄN</t>
        </is>
      </c>
      <c r="E3253" t="inlineStr">
        <is>
          <t>VÄSTERÅS</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22933-2023</t>
        </is>
      </c>
      <c r="B3254" s="1" t="n">
        <v>45072</v>
      </c>
      <c r="C3254" s="1" t="n">
        <v>45345</v>
      </c>
      <c r="D3254" t="inlineStr">
        <is>
          <t>VÄSTMANLANDS LÄN</t>
        </is>
      </c>
      <c r="E3254" t="inlineStr">
        <is>
          <t>SKINNSKATTEBERG</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22937-2023</t>
        </is>
      </c>
      <c r="B3255" s="1" t="n">
        <v>45072</v>
      </c>
      <c r="C3255" s="1" t="n">
        <v>45345</v>
      </c>
      <c r="D3255" t="inlineStr">
        <is>
          <t>VÄSTMANLANDS LÄN</t>
        </is>
      </c>
      <c r="E3255" t="inlineStr">
        <is>
          <t>SKINNSKATTEBERG</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22963-2023</t>
        </is>
      </c>
      <c r="B3256" s="1" t="n">
        <v>45072</v>
      </c>
      <c r="C3256" s="1" t="n">
        <v>45345</v>
      </c>
      <c r="D3256" t="inlineStr">
        <is>
          <t>VÄSTMANLANDS LÄN</t>
        </is>
      </c>
      <c r="E3256" t="inlineStr">
        <is>
          <t>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22961-2023</t>
        </is>
      </c>
      <c r="B3257" s="1" t="n">
        <v>45072</v>
      </c>
      <c r="C3257" s="1" t="n">
        <v>45345</v>
      </c>
      <c r="D3257" t="inlineStr">
        <is>
          <t>VÄSTMANLANDS LÄN</t>
        </is>
      </c>
      <c r="E3257" t="inlineStr">
        <is>
          <t>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22940-2023</t>
        </is>
      </c>
      <c r="B3258" s="1" t="n">
        <v>45072</v>
      </c>
      <c r="C3258" s="1" t="n">
        <v>45345</v>
      </c>
      <c r="D3258" t="inlineStr">
        <is>
          <t>VÄSTMANLANDS LÄN</t>
        </is>
      </c>
      <c r="E3258" t="inlineStr">
        <is>
          <t>SKINNSKATTEBERG</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23145-2023</t>
        </is>
      </c>
      <c r="B3259" s="1" t="n">
        <v>45075</v>
      </c>
      <c r="C3259" s="1" t="n">
        <v>45345</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23209-2023</t>
        </is>
      </c>
      <c r="B3260" s="1" t="n">
        <v>45075</v>
      </c>
      <c r="C3260" s="1" t="n">
        <v>45345</v>
      </c>
      <c r="D3260" t="inlineStr">
        <is>
          <t>VÄSTMANLANDS LÄN</t>
        </is>
      </c>
      <c r="E3260" t="inlineStr">
        <is>
          <t>SKINNSKATTEBERG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23256-2023</t>
        </is>
      </c>
      <c r="B3261" s="1" t="n">
        <v>45075</v>
      </c>
      <c r="C3261" s="1" t="n">
        <v>45345</v>
      </c>
      <c r="D3261" t="inlineStr">
        <is>
          <t>VÄSTMANLANDS LÄN</t>
        </is>
      </c>
      <c r="E3261" t="inlineStr">
        <is>
          <t>VÄSTERÅS</t>
        </is>
      </c>
      <c r="F3261" t="inlineStr">
        <is>
          <t>Kommuner</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23146-2023</t>
        </is>
      </c>
      <c r="B3262" s="1" t="n">
        <v>45075</v>
      </c>
      <c r="C3262" s="1" t="n">
        <v>45345</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23224-2023</t>
        </is>
      </c>
      <c r="B3263" s="1" t="n">
        <v>45075</v>
      </c>
      <c r="C3263" s="1" t="n">
        <v>45345</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23222-2023</t>
        </is>
      </c>
      <c r="B3264" s="1" t="n">
        <v>45075</v>
      </c>
      <c r="C3264" s="1" t="n">
        <v>45345</v>
      </c>
      <c r="D3264" t="inlineStr">
        <is>
          <t>VÄSTMANLANDS LÄN</t>
        </is>
      </c>
      <c r="E3264" t="inlineStr">
        <is>
          <t>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23232-2023</t>
        </is>
      </c>
      <c r="B3265" s="1" t="n">
        <v>45075</v>
      </c>
      <c r="C3265" s="1" t="n">
        <v>45345</v>
      </c>
      <c r="D3265" t="inlineStr">
        <is>
          <t>VÄSTMANLANDS LÄN</t>
        </is>
      </c>
      <c r="E3265" t="inlineStr">
        <is>
          <t>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23386-2023</t>
        </is>
      </c>
      <c r="B3266" s="1" t="n">
        <v>45076</v>
      </c>
      <c r="C3266" s="1" t="n">
        <v>45345</v>
      </c>
      <c r="D3266" t="inlineStr">
        <is>
          <t>VÄSTMANLANDS LÄN</t>
        </is>
      </c>
      <c r="E3266" t="inlineStr">
        <is>
          <t>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23390-2023</t>
        </is>
      </c>
      <c r="B3267" s="1" t="n">
        <v>45076</v>
      </c>
      <c r="C3267" s="1" t="n">
        <v>45345</v>
      </c>
      <c r="D3267" t="inlineStr">
        <is>
          <t>VÄSTMANLANDS LÄN</t>
        </is>
      </c>
      <c r="E3267" t="inlineStr">
        <is>
          <t>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23374-2023</t>
        </is>
      </c>
      <c r="B3268" s="1" t="n">
        <v>45076</v>
      </c>
      <c r="C3268" s="1" t="n">
        <v>45345</v>
      </c>
      <c r="D3268" t="inlineStr">
        <is>
          <t>VÄSTMANLANDS LÄN</t>
        </is>
      </c>
      <c r="E3268" t="inlineStr">
        <is>
          <t>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23387-2023</t>
        </is>
      </c>
      <c r="B3269" s="1" t="n">
        <v>45076</v>
      </c>
      <c r="C3269" s="1" t="n">
        <v>45345</v>
      </c>
      <c r="D3269" t="inlineStr">
        <is>
          <t>VÄSTMANLANDS LÄN</t>
        </is>
      </c>
      <c r="E3269" t="inlineStr">
        <is>
          <t>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23372-2023</t>
        </is>
      </c>
      <c r="B3270" s="1" t="n">
        <v>45076</v>
      </c>
      <c r="C3270" s="1" t="n">
        <v>45345</v>
      </c>
      <c r="D3270" t="inlineStr">
        <is>
          <t>VÄSTMANLANDS LÄN</t>
        </is>
      </c>
      <c r="E3270" t="inlineStr">
        <is>
          <t>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23389-2023</t>
        </is>
      </c>
      <c r="B3271" s="1" t="n">
        <v>45076</v>
      </c>
      <c r="C3271" s="1" t="n">
        <v>45345</v>
      </c>
      <c r="D3271" t="inlineStr">
        <is>
          <t>VÄSTMANLANDS LÄN</t>
        </is>
      </c>
      <c r="E3271" t="inlineStr">
        <is>
          <t>KÖPING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23631-2023</t>
        </is>
      </c>
      <c r="B3272" s="1" t="n">
        <v>45077</v>
      </c>
      <c r="C3272" s="1" t="n">
        <v>45345</v>
      </c>
      <c r="D3272" t="inlineStr">
        <is>
          <t>VÄSTMANLANDS LÄN</t>
        </is>
      </c>
      <c r="E3272" t="inlineStr">
        <is>
          <t>VÄSTERÅS</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23661-2023</t>
        </is>
      </c>
      <c r="B3273" s="1" t="n">
        <v>45077</v>
      </c>
      <c r="C3273" s="1" t="n">
        <v>45345</v>
      </c>
      <c r="D3273" t="inlineStr">
        <is>
          <t>VÄSTMANLANDS LÄN</t>
        </is>
      </c>
      <c r="E3273" t="inlineStr">
        <is>
          <t>SKINNSKATTEBERG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23665-2023</t>
        </is>
      </c>
      <c r="B3274" s="1" t="n">
        <v>45077</v>
      </c>
      <c r="C3274" s="1" t="n">
        <v>45345</v>
      </c>
      <c r="D3274" t="inlineStr">
        <is>
          <t>VÄSTMANLANDS LÄN</t>
        </is>
      </c>
      <c r="E3274" t="inlineStr">
        <is>
          <t>SKINNSKATTEBERG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23542-2023</t>
        </is>
      </c>
      <c r="B3275" s="1" t="n">
        <v>45077</v>
      </c>
      <c r="C3275" s="1" t="n">
        <v>45345</v>
      </c>
      <c r="D3275" t="inlineStr">
        <is>
          <t>VÄSTMANLANDS LÄN</t>
        </is>
      </c>
      <c r="E3275" t="inlineStr">
        <is>
          <t>NORBERG</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23658-2023</t>
        </is>
      </c>
      <c r="B3276" s="1" t="n">
        <v>45077</v>
      </c>
      <c r="C3276" s="1" t="n">
        <v>45345</v>
      </c>
      <c r="D3276" t="inlineStr">
        <is>
          <t>VÄSTMANLANDS LÄN</t>
        </is>
      </c>
      <c r="E3276" t="inlineStr">
        <is>
          <t>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23659-2023</t>
        </is>
      </c>
      <c r="B3277" s="1" t="n">
        <v>45077</v>
      </c>
      <c r="C3277" s="1" t="n">
        <v>45345</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23731-2023</t>
        </is>
      </c>
      <c r="B3278" s="1" t="n">
        <v>45077</v>
      </c>
      <c r="C3278" s="1" t="n">
        <v>45345</v>
      </c>
      <c r="D3278" t="inlineStr">
        <is>
          <t>VÄSTMANLANDS LÄN</t>
        </is>
      </c>
      <c r="E3278" t="inlineStr">
        <is>
          <t>SURAHAMMAR</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23574-2023</t>
        </is>
      </c>
      <c r="B3279" s="1" t="n">
        <v>45077</v>
      </c>
      <c r="C3279" s="1" t="n">
        <v>45345</v>
      </c>
      <c r="D3279" t="inlineStr">
        <is>
          <t>VÄSTMANLANDS LÄN</t>
        </is>
      </c>
      <c r="E3279" t="inlineStr">
        <is>
          <t>KUNGSÖR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23616-2023</t>
        </is>
      </c>
      <c r="B3280" s="1" t="n">
        <v>45077</v>
      </c>
      <c r="C3280" s="1" t="n">
        <v>45345</v>
      </c>
      <c r="D3280" t="inlineStr">
        <is>
          <t>VÄSTMANLANDS LÄN</t>
        </is>
      </c>
      <c r="E3280" t="inlineStr">
        <is>
          <t>NORBERG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23641-2023</t>
        </is>
      </c>
      <c r="B3281" s="1" t="n">
        <v>45077</v>
      </c>
      <c r="C3281" s="1" t="n">
        <v>45345</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23656-2023</t>
        </is>
      </c>
      <c r="B3282" s="1" t="n">
        <v>45077</v>
      </c>
      <c r="C3282" s="1" t="n">
        <v>45345</v>
      </c>
      <c r="D3282" t="inlineStr">
        <is>
          <t>VÄSTMANLANDS LÄN</t>
        </is>
      </c>
      <c r="E3282" t="inlineStr">
        <is>
          <t>KÖPING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23875-2023</t>
        </is>
      </c>
      <c r="B3283" s="1" t="n">
        <v>45078</v>
      </c>
      <c r="C3283" s="1" t="n">
        <v>45345</v>
      </c>
      <c r="D3283" t="inlineStr">
        <is>
          <t>VÄSTMANLANDS LÄN</t>
        </is>
      </c>
      <c r="E3283" t="inlineStr">
        <is>
          <t>VÄSTERÅS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23893-2023</t>
        </is>
      </c>
      <c r="B3284" s="1" t="n">
        <v>45078</v>
      </c>
      <c r="C3284" s="1" t="n">
        <v>45345</v>
      </c>
      <c r="D3284" t="inlineStr">
        <is>
          <t>VÄSTMANLANDS LÄN</t>
        </is>
      </c>
      <c r="E3284" t="inlineStr">
        <is>
          <t>SKINNSKATTEBERG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23905-2023</t>
        </is>
      </c>
      <c r="B3285" s="1" t="n">
        <v>45078</v>
      </c>
      <c r="C3285" s="1" t="n">
        <v>45345</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23927-2023</t>
        </is>
      </c>
      <c r="B3286" s="1" t="n">
        <v>45078</v>
      </c>
      <c r="C3286" s="1" t="n">
        <v>45345</v>
      </c>
      <c r="D3286" t="inlineStr">
        <is>
          <t>VÄSTMANLANDS LÄN</t>
        </is>
      </c>
      <c r="E3286" t="inlineStr">
        <is>
          <t>KUNGSÖR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23932-2023</t>
        </is>
      </c>
      <c r="B3287" s="1" t="n">
        <v>45078</v>
      </c>
      <c r="C3287" s="1" t="n">
        <v>45345</v>
      </c>
      <c r="D3287" t="inlineStr">
        <is>
          <t>VÄSTMANLANDS LÄN</t>
        </is>
      </c>
      <c r="E3287" t="inlineStr">
        <is>
          <t>KUNGSÖR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23791-2023</t>
        </is>
      </c>
      <c r="B3288" s="1" t="n">
        <v>45078</v>
      </c>
      <c r="C3288" s="1" t="n">
        <v>45345</v>
      </c>
      <c r="D3288" t="inlineStr">
        <is>
          <t>VÄSTMANLANDS LÄN</t>
        </is>
      </c>
      <c r="E3288" t="inlineStr">
        <is>
          <t>NORBERG</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23825-2023</t>
        </is>
      </c>
      <c r="B3289" s="1" t="n">
        <v>45078</v>
      </c>
      <c r="C3289" s="1" t="n">
        <v>45345</v>
      </c>
      <c r="D3289" t="inlineStr">
        <is>
          <t>VÄSTMANLANDS LÄN</t>
        </is>
      </c>
      <c r="E3289" t="inlineStr">
        <is>
          <t>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23917-2023</t>
        </is>
      </c>
      <c r="B3290" s="1" t="n">
        <v>45078</v>
      </c>
      <c r="C3290" s="1" t="n">
        <v>45345</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23920-2023</t>
        </is>
      </c>
      <c r="B3291" s="1" t="n">
        <v>45078</v>
      </c>
      <c r="C3291" s="1" t="n">
        <v>45345</v>
      </c>
      <c r="D3291" t="inlineStr">
        <is>
          <t>VÄSTMANLANDS LÄN</t>
        </is>
      </c>
      <c r="E3291" t="inlineStr">
        <is>
          <t>VÄSTERÅS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24098-2023</t>
        </is>
      </c>
      <c r="B3292" s="1" t="n">
        <v>45079</v>
      </c>
      <c r="C3292" s="1" t="n">
        <v>45345</v>
      </c>
      <c r="D3292" t="inlineStr">
        <is>
          <t>VÄSTMANLANDS LÄN</t>
        </is>
      </c>
      <c r="E3292" t="inlineStr">
        <is>
          <t>SKINNSKATTEBERG</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24156-2023</t>
        </is>
      </c>
      <c r="B3293" s="1" t="n">
        <v>45079</v>
      </c>
      <c r="C3293" s="1" t="n">
        <v>45345</v>
      </c>
      <c r="D3293" t="inlineStr">
        <is>
          <t>VÄSTMANLANDS LÄN</t>
        </is>
      </c>
      <c r="E3293" t="inlineStr">
        <is>
          <t>SURAHAMMAR</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24248-2023</t>
        </is>
      </c>
      <c r="B3294" s="1" t="n">
        <v>45079</v>
      </c>
      <c r="C3294" s="1" t="n">
        <v>45345</v>
      </c>
      <c r="D3294" t="inlineStr">
        <is>
          <t>VÄSTMANLANDS LÄN</t>
        </is>
      </c>
      <c r="E3294" t="inlineStr">
        <is>
          <t>SALA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24091-2023</t>
        </is>
      </c>
      <c r="B3295" s="1" t="n">
        <v>45079</v>
      </c>
      <c r="C3295" s="1" t="n">
        <v>45345</v>
      </c>
      <c r="D3295" t="inlineStr">
        <is>
          <t>VÄSTMANLANDS LÄN</t>
        </is>
      </c>
      <c r="E3295" t="inlineStr">
        <is>
          <t>SKINNSKATTEBERG</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24158-2023</t>
        </is>
      </c>
      <c r="B3296" s="1" t="n">
        <v>45079</v>
      </c>
      <c r="C3296" s="1" t="n">
        <v>45345</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24197-2023</t>
        </is>
      </c>
      <c r="B3297" s="1" t="n">
        <v>45079</v>
      </c>
      <c r="C3297" s="1" t="n">
        <v>45345</v>
      </c>
      <c r="D3297" t="inlineStr">
        <is>
          <t>VÄSTMANLANDS LÄN</t>
        </is>
      </c>
      <c r="E3297" t="inlineStr">
        <is>
          <t>SURAHAMMAR</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24180-2023</t>
        </is>
      </c>
      <c r="B3298" s="1" t="n">
        <v>45079</v>
      </c>
      <c r="C3298" s="1" t="n">
        <v>45345</v>
      </c>
      <c r="D3298" t="inlineStr">
        <is>
          <t>VÄSTMANLANDS LÄN</t>
        </is>
      </c>
      <c r="E3298" t="inlineStr">
        <is>
          <t>SURAHAMMAR</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24099-2023</t>
        </is>
      </c>
      <c r="B3299" s="1" t="n">
        <v>45079</v>
      </c>
      <c r="C3299" s="1" t="n">
        <v>45345</v>
      </c>
      <c r="D3299" t="inlineStr">
        <is>
          <t>VÄSTMANLANDS LÄN</t>
        </is>
      </c>
      <c r="E3299" t="inlineStr">
        <is>
          <t>SKINNSKATTEBERG</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24137-2023</t>
        </is>
      </c>
      <c r="B3300" s="1" t="n">
        <v>45079</v>
      </c>
      <c r="C3300" s="1" t="n">
        <v>45345</v>
      </c>
      <c r="D3300" t="inlineStr">
        <is>
          <t>VÄSTMANLANDS LÄN</t>
        </is>
      </c>
      <c r="E3300" t="inlineStr">
        <is>
          <t>SKINNSKATTEBERG</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24504-2023</t>
        </is>
      </c>
      <c r="B3301" s="1" t="n">
        <v>45082</v>
      </c>
      <c r="C3301" s="1" t="n">
        <v>45345</v>
      </c>
      <c r="D3301" t="inlineStr">
        <is>
          <t>VÄSTMANLANDS LÄN</t>
        </is>
      </c>
      <c r="E3301" t="inlineStr">
        <is>
          <t>SKINNSKATTEBERG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24427-2023</t>
        </is>
      </c>
      <c r="B3302" s="1" t="n">
        <v>45082</v>
      </c>
      <c r="C3302" s="1" t="n">
        <v>45345</v>
      </c>
      <c r="D3302" t="inlineStr">
        <is>
          <t>VÄSTMANLANDS LÄN</t>
        </is>
      </c>
      <c r="E3302" t="inlineStr">
        <is>
          <t>SKINNSKATTEBERG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24486-2023</t>
        </is>
      </c>
      <c r="B3303" s="1" t="n">
        <v>45082</v>
      </c>
      <c r="C3303" s="1" t="n">
        <v>45345</v>
      </c>
      <c r="D3303" t="inlineStr">
        <is>
          <t>VÄSTMANLANDS LÄN</t>
        </is>
      </c>
      <c r="E3303" t="inlineStr">
        <is>
          <t>VÄSTERÅS</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24495-2023</t>
        </is>
      </c>
      <c r="B3304" s="1" t="n">
        <v>45082</v>
      </c>
      <c r="C3304" s="1" t="n">
        <v>45345</v>
      </c>
      <c r="D3304" t="inlineStr">
        <is>
          <t>VÄSTMANLANDS LÄN</t>
        </is>
      </c>
      <c r="E3304" t="inlineStr">
        <is>
          <t>SALA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24572-2023</t>
        </is>
      </c>
      <c r="B3305" s="1" t="n">
        <v>45083</v>
      </c>
      <c r="C3305" s="1" t="n">
        <v>45345</v>
      </c>
      <c r="D3305" t="inlineStr">
        <is>
          <t>VÄSTMANLANDS LÄN</t>
        </is>
      </c>
      <c r="E3305" t="inlineStr">
        <is>
          <t>VÄSTERÅS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24585-2023</t>
        </is>
      </c>
      <c r="B3306" s="1" t="n">
        <v>45083</v>
      </c>
      <c r="C3306" s="1" t="n">
        <v>45345</v>
      </c>
      <c r="D3306" t="inlineStr">
        <is>
          <t>VÄSTMANLANDS LÄN</t>
        </is>
      </c>
      <c r="E3306" t="inlineStr">
        <is>
          <t>SALA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24584-2023</t>
        </is>
      </c>
      <c r="B3307" s="1" t="n">
        <v>45083</v>
      </c>
      <c r="C3307" s="1" t="n">
        <v>45345</v>
      </c>
      <c r="D3307" t="inlineStr">
        <is>
          <t>VÄSTMANLANDS LÄN</t>
        </is>
      </c>
      <c r="E3307" t="inlineStr">
        <is>
          <t>SALA</t>
        </is>
      </c>
      <c r="F3307" t="inlineStr">
        <is>
          <t>Sveaskog</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24573-2023</t>
        </is>
      </c>
      <c r="B3308" s="1" t="n">
        <v>45083</v>
      </c>
      <c r="C3308" s="1" t="n">
        <v>45345</v>
      </c>
      <c r="D3308" t="inlineStr">
        <is>
          <t>VÄSTMANLANDS LÄN</t>
        </is>
      </c>
      <c r="E3308" t="inlineStr">
        <is>
          <t>VÄSTERÅS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24586-2023</t>
        </is>
      </c>
      <c r="B3309" s="1" t="n">
        <v>45083</v>
      </c>
      <c r="C3309" s="1" t="n">
        <v>45345</v>
      </c>
      <c r="D3309" t="inlineStr">
        <is>
          <t>VÄSTMANLANDS LÄN</t>
        </is>
      </c>
      <c r="E3309" t="inlineStr">
        <is>
          <t>SALA</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24665-2023</t>
        </is>
      </c>
      <c r="B3310" s="1" t="n">
        <v>45084</v>
      </c>
      <c r="C3310" s="1" t="n">
        <v>45345</v>
      </c>
      <c r="D3310" t="inlineStr">
        <is>
          <t>VÄSTMANLANDS LÄN</t>
        </is>
      </c>
      <c r="E3310" t="inlineStr">
        <is>
          <t>SURAHAMMAR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24606-2023</t>
        </is>
      </c>
      <c r="B3311" s="1" t="n">
        <v>45084</v>
      </c>
      <c r="C3311" s="1" t="n">
        <v>45345</v>
      </c>
      <c r="D3311" t="inlineStr">
        <is>
          <t>VÄSTMANLANDS LÄN</t>
        </is>
      </c>
      <c r="E3311" t="inlineStr">
        <is>
          <t>NORBERG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24773-2023</t>
        </is>
      </c>
      <c r="B3312" s="1" t="n">
        <v>45084</v>
      </c>
      <c r="C3312" s="1" t="n">
        <v>45345</v>
      </c>
      <c r="D3312" t="inlineStr">
        <is>
          <t>VÄSTMANLANDS LÄN</t>
        </is>
      </c>
      <c r="E3312" t="inlineStr">
        <is>
          <t>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24777-2023</t>
        </is>
      </c>
      <c r="B3313" s="1" t="n">
        <v>45084</v>
      </c>
      <c r="C3313" s="1" t="n">
        <v>45345</v>
      </c>
      <c r="D3313" t="inlineStr">
        <is>
          <t>VÄSTMANLANDS LÄN</t>
        </is>
      </c>
      <c r="E3313" t="inlineStr">
        <is>
          <t>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25761-2023</t>
        </is>
      </c>
      <c r="B3314" s="1" t="n">
        <v>45084</v>
      </c>
      <c r="C3314" s="1" t="n">
        <v>45345</v>
      </c>
      <c r="D3314" t="inlineStr">
        <is>
          <t>VÄSTMANLANDS LÄN</t>
        </is>
      </c>
      <c r="E3314" t="inlineStr">
        <is>
          <t>NORBERG</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24883-2023</t>
        </is>
      </c>
      <c r="B3315" s="1" t="n">
        <v>45085</v>
      </c>
      <c r="C3315" s="1" t="n">
        <v>45345</v>
      </c>
      <c r="D3315" t="inlineStr">
        <is>
          <t>VÄSTMANLANDS LÄN</t>
        </is>
      </c>
      <c r="E3315" t="inlineStr">
        <is>
          <t>SKINNSKATTEBERG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24884-2023</t>
        </is>
      </c>
      <c r="B3316" s="1" t="n">
        <v>45085</v>
      </c>
      <c r="C3316" s="1" t="n">
        <v>45345</v>
      </c>
      <c r="D3316" t="inlineStr">
        <is>
          <t>VÄSTMANLANDS LÄN</t>
        </is>
      </c>
      <c r="E3316" t="inlineStr">
        <is>
          <t>SKINNSKATTEBERG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24944-2023</t>
        </is>
      </c>
      <c r="B3317" s="1" t="n">
        <v>45085</v>
      </c>
      <c r="C3317" s="1" t="n">
        <v>45345</v>
      </c>
      <c r="D3317" t="inlineStr">
        <is>
          <t>VÄSTMANLANDS LÄN</t>
        </is>
      </c>
      <c r="E3317" t="inlineStr">
        <is>
          <t>SALA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25260-2023</t>
        </is>
      </c>
      <c r="B3318" s="1" t="n">
        <v>45086</v>
      </c>
      <c r="C3318" s="1" t="n">
        <v>45345</v>
      </c>
      <c r="D3318" t="inlineStr">
        <is>
          <t>VÄSTMANLANDS LÄN</t>
        </is>
      </c>
      <c r="E3318" t="inlineStr">
        <is>
          <t>SALA</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25233-2023</t>
        </is>
      </c>
      <c r="B3319" s="1" t="n">
        <v>45086</v>
      </c>
      <c r="C3319" s="1" t="n">
        <v>45345</v>
      </c>
      <c r="D3319" t="inlineStr">
        <is>
          <t>VÄSTMANLANDS LÄN</t>
        </is>
      </c>
      <c r="E3319" t="inlineStr">
        <is>
          <t>SALA</t>
        </is>
      </c>
      <c r="F3319" t="inlineStr">
        <is>
          <t>Kommuner</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26229-2023</t>
        </is>
      </c>
      <c r="B3320" s="1" t="n">
        <v>45086</v>
      </c>
      <c r="C3320" s="1" t="n">
        <v>45345</v>
      </c>
      <c r="D3320" t="inlineStr">
        <is>
          <t>VÄSTMANLANDS LÄN</t>
        </is>
      </c>
      <c r="E3320" t="inlineStr">
        <is>
          <t>SALA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25412-2023</t>
        </is>
      </c>
      <c r="B3321" s="1" t="n">
        <v>45089</v>
      </c>
      <c r="C3321" s="1" t="n">
        <v>45345</v>
      </c>
      <c r="D3321" t="inlineStr">
        <is>
          <t>VÄSTMANLANDS LÄN</t>
        </is>
      </c>
      <c r="E3321" t="inlineStr">
        <is>
          <t>HALLSTAHAMMAR</t>
        </is>
      </c>
      <c r="F3321" t="inlineStr">
        <is>
          <t>Allmännings- och besparingsskogar</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25420-2023</t>
        </is>
      </c>
      <c r="B3322" s="1" t="n">
        <v>45089</v>
      </c>
      <c r="C3322" s="1" t="n">
        <v>45345</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25477-2023</t>
        </is>
      </c>
      <c r="B3323" s="1" t="n">
        <v>45089</v>
      </c>
      <c r="C3323" s="1" t="n">
        <v>45345</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25540-2023</t>
        </is>
      </c>
      <c r="B3324" s="1" t="n">
        <v>45089</v>
      </c>
      <c r="C3324" s="1" t="n">
        <v>45345</v>
      </c>
      <c r="D3324" t="inlineStr">
        <is>
          <t>VÄSTMANLANDS LÄN</t>
        </is>
      </c>
      <c r="E3324" t="inlineStr">
        <is>
          <t>NORBERG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25566-2023</t>
        </is>
      </c>
      <c r="B3325" s="1" t="n">
        <v>45089</v>
      </c>
      <c r="C3325" s="1" t="n">
        <v>45345</v>
      </c>
      <c r="D3325" t="inlineStr">
        <is>
          <t>VÄSTMANLANDS LÄN</t>
        </is>
      </c>
      <c r="E3325" t="inlineStr">
        <is>
          <t>SALA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25571-2023</t>
        </is>
      </c>
      <c r="B3326" s="1" t="n">
        <v>45089</v>
      </c>
      <c r="C3326" s="1" t="n">
        <v>45345</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25576-2023</t>
        </is>
      </c>
      <c r="B3327" s="1" t="n">
        <v>45089</v>
      </c>
      <c r="C3327" s="1" t="n">
        <v>45345</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25580-2023</t>
        </is>
      </c>
      <c r="B3328" s="1" t="n">
        <v>45089</v>
      </c>
      <c r="C3328" s="1" t="n">
        <v>45345</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25804-2023</t>
        </is>
      </c>
      <c r="B3329" s="1" t="n">
        <v>45090</v>
      </c>
      <c r="C3329" s="1" t="n">
        <v>45345</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25775-2023</t>
        </is>
      </c>
      <c r="B3330" s="1" t="n">
        <v>45090</v>
      </c>
      <c r="C3330" s="1" t="n">
        <v>45345</v>
      </c>
      <c r="D3330" t="inlineStr">
        <is>
          <t>VÄSTMANLANDS LÄN</t>
        </is>
      </c>
      <c r="E3330" t="inlineStr">
        <is>
          <t>SURAHAMMAR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25780-2023</t>
        </is>
      </c>
      <c r="B3331" s="1" t="n">
        <v>45090</v>
      </c>
      <c r="C3331" s="1" t="n">
        <v>45345</v>
      </c>
      <c r="D3331" t="inlineStr">
        <is>
          <t>VÄSTMANLANDS LÄN</t>
        </is>
      </c>
      <c r="E3331" t="inlineStr">
        <is>
          <t>SURAHAMMAR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25843-2023</t>
        </is>
      </c>
      <c r="B3332" s="1" t="n">
        <v>45090</v>
      </c>
      <c r="C3332" s="1" t="n">
        <v>45345</v>
      </c>
      <c r="D3332" t="inlineStr">
        <is>
          <t>VÄSTMANLANDS LÄN</t>
        </is>
      </c>
      <c r="E3332" t="inlineStr">
        <is>
          <t>SKINNSKATTEBERG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25894-2023</t>
        </is>
      </c>
      <c r="B3333" s="1" t="n">
        <v>45090</v>
      </c>
      <c r="C3333" s="1" t="n">
        <v>45345</v>
      </c>
      <c r="D3333" t="inlineStr">
        <is>
          <t>VÄSTMANLANDS LÄN</t>
        </is>
      </c>
      <c r="E3333" t="inlineStr">
        <is>
          <t>SALA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25904-2023</t>
        </is>
      </c>
      <c r="B3334" s="1" t="n">
        <v>45090</v>
      </c>
      <c r="C3334" s="1" t="n">
        <v>45345</v>
      </c>
      <c r="D3334" t="inlineStr">
        <is>
          <t>VÄSTMANLANDS LÄN</t>
        </is>
      </c>
      <c r="E3334" t="inlineStr">
        <is>
          <t>VÄSTERÅS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26607-2023</t>
        </is>
      </c>
      <c r="B3335" s="1" t="n">
        <v>45090</v>
      </c>
      <c r="C3335" s="1" t="n">
        <v>45345</v>
      </c>
      <c r="D3335" t="inlineStr">
        <is>
          <t>VÄSTMANLANDS LÄN</t>
        </is>
      </c>
      <c r="E3335" t="inlineStr">
        <is>
          <t>SALA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26238-2023</t>
        </is>
      </c>
      <c r="B3336" s="1" t="n">
        <v>45091</v>
      </c>
      <c r="C3336" s="1" t="n">
        <v>45345</v>
      </c>
      <c r="D3336" t="inlineStr">
        <is>
          <t>VÄSTMANLANDS LÄN</t>
        </is>
      </c>
      <c r="E3336" t="inlineStr">
        <is>
          <t>VÄSTERÅS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26069-2023</t>
        </is>
      </c>
      <c r="B3337" s="1" t="n">
        <v>45091</v>
      </c>
      <c r="C3337" s="1" t="n">
        <v>45345</v>
      </c>
      <c r="D3337" t="inlineStr">
        <is>
          <t>VÄSTMANLANDS LÄN</t>
        </is>
      </c>
      <c r="E3337" t="inlineStr">
        <is>
          <t>NORBERG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26068-2023</t>
        </is>
      </c>
      <c r="B3338" s="1" t="n">
        <v>45091</v>
      </c>
      <c r="C3338" s="1" t="n">
        <v>45345</v>
      </c>
      <c r="D3338" t="inlineStr">
        <is>
          <t>VÄSTMANLANDS LÄN</t>
        </is>
      </c>
      <c r="E3338" t="inlineStr">
        <is>
          <t>NORBERG</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26072-2023</t>
        </is>
      </c>
      <c r="B3339" s="1" t="n">
        <v>45091</v>
      </c>
      <c r="C3339" s="1" t="n">
        <v>45345</v>
      </c>
      <c r="D3339" t="inlineStr">
        <is>
          <t>VÄSTMANLANDS LÄN</t>
        </is>
      </c>
      <c r="E3339" t="inlineStr">
        <is>
          <t>NORBERG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26066-2023</t>
        </is>
      </c>
      <c r="B3340" s="1" t="n">
        <v>45091</v>
      </c>
      <c r="C3340" s="1" t="n">
        <v>45345</v>
      </c>
      <c r="D3340" t="inlineStr">
        <is>
          <t>VÄSTMANLANDS LÄN</t>
        </is>
      </c>
      <c r="E3340" t="inlineStr">
        <is>
          <t>NORBERG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26505-2023</t>
        </is>
      </c>
      <c r="B3341" s="1" t="n">
        <v>45092</v>
      </c>
      <c r="C3341" s="1" t="n">
        <v>45345</v>
      </c>
      <c r="D3341" t="inlineStr">
        <is>
          <t>VÄSTMANLANDS LÄN</t>
        </is>
      </c>
      <c r="E3341" t="inlineStr">
        <is>
          <t>SALA</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26509-2023</t>
        </is>
      </c>
      <c r="B3342" s="1" t="n">
        <v>45092</v>
      </c>
      <c r="C3342" s="1" t="n">
        <v>45345</v>
      </c>
      <c r="D3342" t="inlineStr">
        <is>
          <t>VÄSTMANLANDS LÄN</t>
        </is>
      </c>
      <c r="E3342" t="inlineStr">
        <is>
          <t>SALA</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26382-2023</t>
        </is>
      </c>
      <c r="B3343" s="1" t="n">
        <v>45092</v>
      </c>
      <c r="C3343" s="1" t="n">
        <v>45345</v>
      </c>
      <c r="D3343" t="inlineStr">
        <is>
          <t>VÄSTMANLANDS LÄN</t>
        </is>
      </c>
      <c r="E3343" t="inlineStr">
        <is>
          <t>KUNGSÖR</t>
        </is>
      </c>
      <c r="F3343" t="inlineStr">
        <is>
          <t>Allmännings- och besparingsskogar</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26584-2023</t>
        </is>
      </c>
      <c r="B3344" s="1" t="n">
        <v>45092</v>
      </c>
      <c r="C3344" s="1" t="n">
        <v>45345</v>
      </c>
      <c r="D3344" t="inlineStr">
        <is>
          <t>VÄSTMANLANDS LÄN</t>
        </is>
      </c>
      <c r="E3344" t="inlineStr">
        <is>
          <t>SKINNSKATTEBERG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26508-2023</t>
        </is>
      </c>
      <c r="B3345" s="1" t="n">
        <v>45092</v>
      </c>
      <c r="C3345" s="1" t="n">
        <v>45345</v>
      </c>
      <c r="D3345" t="inlineStr">
        <is>
          <t>VÄSTMANLANDS LÄN</t>
        </is>
      </c>
      <c r="E3345" t="inlineStr">
        <is>
          <t>SALA</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26416-2023</t>
        </is>
      </c>
      <c r="B3346" s="1" t="n">
        <v>45092</v>
      </c>
      <c r="C3346" s="1" t="n">
        <v>45345</v>
      </c>
      <c r="D3346" t="inlineStr">
        <is>
          <t>VÄSTMANLANDS LÄN</t>
        </is>
      </c>
      <c r="E3346" t="inlineStr">
        <is>
          <t>SALA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26507-2023</t>
        </is>
      </c>
      <c r="B3347" s="1" t="n">
        <v>45092</v>
      </c>
      <c r="C3347" s="1" t="n">
        <v>45345</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26580-2023</t>
        </is>
      </c>
      <c r="B3348" s="1" t="n">
        <v>45092</v>
      </c>
      <c r="C3348" s="1" t="n">
        <v>45345</v>
      </c>
      <c r="D3348" t="inlineStr">
        <is>
          <t>VÄSTMANLANDS LÄN</t>
        </is>
      </c>
      <c r="E3348" t="inlineStr">
        <is>
          <t>SKINNSKATTEBERG</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26581-2023</t>
        </is>
      </c>
      <c r="B3349" s="1" t="n">
        <v>45092</v>
      </c>
      <c r="C3349" s="1" t="n">
        <v>45345</v>
      </c>
      <c r="D3349" t="inlineStr">
        <is>
          <t>VÄSTMANLANDS LÄN</t>
        </is>
      </c>
      <c r="E3349" t="inlineStr">
        <is>
          <t>SKINNSKATTEBERG</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26633-2023</t>
        </is>
      </c>
      <c r="B3350" s="1" t="n">
        <v>45092</v>
      </c>
      <c r="C3350" s="1" t="n">
        <v>45345</v>
      </c>
      <c r="D3350" t="inlineStr">
        <is>
          <t>VÄSTMANLANDS LÄN</t>
        </is>
      </c>
      <c r="E3350" t="inlineStr">
        <is>
          <t>ARBOGA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26727-2023</t>
        </is>
      </c>
      <c r="B3351" s="1" t="n">
        <v>45093</v>
      </c>
      <c r="C3351" s="1" t="n">
        <v>45345</v>
      </c>
      <c r="D3351" t="inlineStr">
        <is>
          <t>VÄSTMANLANDS LÄN</t>
        </is>
      </c>
      <c r="E3351" t="inlineStr">
        <is>
          <t>VÄSTERÅS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26692-2023</t>
        </is>
      </c>
      <c r="B3352" s="1" t="n">
        <v>45093</v>
      </c>
      <c r="C3352" s="1" t="n">
        <v>45345</v>
      </c>
      <c r="D3352" t="inlineStr">
        <is>
          <t>VÄSTMANLANDS LÄN</t>
        </is>
      </c>
      <c r="E3352" t="inlineStr">
        <is>
          <t>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26802-2023</t>
        </is>
      </c>
      <c r="B3353" s="1" t="n">
        <v>45093</v>
      </c>
      <c r="C3353" s="1" t="n">
        <v>45345</v>
      </c>
      <c r="D3353" t="inlineStr">
        <is>
          <t>VÄSTMANLANDS LÄN</t>
        </is>
      </c>
      <c r="E3353" t="inlineStr">
        <is>
          <t>NORBERG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26761-2023</t>
        </is>
      </c>
      <c r="B3354" s="1" t="n">
        <v>45093</v>
      </c>
      <c r="C3354" s="1" t="n">
        <v>45345</v>
      </c>
      <c r="D3354" t="inlineStr">
        <is>
          <t>VÄSTMANLANDS LÄN</t>
        </is>
      </c>
      <c r="E3354" t="inlineStr">
        <is>
          <t>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27635-2023</t>
        </is>
      </c>
      <c r="B3355" s="1" t="n">
        <v>45093</v>
      </c>
      <c r="C3355" s="1" t="n">
        <v>45345</v>
      </c>
      <c r="D3355" t="inlineStr">
        <is>
          <t>VÄSTMANLANDS LÄN</t>
        </is>
      </c>
      <c r="E3355" t="inlineStr">
        <is>
          <t>NORBERG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27023-2023</t>
        </is>
      </c>
      <c r="B3356" s="1" t="n">
        <v>45094</v>
      </c>
      <c r="C3356" s="1" t="n">
        <v>45345</v>
      </c>
      <c r="D3356" t="inlineStr">
        <is>
          <t>VÄSTMANLANDS LÄN</t>
        </is>
      </c>
      <c r="E3356" t="inlineStr">
        <is>
          <t>SALA</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27038-2023</t>
        </is>
      </c>
      <c r="B3357" s="1" t="n">
        <v>45095</v>
      </c>
      <c r="C3357" s="1" t="n">
        <v>45345</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27140-2023</t>
        </is>
      </c>
      <c r="B3358" s="1" t="n">
        <v>45096</v>
      </c>
      <c r="C3358" s="1" t="n">
        <v>45345</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27156-2023</t>
        </is>
      </c>
      <c r="B3359" s="1" t="n">
        <v>45096</v>
      </c>
      <c r="C3359" s="1" t="n">
        <v>45345</v>
      </c>
      <c r="D3359" t="inlineStr">
        <is>
          <t>VÄSTMANLANDS LÄN</t>
        </is>
      </c>
      <c r="E3359" t="inlineStr">
        <is>
          <t>SURAHAMMAR</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27142-2023</t>
        </is>
      </c>
      <c r="B3360" s="1" t="n">
        <v>45096</v>
      </c>
      <c r="C3360" s="1" t="n">
        <v>45345</v>
      </c>
      <c r="D3360" t="inlineStr">
        <is>
          <t>VÄSTMANLANDS LÄN</t>
        </is>
      </c>
      <c r="E3360" t="inlineStr">
        <is>
          <t>SURAHAMMAR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27171-2023</t>
        </is>
      </c>
      <c r="B3361" s="1" t="n">
        <v>45096</v>
      </c>
      <c r="C3361" s="1" t="n">
        <v>45345</v>
      </c>
      <c r="D3361" t="inlineStr">
        <is>
          <t>VÄSTMANLANDS LÄN</t>
        </is>
      </c>
      <c r="E3361" t="inlineStr">
        <is>
          <t>SURAHAMMAR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27201-2023</t>
        </is>
      </c>
      <c r="B3362" s="1" t="n">
        <v>45096</v>
      </c>
      <c r="C3362" s="1" t="n">
        <v>45345</v>
      </c>
      <c r="D3362" t="inlineStr">
        <is>
          <t>VÄSTMANLANDS LÄN</t>
        </is>
      </c>
      <c r="E3362" t="inlineStr">
        <is>
          <t>FAGERSTA</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27228-2023</t>
        </is>
      </c>
      <c r="B3363" s="1" t="n">
        <v>45096</v>
      </c>
      <c r="C3363" s="1" t="n">
        <v>45345</v>
      </c>
      <c r="D3363" t="inlineStr">
        <is>
          <t>VÄSTMANLANDS LÄN</t>
        </is>
      </c>
      <c r="E3363" t="inlineStr">
        <is>
          <t>SALA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27255-2023</t>
        </is>
      </c>
      <c r="B3364" s="1" t="n">
        <v>45096</v>
      </c>
      <c r="C3364" s="1" t="n">
        <v>45345</v>
      </c>
      <c r="D3364" t="inlineStr">
        <is>
          <t>VÄSTMANLANDS LÄN</t>
        </is>
      </c>
      <c r="E3364" t="inlineStr">
        <is>
          <t>SALA</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27230-2023</t>
        </is>
      </c>
      <c r="B3365" s="1" t="n">
        <v>45096</v>
      </c>
      <c r="C3365" s="1" t="n">
        <v>45345</v>
      </c>
      <c r="D3365" t="inlineStr">
        <is>
          <t>VÄSTMANLANDS LÄN</t>
        </is>
      </c>
      <c r="E3365" t="inlineStr">
        <is>
          <t>KÖPING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27329-2023</t>
        </is>
      </c>
      <c r="B3366" s="1" t="n">
        <v>45096</v>
      </c>
      <c r="C3366" s="1" t="n">
        <v>45345</v>
      </c>
      <c r="D3366" t="inlineStr">
        <is>
          <t>VÄSTMANLANDS LÄN</t>
        </is>
      </c>
      <c r="E3366" t="inlineStr">
        <is>
          <t>SKINNSKATTEBERG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27309-2023</t>
        </is>
      </c>
      <c r="B3367" s="1" t="n">
        <v>45096</v>
      </c>
      <c r="C3367" s="1" t="n">
        <v>45345</v>
      </c>
      <c r="D3367" t="inlineStr">
        <is>
          <t>VÄSTMANLANDS LÄN</t>
        </is>
      </c>
      <c r="E3367" t="inlineStr">
        <is>
          <t>VÄSTERÅS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27328-2023</t>
        </is>
      </c>
      <c r="B3368" s="1" t="n">
        <v>45096</v>
      </c>
      <c r="C3368" s="1" t="n">
        <v>45345</v>
      </c>
      <c r="D3368" t="inlineStr">
        <is>
          <t>VÄSTMANLANDS LÄN</t>
        </is>
      </c>
      <c r="E3368" t="inlineStr">
        <is>
          <t>SKINNSKATTEBERG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27326-2023</t>
        </is>
      </c>
      <c r="B3369" s="1" t="n">
        <v>45096</v>
      </c>
      <c r="C3369" s="1" t="n">
        <v>45345</v>
      </c>
      <c r="D3369" t="inlineStr">
        <is>
          <t>VÄSTMANLANDS LÄN</t>
        </is>
      </c>
      <c r="E3369" t="inlineStr">
        <is>
          <t>SKINNSKATTEBERG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27424-2023</t>
        </is>
      </c>
      <c r="B3370" s="1" t="n">
        <v>45097</v>
      </c>
      <c r="C3370" s="1" t="n">
        <v>45345</v>
      </c>
      <c r="D3370" t="inlineStr">
        <is>
          <t>VÄSTMANLANDS LÄN</t>
        </is>
      </c>
      <c r="E3370" t="inlineStr">
        <is>
          <t>SALA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27638-2023</t>
        </is>
      </c>
      <c r="B3371" s="1" t="n">
        <v>45097</v>
      </c>
      <c r="C3371" s="1" t="n">
        <v>45345</v>
      </c>
      <c r="D3371" t="inlineStr">
        <is>
          <t>VÄSTMANLANDS LÄN</t>
        </is>
      </c>
      <c r="E3371" t="inlineStr">
        <is>
          <t>SALA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27657-2023</t>
        </is>
      </c>
      <c r="B3372" s="1" t="n">
        <v>45097</v>
      </c>
      <c r="C3372" s="1" t="n">
        <v>45345</v>
      </c>
      <c r="D3372" t="inlineStr">
        <is>
          <t>VÄSTMANLANDS LÄN</t>
        </is>
      </c>
      <c r="E3372" t="inlineStr">
        <is>
          <t>SALA</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27653-2023</t>
        </is>
      </c>
      <c r="B3373" s="1" t="n">
        <v>45097</v>
      </c>
      <c r="C3373" s="1" t="n">
        <v>45345</v>
      </c>
      <c r="D3373" t="inlineStr">
        <is>
          <t>VÄSTMANLANDS LÄN</t>
        </is>
      </c>
      <c r="E3373" t="inlineStr">
        <is>
          <t>SKINNSKATTEBERG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27747-2023</t>
        </is>
      </c>
      <c r="B3374" s="1" t="n">
        <v>45098</v>
      </c>
      <c r="C3374" s="1" t="n">
        <v>45345</v>
      </c>
      <c r="D3374" t="inlineStr">
        <is>
          <t>VÄSTMANLANDS LÄN</t>
        </is>
      </c>
      <c r="E3374" t="inlineStr">
        <is>
          <t>FAGERSTA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27731-2023</t>
        </is>
      </c>
      <c r="B3375" s="1" t="n">
        <v>45098</v>
      </c>
      <c r="C3375" s="1" t="n">
        <v>45345</v>
      </c>
      <c r="D3375" t="inlineStr">
        <is>
          <t>VÄSTMANLANDS LÄN</t>
        </is>
      </c>
      <c r="E3375" t="inlineStr">
        <is>
          <t>FAGERSTA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27744-2023</t>
        </is>
      </c>
      <c r="B3376" s="1" t="n">
        <v>45098</v>
      </c>
      <c r="C3376" s="1" t="n">
        <v>45345</v>
      </c>
      <c r="D3376" t="inlineStr">
        <is>
          <t>VÄSTMANLANDS LÄN</t>
        </is>
      </c>
      <c r="E3376" t="inlineStr">
        <is>
          <t>SALA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27783-2023</t>
        </is>
      </c>
      <c r="B3377" s="1" t="n">
        <v>45098</v>
      </c>
      <c r="C3377" s="1" t="n">
        <v>45345</v>
      </c>
      <c r="D3377" t="inlineStr">
        <is>
          <t>VÄSTMANLANDS LÄN</t>
        </is>
      </c>
      <c r="E3377" t="inlineStr">
        <is>
          <t>SKINNSKATTEBERG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27834-2023</t>
        </is>
      </c>
      <c r="B3378" s="1" t="n">
        <v>45098</v>
      </c>
      <c r="C3378" s="1" t="n">
        <v>45345</v>
      </c>
      <c r="D3378" t="inlineStr">
        <is>
          <t>VÄSTMANLANDS LÄN</t>
        </is>
      </c>
      <c r="E3378" t="inlineStr">
        <is>
          <t>SALA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27824-2023</t>
        </is>
      </c>
      <c r="B3379" s="1" t="n">
        <v>45098</v>
      </c>
      <c r="C3379" s="1" t="n">
        <v>45345</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27891-2023</t>
        </is>
      </c>
      <c r="B3380" s="1" t="n">
        <v>45098</v>
      </c>
      <c r="C3380" s="1" t="n">
        <v>45345</v>
      </c>
      <c r="D3380" t="inlineStr">
        <is>
          <t>VÄSTMANLANDS LÄN</t>
        </is>
      </c>
      <c r="E3380" t="inlineStr">
        <is>
          <t>KÖPING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27737-2023</t>
        </is>
      </c>
      <c r="B3381" s="1" t="n">
        <v>45098</v>
      </c>
      <c r="C3381" s="1" t="n">
        <v>45345</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27741-2023</t>
        </is>
      </c>
      <c r="B3382" s="1" t="n">
        <v>45098</v>
      </c>
      <c r="C3382" s="1" t="n">
        <v>45345</v>
      </c>
      <c r="D3382" t="inlineStr">
        <is>
          <t>VÄSTMANLANDS LÄN</t>
        </is>
      </c>
      <c r="E3382" t="inlineStr">
        <is>
          <t>VÄSTERÅS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27749-2023</t>
        </is>
      </c>
      <c r="B3383" s="1" t="n">
        <v>45098</v>
      </c>
      <c r="C3383" s="1" t="n">
        <v>45345</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29542-2023</t>
        </is>
      </c>
      <c r="B3384" s="1" t="n">
        <v>45098</v>
      </c>
      <c r="C3384" s="1" t="n">
        <v>45345</v>
      </c>
      <c r="D3384" t="inlineStr">
        <is>
          <t>VÄSTMANLANDS LÄN</t>
        </is>
      </c>
      <c r="E3384" t="inlineStr">
        <is>
          <t>SALA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28051-2023</t>
        </is>
      </c>
      <c r="B3385" s="1" t="n">
        <v>45099</v>
      </c>
      <c r="C3385" s="1" t="n">
        <v>45345</v>
      </c>
      <c r="D3385" t="inlineStr">
        <is>
          <t>VÄSTMANLANDS LÄN</t>
        </is>
      </c>
      <c r="E3385" t="inlineStr">
        <is>
          <t>SURAHAMMAR</t>
        </is>
      </c>
      <c r="F3385" t="inlineStr">
        <is>
          <t>Allmännings- och besparingsskogar</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28230-2023</t>
        </is>
      </c>
      <c r="B3386" s="1" t="n">
        <v>45099</v>
      </c>
      <c r="C3386" s="1" t="n">
        <v>45345</v>
      </c>
      <c r="D3386" t="inlineStr">
        <is>
          <t>VÄSTMANLANDS LÄN</t>
        </is>
      </c>
      <c r="E3386" t="inlineStr">
        <is>
          <t>KÖPING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28237-2023</t>
        </is>
      </c>
      <c r="B3387" s="1" t="n">
        <v>45099</v>
      </c>
      <c r="C3387" s="1" t="n">
        <v>45345</v>
      </c>
      <c r="D3387" t="inlineStr">
        <is>
          <t>VÄSTMANLANDS LÄN</t>
        </is>
      </c>
      <c r="E3387" t="inlineStr">
        <is>
          <t>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28324-2023</t>
        </is>
      </c>
      <c r="B3388" s="1" t="n">
        <v>45099</v>
      </c>
      <c r="C3388" s="1" t="n">
        <v>45345</v>
      </c>
      <c r="D3388" t="inlineStr">
        <is>
          <t>VÄSTMANLANDS LÄN</t>
        </is>
      </c>
      <c r="E3388" t="inlineStr">
        <is>
          <t>VÄSTERÅS</t>
        </is>
      </c>
      <c r="F3388" t="inlineStr">
        <is>
          <t>Sveaskog</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28312-2023</t>
        </is>
      </c>
      <c r="B3389" s="1" t="n">
        <v>45099</v>
      </c>
      <c r="C3389" s="1" t="n">
        <v>45345</v>
      </c>
      <c r="D3389" t="inlineStr">
        <is>
          <t>VÄSTMANLANDS LÄN</t>
        </is>
      </c>
      <c r="E3389" t="inlineStr">
        <is>
          <t>SKINNSKATTEBERG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28325-2023</t>
        </is>
      </c>
      <c r="B3390" s="1" t="n">
        <v>45099</v>
      </c>
      <c r="C3390" s="1" t="n">
        <v>45345</v>
      </c>
      <c r="D3390" t="inlineStr">
        <is>
          <t>VÄSTMANLANDS LÄN</t>
        </is>
      </c>
      <c r="E3390" t="inlineStr">
        <is>
          <t>VÄSTERÅS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28328-2023</t>
        </is>
      </c>
      <c r="B3391" s="1" t="n">
        <v>45099</v>
      </c>
      <c r="C3391" s="1" t="n">
        <v>45345</v>
      </c>
      <c r="D3391" t="inlineStr">
        <is>
          <t>VÄSTMANLANDS LÄN</t>
        </is>
      </c>
      <c r="E3391" t="inlineStr">
        <is>
          <t>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28308-2023</t>
        </is>
      </c>
      <c r="B3392" s="1" t="n">
        <v>45099</v>
      </c>
      <c r="C3392" s="1" t="n">
        <v>45345</v>
      </c>
      <c r="D3392" t="inlineStr">
        <is>
          <t>VÄSTMANLANDS LÄN</t>
        </is>
      </c>
      <c r="E3392" t="inlineStr">
        <is>
          <t>SKINNSKATTEBERG</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28326-2023</t>
        </is>
      </c>
      <c r="B3393" s="1" t="n">
        <v>45099</v>
      </c>
      <c r="C3393" s="1" t="n">
        <v>45345</v>
      </c>
      <c r="D3393" t="inlineStr">
        <is>
          <t>VÄSTMANLANDS LÄN</t>
        </is>
      </c>
      <c r="E3393" t="inlineStr">
        <is>
          <t>VÄSTERÅS</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28534-2023</t>
        </is>
      </c>
      <c r="B3394" s="1" t="n">
        <v>45103</v>
      </c>
      <c r="C3394" s="1" t="n">
        <v>45345</v>
      </c>
      <c r="D3394" t="inlineStr">
        <is>
          <t>VÄSTMANLANDS LÄN</t>
        </is>
      </c>
      <c r="E3394" t="inlineStr">
        <is>
          <t>SKINNSKATTEBERG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28589-2023</t>
        </is>
      </c>
      <c r="B3395" s="1" t="n">
        <v>45103</v>
      </c>
      <c r="C3395" s="1" t="n">
        <v>45345</v>
      </c>
      <c r="D3395" t="inlineStr">
        <is>
          <t>VÄSTMANLANDS LÄN</t>
        </is>
      </c>
      <c r="E3395" t="inlineStr">
        <is>
          <t>NORBERG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28696-2023</t>
        </is>
      </c>
      <c r="B3396" s="1" t="n">
        <v>45103</v>
      </c>
      <c r="C3396" s="1" t="n">
        <v>45345</v>
      </c>
      <c r="D3396" t="inlineStr">
        <is>
          <t>VÄSTMANLANDS LÄN</t>
        </is>
      </c>
      <c r="E3396" t="inlineStr">
        <is>
          <t>SALA</t>
        </is>
      </c>
      <c r="F3396" t="inlineStr">
        <is>
          <t>Kommuner</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28521-2023</t>
        </is>
      </c>
      <c r="B3397" s="1" t="n">
        <v>45103</v>
      </c>
      <c r="C3397" s="1" t="n">
        <v>45345</v>
      </c>
      <c r="D3397" t="inlineStr">
        <is>
          <t>VÄSTMANLANDS LÄN</t>
        </is>
      </c>
      <c r="E3397" t="inlineStr">
        <is>
          <t>VÄSTERÅS</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28794-2023</t>
        </is>
      </c>
      <c r="B3398" s="1" t="n">
        <v>45104</v>
      </c>
      <c r="C3398" s="1" t="n">
        <v>45345</v>
      </c>
      <c r="D3398" t="inlineStr">
        <is>
          <t>VÄSTMANLANDS LÄN</t>
        </is>
      </c>
      <c r="E3398" t="inlineStr">
        <is>
          <t>FAGERSTA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28811-2023</t>
        </is>
      </c>
      <c r="B3399" s="1" t="n">
        <v>45104</v>
      </c>
      <c r="C3399" s="1" t="n">
        <v>45345</v>
      </c>
      <c r="D3399" t="inlineStr">
        <is>
          <t>VÄSTMANLANDS LÄN</t>
        </is>
      </c>
      <c r="E3399" t="inlineStr">
        <is>
          <t>HALLSTAHAMMAR</t>
        </is>
      </c>
      <c r="F3399" t="inlineStr">
        <is>
          <t>Allmännings- och besparingsskogar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29175-2023</t>
        </is>
      </c>
      <c r="B3400" s="1" t="n">
        <v>45105</v>
      </c>
      <c r="C3400" s="1" t="n">
        <v>45345</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29241-2023</t>
        </is>
      </c>
      <c r="B3401" s="1" t="n">
        <v>45105</v>
      </c>
      <c r="C3401" s="1" t="n">
        <v>45345</v>
      </c>
      <c r="D3401" t="inlineStr">
        <is>
          <t>VÄSTMANLANDS LÄN</t>
        </is>
      </c>
      <c r="E3401" t="inlineStr">
        <is>
          <t>SALA</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29456-2023</t>
        </is>
      </c>
      <c r="B3402" s="1" t="n">
        <v>45106</v>
      </c>
      <c r="C3402" s="1" t="n">
        <v>45345</v>
      </c>
      <c r="D3402" t="inlineStr">
        <is>
          <t>VÄSTMANLANDS LÄN</t>
        </is>
      </c>
      <c r="E3402" t="inlineStr">
        <is>
          <t>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29496-2023</t>
        </is>
      </c>
      <c r="B3403" s="1" t="n">
        <v>45106</v>
      </c>
      <c r="C3403" s="1" t="n">
        <v>45345</v>
      </c>
      <c r="D3403" t="inlineStr">
        <is>
          <t>VÄSTMANLANDS LÄN</t>
        </is>
      </c>
      <c r="E3403" t="inlineStr">
        <is>
          <t>SKINNSKATTEBERG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29727-2023</t>
        </is>
      </c>
      <c r="B3404" s="1" t="n">
        <v>45107</v>
      </c>
      <c r="C3404" s="1" t="n">
        <v>45345</v>
      </c>
      <c r="D3404" t="inlineStr">
        <is>
          <t>VÄSTMANLANDS LÄN</t>
        </is>
      </c>
      <c r="E3404" t="inlineStr">
        <is>
          <t>SALA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29789-2023</t>
        </is>
      </c>
      <c r="B3405" s="1" t="n">
        <v>45107</v>
      </c>
      <c r="C3405" s="1" t="n">
        <v>45345</v>
      </c>
      <c r="D3405" t="inlineStr">
        <is>
          <t>VÄSTMANLANDS LÄN</t>
        </is>
      </c>
      <c r="E3405" t="inlineStr">
        <is>
          <t>VÄSTERÅS</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31945-2023</t>
        </is>
      </c>
      <c r="B3406" s="1" t="n">
        <v>45107</v>
      </c>
      <c r="C3406" s="1" t="n">
        <v>45345</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31950-2023</t>
        </is>
      </c>
      <c r="B3407" s="1" t="n">
        <v>45107</v>
      </c>
      <c r="C3407" s="1" t="n">
        <v>45345</v>
      </c>
      <c r="D3407" t="inlineStr">
        <is>
          <t>VÄSTMANLANDS LÄN</t>
        </is>
      </c>
      <c r="E3407" t="inlineStr">
        <is>
          <t>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31953-2023</t>
        </is>
      </c>
      <c r="B3408" s="1" t="n">
        <v>45107</v>
      </c>
      <c r="C3408" s="1" t="n">
        <v>45345</v>
      </c>
      <c r="D3408" t="inlineStr">
        <is>
          <t>VÄSTMANLANDS LÄN</t>
        </is>
      </c>
      <c r="E3408" t="inlineStr">
        <is>
          <t>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29999-2023</t>
        </is>
      </c>
      <c r="B3409" s="1" t="n">
        <v>45109</v>
      </c>
      <c r="C3409" s="1" t="n">
        <v>45345</v>
      </c>
      <c r="D3409" t="inlineStr">
        <is>
          <t>VÄSTMANLANDS LÄN</t>
        </is>
      </c>
      <c r="E3409" t="inlineStr">
        <is>
          <t>ARBOGA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30096-2023</t>
        </is>
      </c>
      <c r="B3410" s="1" t="n">
        <v>45110</v>
      </c>
      <c r="C3410" s="1" t="n">
        <v>45345</v>
      </c>
      <c r="D3410" t="inlineStr">
        <is>
          <t>VÄSTMANLANDS LÄN</t>
        </is>
      </c>
      <c r="E3410" t="inlineStr">
        <is>
          <t>VÄSTERÅS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30081-2023</t>
        </is>
      </c>
      <c r="B3411" s="1" t="n">
        <v>45110</v>
      </c>
      <c r="C3411" s="1" t="n">
        <v>45345</v>
      </c>
      <c r="D3411" t="inlineStr">
        <is>
          <t>VÄSTMANLANDS LÄN</t>
        </is>
      </c>
      <c r="E3411" t="inlineStr">
        <is>
          <t>VÄSTERÅS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30204-2023</t>
        </is>
      </c>
      <c r="B3412" s="1" t="n">
        <v>45110</v>
      </c>
      <c r="C3412" s="1" t="n">
        <v>45345</v>
      </c>
      <c r="D3412" t="inlineStr">
        <is>
          <t>VÄSTMANLANDS LÄN</t>
        </is>
      </c>
      <c r="E3412" t="inlineStr">
        <is>
          <t>ARBOGA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30076-2023</t>
        </is>
      </c>
      <c r="B3413" s="1" t="n">
        <v>45110</v>
      </c>
      <c r="C3413" s="1" t="n">
        <v>45345</v>
      </c>
      <c r="D3413" t="inlineStr">
        <is>
          <t>VÄSTMANLANDS LÄN</t>
        </is>
      </c>
      <c r="E3413" t="inlineStr">
        <is>
          <t>SURAHAMMAR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32350-2023</t>
        </is>
      </c>
      <c r="B3414" s="1" t="n">
        <v>45110</v>
      </c>
      <c r="C3414" s="1" t="n">
        <v>45345</v>
      </c>
      <c r="D3414" t="inlineStr">
        <is>
          <t>VÄSTMANLANDS LÄN</t>
        </is>
      </c>
      <c r="E3414" t="inlineStr">
        <is>
          <t>VÄSTERÅS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30219-2023</t>
        </is>
      </c>
      <c r="B3415" s="1" t="n">
        <v>45110</v>
      </c>
      <c r="C3415" s="1" t="n">
        <v>45345</v>
      </c>
      <c r="D3415" t="inlineStr">
        <is>
          <t>VÄSTMANLANDS LÄN</t>
        </is>
      </c>
      <c r="E3415" t="inlineStr">
        <is>
          <t>ARBOGA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32341-2023</t>
        </is>
      </c>
      <c r="B3416" s="1" t="n">
        <v>45110</v>
      </c>
      <c r="C3416" s="1" t="n">
        <v>45345</v>
      </c>
      <c r="D3416" t="inlineStr">
        <is>
          <t>VÄSTMANLANDS LÄN</t>
        </is>
      </c>
      <c r="E3416" t="inlineStr">
        <is>
          <t>VÄSTERÅS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32345-2023</t>
        </is>
      </c>
      <c r="B3417" s="1" t="n">
        <v>45110</v>
      </c>
      <c r="C3417" s="1" t="n">
        <v>45345</v>
      </c>
      <c r="D3417" t="inlineStr">
        <is>
          <t>VÄSTMANLANDS LÄN</t>
        </is>
      </c>
      <c r="E3417" t="inlineStr">
        <is>
          <t>VÄSTERÅS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30462-2023</t>
        </is>
      </c>
      <c r="B3418" s="1" t="n">
        <v>45111</v>
      </c>
      <c r="C3418" s="1" t="n">
        <v>45345</v>
      </c>
      <c r="D3418" t="inlineStr">
        <is>
          <t>VÄSTMANLANDS LÄN</t>
        </is>
      </c>
      <c r="E3418" t="inlineStr">
        <is>
          <t>KUNGSÖR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30323-2023</t>
        </is>
      </c>
      <c r="B3419" s="1" t="n">
        <v>45111</v>
      </c>
      <c r="C3419" s="1" t="n">
        <v>45345</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30353-2023</t>
        </is>
      </c>
      <c r="B3420" s="1" t="n">
        <v>45111</v>
      </c>
      <c r="C3420" s="1" t="n">
        <v>45345</v>
      </c>
      <c r="D3420" t="inlineStr">
        <is>
          <t>VÄSTMANLANDS LÄN</t>
        </is>
      </c>
      <c r="E3420" t="inlineStr">
        <is>
          <t>SKINNSKATTEBERG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30361-2023</t>
        </is>
      </c>
      <c r="B3421" s="1" t="n">
        <v>45111</v>
      </c>
      <c r="C3421" s="1" t="n">
        <v>45345</v>
      </c>
      <c r="D3421" t="inlineStr">
        <is>
          <t>VÄSTMANLANDS LÄN</t>
        </is>
      </c>
      <c r="E3421" t="inlineStr">
        <is>
          <t>SKINNSKATTEBERG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30623-2023</t>
        </is>
      </c>
      <c r="B3422" s="1" t="n">
        <v>45112</v>
      </c>
      <c r="C3422" s="1" t="n">
        <v>45345</v>
      </c>
      <c r="D3422" t="inlineStr">
        <is>
          <t>VÄSTMANLANDS LÄN</t>
        </is>
      </c>
      <c r="E3422" t="inlineStr">
        <is>
          <t>KUNGSÖR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30634-2023</t>
        </is>
      </c>
      <c r="B3423" s="1" t="n">
        <v>45112</v>
      </c>
      <c r="C3423" s="1" t="n">
        <v>45345</v>
      </c>
      <c r="D3423" t="inlineStr">
        <is>
          <t>VÄSTMANLANDS LÄN</t>
        </is>
      </c>
      <c r="E3423" t="inlineStr">
        <is>
          <t>KUNGSÖR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30621-2023</t>
        </is>
      </c>
      <c r="B3424" s="1" t="n">
        <v>45112</v>
      </c>
      <c r="C3424" s="1" t="n">
        <v>45345</v>
      </c>
      <c r="D3424" t="inlineStr">
        <is>
          <t>VÄSTMANLANDS LÄN</t>
        </is>
      </c>
      <c r="E3424" t="inlineStr">
        <is>
          <t>KUNGSÖR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30630-2023</t>
        </is>
      </c>
      <c r="B3425" s="1" t="n">
        <v>45112</v>
      </c>
      <c r="C3425" s="1" t="n">
        <v>45345</v>
      </c>
      <c r="D3425" t="inlineStr">
        <is>
          <t>VÄSTMANLANDS LÄN</t>
        </is>
      </c>
      <c r="E3425" t="inlineStr">
        <is>
          <t>FAGERSTA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32686-2023</t>
        </is>
      </c>
      <c r="B3426" s="1" t="n">
        <v>45112</v>
      </c>
      <c r="C3426" s="1" t="n">
        <v>45345</v>
      </c>
      <c r="D3426" t="inlineStr">
        <is>
          <t>VÄSTMANLANDS LÄN</t>
        </is>
      </c>
      <c r="E3426" t="inlineStr">
        <is>
          <t>NORBERG</t>
        </is>
      </c>
      <c r="F3426" t="inlineStr">
        <is>
          <t>Bergvik skog väst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31169-2023</t>
        </is>
      </c>
      <c r="B3427" s="1" t="n">
        <v>45113</v>
      </c>
      <c r="C3427" s="1" t="n">
        <v>45345</v>
      </c>
      <c r="D3427" t="inlineStr">
        <is>
          <t>VÄSTMANLANDS LÄN</t>
        </is>
      </c>
      <c r="E3427" t="inlineStr">
        <is>
          <t>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31298-2023</t>
        </is>
      </c>
      <c r="B3428" s="1" t="n">
        <v>45114</v>
      </c>
      <c r="C3428" s="1" t="n">
        <v>45345</v>
      </c>
      <c r="D3428" t="inlineStr">
        <is>
          <t>VÄSTMANLANDS LÄN</t>
        </is>
      </c>
      <c r="E3428" t="inlineStr">
        <is>
          <t>SALA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31227-2023</t>
        </is>
      </c>
      <c r="B3429" s="1" t="n">
        <v>45114</v>
      </c>
      <c r="C3429" s="1" t="n">
        <v>45345</v>
      </c>
      <c r="D3429" t="inlineStr">
        <is>
          <t>VÄSTMANLANDS LÄN</t>
        </is>
      </c>
      <c r="E3429" t="inlineStr">
        <is>
          <t>KÖPING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31239-2023</t>
        </is>
      </c>
      <c r="B3430" s="1" t="n">
        <v>45114</v>
      </c>
      <c r="C3430" s="1" t="n">
        <v>45345</v>
      </c>
      <c r="D3430" t="inlineStr">
        <is>
          <t>VÄSTMANLANDS LÄN</t>
        </is>
      </c>
      <c r="E3430" t="inlineStr">
        <is>
          <t>KUNGSÖR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31231-2023</t>
        </is>
      </c>
      <c r="B3431" s="1" t="n">
        <v>45114</v>
      </c>
      <c r="C3431" s="1" t="n">
        <v>45345</v>
      </c>
      <c r="D3431" t="inlineStr">
        <is>
          <t>VÄSTMANLANDS LÄN</t>
        </is>
      </c>
      <c r="E3431" t="inlineStr">
        <is>
          <t>KÖPING</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31262-2023</t>
        </is>
      </c>
      <c r="B3432" s="1" t="n">
        <v>45114</v>
      </c>
      <c r="C3432" s="1" t="n">
        <v>45345</v>
      </c>
      <c r="D3432" t="inlineStr">
        <is>
          <t>VÄSTMANLANDS LÄN</t>
        </is>
      </c>
      <c r="E3432" t="inlineStr">
        <is>
          <t>SKINNSKATTEBERG</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31245-2023</t>
        </is>
      </c>
      <c r="B3433" s="1" t="n">
        <v>45114</v>
      </c>
      <c r="C3433" s="1" t="n">
        <v>45345</v>
      </c>
      <c r="D3433" t="inlineStr">
        <is>
          <t>VÄSTMANLANDS LÄN</t>
        </is>
      </c>
      <c r="E3433" t="inlineStr">
        <is>
          <t>KUNGSÖR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31357-2023</t>
        </is>
      </c>
      <c r="B3434" s="1" t="n">
        <v>45114</v>
      </c>
      <c r="C3434" s="1" t="n">
        <v>45345</v>
      </c>
      <c r="D3434" t="inlineStr">
        <is>
          <t>VÄSTMANLANDS LÄN</t>
        </is>
      </c>
      <c r="E3434" t="inlineStr">
        <is>
          <t>VÄSTERÅS</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31356-2023</t>
        </is>
      </c>
      <c r="B3435" s="1" t="n">
        <v>45114</v>
      </c>
      <c r="C3435" s="1" t="n">
        <v>45345</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31260-2023</t>
        </is>
      </c>
      <c r="B3436" s="1" t="n">
        <v>45114</v>
      </c>
      <c r="C3436" s="1" t="n">
        <v>45345</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31264-2023</t>
        </is>
      </c>
      <c r="B3437" s="1" t="n">
        <v>45114</v>
      </c>
      <c r="C3437" s="1" t="n">
        <v>45345</v>
      </c>
      <c r="D3437" t="inlineStr">
        <is>
          <t>VÄSTMANLANDS LÄN</t>
        </is>
      </c>
      <c r="E3437" t="inlineStr">
        <is>
          <t>SKINNSKATTEBERG</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31268-2023</t>
        </is>
      </c>
      <c r="B3438" s="1" t="n">
        <v>45114</v>
      </c>
      <c r="C3438" s="1" t="n">
        <v>45345</v>
      </c>
      <c r="D3438" t="inlineStr">
        <is>
          <t>VÄSTMANLANDS LÄN</t>
        </is>
      </c>
      <c r="E3438" t="inlineStr">
        <is>
          <t>SKINNSKATTEBERG</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31315-2023</t>
        </is>
      </c>
      <c r="B3439" s="1" t="n">
        <v>45114</v>
      </c>
      <c r="C3439" s="1" t="n">
        <v>45345</v>
      </c>
      <c r="D3439" t="inlineStr">
        <is>
          <t>VÄSTMANLANDS LÄN</t>
        </is>
      </c>
      <c r="E3439" t="inlineStr">
        <is>
          <t>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31646-2023</t>
        </is>
      </c>
      <c r="B3440" s="1" t="n">
        <v>45117</v>
      </c>
      <c r="C3440" s="1" t="n">
        <v>45345</v>
      </c>
      <c r="D3440" t="inlineStr">
        <is>
          <t>VÄSTMANLANDS LÄN</t>
        </is>
      </c>
      <c r="E3440" t="inlineStr">
        <is>
          <t>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31859-2023</t>
        </is>
      </c>
      <c r="B3441" s="1" t="n">
        <v>45118</v>
      </c>
      <c r="C3441" s="1" t="n">
        <v>45345</v>
      </c>
      <c r="D3441" t="inlineStr">
        <is>
          <t>VÄSTMANLANDS LÄN</t>
        </is>
      </c>
      <c r="E3441" t="inlineStr">
        <is>
          <t>SALA</t>
        </is>
      </c>
      <c r="G3441" t="n">
        <v>0.5</v>
      </c>
      <c r="H3441" t="n">
        <v>0</v>
      </c>
      <c r="I3441" t="n">
        <v>0</v>
      </c>
      <c r="J3441" t="n">
        <v>0</v>
      </c>
      <c r="K3441" t="n">
        <v>0</v>
      </c>
      <c r="L3441" t="n">
        <v>0</v>
      </c>
      <c r="M3441" t="n">
        <v>0</v>
      </c>
      <c r="N3441" t="n">
        <v>0</v>
      </c>
      <c r="O3441" t="n">
        <v>0</v>
      </c>
      <c r="P3441" t="n">
        <v>0</v>
      </c>
      <c r="Q3441" t="n">
        <v>0</v>
      </c>
      <c r="R3441" s="2" t="inlineStr"/>
      <c r="U3441">
        <f>HYPERLINK("https://klasma.github.io/Logging_1981/knärot/A 31859-2023 karta knärot.png", "A 31859-2023")</f>
        <v/>
      </c>
      <c r="V3441">
        <f>HYPERLINK("https://klasma.github.io/Logging_1981/klagomål/A 31859-2023 FSC-klagomål.docx", "A 31859-2023")</f>
        <v/>
      </c>
      <c r="W3441">
        <f>HYPERLINK("https://klasma.github.io/Logging_1981/klagomålsmail/A 31859-2023 FSC-klagomål mail.docx", "A 31859-2023")</f>
        <v/>
      </c>
      <c r="X3441">
        <f>HYPERLINK("https://klasma.github.io/Logging_1981/tillsyn/A 31859-2023 tillsynsbegäran.docx", "A 31859-2023")</f>
        <v/>
      </c>
      <c r="Y3441">
        <f>HYPERLINK("https://klasma.github.io/Logging_1981/tillsynsmail/A 31859-2023 tillsynsbegäran mail.docx", "A 31859-2023")</f>
        <v/>
      </c>
    </row>
    <row r="3442" ht="15" customHeight="1">
      <c r="A3442" t="inlineStr">
        <is>
          <t>A 32052-2023</t>
        </is>
      </c>
      <c r="B3442" s="1" t="n">
        <v>45119</v>
      </c>
      <c r="C3442" s="1" t="n">
        <v>45345</v>
      </c>
      <c r="D3442" t="inlineStr">
        <is>
          <t>VÄSTMANLANDS LÄN</t>
        </is>
      </c>
      <c r="E3442" t="inlineStr">
        <is>
          <t>VÄSTERÅS</t>
        </is>
      </c>
      <c r="F3442" t="inlineStr">
        <is>
          <t>Sveaskog</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32057-2023</t>
        </is>
      </c>
      <c r="B3443" s="1" t="n">
        <v>45119</v>
      </c>
      <c r="C3443" s="1" t="n">
        <v>45345</v>
      </c>
      <c r="D3443" t="inlineStr">
        <is>
          <t>VÄSTMANLANDS LÄN</t>
        </is>
      </c>
      <c r="E3443" t="inlineStr">
        <is>
          <t>VÄSTERÅS</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32093-2023</t>
        </is>
      </c>
      <c r="B3444" s="1" t="n">
        <v>45119</v>
      </c>
      <c r="C3444" s="1" t="n">
        <v>45345</v>
      </c>
      <c r="D3444" t="inlineStr">
        <is>
          <t>VÄSTMANLANDS LÄN</t>
        </is>
      </c>
      <c r="E3444" t="inlineStr">
        <is>
          <t>NORBERG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32053-2023</t>
        </is>
      </c>
      <c r="B3445" s="1" t="n">
        <v>45119</v>
      </c>
      <c r="C3445" s="1" t="n">
        <v>45345</v>
      </c>
      <c r="D3445" t="inlineStr">
        <is>
          <t>VÄSTMANLANDS LÄN</t>
        </is>
      </c>
      <c r="E3445" t="inlineStr">
        <is>
          <t>VÄSTERÅS</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32524-2023</t>
        </is>
      </c>
      <c r="B3446" s="1" t="n">
        <v>45121</v>
      </c>
      <c r="C3446" s="1" t="n">
        <v>45345</v>
      </c>
      <c r="D3446" t="inlineStr">
        <is>
          <t>VÄSTMANLANDS LÄN</t>
        </is>
      </c>
      <c r="E3446" t="inlineStr">
        <is>
          <t>NORBERG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32529-2023</t>
        </is>
      </c>
      <c r="B3447" s="1" t="n">
        <v>45121</v>
      </c>
      <c r="C3447" s="1" t="n">
        <v>45345</v>
      </c>
      <c r="D3447" t="inlineStr">
        <is>
          <t>VÄSTMANLANDS LÄN</t>
        </is>
      </c>
      <c r="E3447" t="inlineStr">
        <is>
          <t>NORBERG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32606-2023</t>
        </is>
      </c>
      <c r="B3448" s="1" t="n">
        <v>45121</v>
      </c>
      <c r="C3448" s="1" t="n">
        <v>45345</v>
      </c>
      <c r="D3448" t="inlineStr">
        <is>
          <t>VÄSTMANLANDS LÄN</t>
        </is>
      </c>
      <c r="E3448" t="inlineStr">
        <is>
          <t>VÄSTERÅS</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32513-2023</t>
        </is>
      </c>
      <c r="B3449" s="1" t="n">
        <v>45121</v>
      </c>
      <c r="C3449" s="1" t="n">
        <v>45345</v>
      </c>
      <c r="D3449" t="inlineStr">
        <is>
          <t>VÄSTMANLANDS LÄN</t>
        </is>
      </c>
      <c r="E3449" t="inlineStr">
        <is>
          <t>NORBERG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32604-2023</t>
        </is>
      </c>
      <c r="B3450" s="1" t="n">
        <v>45121</v>
      </c>
      <c r="C3450" s="1" t="n">
        <v>45345</v>
      </c>
      <c r="D3450" t="inlineStr">
        <is>
          <t>VÄSTMANLANDS LÄN</t>
        </is>
      </c>
      <c r="E3450" t="inlineStr">
        <is>
          <t>VÄSTERÅS</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32516-2023</t>
        </is>
      </c>
      <c r="B3451" s="1" t="n">
        <v>45121</v>
      </c>
      <c r="C3451" s="1" t="n">
        <v>45345</v>
      </c>
      <c r="D3451" t="inlineStr">
        <is>
          <t>VÄSTMANLANDS LÄN</t>
        </is>
      </c>
      <c r="E3451" t="inlineStr">
        <is>
          <t>NORBERG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32637-2023</t>
        </is>
      </c>
      <c r="B3452" s="1" t="n">
        <v>45121</v>
      </c>
      <c r="C3452" s="1" t="n">
        <v>45345</v>
      </c>
      <c r="D3452" t="inlineStr">
        <is>
          <t>VÄSTMANLANDS LÄN</t>
        </is>
      </c>
      <c r="E3452" t="inlineStr">
        <is>
          <t>VÄSTERÅS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32635-2023</t>
        </is>
      </c>
      <c r="B3453" s="1" t="n">
        <v>45121</v>
      </c>
      <c r="C3453" s="1" t="n">
        <v>45345</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33909-2023</t>
        </is>
      </c>
      <c r="B3454" s="1" t="n">
        <v>45122</v>
      </c>
      <c r="C3454" s="1" t="n">
        <v>45345</v>
      </c>
      <c r="D3454" t="inlineStr">
        <is>
          <t>VÄSTMANLANDS LÄN</t>
        </is>
      </c>
      <c r="E3454" t="inlineStr">
        <is>
          <t>NORBERG</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32998-2023</t>
        </is>
      </c>
      <c r="B3455" s="1" t="n">
        <v>45125</v>
      </c>
      <c r="C3455" s="1" t="n">
        <v>45345</v>
      </c>
      <c r="D3455" t="inlineStr">
        <is>
          <t>VÄSTMANLANDS LÄN</t>
        </is>
      </c>
      <c r="E3455" t="inlineStr">
        <is>
          <t>VÄSTERÅS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32945-2023</t>
        </is>
      </c>
      <c r="B3456" s="1" t="n">
        <v>45125</v>
      </c>
      <c r="C3456" s="1" t="n">
        <v>45345</v>
      </c>
      <c r="D3456" t="inlineStr">
        <is>
          <t>VÄSTMANLANDS LÄN</t>
        </is>
      </c>
      <c r="E3456" t="inlineStr">
        <is>
          <t>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33007-2023</t>
        </is>
      </c>
      <c r="B3457" s="1" t="n">
        <v>45125</v>
      </c>
      <c r="C3457" s="1" t="n">
        <v>45345</v>
      </c>
      <c r="D3457" t="inlineStr">
        <is>
          <t>VÄSTMANLANDS LÄN</t>
        </is>
      </c>
      <c r="E3457" t="inlineStr">
        <is>
          <t>FAGERSTA</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32997-2023</t>
        </is>
      </c>
      <c r="B3458" s="1" t="n">
        <v>45125</v>
      </c>
      <c r="C3458" s="1" t="n">
        <v>45345</v>
      </c>
      <c r="D3458" t="inlineStr">
        <is>
          <t>VÄSTMANLANDS LÄN</t>
        </is>
      </c>
      <c r="E3458" t="inlineStr">
        <is>
          <t>VÄSTERÅS</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33086-2023</t>
        </is>
      </c>
      <c r="B3459" s="1" t="n">
        <v>45126</v>
      </c>
      <c r="C3459" s="1" t="n">
        <v>45345</v>
      </c>
      <c r="D3459" t="inlineStr">
        <is>
          <t>VÄSTMANLANDS LÄN</t>
        </is>
      </c>
      <c r="E3459" t="inlineStr">
        <is>
          <t>SKINNSKATTEBERG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33152-2023</t>
        </is>
      </c>
      <c r="B3460" s="1" t="n">
        <v>45126</v>
      </c>
      <c r="C3460" s="1" t="n">
        <v>45345</v>
      </c>
      <c r="D3460" t="inlineStr">
        <is>
          <t>VÄSTMANLANDS LÄN</t>
        </is>
      </c>
      <c r="E3460" t="inlineStr">
        <is>
          <t>SALA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33151-2023</t>
        </is>
      </c>
      <c r="B3461" s="1" t="n">
        <v>45126</v>
      </c>
      <c r="C3461" s="1" t="n">
        <v>45345</v>
      </c>
      <c r="D3461" t="inlineStr">
        <is>
          <t>VÄSTMANLANDS LÄN</t>
        </is>
      </c>
      <c r="E3461" t="inlineStr">
        <is>
          <t>SALA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33180-2023</t>
        </is>
      </c>
      <c r="B3462" s="1" t="n">
        <v>45127</v>
      </c>
      <c r="C3462" s="1" t="n">
        <v>45345</v>
      </c>
      <c r="D3462" t="inlineStr">
        <is>
          <t>VÄSTMANLANDS LÄN</t>
        </is>
      </c>
      <c r="E3462" t="inlineStr">
        <is>
          <t>SALA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33273-2023</t>
        </is>
      </c>
      <c r="B3463" s="1" t="n">
        <v>45127</v>
      </c>
      <c r="C3463" s="1" t="n">
        <v>45345</v>
      </c>
      <c r="D3463" t="inlineStr">
        <is>
          <t>VÄSTMANLANDS LÄN</t>
        </is>
      </c>
      <c r="E3463" t="inlineStr">
        <is>
          <t>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33357-2023</t>
        </is>
      </c>
      <c r="B3464" s="1" t="n">
        <v>45128</v>
      </c>
      <c r="C3464" s="1" t="n">
        <v>45345</v>
      </c>
      <c r="D3464" t="inlineStr">
        <is>
          <t>VÄSTMANLANDS LÄN</t>
        </is>
      </c>
      <c r="E3464" t="inlineStr">
        <is>
          <t>FAGERSTA</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33377-2023</t>
        </is>
      </c>
      <c r="B3465" s="1" t="n">
        <v>45128</v>
      </c>
      <c r="C3465" s="1" t="n">
        <v>45345</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33406-2023</t>
        </is>
      </c>
      <c r="B3466" s="1" t="n">
        <v>45128</v>
      </c>
      <c r="C3466" s="1" t="n">
        <v>45345</v>
      </c>
      <c r="D3466" t="inlineStr">
        <is>
          <t>VÄSTMANLANDS LÄN</t>
        </is>
      </c>
      <c r="E3466" t="inlineStr">
        <is>
          <t>SKINNSKATTEBERG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33378-2023</t>
        </is>
      </c>
      <c r="B3467" s="1" t="n">
        <v>45128</v>
      </c>
      <c r="C3467" s="1" t="n">
        <v>45345</v>
      </c>
      <c r="D3467" t="inlineStr">
        <is>
          <t>VÄSTMANLANDS LÄN</t>
        </is>
      </c>
      <c r="E3467" t="inlineStr">
        <is>
          <t>NORBERG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33379-2023</t>
        </is>
      </c>
      <c r="B3468" s="1" t="n">
        <v>45128</v>
      </c>
      <c r="C3468" s="1" t="n">
        <v>45345</v>
      </c>
      <c r="D3468" t="inlineStr">
        <is>
          <t>VÄSTMANLANDS LÄN</t>
        </is>
      </c>
      <c r="E3468" t="inlineStr">
        <is>
          <t>NORBERG</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33396-2023</t>
        </is>
      </c>
      <c r="B3469" s="1" t="n">
        <v>45128</v>
      </c>
      <c r="C3469" s="1" t="n">
        <v>45345</v>
      </c>
      <c r="D3469" t="inlineStr">
        <is>
          <t>VÄSTMANLANDS LÄN</t>
        </is>
      </c>
      <c r="E3469" t="inlineStr">
        <is>
          <t>SKINNSKATTEBERG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33356-2023</t>
        </is>
      </c>
      <c r="B3470" s="1" t="n">
        <v>45128</v>
      </c>
      <c r="C3470" s="1" t="n">
        <v>45345</v>
      </c>
      <c r="D3470" t="inlineStr">
        <is>
          <t>VÄSTMANLANDS LÄN</t>
        </is>
      </c>
      <c r="E3470" t="inlineStr">
        <is>
          <t>FAGERSTA</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33376-2023</t>
        </is>
      </c>
      <c r="B3471" s="1" t="n">
        <v>45128</v>
      </c>
      <c r="C3471" s="1" t="n">
        <v>45345</v>
      </c>
      <c r="D3471" t="inlineStr">
        <is>
          <t>VÄSTMANLANDS LÄN</t>
        </is>
      </c>
      <c r="E3471" t="inlineStr">
        <is>
          <t>NORBERG</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33527-2023</t>
        </is>
      </c>
      <c r="B3472" s="1" t="n">
        <v>45131</v>
      </c>
      <c r="C3472" s="1" t="n">
        <v>45345</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33785-2023</t>
        </is>
      </c>
      <c r="B3473" s="1" t="n">
        <v>45131</v>
      </c>
      <c r="C3473" s="1" t="n">
        <v>45345</v>
      </c>
      <c r="D3473" t="inlineStr">
        <is>
          <t>VÄSTMANLANDS LÄN</t>
        </is>
      </c>
      <c r="E3473" t="inlineStr">
        <is>
          <t>FAGERSTA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34361-2023</t>
        </is>
      </c>
      <c r="B3474" s="1" t="n">
        <v>45131</v>
      </c>
      <c r="C3474" s="1" t="n">
        <v>45345</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33732-2023</t>
        </is>
      </c>
      <c r="B3475" s="1" t="n">
        <v>45133</v>
      </c>
      <c r="C3475" s="1" t="n">
        <v>45345</v>
      </c>
      <c r="D3475" t="inlineStr">
        <is>
          <t>VÄSTMANLANDS LÄN</t>
        </is>
      </c>
      <c r="E3475" t="inlineStr">
        <is>
          <t>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33743-2023</t>
        </is>
      </c>
      <c r="B3476" s="1" t="n">
        <v>45133</v>
      </c>
      <c r="C3476" s="1" t="n">
        <v>45345</v>
      </c>
      <c r="D3476" t="inlineStr">
        <is>
          <t>VÄSTMANLANDS LÄN</t>
        </is>
      </c>
      <c r="E3476" t="inlineStr">
        <is>
          <t>SALA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34494-2023</t>
        </is>
      </c>
      <c r="B3477" s="1" t="n">
        <v>45133</v>
      </c>
      <c r="C3477" s="1" t="n">
        <v>45345</v>
      </c>
      <c r="D3477" t="inlineStr">
        <is>
          <t>VÄSTMANLANDS LÄN</t>
        </is>
      </c>
      <c r="E3477" t="inlineStr">
        <is>
          <t>SALA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33900-2023</t>
        </is>
      </c>
      <c r="B3478" s="1" t="n">
        <v>45134</v>
      </c>
      <c r="C3478" s="1" t="n">
        <v>45345</v>
      </c>
      <c r="D3478" t="inlineStr">
        <is>
          <t>VÄSTMANLANDS LÄN</t>
        </is>
      </c>
      <c r="E3478" t="inlineStr">
        <is>
          <t>SKINNSKATTEBERG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33896-2023</t>
        </is>
      </c>
      <c r="B3479" s="1" t="n">
        <v>45134</v>
      </c>
      <c r="C3479" s="1" t="n">
        <v>45345</v>
      </c>
      <c r="D3479" t="inlineStr">
        <is>
          <t>VÄSTMANLANDS LÄN</t>
        </is>
      </c>
      <c r="E3479" t="inlineStr">
        <is>
          <t>SKINNSKATTEBERG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34215-2023</t>
        </is>
      </c>
      <c r="B3480" s="1" t="n">
        <v>45138</v>
      </c>
      <c r="C3480" s="1" t="n">
        <v>45345</v>
      </c>
      <c r="D3480" t="inlineStr">
        <is>
          <t>VÄSTMANLANDS LÄN</t>
        </is>
      </c>
      <c r="E3480" t="inlineStr">
        <is>
          <t>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34290-2023</t>
        </is>
      </c>
      <c r="B3481" s="1" t="n">
        <v>45138</v>
      </c>
      <c r="C3481" s="1" t="n">
        <v>45345</v>
      </c>
      <c r="D3481" t="inlineStr">
        <is>
          <t>VÄSTMANLANDS LÄN</t>
        </is>
      </c>
      <c r="E3481" t="inlineStr">
        <is>
          <t>KÖPING</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34291-2023</t>
        </is>
      </c>
      <c r="B3482" s="1" t="n">
        <v>45138</v>
      </c>
      <c r="C3482" s="1" t="n">
        <v>45345</v>
      </c>
      <c r="D3482" t="inlineStr">
        <is>
          <t>VÄSTMANLANDS LÄN</t>
        </is>
      </c>
      <c r="E3482" t="inlineStr">
        <is>
          <t>KÖPING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34602-2023</t>
        </is>
      </c>
      <c r="B3483" s="1" t="n">
        <v>45140</v>
      </c>
      <c r="C3483" s="1" t="n">
        <v>45345</v>
      </c>
      <c r="D3483" t="inlineStr">
        <is>
          <t>VÄSTMANLANDS LÄN</t>
        </is>
      </c>
      <c r="E3483" t="inlineStr">
        <is>
          <t>FAGERSTA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34606-2023</t>
        </is>
      </c>
      <c r="B3484" s="1" t="n">
        <v>45140</v>
      </c>
      <c r="C3484" s="1" t="n">
        <v>45345</v>
      </c>
      <c r="D3484" t="inlineStr">
        <is>
          <t>VÄSTMANLANDS LÄN</t>
        </is>
      </c>
      <c r="E3484" t="inlineStr">
        <is>
          <t>SKINNSKATTEBERG</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34600-2023</t>
        </is>
      </c>
      <c r="B3485" s="1" t="n">
        <v>45140</v>
      </c>
      <c r="C3485" s="1" t="n">
        <v>45345</v>
      </c>
      <c r="D3485" t="inlineStr">
        <is>
          <t>VÄSTMANLANDS LÄN</t>
        </is>
      </c>
      <c r="E3485" t="inlineStr">
        <is>
          <t>FAGERSTA</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34604-2023</t>
        </is>
      </c>
      <c r="B3486" s="1" t="n">
        <v>45140</v>
      </c>
      <c r="C3486" s="1" t="n">
        <v>45345</v>
      </c>
      <c r="D3486" t="inlineStr">
        <is>
          <t>VÄSTMANLANDS LÄN</t>
        </is>
      </c>
      <c r="E3486" t="inlineStr">
        <is>
          <t>FAGERSTA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34599-2023</t>
        </is>
      </c>
      <c r="B3487" s="1" t="n">
        <v>45140</v>
      </c>
      <c r="C3487" s="1" t="n">
        <v>45345</v>
      </c>
      <c r="D3487" t="inlineStr">
        <is>
          <t>VÄSTMANLANDS LÄN</t>
        </is>
      </c>
      <c r="E3487" t="inlineStr">
        <is>
          <t>FAGERSTA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34603-2023</t>
        </is>
      </c>
      <c r="B3488" s="1" t="n">
        <v>45140</v>
      </c>
      <c r="C3488" s="1" t="n">
        <v>45345</v>
      </c>
      <c r="D3488" t="inlineStr">
        <is>
          <t>VÄSTMANLANDS LÄN</t>
        </is>
      </c>
      <c r="E3488" t="inlineStr">
        <is>
          <t>FAGERSTA</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34605-2023</t>
        </is>
      </c>
      <c r="B3489" s="1" t="n">
        <v>45140</v>
      </c>
      <c r="C3489" s="1" t="n">
        <v>45345</v>
      </c>
      <c r="D3489" t="inlineStr">
        <is>
          <t>VÄSTMANLANDS LÄN</t>
        </is>
      </c>
      <c r="E3489" t="inlineStr">
        <is>
          <t>FAGERSTA</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34867-2023</t>
        </is>
      </c>
      <c r="B3490" s="1" t="n">
        <v>45142</v>
      </c>
      <c r="C3490" s="1" t="n">
        <v>45345</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34942-2023</t>
        </is>
      </c>
      <c r="B3491" s="1" t="n">
        <v>45142</v>
      </c>
      <c r="C3491" s="1" t="n">
        <v>45345</v>
      </c>
      <c r="D3491" t="inlineStr">
        <is>
          <t>VÄSTMANLANDS LÄN</t>
        </is>
      </c>
      <c r="E3491" t="inlineStr">
        <is>
          <t>FAGERSTA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34967-2023</t>
        </is>
      </c>
      <c r="B3492" s="1" t="n">
        <v>45142</v>
      </c>
      <c r="C3492" s="1" t="n">
        <v>45345</v>
      </c>
      <c r="D3492" t="inlineStr">
        <is>
          <t>VÄSTMANLANDS LÄN</t>
        </is>
      </c>
      <c r="E3492" t="inlineStr">
        <is>
          <t>NORBERG</t>
        </is>
      </c>
      <c r="F3492" t="inlineStr">
        <is>
          <t>Kyrkan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35312-2023</t>
        </is>
      </c>
      <c r="B3493" s="1" t="n">
        <v>45145</v>
      </c>
      <c r="C3493" s="1" t="n">
        <v>45345</v>
      </c>
      <c r="D3493" t="inlineStr">
        <is>
          <t>VÄSTMANLANDS LÄN</t>
        </is>
      </c>
      <c r="E3493" t="inlineStr">
        <is>
          <t>ARBOGA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35315-2023</t>
        </is>
      </c>
      <c r="B3494" s="1" t="n">
        <v>45145</v>
      </c>
      <c r="C3494" s="1" t="n">
        <v>45345</v>
      </c>
      <c r="D3494" t="inlineStr">
        <is>
          <t>VÄSTMANLANDS LÄN</t>
        </is>
      </c>
      <c r="E3494" t="inlineStr">
        <is>
          <t>ARBOGA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35314-2023</t>
        </is>
      </c>
      <c r="B3495" s="1" t="n">
        <v>45145</v>
      </c>
      <c r="C3495" s="1" t="n">
        <v>45345</v>
      </c>
      <c r="D3495" t="inlineStr">
        <is>
          <t>VÄSTMANLANDS LÄN</t>
        </is>
      </c>
      <c r="E3495" t="inlineStr">
        <is>
          <t>ARBOGA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35434-2023</t>
        </is>
      </c>
      <c r="B3496" s="1" t="n">
        <v>45146</v>
      </c>
      <c r="C3496" s="1" t="n">
        <v>45345</v>
      </c>
      <c r="D3496" t="inlineStr">
        <is>
          <t>VÄSTMANLANDS LÄN</t>
        </is>
      </c>
      <c r="E3496" t="inlineStr">
        <is>
          <t>SALA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35577-2023</t>
        </is>
      </c>
      <c r="B3497" s="1" t="n">
        <v>45147</v>
      </c>
      <c r="C3497" s="1" t="n">
        <v>45345</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35716-2023</t>
        </is>
      </c>
      <c r="B3498" s="1" t="n">
        <v>45147</v>
      </c>
      <c r="C3498" s="1" t="n">
        <v>45345</v>
      </c>
      <c r="D3498" t="inlineStr">
        <is>
          <t>VÄSTMANLANDS LÄN</t>
        </is>
      </c>
      <c r="E3498" t="inlineStr">
        <is>
          <t>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35582-2023</t>
        </is>
      </c>
      <c r="B3499" s="1" t="n">
        <v>45147</v>
      </c>
      <c r="C3499" s="1" t="n">
        <v>45345</v>
      </c>
      <c r="D3499" t="inlineStr">
        <is>
          <t>VÄSTMANLANDS LÄN</t>
        </is>
      </c>
      <c r="E3499" t="inlineStr">
        <is>
          <t>VÄSTERÅS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35796-2023</t>
        </is>
      </c>
      <c r="B3500" s="1" t="n">
        <v>45147</v>
      </c>
      <c r="C3500" s="1" t="n">
        <v>45345</v>
      </c>
      <c r="D3500" t="inlineStr">
        <is>
          <t>VÄSTMANLANDS LÄN</t>
        </is>
      </c>
      <c r="E3500" t="inlineStr">
        <is>
          <t>ARBOGA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36161-2023</t>
        </is>
      </c>
      <c r="B3501" s="1" t="n">
        <v>45149</v>
      </c>
      <c r="C3501" s="1" t="n">
        <v>45345</v>
      </c>
      <c r="D3501" t="inlineStr">
        <is>
          <t>VÄSTMANLANDS LÄN</t>
        </is>
      </c>
      <c r="E3501" t="inlineStr">
        <is>
          <t>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36165-2023</t>
        </is>
      </c>
      <c r="B3502" s="1" t="n">
        <v>45149</v>
      </c>
      <c r="C3502" s="1" t="n">
        <v>45345</v>
      </c>
      <c r="D3502" t="inlineStr">
        <is>
          <t>VÄSTMANLANDS LÄN</t>
        </is>
      </c>
      <c r="E3502" t="inlineStr">
        <is>
          <t>KÖPING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36393-2023</t>
        </is>
      </c>
      <c r="B3503" s="1" t="n">
        <v>45152</v>
      </c>
      <c r="C3503" s="1" t="n">
        <v>45345</v>
      </c>
      <c r="D3503" t="inlineStr">
        <is>
          <t>VÄSTMANLANDS LÄN</t>
        </is>
      </c>
      <c r="E3503" t="inlineStr">
        <is>
          <t>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36279-2023</t>
        </is>
      </c>
      <c r="B3504" s="1" t="n">
        <v>45152</v>
      </c>
      <c r="C3504" s="1" t="n">
        <v>45345</v>
      </c>
      <c r="D3504" t="inlineStr">
        <is>
          <t>VÄSTMANLANDS LÄN</t>
        </is>
      </c>
      <c r="E3504" t="inlineStr">
        <is>
          <t>KÖPING</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36405-2023</t>
        </is>
      </c>
      <c r="B3505" s="1" t="n">
        <v>45152</v>
      </c>
      <c r="C3505" s="1" t="n">
        <v>45345</v>
      </c>
      <c r="D3505" t="inlineStr">
        <is>
          <t>VÄSTMANLANDS LÄN</t>
        </is>
      </c>
      <c r="E3505" t="inlineStr">
        <is>
          <t>KÖPING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36471-2023</t>
        </is>
      </c>
      <c r="B3506" s="1" t="n">
        <v>45152</v>
      </c>
      <c r="C3506" s="1" t="n">
        <v>45345</v>
      </c>
      <c r="D3506" t="inlineStr">
        <is>
          <t>VÄSTMANLANDS LÄN</t>
        </is>
      </c>
      <c r="E3506" t="inlineStr">
        <is>
          <t>SKINNSKATTEBERG</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36475-2023</t>
        </is>
      </c>
      <c r="B3507" s="1" t="n">
        <v>45152</v>
      </c>
      <c r="C3507" s="1" t="n">
        <v>45345</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36409-2023</t>
        </is>
      </c>
      <c r="B3508" s="1" t="n">
        <v>45152</v>
      </c>
      <c r="C3508" s="1" t="n">
        <v>45345</v>
      </c>
      <c r="D3508" t="inlineStr">
        <is>
          <t>VÄSTMANLANDS LÄN</t>
        </is>
      </c>
      <c r="E3508" t="inlineStr">
        <is>
          <t>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36476-2023</t>
        </is>
      </c>
      <c r="B3509" s="1" t="n">
        <v>45152</v>
      </c>
      <c r="C3509" s="1" t="n">
        <v>45345</v>
      </c>
      <c r="D3509" t="inlineStr">
        <is>
          <t>VÄSTMANLANDS LÄN</t>
        </is>
      </c>
      <c r="E3509" t="inlineStr">
        <is>
          <t>SKINNSKATTEBERG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36473-2023</t>
        </is>
      </c>
      <c r="B3510" s="1" t="n">
        <v>45152</v>
      </c>
      <c r="C3510" s="1" t="n">
        <v>45345</v>
      </c>
      <c r="D3510" t="inlineStr">
        <is>
          <t>VÄSTMANLANDS LÄN</t>
        </is>
      </c>
      <c r="E3510" t="inlineStr">
        <is>
          <t>SKINNSKATTEBERG</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36529-2023</t>
        </is>
      </c>
      <c r="B3511" s="1" t="n">
        <v>45153</v>
      </c>
      <c r="C3511" s="1" t="n">
        <v>45345</v>
      </c>
      <c r="D3511" t="inlineStr">
        <is>
          <t>VÄSTMANLANDS LÄN</t>
        </is>
      </c>
      <c r="E3511" t="inlineStr">
        <is>
          <t>ARBOGA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36530-2023</t>
        </is>
      </c>
      <c r="B3512" s="1" t="n">
        <v>45153</v>
      </c>
      <c r="C3512" s="1" t="n">
        <v>45345</v>
      </c>
      <c r="D3512" t="inlineStr">
        <is>
          <t>VÄSTMANLANDS LÄN</t>
        </is>
      </c>
      <c r="E3512" t="inlineStr">
        <is>
          <t>ARBOGA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36641-2023</t>
        </is>
      </c>
      <c r="B3513" s="1" t="n">
        <v>45153</v>
      </c>
      <c r="C3513" s="1" t="n">
        <v>45345</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36658-2023</t>
        </is>
      </c>
      <c r="B3514" s="1" t="n">
        <v>45153</v>
      </c>
      <c r="C3514" s="1" t="n">
        <v>45345</v>
      </c>
      <c r="D3514" t="inlineStr">
        <is>
          <t>VÄSTMANLANDS LÄN</t>
        </is>
      </c>
      <c r="E3514" t="inlineStr">
        <is>
          <t>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36712-2023</t>
        </is>
      </c>
      <c r="B3515" s="1" t="n">
        <v>45153</v>
      </c>
      <c r="C3515" s="1" t="n">
        <v>45345</v>
      </c>
      <c r="D3515" t="inlineStr">
        <is>
          <t>VÄSTMANLANDS LÄN</t>
        </is>
      </c>
      <c r="E3515" t="inlineStr">
        <is>
          <t>KÖPING</t>
        </is>
      </c>
      <c r="F3515" t="inlineStr">
        <is>
          <t>Sveaskog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36702-2023</t>
        </is>
      </c>
      <c r="B3516" s="1" t="n">
        <v>45153</v>
      </c>
      <c r="C3516" s="1" t="n">
        <v>45345</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36704-2023</t>
        </is>
      </c>
      <c r="B3517" s="1" t="n">
        <v>45153</v>
      </c>
      <c r="C3517" s="1" t="n">
        <v>45345</v>
      </c>
      <c r="D3517" t="inlineStr">
        <is>
          <t>VÄSTMANLANDS LÄN</t>
        </is>
      </c>
      <c r="E3517" t="inlineStr">
        <is>
          <t>KÖPING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36709-2023</t>
        </is>
      </c>
      <c r="B3518" s="1" t="n">
        <v>45153</v>
      </c>
      <c r="C3518" s="1" t="n">
        <v>45345</v>
      </c>
      <c r="D3518" t="inlineStr">
        <is>
          <t>VÄSTMANLANDS LÄN</t>
        </is>
      </c>
      <c r="E3518" t="inlineStr">
        <is>
          <t>KÖPING</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36858-2023</t>
        </is>
      </c>
      <c r="B3519" s="1" t="n">
        <v>45154</v>
      </c>
      <c r="C3519" s="1" t="n">
        <v>45345</v>
      </c>
      <c r="D3519" t="inlineStr">
        <is>
          <t>VÄSTMANLANDS LÄN</t>
        </is>
      </c>
      <c r="E3519" t="inlineStr">
        <is>
          <t>SALA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36905-2023</t>
        </is>
      </c>
      <c r="B3520" s="1" t="n">
        <v>45154</v>
      </c>
      <c r="C3520" s="1" t="n">
        <v>45345</v>
      </c>
      <c r="D3520" t="inlineStr">
        <is>
          <t>VÄSTMANLANDS LÄN</t>
        </is>
      </c>
      <c r="E3520" t="inlineStr">
        <is>
          <t>NORBERG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37196-2023</t>
        </is>
      </c>
      <c r="B3521" s="1" t="n">
        <v>45154</v>
      </c>
      <c r="C3521" s="1" t="n">
        <v>45345</v>
      </c>
      <c r="D3521" t="inlineStr">
        <is>
          <t>VÄSTMANLANDS LÄN</t>
        </is>
      </c>
      <c r="E3521" t="inlineStr">
        <is>
          <t>SKINNSKATTEBERG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37017-2023</t>
        </is>
      </c>
      <c r="B3522" s="1" t="n">
        <v>45155</v>
      </c>
      <c r="C3522" s="1" t="n">
        <v>45345</v>
      </c>
      <c r="D3522" t="inlineStr">
        <is>
          <t>VÄSTMANLANDS LÄN</t>
        </is>
      </c>
      <c r="E3522" t="inlineStr">
        <is>
          <t>NORBERG</t>
        </is>
      </c>
      <c r="F3522" t="inlineStr">
        <is>
          <t>Övriga Aktiebolag</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37007-2023</t>
        </is>
      </c>
      <c r="B3523" s="1" t="n">
        <v>45155</v>
      </c>
      <c r="C3523" s="1" t="n">
        <v>45345</v>
      </c>
      <c r="D3523" t="inlineStr">
        <is>
          <t>VÄSTMANLANDS LÄN</t>
        </is>
      </c>
      <c r="E3523" t="inlineStr">
        <is>
          <t>SKINNSKATTEBERG</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37011-2023</t>
        </is>
      </c>
      <c r="B3524" s="1" t="n">
        <v>45155</v>
      </c>
      <c r="C3524" s="1" t="n">
        <v>45345</v>
      </c>
      <c r="D3524" t="inlineStr">
        <is>
          <t>VÄSTMANLANDS LÄN</t>
        </is>
      </c>
      <c r="E3524" t="inlineStr">
        <is>
          <t>NORBERG</t>
        </is>
      </c>
      <c r="F3524" t="inlineStr">
        <is>
          <t>Övriga Aktiebolag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37006-2023</t>
        </is>
      </c>
      <c r="B3525" s="1" t="n">
        <v>45155</v>
      </c>
      <c r="C3525" s="1" t="n">
        <v>45345</v>
      </c>
      <c r="D3525" t="inlineStr">
        <is>
          <t>VÄSTMANLANDS LÄN</t>
        </is>
      </c>
      <c r="E3525" t="inlineStr">
        <is>
          <t>SKINNSKATTEBERG</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37138-2023</t>
        </is>
      </c>
      <c r="B3526" s="1" t="n">
        <v>45155</v>
      </c>
      <c r="C3526" s="1" t="n">
        <v>45345</v>
      </c>
      <c r="D3526" t="inlineStr">
        <is>
          <t>VÄSTMANLANDS LÄN</t>
        </is>
      </c>
      <c r="E3526" t="inlineStr">
        <is>
          <t>SURAHAMMAR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37200-2023</t>
        </is>
      </c>
      <c r="B3527" s="1" t="n">
        <v>45155</v>
      </c>
      <c r="C3527" s="1" t="n">
        <v>45345</v>
      </c>
      <c r="D3527" t="inlineStr">
        <is>
          <t>VÄSTMANLANDS LÄN</t>
        </is>
      </c>
      <c r="E3527" t="inlineStr">
        <is>
          <t>NORBERG</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37198-2023</t>
        </is>
      </c>
      <c r="B3528" s="1" t="n">
        <v>45155</v>
      </c>
      <c r="C3528" s="1" t="n">
        <v>45345</v>
      </c>
      <c r="D3528" t="inlineStr">
        <is>
          <t>VÄSTMANLANDS LÄN</t>
        </is>
      </c>
      <c r="E3528" t="inlineStr">
        <is>
          <t>NORBERG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37287-2023</t>
        </is>
      </c>
      <c r="B3529" s="1" t="n">
        <v>45156</v>
      </c>
      <c r="C3529" s="1" t="n">
        <v>45345</v>
      </c>
      <c r="D3529" t="inlineStr">
        <is>
          <t>VÄSTMANLANDS LÄN</t>
        </is>
      </c>
      <c r="E3529" t="inlineStr">
        <is>
          <t>SURAHAMMAR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37277-2023</t>
        </is>
      </c>
      <c r="B3530" s="1" t="n">
        <v>45156</v>
      </c>
      <c r="C3530" s="1" t="n">
        <v>45345</v>
      </c>
      <c r="D3530" t="inlineStr">
        <is>
          <t>VÄSTMANLANDS LÄN</t>
        </is>
      </c>
      <c r="E3530" t="inlineStr">
        <is>
          <t>SURAHAMMAR</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37342-2023</t>
        </is>
      </c>
      <c r="B3531" s="1" t="n">
        <v>45156</v>
      </c>
      <c r="C3531" s="1" t="n">
        <v>45345</v>
      </c>
      <c r="D3531" t="inlineStr">
        <is>
          <t>VÄSTMANLANDS LÄN</t>
        </is>
      </c>
      <c r="E3531" t="inlineStr">
        <is>
          <t>SKINNSKATTEBERG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37411-2023</t>
        </is>
      </c>
      <c r="B3532" s="1" t="n">
        <v>45156</v>
      </c>
      <c r="C3532" s="1" t="n">
        <v>45345</v>
      </c>
      <c r="D3532" t="inlineStr">
        <is>
          <t>VÄSTMANLANDS LÄN</t>
        </is>
      </c>
      <c r="E3532" t="inlineStr">
        <is>
          <t>FAGERSTA</t>
        </is>
      </c>
      <c r="F3532" t="inlineStr">
        <is>
          <t>Bergvik skog väst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37432-2023</t>
        </is>
      </c>
      <c r="B3533" s="1" t="n">
        <v>45156</v>
      </c>
      <c r="C3533" s="1" t="n">
        <v>45345</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37407-2023</t>
        </is>
      </c>
      <c r="B3534" s="1" t="n">
        <v>45156</v>
      </c>
      <c r="C3534" s="1" t="n">
        <v>45345</v>
      </c>
      <c r="D3534" t="inlineStr">
        <is>
          <t>VÄSTMANLANDS LÄN</t>
        </is>
      </c>
      <c r="E3534" t="inlineStr">
        <is>
          <t>HALLSTAHAMMAR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37437-2023</t>
        </is>
      </c>
      <c r="B3535" s="1" t="n">
        <v>45156</v>
      </c>
      <c r="C3535" s="1" t="n">
        <v>45345</v>
      </c>
      <c r="D3535" t="inlineStr">
        <is>
          <t>VÄSTMANLANDS LÄN</t>
        </is>
      </c>
      <c r="E3535" t="inlineStr">
        <is>
          <t>SKINNSKATTEBERG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37635-2023</t>
        </is>
      </c>
      <c r="B3536" s="1" t="n">
        <v>45159</v>
      </c>
      <c r="C3536" s="1" t="n">
        <v>45345</v>
      </c>
      <c r="D3536" t="inlineStr">
        <is>
          <t>VÄSTMANLANDS LÄN</t>
        </is>
      </c>
      <c r="E3536" t="inlineStr">
        <is>
          <t>SURAHAMMAR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37639-2023</t>
        </is>
      </c>
      <c r="B3537" s="1" t="n">
        <v>45159</v>
      </c>
      <c r="C3537" s="1" t="n">
        <v>45345</v>
      </c>
      <c r="D3537" t="inlineStr">
        <is>
          <t>VÄSTMANLANDS LÄN</t>
        </is>
      </c>
      <c r="E3537" t="inlineStr">
        <is>
          <t>SURAHAMMAR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37601-2023</t>
        </is>
      </c>
      <c r="B3538" s="1" t="n">
        <v>45159</v>
      </c>
      <c r="C3538" s="1" t="n">
        <v>45345</v>
      </c>
      <c r="D3538" t="inlineStr">
        <is>
          <t>VÄSTMANLANDS LÄN</t>
        </is>
      </c>
      <c r="E3538" t="inlineStr">
        <is>
          <t>ARBOGA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37669-2023</t>
        </is>
      </c>
      <c r="B3539" s="1" t="n">
        <v>45159</v>
      </c>
      <c r="C3539" s="1" t="n">
        <v>45345</v>
      </c>
      <c r="D3539" t="inlineStr">
        <is>
          <t>VÄSTMANLANDS LÄN</t>
        </is>
      </c>
      <c r="E3539" t="inlineStr">
        <is>
          <t>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37752-2023</t>
        </is>
      </c>
      <c r="B3540" s="1" t="n">
        <v>45159</v>
      </c>
      <c r="C3540" s="1" t="n">
        <v>45345</v>
      </c>
      <c r="D3540" t="inlineStr">
        <is>
          <t>VÄSTMANLANDS LÄN</t>
        </is>
      </c>
      <c r="E3540" t="inlineStr">
        <is>
          <t>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38055-2023</t>
        </is>
      </c>
      <c r="B3541" s="1" t="n">
        <v>45160</v>
      </c>
      <c r="C3541" s="1" t="n">
        <v>45345</v>
      </c>
      <c r="D3541" t="inlineStr">
        <is>
          <t>VÄSTMANLANDS LÄN</t>
        </is>
      </c>
      <c r="E3541" t="inlineStr">
        <is>
          <t>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37880-2023</t>
        </is>
      </c>
      <c r="B3542" s="1" t="n">
        <v>45160</v>
      </c>
      <c r="C3542" s="1" t="n">
        <v>45345</v>
      </c>
      <c r="D3542" t="inlineStr">
        <is>
          <t>VÄSTMANLANDS LÄN</t>
        </is>
      </c>
      <c r="E3542" t="inlineStr">
        <is>
          <t>SKINNSKATTEBERG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37955-2023</t>
        </is>
      </c>
      <c r="B3543" s="1" t="n">
        <v>45160</v>
      </c>
      <c r="C3543" s="1" t="n">
        <v>45345</v>
      </c>
      <c r="D3543" t="inlineStr">
        <is>
          <t>VÄSTMANLANDS LÄN</t>
        </is>
      </c>
      <c r="E3543" t="inlineStr">
        <is>
          <t>FAGERSTA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38436-2023</t>
        </is>
      </c>
      <c r="B3544" s="1" t="n">
        <v>45160</v>
      </c>
      <c r="C3544" s="1" t="n">
        <v>45345</v>
      </c>
      <c r="D3544" t="inlineStr">
        <is>
          <t>VÄSTMANLANDS LÄN</t>
        </is>
      </c>
      <c r="E3544" t="inlineStr">
        <is>
          <t>VÄSTERÅS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38432-2023</t>
        </is>
      </c>
      <c r="B3545" s="1" t="n">
        <v>45160</v>
      </c>
      <c r="C3545" s="1" t="n">
        <v>45345</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38308-2023</t>
        </is>
      </c>
      <c r="B3546" s="1" t="n">
        <v>45161</v>
      </c>
      <c r="C3546" s="1" t="n">
        <v>45345</v>
      </c>
      <c r="D3546" t="inlineStr">
        <is>
          <t>VÄSTMANLANDS LÄN</t>
        </is>
      </c>
      <c r="E3546" t="inlineStr">
        <is>
          <t>KUNGSÖR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38773-2023</t>
        </is>
      </c>
      <c r="B3547" s="1" t="n">
        <v>45161</v>
      </c>
      <c r="C3547" s="1" t="n">
        <v>45345</v>
      </c>
      <c r="D3547" t="inlineStr">
        <is>
          <t>VÄSTMANLANDS LÄN</t>
        </is>
      </c>
      <c r="E3547" t="inlineStr">
        <is>
          <t>SALA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38561-2023</t>
        </is>
      </c>
      <c r="B3548" s="1" t="n">
        <v>45162</v>
      </c>
      <c r="C3548" s="1" t="n">
        <v>45345</v>
      </c>
      <c r="D3548" t="inlineStr">
        <is>
          <t>VÄSTMANLANDS LÄN</t>
        </is>
      </c>
      <c r="E3548" t="inlineStr">
        <is>
          <t>SALA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38581-2023</t>
        </is>
      </c>
      <c r="B3549" s="1" t="n">
        <v>45162</v>
      </c>
      <c r="C3549" s="1" t="n">
        <v>45345</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39011-2023</t>
        </is>
      </c>
      <c r="B3550" s="1" t="n">
        <v>45162</v>
      </c>
      <c r="C3550" s="1" t="n">
        <v>45345</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38521-2023</t>
        </is>
      </c>
      <c r="B3551" s="1" t="n">
        <v>45162</v>
      </c>
      <c r="C3551" s="1" t="n">
        <v>45345</v>
      </c>
      <c r="D3551" t="inlineStr">
        <is>
          <t>VÄSTMANLANDS LÄN</t>
        </is>
      </c>
      <c r="E3551" t="inlineStr">
        <is>
          <t>SKINNSKATTEBERG</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38538-2023</t>
        </is>
      </c>
      <c r="B3552" s="1" t="n">
        <v>45162</v>
      </c>
      <c r="C3552" s="1" t="n">
        <v>45345</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38714-2023</t>
        </is>
      </c>
      <c r="B3553" s="1" t="n">
        <v>45163</v>
      </c>
      <c r="C3553" s="1" t="n">
        <v>45345</v>
      </c>
      <c r="D3553" t="inlineStr">
        <is>
          <t>VÄSTMANLANDS LÄN</t>
        </is>
      </c>
      <c r="E3553" t="inlineStr">
        <is>
          <t>SKINNSKATTEBERG</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38739-2023</t>
        </is>
      </c>
      <c r="B3554" s="1" t="n">
        <v>45163</v>
      </c>
      <c r="C3554" s="1" t="n">
        <v>45345</v>
      </c>
      <c r="D3554" t="inlineStr">
        <is>
          <t>VÄSTMANLANDS LÄN</t>
        </is>
      </c>
      <c r="E3554" t="inlineStr">
        <is>
          <t>SKINNSKATTEBERG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38731-2023</t>
        </is>
      </c>
      <c r="B3555" s="1" t="n">
        <v>45163</v>
      </c>
      <c r="C3555" s="1" t="n">
        <v>45345</v>
      </c>
      <c r="D3555" t="inlineStr">
        <is>
          <t>VÄSTMANLANDS LÄN</t>
        </is>
      </c>
      <c r="E3555" t="inlineStr">
        <is>
          <t>SKINNSKATTEBERG</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38748-2023</t>
        </is>
      </c>
      <c r="B3556" s="1" t="n">
        <v>45163</v>
      </c>
      <c r="C3556" s="1" t="n">
        <v>45345</v>
      </c>
      <c r="D3556" t="inlineStr">
        <is>
          <t>VÄSTMANLANDS LÄN</t>
        </is>
      </c>
      <c r="E3556" t="inlineStr">
        <is>
          <t>VÄSTERÅS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38802-2023</t>
        </is>
      </c>
      <c r="B3557" s="1" t="n">
        <v>45163</v>
      </c>
      <c r="C3557" s="1" t="n">
        <v>45345</v>
      </c>
      <c r="D3557" t="inlineStr">
        <is>
          <t>VÄSTMANLANDS LÄN</t>
        </is>
      </c>
      <c r="E3557" t="inlineStr">
        <is>
          <t>VÄSTERÅS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38709-2023</t>
        </is>
      </c>
      <c r="B3558" s="1" t="n">
        <v>45163</v>
      </c>
      <c r="C3558" s="1" t="n">
        <v>45345</v>
      </c>
      <c r="D3558" t="inlineStr">
        <is>
          <t>VÄSTMANLANDS LÄN</t>
        </is>
      </c>
      <c r="E3558" t="inlineStr">
        <is>
          <t>VÄSTERÅS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39604-2023</t>
        </is>
      </c>
      <c r="B3559" s="1" t="n">
        <v>45163</v>
      </c>
      <c r="C3559" s="1" t="n">
        <v>45345</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39269-2023</t>
        </is>
      </c>
      <c r="B3560" s="1" t="n">
        <v>45166</v>
      </c>
      <c r="C3560" s="1" t="n">
        <v>45345</v>
      </c>
      <c r="D3560" t="inlineStr">
        <is>
          <t>VÄSTMANLANDS LÄN</t>
        </is>
      </c>
      <c r="E3560" t="inlineStr">
        <is>
          <t>KUNGSÖR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39267-2023</t>
        </is>
      </c>
      <c r="B3561" s="1" t="n">
        <v>45166</v>
      </c>
      <c r="C3561" s="1" t="n">
        <v>45345</v>
      </c>
      <c r="D3561" t="inlineStr">
        <is>
          <t>VÄSTMANLANDS LÄN</t>
        </is>
      </c>
      <c r="E3561" t="inlineStr">
        <is>
          <t>HALLSTAHAMMAR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39646-2023</t>
        </is>
      </c>
      <c r="B3562" s="1" t="n">
        <v>45166</v>
      </c>
      <c r="C3562" s="1" t="n">
        <v>45345</v>
      </c>
      <c r="D3562" t="inlineStr">
        <is>
          <t>VÄSTMANLANDS LÄN</t>
        </is>
      </c>
      <c r="E3562" t="inlineStr">
        <is>
          <t>KÖPING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39717-2023</t>
        </is>
      </c>
      <c r="B3563" s="1" t="n">
        <v>45167</v>
      </c>
      <c r="C3563" s="1" t="n">
        <v>45345</v>
      </c>
      <c r="D3563" t="inlineStr">
        <is>
          <t>VÄSTMANLANDS LÄN</t>
        </is>
      </c>
      <c r="E3563" t="inlineStr">
        <is>
          <t>KUNGSÖR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39682-2023</t>
        </is>
      </c>
      <c r="B3564" s="1" t="n">
        <v>45167</v>
      </c>
      <c r="C3564" s="1" t="n">
        <v>45345</v>
      </c>
      <c r="D3564" t="inlineStr">
        <is>
          <t>VÄSTMANLANDS LÄN</t>
        </is>
      </c>
      <c r="E3564" t="inlineStr">
        <is>
          <t>KUNGSÖR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39714-2023</t>
        </is>
      </c>
      <c r="B3565" s="1" t="n">
        <v>45167</v>
      </c>
      <c r="C3565" s="1" t="n">
        <v>45345</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39708-2023</t>
        </is>
      </c>
      <c r="B3566" s="1" t="n">
        <v>45167</v>
      </c>
      <c r="C3566" s="1" t="n">
        <v>45345</v>
      </c>
      <c r="D3566" t="inlineStr">
        <is>
          <t>VÄSTMANLANDS LÄN</t>
        </is>
      </c>
      <c r="E3566" t="inlineStr">
        <is>
          <t>SALA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39713-2023</t>
        </is>
      </c>
      <c r="B3567" s="1" t="n">
        <v>45167</v>
      </c>
      <c r="C3567" s="1" t="n">
        <v>45345</v>
      </c>
      <c r="D3567" t="inlineStr">
        <is>
          <t>VÄSTMANLANDS LÄN</t>
        </is>
      </c>
      <c r="E3567" t="inlineStr">
        <is>
          <t>SALA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39780-2023</t>
        </is>
      </c>
      <c r="B3568" s="1" t="n">
        <v>45167</v>
      </c>
      <c r="C3568" s="1" t="n">
        <v>45345</v>
      </c>
      <c r="D3568" t="inlineStr">
        <is>
          <t>VÄSTMANLANDS LÄN</t>
        </is>
      </c>
      <c r="E3568" t="inlineStr">
        <is>
          <t>ARBOGA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39720-2023</t>
        </is>
      </c>
      <c r="B3569" s="1" t="n">
        <v>45167</v>
      </c>
      <c r="C3569" s="1" t="n">
        <v>45345</v>
      </c>
      <c r="D3569" t="inlineStr">
        <is>
          <t>VÄSTMANLANDS LÄN</t>
        </is>
      </c>
      <c r="E3569" t="inlineStr">
        <is>
          <t>KUNGSÖR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40138-2023</t>
        </is>
      </c>
      <c r="B3570" s="1" t="n">
        <v>45169</v>
      </c>
      <c r="C3570" s="1" t="n">
        <v>45345</v>
      </c>
      <c r="D3570" t="inlineStr">
        <is>
          <t>VÄSTMANLANDS LÄN</t>
        </is>
      </c>
      <c r="E3570" t="inlineStr">
        <is>
          <t>NORBERG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40144-2023</t>
        </is>
      </c>
      <c r="B3571" s="1" t="n">
        <v>45169</v>
      </c>
      <c r="C3571" s="1" t="n">
        <v>45345</v>
      </c>
      <c r="D3571" t="inlineStr">
        <is>
          <t>VÄSTMANLANDS LÄN</t>
        </is>
      </c>
      <c r="E3571" t="inlineStr">
        <is>
          <t>NORBERG</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40301-2023</t>
        </is>
      </c>
      <c r="B3572" s="1" t="n">
        <v>45169</v>
      </c>
      <c r="C3572" s="1" t="n">
        <v>45345</v>
      </c>
      <c r="D3572" t="inlineStr">
        <is>
          <t>VÄSTMANLANDS LÄN</t>
        </is>
      </c>
      <c r="E3572" t="inlineStr">
        <is>
          <t>SKINNSKATTEBERG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40238-2023</t>
        </is>
      </c>
      <c r="B3573" s="1" t="n">
        <v>45169</v>
      </c>
      <c r="C3573" s="1" t="n">
        <v>45345</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40304-2023</t>
        </is>
      </c>
      <c r="B3574" s="1" t="n">
        <v>45169</v>
      </c>
      <c r="C3574" s="1" t="n">
        <v>45345</v>
      </c>
      <c r="D3574" t="inlineStr">
        <is>
          <t>VÄSTMANLANDS LÄN</t>
        </is>
      </c>
      <c r="E3574" t="inlineStr">
        <is>
          <t>VÄSTERÅS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40140-2023</t>
        </is>
      </c>
      <c r="B3575" s="1" t="n">
        <v>45169</v>
      </c>
      <c r="C3575" s="1" t="n">
        <v>45345</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40145-2023</t>
        </is>
      </c>
      <c r="B3576" s="1" t="n">
        <v>45169</v>
      </c>
      <c r="C3576" s="1" t="n">
        <v>45345</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40141-2023</t>
        </is>
      </c>
      <c r="B3577" s="1" t="n">
        <v>45169</v>
      </c>
      <c r="C3577" s="1" t="n">
        <v>45345</v>
      </c>
      <c r="D3577" t="inlineStr">
        <is>
          <t>VÄSTMANLANDS LÄN</t>
        </is>
      </c>
      <c r="E3577" t="inlineStr">
        <is>
          <t>NORBERG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40153-2023</t>
        </is>
      </c>
      <c r="B3578" s="1" t="n">
        <v>45169</v>
      </c>
      <c r="C3578" s="1" t="n">
        <v>45345</v>
      </c>
      <c r="D3578" t="inlineStr">
        <is>
          <t>VÄSTMANLANDS LÄN</t>
        </is>
      </c>
      <c r="E3578" t="inlineStr">
        <is>
          <t>NORBERG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40254-2023</t>
        </is>
      </c>
      <c r="B3579" s="1" t="n">
        <v>45169</v>
      </c>
      <c r="C3579" s="1" t="n">
        <v>45345</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40262-2023</t>
        </is>
      </c>
      <c r="B3580" s="1" t="n">
        <v>45169</v>
      </c>
      <c r="C3580" s="1" t="n">
        <v>45345</v>
      </c>
      <c r="D3580" t="inlineStr">
        <is>
          <t>VÄSTMANLANDS LÄN</t>
        </is>
      </c>
      <c r="E3580" t="inlineStr">
        <is>
          <t>ARBOGA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40302-2023</t>
        </is>
      </c>
      <c r="B3581" s="1" t="n">
        <v>45169</v>
      </c>
      <c r="C3581" s="1" t="n">
        <v>45345</v>
      </c>
      <c r="D3581" t="inlineStr">
        <is>
          <t>VÄSTMANLANDS LÄN</t>
        </is>
      </c>
      <c r="E3581" t="inlineStr">
        <is>
          <t>VÄSTERÅS</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40150-2023</t>
        </is>
      </c>
      <c r="B3582" s="1" t="n">
        <v>45169</v>
      </c>
      <c r="C3582" s="1" t="n">
        <v>45345</v>
      </c>
      <c r="D3582" t="inlineStr">
        <is>
          <t>VÄSTMANLANDS LÄN</t>
        </is>
      </c>
      <c r="E3582" t="inlineStr">
        <is>
          <t>NORBERG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40154-2023</t>
        </is>
      </c>
      <c r="B3583" s="1" t="n">
        <v>45169</v>
      </c>
      <c r="C3583" s="1" t="n">
        <v>45345</v>
      </c>
      <c r="D3583" t="inlineStr">
        <is>
          <t>VÄSTMANLANDS LÄN</t>
        </is>
      </c>
      <c r="E3583" t="inlineStr">
        <is>
          <t>NORBERG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40956-2023</t>
        </is>
      </c>
      <c r="B3584" s="1" t="n">
        <v>45169</v>
      </c>
      <c r="C3584" s="1" t="n">
        <v>45345</v>
      </c>
      <c r="D3584" t="inlineStr">
        <is>
          <t>VÄSTMANLANDS LÄN</t>
        </is>
      </c>
      <c r="E3584" t="inlineStr">
        <is>
          <t>SURAHAMMAR</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40214-2023</t>
        </is>
      </c>
      <c r="B3585" s="1" t="n">
        <v>45169</v>
      </c>
      <c r="C3585" s="1" t="n">
        <v>45345</v>
      </c>
      <c r="D3585" t="inlineStr">
        <is>
          <t>VÄSTMANLANDS LÄN</t>
        </is>
      </c>
      <c r="E3585" t="inlineStr">
        <is>
          <t>SALA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40320-2023</t>
        </is>
      </c>
      <c r="B3586" s="1" t="n">
        <v>45169</v>
      </c>
      <c r="C3586" s="1" t="n">
        <v>45345</v>
      </c>
      <c r="D3586" t="inlineStr">
        <is>
          <t>VÄSTMANLANDS LÄN</t>
        </is>
      </c>
      <c r="E3586" t="inlineStr">
        <is>
          <t>SKINNSKATTEBERG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40517-2023</t>
        </is>
      </c>
      <c r="B3587" s="1" t="n">
        <v>45170</v>
      </c>
      <c r="C3587" s="1" t="n">
        <v>45345</v>
      </c>
      <c r="D3587" t="inlineStr">
        <is>
          <t>VÄSTMANLANDS LÄN</t>
        </is>
      </c>
      <c r="E3587" t="inlineStr">
        <is>
          <t>SKINNSKATTEBERG</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40545-2023</t>
        </is>
      </c>
      <c r="B3588" s="1" t="n">
        <v>45170</v>
      </c>
      <c r="C3588" s="1" t="n">
        <v>45345</v>
      </c>
      <c r="D3588" t="inlineStr">
        <is>
          <t>VÄSTMANLANDS LÄN</t>
        </is>
      </c>
      <c r="E3588" t="inlineStr">
        <is>
          <t>SKINNSKATTEBERG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40445-2023</t>
        </is>
      </c>
      <c r="B3589" s="1" t="n">
        <v>45170</v>
      </c>
      <c r="C3589" s="1" t="n">
        <v>45345</v>
      </c>
      <c r="D3589" t="inlineStr">
        <is>
          <t>VÄSTMANLANDS LÄN</t>
        </is>
      </c>
      <c r="E3589" t="inlineStr">
        <is>
          <t>SURAHAMMAR</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40495-2023</t>
        </is>
      </c>
      <c r="B3590" s="1" t="n">
        <v>45170</v>
      </c>
      <c r="C3590" s="1" t="n">
        <v>45345</v>
      </c>
      <c r="D3590" t="inlineStr">
        <is>
          <t>VÄSTMANLANDS LÄN</t>
        </is>
      </c>
      <c r="E3590" t="inlineStr">
        <is>
          <t>SKINNSKATTEBERG</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40521-2023</t>
        </is>
      </c>
      <c r="B3591" s="1" t="n">
        <v>45170</v>
      </c>
      <c r="C3591" s="1" t="n">
        <v>45345</v>
      </c>
      <c r="D3591" t="inlineStr">
        <is>
          <t>VÄSTMANLANDS LÄN</t>
        </is>
      </c>
      <c r="E3591" t="inlineStr">
        <is>
          <t>SKINNSKATTEBERG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40539-2023</t>
        </is>
      </c>
      <c r="B3592" s="1" t="n">
        <v>45170</v>
      </c>
      <c r="C3592" s="1" t="n">
        <v>45345</v>
      </c>
      <c r="D3592" t="inlineStr">
        <is>
          <t>VÄSTMANLANDS LÄN</t>
        </is>
      </c>
      <c r="E3592" t="inlineStr">
        <is>
          <t>SKINNSKATTEBERG</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40690-2023</t>
        </is>
      </c>
      <c r="B3593" s="1" t="n">
        <v>45170</v>
      </c>
      <c r="C3593" s="1" t="n">
        <v>45345</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40497-2023</t>
        </is>
      </c>
      <c r="B3594" s="1" t="n">
        <v>45170</v>
      </c>
      <c r="C3594" s="1" t="n">
        <v>45345</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40519-2023</t>
        </is>
      </c>
      <c r="B3595" s="1" t="n">
        <v>45170</v>
      </c>
      <c r="C3595" s="1" t="n">
        <v>45345</v>
      </c>
      <c r="D3595" t="inlineStr">
        <is>
          <t>VÄSTMANLANDS LÄN</t>
        </is>
      </c>
      <c r="E3595" t="inlineStr">
        <is>
          <t>SKINNSKATTEBERG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40546-2023</t>
        </is>
      </c>
      <c r="B3596" s="1" t="n">
        <v>45170</v>
      </c>
      <c r="C3596" s="1" t="n">
        <v>45345</v>
      </c>
      <c r="D3596" t="inlineStr">
        <is>
          <t>VÄSTMANLANDS LÄN</t>
        </is>
      </c>
      <c r="E3596" t="inlineStr">
        <is>
          <t>SKINNSKATTEBERG</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40693-2023</t>
        </is>
      </c>
      <c r="B3597" s="1" t="n">
        <v>45170</v>
      </c>
      <c r="C3597" s="1" t="n">
        <v>45345</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40893-2023</t>
        </is>
      </c>
      <c r="B3598" s="1" t="n">
        <v>45173</v>
      </c>
      <c r="C3598" s="1" t="n">
        <v>45345</v>
      </c>
      <c r="D3598" t="inlineStr">
        <is>
          <t>VÄSTMANLANDS LÄN</t>
        </is>
      </c>
      <c r="E3598" t="inlineStr">
        <is>
          <t>NORBERG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41613-2023</t>
        </is>
      </c>
      <c r="B3599" s="1" t="n">
        <v>45173</v>
      </c>
      <c r="C3599" s="1" t="n">
        <v>45345</v>
      </c>
      <c r="D3599" t="inlineStr">
        <is>
          <t>VÄSTMANLANDS LÄN</t>
        </is>
      </c>
      <c r="E3599" t="inlineStr">
        <is>
          <t>SALA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41619-2023</t>
        </is>
      </c>
      <c r="B3600" s="1" t="n">
        <v>45173</v>
      </c>
      <c r="C3600" s="1" t="n">
        <v>45345</v>
      </c>
      <c r="D3600" t="inlineStr">
        <is>
          <t>VÄSTMANLANDS LÄN</t>
        </is>
      </c>
      <c r="E3600" t="inlineStr">
        <is>
          <t>SALA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41333-2023</t>
        </is>
      </c>
      <c r="B3601" s="1" t="n">
        <v>45174</v>
      </c>
      <c r="C3601" s="1" t="n">
        <v>45345</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41341-2023</t>
        </is>
      </c>
      <c r="B3602" s="1" t="n">
        <v>45174</v>
      </c>
      <c r="C3602" s="1" t="n">
        <v>45345</v>
      </c>
      <c r="D3602" t="inlineStr">
        <is>
          <t>VÄSTMANLANDS LÄN</t>
        </is>
      </c>
      <c r="E3602" t="inlineStr">
        <is>
          <t>VÄSTERÅS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41334-2023</t>
        </is>
      </c>
      <c r="B3603" s="1" t="n">
        <v>45174</v>
      </c>
      <c r="C3603" s="1" t="n">
        <v>45345</v>
      </c>
      <c r="D3603" t="inlineStr">
        <is>
          <t>VÄSTMANLANDS LÄN</t>
        </is>
      </c>
      <c r="E3603" t="inlineStr">
        <is>
          <t>SKINNSKATTEBERG</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41332-2023</t>
        </is>
      </c>
      <c r="B3604" s="1" t="n">
        <v>45174</v>
      </c>
      <c r="C3604" s="1" t="n">
        <v>45345</v>
      </c>
      <c r="D3604" t="inlineStr">
        <is>
          <t>VÄSTMANLANDS LÄN</t>
        </is>
      </c>
      <c r="E3604" t="inlineStr">
        <is>
          <t>SKINNSKATTEBERG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41340-2023</t>
        </is>
      </c>
      <c r="B3605" s="1" t="n">
        <v>45174</v>
      </c>
      <c r="C3605" s="1" t="n">
        <v>45345</v>
      </c>
      <c r="D3605" t="inlineStr">
        <is>
          <t>VÄSTMANLANDS LÄN</t>
        </is>
      </c>
      <c r="E3605" t="inlineStr">
        <is>
          <t>VÄSTERÅS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41344-2023</t>
        </is>
      </c>
      <c r="B3606" s="1" t="n">
        <v>45174</v>
      </c>
      <c r="C3606" s="1" t="n">
        <v>45345</v>
      </c>
      <c r="D3606" t="inlineStr">
        <is>
          <t>VÄSTMANLANDS LÄN</t>
        </is>
      </c>
      <c r="E3606" t="inlineStr">
        <is>
          <t>VÄSTERÅS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41343-2023</t>
        </is>
      </c>
      <c r="B3607" s="1" t="n">
        <v>45174</v>
      </c>
      <c r="C3607" s="1" t="n">
        <v>45345</v>
      </c>
      <c r="D3607" t="inlineStr">
        <is>
          <t>VÄSTMANLANDS LÄN</t>
        </is>
      </c>
      <c r="E3607" t="inlineStr">
        <is>
          <t>VÄSTERÅS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41562-2023</t>
        </is>
      </c>
      <c r="B3608" s="1" t="n">
        <v>45175</v>
      </c>
      <c r="C3608" s="1" t="n">
        <v>45345</v>
      </c>
      <c r="D3608" t="inlineStr">
        <is>
          <t>VÄSTMANLANDS LÄN</t>
        </is>
      </c>
      <c r="E3608" t="inlineStr">
        <is>
          <t>SKINNSKATTEBERG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41443-2023</t>
        </is>
      </c>
      <c r="B3609" s="1" t="n">
        <v>45175</v>
      </c>
      <c r="C3609" s="1" t="n">
        <v>45345</v>
      </c>
      <c r="D3609" t="inlineStr">
        <is>
          <t>VÄSTMANLANDS LÄN</t>
        </is>
      </c>
      <c r="E3609" t="inlineStr">
        <is>
          <t>KUNGSÖR</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41491-2023</t>
        </is>
      </c>
      <c r="B3610" s="1" t="n">
        <v>45175</v>
      </c>
      <c r="C3610" s="1" t="n">
        <v>45345</v>
      </c>
      <c r="D3610" t="inlineStr">
        <is>
          <t>VÄSTMANLANDS LÄN</t>
        </is>
      </c>
      <c r="E3610" t="inlineStr">
        <is>
          <t>FAGERSTA</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41446-2023</t>
        </is>
      </c>
      <c r="B3611" s="1" t="n">
        <v>45175</v>
      </c>
      <c r="C3611" s="1" t="n">
        <v>45345</v>
      </c>
      <c r="D3611" t="inlineStr">
        <is>
          <t>VÄSTMANLANDS LÄN</t>
        </is>
      </c>
      <c r="E3611" t="inlineStr">
        <is>
          <t>KUNGSÖR</t>
        </is>
      </c>
      <c r="F3611" t="inlineStr">
        <is>
          <t>Allmännings- och besparingsskogar</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41452-2023</t>
        </is>
      </c>
      <c r="B3612" s="1" t="n">
        <v>45175</v>
      </c>
      <c r="C3612" s="1" t="n">
        <v>45345</v>
      </c>
      <c r="D3612" t="inlineStr">
        <is>
          <t>VÄSTMANLANDS LÄN</t>
        </is>
      </c>
      <c r="E3612" t="inlineStr">
        <is>
          <t>ARBOGA</t>
        </is>
      </c>
      <c r="F3612" t="inlineStr">
        <is>
          <t>Allmännings- och besparingsskogar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42312-2023</t>
        </is>
      </c>
      <c r="B3613" s="1" t="n">
        <v>45175</v>
      </c>
      <c r="C3613" s="1" t="n">
        <v>45345</v>
      </c>
      <c r="D3613" t="inlineStr">
        <is>
          <t>VÄSTMANLANDS LÄN</t>
        </is>
      </c>
      <c r="E3613" t="inlineStr">
        <is>
          <t>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41797-2023</t>
        </is>
      </c>
      <c r="B3614" s="1" t="n">
        <v>45176</v>
      </c>
      <c r="C3614" s="1" t="n">
        <v>45345</v>
      </c>
      <c r="D3614" t="inlineStr">
        <is>
          <t>VÄSTMANLANDS LÄN</t>
        </is>
      </c>
      <c r="E3614" t="inlineStr">
        <is>
          <t>SKINNSKATTEBERG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41812-2023</t>
        </is>
      </c>
      <c r="B3615" s="1" t="n">
        <v>45176</v>
      </c>
      <c r="C3615" s="1" t="n">
        <v>45345</v>
      </c>
      <c r="D3615" t="inlineStr">
        <is>
          <t>VÄSTMANLANDS LÄN</t>
        </is>
      </c>
      <c r="E3615" t="inlineStr">
        <is>
          <t>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41866-2023</t>
        </is>
      </c>
      <c r="B3616" s="1" t="n">
        <v>45176</v>
      </c>
      <c r="C3616" s="1" t="n">
        <v>45345</v>
      </c>
      <c r="D3616" t="inlineStr">
        <is>
          <t>VÄSTMANLANDS LÄN</t>
        </is>
      </c>
      <c r="E3616" t="inlineStr">
        <is>
          <t>SKINNSKATTEBERG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41815-2023</t>
        </is>
      </c>
      <c r="B3617" s="1" t="n">
        <v>45176</v>
      </c>
      <c r="C3617" s="1" t="n">
        <v>45345</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41818-2023</t>
        </is>
      </c>
      <c r="B3618" s="1" t="n">
        <v>45176</v>
      </c>
      <c r="C3618" s="1" t="n">
        <v>45345</v>
      </c>
      <c r="D3618" t="inlineStr">
        <is>
          <t>VÄSTMANLANDS LÄN</t>
        </is>
      </c>
      <c r="E3618" t="inlineStr">
        <is>
          <t>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42476-2023</t>
        </is>
      </c>
      <c r="B3619" s="1" t="n">
        <v>45176</v>
      </c>
      <c r="C3619" s="1" t="n">
        <v>45345</v>
      </c>
      <c r="D3619" t="inlineStr">
        <is>
          <t>VÄSTMANLANDS LÄN</t>
        </is>
      </c>
      <c r="E3619" t="inlineStr">
        <is>
          <t>VÄSTERÅS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42090-2023</t>
        </is>
      </c>
      <c r="B3620" s="1" t="n">
        <v>45177</v>
      </c>
      <c r="C3620" s="1" t="n">
        <v>45345</v>
      </c>
      <c r="D3620" t="inlineStr">
        <is>
          <t>VÄSTMANLANDS LÄN</t>
        </is>
      </c>
      <c r="E3620" t="inlineStr">
        <is>
          <t>VÄSTERÅS</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42082-2023</t>
        </is>
      </c>
      <c r="B3621" s="1" t="n">
        <v>45177</v>
      </c>
      <c r="C3621" s="1" t="n">
        <v>45345</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42092-2023</t>
        </is>
      </c>
      <c r="B3622" s="1" t="n">
        <v>45177</v>
      </c>
      <c r="C3622" s="1" t="n">
        <v>45345</v>
      </c>
      <c r="D3622" t="inlineStr">
        <is>
          <t>VÄSTMANLANDS LÄN</t>
        </is>
      </c>
      <c r="E3622" t="inlineStr">
        <is>
          <t>SKINNSKATTEBERG</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42087-2023</t>
        </is>
      </c>
      <c r="B3623" s="1" t="n">
        <v>45177</v>
      </c>
      <c r="C3623" s="1" t="n">
        <v>45345</v>
      </c>
      <c r="D3623" t="inlineStr">
        <is>
          <t>VÄSTMANLANDS LÄN</t>
        </is>
      </c>
      <c r="E3623" t="inlineStr">
        <is>
          <t>SKINNSKATTEBERG</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42091-2023</t>
        </is>
      </c>
      <c r="B3624" s="1" t="n">
        <v>45177</v>
      </c>
      <c r="C3624" s="1" t="n">
        <v>45345</v>
      </c>
      <c r="D3624" t="inlineStr">
        <is>
          <t>VÄSTMANLANDS LÄN</t>
        </is>
      </c>
      <c r="E3624" t="inlineStr">
        <is>
          <t>VÄSTERÅS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42093-2023</t>
        </is>
      </c>
      <c r="B3625" s="1" t="n">
        <v>45177</v>
      </c>
      <c r="C3625" s="1" t="n">
        <v>45345</v>
      </c>
      <c r="D3625" t="inlineStr">
        <is>
          <t>VÄSTMANLANDS LÄN</t>
        </is>
      </c>
      <c r="E3625" t="inlineStr">
        <is>
          <t>SKINNSKATTEBERG</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42195-2023</t>
        </is>
      </c>
      <c r="B3626" s="1" t="n">
        <v>45179</v>
      </c>
      <c r="C3626" s="1" t="n">
        <v>45345</v>
      </c>
      <c r="D3626" t="inlineStr">
        <is>
          <t>VÄSTMANLANDS LÄN</t>
        </is>
      </c>
      <c r="E3626" t="inlineStr">
        <is>
          <t>NORBERG</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42197-2023</t>
        </is>
      </c>
      <c r="B3627" s="1" t="n">
        <v>45179</v>
      </c>
      <c r="C3627" s="1" t="n">
        <v>45345</v>
      </c>
      <c r="D3627" t="inlineStr">
        <is>
          <t>VÄSTMANLANDS LÄN</t>
        </is>
      </c>
      <c r="E3627" t="inlineStr">
        <is>
          <t>NORBERG</t>
        </is>
      </c>
      <c r="F3627" t="inlineStr">
        <is>
          <t>Sveaskog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42194-2023</t>
        </is>
      </c>
      <c r="B3628" s="1" t="n">
        <v>45179</v>
      </c>
      <c r="C3628" s="1" t="n">
        <v>45345</v>
      </c>
      <c r="D3628" t="inlineStr">
        <is>
          <t>VÄSTMANLANDS LÄN</t>
        </is>
      </c>
      <c r="E3628" t="inlineStr">
        <is>
          <t>NORBERG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42198-2023</t>
        </is>
      </c>
      <c r="B3629" s="1" t="n">
        <v>45179</v>
      </c>
      <c r="C3629" s="1" t="n">
        <v>45345</v>
      </c>
      <c r="D3629" t="inlineStr">
        <is>
          <t>VÄSTMANLANDS LÄN</t>
        </is>
      </c>
      <c r="E3629" t="inlineStr">
        <is>
          <t>NORBERG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42196-2023</t>
        </is>
      </c>
      <c r="B3630" s="1" t="n">
        <v>45179</v>
      </c>
      <c r="C3630" s="1" t="n">
        <v>45345</v>
      </c>
      <c r="D3630" t="inlineStr">
        <is>
          <t>VÄSTMANLANDS LÄN</t>
        </is>
      </c>
      <c r="E3630" t="inlineStr">
        <is>
          <t>NORBERG</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45345</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45345</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45345</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45345</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45345</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45345</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45345</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45345</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45345</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45345</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45345</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45345</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45345</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45345</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45345</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45345</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45345</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45345</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45345</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45345</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45345</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45345</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45345</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45345</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45345</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45345</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45345</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45345</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45345</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45345</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45345</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45345</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45345</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45345</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45345</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45345</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45345</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45345</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45345</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45345</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45345</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45345</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45345</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45345</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45345</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45345</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45345</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45345</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45345</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45345</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45345</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45345</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45345</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45345</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45345</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45345</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45345</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45345</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45345</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45345</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45345</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45345</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45345</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45345</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45345</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45345</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45345</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45345</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45345</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45345</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45345</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45345</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45345</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45345</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45345</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45345</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45345</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45345</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45345</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45345</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45345</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45345</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45345</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45345</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45345</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45345</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45345</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45345</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45345</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45345</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45345</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45345</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45345</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45345</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45345</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45345</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45345</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45345</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45345</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45345</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45345</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45345</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45345</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45345</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45345</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45345</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45345</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45345</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45345</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45345</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45345</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45345</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45345</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45345</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45345</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45345</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45345</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45345</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45345</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45345</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45345</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45345</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45345</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45345</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45345</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45345</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45345</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45345</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45345</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45345</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45345</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45345</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45345</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45345</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45345</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45345</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45345</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45345</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45345</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45345</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45345</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45345</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45345</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45345</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45345</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45345</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45345</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45345</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45345</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45345</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45345</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45345</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45345</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45345</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45345</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45345</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45345</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45345</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45345</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45345</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45345</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45345</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45345</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45345</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45345</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45345</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45345</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45345</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45345</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45345</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45345</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45345</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45345</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45345</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45345</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45345</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45345</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45345</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45345</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45345</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45345</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45345</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45345</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45345</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45345</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45345</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45345</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45345</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45345</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45345</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45345</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45345</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45345</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45345</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45345</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45345</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45345</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45345</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45345</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45345</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45345</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45345</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45345</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45345</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45345</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45345</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45345</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45345</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45345</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45345</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45345</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45345</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45345</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45345</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45345</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45345</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45345</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45345</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45345</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45345</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45345</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45345</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45345</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45345</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45345</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45345</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45345</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45345</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45345</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45345</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45345</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45345</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45345</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45345</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45345</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45345</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45345</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45345</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45345</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45345</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45345</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45345</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45345</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45345</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45345</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45345</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45345</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45345</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45345</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45345</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45345</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45345</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45345</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45345</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45345</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45345</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45345</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45345</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45345</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45345</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45345</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45345</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45345</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45345</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45345</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45345</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45345</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45345</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45345</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45345</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45345</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45345</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45345</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45345</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45345</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45345</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45345</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45345</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45345</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45345</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45345</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45345</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45345</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45345</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45345</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45345</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45345</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45345</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45345</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45345</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45345</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45345</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45345</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45345</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45345</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45345</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45345</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45345</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45345</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45345</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45345</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45345</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45345</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45345</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45345</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45345</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45345</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45345</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45345</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45345</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45345</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45345</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45345</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45345</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45345</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45345</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45345</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45345</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45345</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45345</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45345</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45345</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45345</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45345</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45345</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45345</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45345</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45345</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45345</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45345</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45345</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45345</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45345</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45345</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45345</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45345</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45345</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45345</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45345</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45345</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45345</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45345</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45345</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45345</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2918-2024</t>
        </is>
      </c>
      <c r="B3975" s="1" t="n">
        <v>45315</v>
      </c>
      <c r="C3975" s="1" t="n">
        <v>45345</v>
      </c>
      <c r="D3975" t="inlineStr">
        <is>
          <t>VÄSTMANLANDS LÄN</t>
        </is>
      </c>
      <c r="E3975" t="inlineStr">
        <is>
          <t>KÖPING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45345</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45345</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45345</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45345</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3131-2024</t>
        </is>
      </c>
      <c r="B3980" s="1" t="n">
        <v>45316</v>
      </c>
      <c r="C3980" s="1" t="n">
        <v>45345</v>
      </c>
      <c r="D3980" t="inlineStr">
        <is>
          <t>VÄSTMANLANDS LÄN</t>
        </is>
      </c>
      <c r="E3980" t="inlineStr">
        <is>
          <t>NORBERG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45345</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45345</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45345</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3577-2024</t>
        </is>
      </c>
      <c r="B3984" s="1" t="n">
        <v>45320</v>
      </c>
      <c r="C3984" s="1" t="n">
        <v>45345</v>
      </c>
      <c r="D3984" t="inlineStr">
        <is>
          <t>VÄSTMANLANDS LÄN</t>
        </is>
      </c>
      <c r="E3984" t="inlineStr">
        <is>
          <t>SALA</t>
        </is>
      </c>
      <c r="F3984" t="inlineStr">
        <is>
          <t>Kommuner</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45345</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3527-2024</t>
        </is>
      </c>
      <c r="B3986" s="1" t="n">
        <v>45320</v>
      </c>
      <c r="C3986" s="1" t="n">
        <v>45345</v>
      </c>
      <c r="D3986" t="inlineStr">
        <is>
          <t>VÄSTMANLANDS LÄN</t>
        </is>
      </c>
      <c r="E3986" t="inlineStr">
        <is>
          <t>SALA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3551-2024</t>
        </is>
      </c>
      <c r="B3987" s="1" t="n">
        <v>45320</v>
      </c>
      <c r="C3987" s="1" t="n">
        <v>45345</v>
      </c>
      <c r="D3987" t="inlineStr">
        <is>
          <t>VÄSTMANLANDS LÄN</t>
        </is>
      </c>
      <c r="E3987" t="inlineStr">
        <is>
          <t>SALA</t>
        </is>
      </c>
      <c r="F3987" t="inlineStr">
        <is>
          <t>Kommuner</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3587-2024</t>
        </is>
      </c>
      <c r="B3988" s="1" t="n">
        <v>45320</v>
      </c>
      <c r="C3988" s="1" t="n">
        <v>45345</v>
      </c>
      <c r="D3988" t="inlineStr">
        <is>
          <t>VÄSTMANLANDS LÄN</t>
        </is>
      </c>
      <c r="E3988" t="inlineStr">
        <is>
          <t>NORBERG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3525-2024</t>
        </is>
      </c>
      <c r="B3989" s="1" t="n">
        <v>45320</v>
      </c>
      <c r="C3989" s="1" t="n">
        <v>45345</v>
      </c>
      <c r="D3989" t="inlineStr">
        <is>
          <t>VÄSTMANLANDS LÄN</t>
        </is>
      </c>
      <c r="E3989" t="inlineStr">
        <is>
          <t>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3570-2024</t>
        </is>
      </c>
      <c r="B3990" s="1" t="n">
        <v>45320</v>
      </c>
      <c r="C3990" s="1" t="n">
        <v>45345</v>
      </c>
      <c r="D3990" t="inlineStr">
        <is>
          <t>VÄSTMANLANDS LÄN</t>
        </is>
      </c>
      <c r="E3990" t="inlineStr">
        <is>
          <t>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45345</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3882-2024</t>
        </is>
      </c>
      <c r="B3992" s="1" t="n">
        <v>45322</v>
      </c>
      <c r="C3992" s="1" t="n">
        <v>45345</v>
      </c>
      <c r="D3992" t="inlineStr">
        <is>
          <t>VÄSTMANLANDS LÄN</t>
        </is>
      </c>
      <c r="E3992" t="inlineStr">
        <is>
          <t>VÄSTERÅS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3887-2024</t>
        </is>
      </c>
      <c r="B3993" s="1" t="n">
        <v>45322</v>
      </c>
      <c r="C3993" s="1" t="n">
        <v>45345</v>
      </c>
      <c r="D3993" t="inlineStr">
        <is>
          <t>VÄSTMANLANDS LÄN</t>
        </is>
      </c>
      <c r="E3993" t="inlineStr">
        <is>
          <t>VÄSTERÅS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4000-2024</t>
        </is>
      </c>
      <c r="B3994" s="1" t="n">
        <v>45322</v>
      </c>
      <c r="C3994" s="1" t="n">
        <v>45345</v>
      </c>
      <c r="D3994" t="inlineStr">
        <is>
          <t>VÄSTMANLANDS LÄN</t>
        </is>
      </c>
      <c r="E3994" t="inlineStr">
        <is>
          <t>SKINNSKATTEBERG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45345</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45345</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45345</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45345</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45345</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45345</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45345</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45345</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45345</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4981-2024</t>
        </is>
      </c>
      <c r="B4004" s="1" t="n">
        <v>45329</v>
      </c>
      <c r="C4004" s="1" t="n">
        <v>45345</v>
      </c>
      <c r="D4004" t="inlineStr">
        <is>
          <t>VÄSTMANLANDS LÄN</t>
        </is>
      </c>
      <c r="E4004" t="inlineStr">
        <is>
          <t>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45345</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45345</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45345</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45345</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45345</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45345</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5478-2024</t>
        </is>
      </c>
      <c r="B4011" s="1" t="n">
        <v>45333</v>
      </c>
      <c r="C4011" s="1" t="n">
        <v>45345</v>
      </c>
      <c r="D4011" t="inlineStr">
        <is>
          <t>VÄSTMANLANDS LÄN</t>
        </is>
      </c>
      <c r="E4011" t="inlineStr">
        <is>
          <t>SALA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45345</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5546-2024</t>
        </is>
      </c>
      <c r="B4013" s="1" t="n">
        <v>45334</v>
      </c>
      <c r="C4013" s="1" t="n">
        <v>45345</v>
      </c>
      <c r="D4013" t="inlineStr">
        <is>
          <t>VÄSTMANLANDS LÄN</t>
        </is>
      </c>
      <c r="E4013" t="inlineStr">
        <is>
          <t>VÄSTERÅS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45345</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45345</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45345</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45345</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45345</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45345</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45345</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45345</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45345</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6585-2024</t>
        </is>
      </c>
      <c r="B4023" s="1" t="n">
        <v>45338</v>
      </c>
      <c r="C4023" s="1" t="n">
        <v>45345</v>
      </c>
      <c r="D4023" t="inlineStr">
        <is>
          <t>VÄSTMANLANDS LÄN</t>
        </is>
      </c>
      <c r="E4023" t="inlineStr">
        <is>
          <t>SALA</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6572-2024</t>
        </is>
      </c>
      <c r="B4024" s="1" t="n">
        <v>45338</v>
      </c>
      <c r="C4024" s="1" t="n">
        <v>45345</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45345</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6601-2024</t>
        </is>
      </c>
      <c r="B4026" s="1" t="n">
        <v>45338</v>
      </c>
      <c r="C4026" s="1" t="n">
        <v>45345</v>
      </c>
      <c r="D4026" t="inlineStr">
        <is>
          <t>VÄSTMANLANDS LÄN</t>
        </is>
      </c>
      <c r="E4026" t="inlineStr">
        <is>
          <t>SALA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6541-2024</t>
        </is>
      </c>
      <c r="B4027" s="1" t="n">
        <v>45338</v>
      </c>
      <c r="C4027" s="1" t="n">
        <v>45345</v>
      </c>
      <c r="D4027" t="inlineStr">
        <is>
          <t>VÄSTMANLANDS LÄN</t>
        </is>
      </c>
      <c r="E4027" t="inlineStr">
        <is>
          <t>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6664-2024</t>
        </is>
      </c>
      <c r="B4028" s="1" t="n">
        <v>45341</v>
      </c>
      <c r="C4028" s="1" t="n">
        <v>45345</v>
      </c>
      <c r="D4028" t="inlineStr">
        <is>
          <t>VÄSTMANLANDS LÄN</t>
        </is>
      </c>
      <c r="E4028" t="inlineStr">
        <is>
          <t>ARBOGA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45345</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c r="A4030" t="inlineStr">
        <is>
          <t>A 6666-2024</t>
        </is>
      </c>
      <c r="B4030" s="1" t="n">
        <v>45341</v>
      </c>
      <c r="C4030" s="1" t="n">
        <v>45345</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2024-02-23T06:58:36Z</dcterms:created>
  <dcterms:modified xmlns:dcterms="http://purl.org/dc/terms/" xmlns:xsi="http://www.w3.org/2001/XMLSchema-instance" xsi:type="dcterms:W3CDTF">2024-02-23T06:58:40Z</dcterms:modified>
</cp:coreProperties>
</file>